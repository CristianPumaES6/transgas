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ransgas\Desktop\"/>
    </mc:Choice>
  </mc:AlternateContent>
  <xr:revisionPtr revIDLastSave="0" documentId="13_ncr:1_{CC71D925-4666-4A2A-8BBA-7298529018B8}" xr6:coauthVersionLast="45" xr6:coauthVersionMax="45" xr10:uidLastSave="{00000000-0000-0000-0000-000000000000}"/>
  <bookViews>
    <workbookView xWindow="20370" yWindow="-4845" windowWidth="29040" windowHeight="15840" activeTab="1" xr2:uid="{38760D66-2A15-4836-810B-7DCBE9F7A857}"/>
  </bookViews>
  <sheets>
    <sheet name="Analysis as per Daily Report" sheetId="1" r:id="rId1"/>
    <sheet name="Performance as per CP" sheetId="2" r:id="rId2"/>
    <sheet name="PERFOMANCE" sheetId="3" state="hidden" r:id="rId3"/>
  </sheets>
  <externalReferences>
    <externalReference r:id="rId4"/>
  </externalReferences>
  <definedNames>
    <definedName name="_50_RH" localSheetId="2">#REF!</definedName>
    <definedName name="_50_RH">#REF!</definedName>
    <definedName name="CONDITION" localSheetId="2">#REF!</definedName>
    <definedName name="CONDITION">#REF!</definedName>
    <definedName name="ESTNAVE" localSheetId="2">#REF!</definedName>
    <definedName name="ESTNAVE">#REF!</definedName>
    <definedName name="LASTRE" localSheetId="2">#REF!</definedName>
    <definedName name="LASTRE">#REF!</definedName>
    <definedName name="NAVEGANDO" localSheetId="2">#REF!</definedName>
    <definedName name="NAVEGANDO">#REF!</definedName>
    <definedName name="Z_CF0015C0_A248_11D2_88B2_9346907130A2_.wvu.Cols" localSheetId="2" hidden="1">#REF!</definedName>
    <definedName name="Z_CF0015C0_A248_11D2_88B2_9346907130A2_.wvu.Cols" hidden="1">#REF!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5" i="3" l="1"/>
  <c r="O34" i="3"/>
  <c r="O38" i="3" s="1"/>
  <c r="L34" i="3"/>
  <c r="L38" i="3" s="1"/>
  <c r="R8" i="3"/>
  <c r="O8" i="3"/>
  <c r="M8" i="3"/>
  <c r="H8" i="3"/>
  <c r="E8" i="3"/>
  <c r="C8" i="3"/>
  <c r="R7" i="3"/>
  <c r="O7" i="3"/>
  <c r="M7" i="3"/>
  <c r="H7" i="3"/>
  <c r="E7" i="3"/>
  <c r="C7" i="3"/>
  <c r="R6" i="3"/>
  <c r="O6" i="3"/>
  <c r="M6" i="3"/>
  <c r="H6" i="3"/>
  <c r="E6" i="3"/>
  <c r="C6" i="3"/>
  <c r="T5" i="3"/>
  <c r="T9" i="3" s="1"/>
  <c r="R5" i="3"/>
  <c r="Q5" i="3"/>
  <c r="Q9" i="3" s="1"/>
  <c r="O5" i="3"/>
  <c r="M5" i="3"/>
  <c r="J5" i="3"/>
  <c r="J9" i="3" s="1"/>
  <c r="H5" i="3"/>
  <c r="G5" i="3"/>
  <c r="G9" i="3" s="1"/>
  <c r="E5" i="3"/>
  <c r="E12" i="2"/>
  <c r="E6" i="2"/>
  <c r="E5" i="2"/>
  <c r="E4" i="2"/>
  <c r="E9" i="3" l="1"/>
  <c r="I5" i="3"/>
  <c r="S5" i="3"/>
  <c r="P7" i="3"/>
  <c r="S7" i="3"/>
  <c r="H34" i="3"/>
  <c r="M34" i="3"/>
  <c r="O9" i="3"/>
  <c r="P5" i="3"/>
  <c r="F7" i="3"/>
  <c r="J36" i="3"/>
  <c r="P6" i="3"/>
  <c r="P8" i="3"/>
  <c r="M9" i="3"/>
  <c r="N8" i="3" s="1"/>
  <c r="J34" i="3"/>
  <c r="F5" i="3"/>
  <c r="J35" i="3"/>
  <c r="F6" i="3"/>
  <c r="S6" i="3"/>
  <c r="J37" i="3"/>
  <c r="F8" i="3"/>
  <c r="S8" i="3"/>
  <c r="R9" i="3"/>
  <c r="H35" i="3"/>
  <c r="H36" i="3"/>
  <c r="H37" i="3"/>
  <c r="M35" i="3"/>
  <c r="M36" i="3"/>
  <c r="M37" i="3"/>
  <c r="C9" i="3"/>
  <c r="D5" i="3" s="1"/>
  <c r="H9" i="3"/>
  <c r="I6" i="3"/>
  <c r="I7" i="3"/>
  <c r="I8" i="3"/>
  <c r="N5" i="3" l="1"/>
  <c r="D7" i="3"/>
  <c r="D8" i="3"/>
  <c r="D6" i="3"/>
  <c r="N7" i="3"/>
  <c r="M38" i="3"/>
  <c r="J38" i="3"/>
  <c r="H38" i="3"/>
  <c r="I34" i="3" s="1"/>
  <c r="N6" i="3"/>
  <c r="D9" i="3" l="1"/>
  <c r="N9" i="3"/>
  <c r="I35" i="3"/>
  <c r="I37" i="3"/>
  <c r="I36" i="3"/>
  <c r="I38" i="3" s="1"/>
  <c r="T11" i="1" l="1"/>
  <c r="U11" i="1" s="1"/>
  <c r="R11" i="1"/>
  <c r="S11" i="1" s="1"/>
  <c r="Q11" i="1"/>
  <c r="D11" i="1"/>
  <c r="T10" i="1"/>
  <c r="U10" i="1" s="1"/>
  <c r="R10" i="1"/>
  <c r="S10" i="1" s="1"/>
  <c r="Q10" i="1"/>
  <c r="D10" i="1"/>
  <c r="T9" i="1"/>
  <c r="U9" i="1" s="1"/>
  <c r="R9" i="1"/>
  <c r="S9" i="1" s="1"/>
  <c r="Q9" i="1"/>
  <c r="D9" i="1"/>
  <c r="T8" i="1"/>
  <c r="U8" i="1" s="1"/>
  <c r="R8" i="1"/>
  <c r="S8" i="1" s="1"/>
  <c r="Q8" i="1"/>
  <c r="D8" i="1"/>
  <c r="T7" i="1"/>
  <c r="U7" i="1" s="1"/>
  <c r="R7" i="1"/>
  <c r="S7" i="1" s="1"/>
  <c r="Q7" i="1"/>
</calcChain>
</file>

<file path=xl/sharedStrings.xml><?xml version="1.0" encoding="utf-8"?>
<sst xmlns="http://schemas.openxmlformats.org/spreadsheetml/2006/main" count="177" uniqueCount="104">
  <si>
    <t>VOYAGE</t>
  </si>
  <si>
    <t>MONTH</t>
  </si>
  <si>
    <t>CONDITION</t>
  </si>
  <si>
    <t>TOTAL DISTANCE STEAMED</t>
  </si>
  <si>
    <t>TOTAL STEAMING TIME</t>
  </si>
  <si>
    <t>AVERAGE SPEED</t>
  </si>
  <si>
    <r>
      <rPr>
        <b/>
        <sz val="10"/>
        <color theme="1"/>
        <rFont val="Calibri"/>
        <family val="2"/>
        <scheme val="minor"/>
      </rPr>
      <t>Total Hours</t>
    </r>
    <r>
      <rPr>
        <sz val="10"/>
        <color theme="1"/>
        <rFont val="Calibri"/>
        <family val="2"/>
        <scheme val="minor"/>
      </rPr>
      <t xml:space="preserve"> Adverse Weather (above wind/wave force 4 forward of port/ startboard beams)</t>
    </r>
  </si>
  <si>
    <t>ARRIVAL</t>
  </si>
  <si>
    <t>DEPARTURE</t>
  </si>
  <si>
    <t>CONSUMPTION IFO (MTS)</t>
  </si>
  <si>
    <t>HFO MTS/DAY</t>
  </si>
  <si>
    <t>CONSUMPTION MGO (MTS)</t>
  </si>
  <si>
    <t>MGO MTS/DAY</t>
  </si>
  <si>
    <t>DATE</t>
  </si>
  <si>
    <t>HOUR</t>
  </si>
  <si>
    <t>ROB IFO (MTS)</t>
  </si>
  <si>
    <t>ROB MGO (MTS)</t>
  </si>
  <si>
    <t>001</t>
  </si>
  <si>
    <t>MARCH</t>
  </si>
  <si>
    <t>KERTEH</t>
  </si>
  <si>
    <t>SINGAPORE</t>
  </si>
  <si>
    <t>LADEN</t>
  </si>
  <si>
    <t>--</t>
  </si>
  <si>
    <t>002</t>
  </si>
  <si>
    <t>MARCH - APRIL</t>
  </si>
  <si>
    <t>PALEMBANG</t>
  </si>
  <si>
    <t>BALLAST</t>
  </si>
  <si>
    <t>VUNG TAU</t>
  </si>
  <si>
    <t>003</t>
  </si>
  <si>
    <t>APRIL</t>
  </si>
  <si>
    <t>DING VU</t>
  </si>
  <si>
    <t>Normal service speed</t>
  </si>
  <si>
    <t>Normal service speed - while cooling cargo</t>
  </si>
  <si>
    <t>ARRIVAL
PORT</t>
  </si>
  <si>
    <t>DEPARTURE
PORT</t>
  </si>
  <si>
    <t>SAILING ANALYSIS</t>
  </si>
  <si>
    <t>Operación</t>
  </si>
  <si>
    <t>Consumo</t>
  </si>
  <si>
    <t>Detalle</t>
  </si>
  <si>
    <t>TM/D</t>
  </si>
  <si>
    <t>TM/H</t>
  </si>
  <si>
    <t>FONDEADO</t>
  </si>
  <si>
    <t>IFO</t>
  </si>
  <si>
    <t>Anclado en puerto</t>
  </si>
  <si>
    <t>NAVEGANDO</t>
  </si>
  <si>
    <t>CARGANDO</t>
  </si>
  <si>
    <t>DESCARGANDO</t>
  </si>
  <si>
    <t>MGO</t>
  </si>
  <si>
    <t>RESUMEN DE CONSUMOS DEL MES DEL VIAJE 1</t>
  </si>
  <si>
    <t>OPERACIÓN</t>
  </si>
  <si>
    <t>TIEMPOS</t>
  </si>
  <si>
    <t xml:space="preserve">CONSUMO </t>
  </si>
  <si>
    <t>HORAS</t>
  </si>
  <si>
    <t>%</t>
  </si>
  <si>
    <t>IFO (MT)  - IDEAL</t>
  </si>
  <si>
    <t>IFO (MT) - REAL</t>
  </si>
  <si>
    <t>MGO (MT) - IDEAL</t>
  </si>
  <si>
    <t>MGO (MT) - REAL</t>
  </si>
  <si>
    <t>Mensual</t>
  </si>
  <si>
    <t>Promedio Consumo Diario</t>
  </si>
  <si>
    <t>TOTAL</t>
  </si>
  <si>
    <t>FAENAS BT ALEJANDRO</t>
  </si>
  <si>
    <t>RESUMEN DE CONSUMOS</t>
  </si>
  <si>
    <t>IFO (TM)</t>
  </si>
  <si>
    <t>MGO (TM)</t>
  </si>
  <si>
    <t>FECHA</t>
  </si>
  <si>
    <t>COMBUSTIBLE INICIAL</t>
  </si>
  <si>
    <t>1ER ABASTECIMIENTO</t>
  </si>
  <si>
    <t>2DO ABASTECIMIENTO</t>
  </si>
  <si>
    <t>3ER ABASTECIMIENTO</t>
  </si>
  <si>
    <t>4TO ABASTECIMIENTO</t>
  </si>
  <si>
    <t>5TO ABASTECIMIENTO</t>
  </si>
  <si>
    <t>6TO ABASTECIMIENTO</t>
  </si>
  <si>
    <t>7MO ABASTECIMIENTO</t>
  </si>
  <si>
    <t>8VO ABASTECIMIENTO</t>
  </si>
  <si>
    <t>9NO ABASTECIMIENTO</t>
  </si>
  <si>
    <t>10MO ABASTECIMIENTO</t>
  </si>
  <si>
    <t>11RO ABASTECIMIENTO</t>
  </si>
  <si>
    <t>12DO ABASTECIMIENTO</t>
  </si>
  <si>
    <t>13RO ABASTECIMIENTO</t>
  </si>
  <si>
    <t>14TO ABASTECIMIENTO</t>
  </si>
  <si>
    <t>15VO ABASTECIMIENTO</t>
  </si>
  <si>
    <t>16VO ABASTECIMIENTO</t>
  </si>
  <si>
    <t>17VO ABASTECIMIENTO</t>
  </si>
  <si>
    <t>18VO ABASTECIMIENTO</t>
  </si>
  <si>
    <t>19VO ABASTECIMIENTO</t>
  </si>
  <si>
    <t>20VO ABASTECIMIENTO</t>
  </si>
  <si>
    <t>21VO ABASTECIMIENTO</t>
  </si>
  <si>
    <t>ABASTECIMIENTO N°</t>
  </si>
  <si>
    <t>DEFINIR POR BUQUE</t>
  </si>
  <si>
    <t>******</t>
  </si>
  <si>
    <t>CONSUMPTION DETAILS AT SEA</t>
  </si>
  <si>
    <t>MGO
MT</t>
  </si>
  <si>
    <t>MT/DAY</t>
  </si>
  <si>
    <t>IFO 
MT</t>
  </si>
  <si>
    <t xml:space="preserve">RESUMEN DE CONSUMOS </t>
  </si>
  <si>
    <t>Navegando</t>
  </si>
  <si>
    <t>Cargando</t>
  </si>
  <si>
    <t>Descargando</t>
  </si>
  <si>
    <t>Fondeado</t>
  </si>
  <si>
    <t>OPERATION</t>
  </si>
  <si>
    <t>TIME</t>
  </si>
  <si>
    <t>HOURS</t>
  </si>
  <si>
    <t xml:space="preserve">CONSUMPTION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</si>
</sst>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"/>
    <numFmt numFmtId="165" formatCode="0.0%"/>
    <numFmt numFmtId="166" formatCode="0.000"/>
  </numFmts>
  <fonts count="2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1"/>
      <color rgb="FF0070C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i/>
      <sz val="22"/>
      <color theme="0"/>
      <name val="Calibri"/>
      <family val="2"/>
      <scheme val="minor"/>
    </font>
    <font>
      <b/>
      <i/>
      <sz val="24"/>
      <color theme="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85B"/>
        <bgColor indexed="64"/>
      </patternFill>
    </fill>
  </fills>
  <borders count="5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6" fillId="0" borderId="0"/>
    <xf numFmtId="9" fontId="10" fillId="0" borderId="0" applyFont="0" applyFill="0" applyBorder="0" applyAlignment="0" applyProtection="0"/>
  </cellStyleXfs>
  <cellXfs count="220">
    <xf numFmtId="0" fontId="0" fillId="0" borderId="0" xfId="0"/>
    <xf numFmtId="0" fontId="0" fillId="0" borderId="0" xfId="0" applyAlignment="1">
      <alignment horizontal="center" vertical="center"/>
    </xf>
    <xf numFmtId="0" fontId="0" fillId="4" borderId="14" xfId="0" applyFill="1" applyBorder="1" applyAlignment="1">
      <alignment horizontal="center" vertical="center"/>
    </xf>
    <xf numFmtId="0" fontId="0" fillId="4" borderId="14" xfId="0" applyFill="1" applyBorder="1" applyAlignment="1">
      <alignment horizontal="center" vertical="center" wrapText="1"/>
    </xf>
    <xf numFmtId="0" fontId="0" fillId="5" borderId="14" xfId="0" applyFill="1" applyBorder="1" applyAlignment="1">
      <alignment horizontal="center" vertical="center"/>
    </xf>
    <xf numFmtId="0" fontId="0" fillId="5" borderId="14" xfId="0" applyFill="1" applyBorder="1" applyAlignment="1">
      <alignment horizontal="center" vertical="center" wrapText="1"/>
    </xf>
    <xf numFmtId="0" fontId="0" fillId="0" borderId="15" xfId="0" quotePrefix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40" fontId="1" fillId="0" borderId="16" xfId="0" applyNumberFormat="1" applyFont="1" applyBorder="1" applyAlignment="1">
      <alignment horizontal="center" vertical="center"/>
    </xf>
    <xf numFmtId="2" fontId="0" fillId="0" borderId="16" xfId="0" applyNumberFormat="1" applyBorder="1" applyAlignment="1">
      <alignment horizontal="center" vertical="center"/>
    </xf>
    <xf numFmtId="2" fontId="2" fillId="6" borderId="16" xfId="0" applyNumberFormat="1" applyFont="1" applyFill="1" applyBorder="1" applyAlignment="1">
      <alignment horizontal="center" vertical="center"/>
    </xf>
    <xf numFmtId="0" fontId="0" fillId="0" borderId="17" xfId="0" quotePrefix="1" applyBorder="1" applyAlignment="1">
      <alignment horizontal="center" vertical="center"/>
    </xf>
    <xf numFmtId="14" fontId="0" fillId="0" borderId="18" xfId="1" applyNumberFormat="1" applyFont="1" applyBorder="1" applyAlignment="1">
      <alignment horizontal="center" vertical="center"/>
    </xf>
    <xf numFmtId="20" fontId="0" fillId="0" borderId="19" xfId="1" applyNumberFormat="1" applyFont="1" applyBorder="1" applyAlignment="1">
      <alignment horizontal="center" vertical="center"/>
    </xf>
    <xf numFmtId="2" fontId="0" fillId="0" borderId="19" xfId="1" applyNumberFormat="1" applyFont="1" applyBorder="1" applyAlignment="1">
      <alignment horizontal="center" vertical="center"/>
    </xf>
    <xf numFmtId="14" fontId="0" fillId="0" borderId="19" xfId="1" applyNumberFormat="1" applyFont="1" applyBorder="1" applyAlignment="1">
      <alignment horizontal="center" vertical="center"/>
    </xf>
    <xf numFmtId="2" fontId="0" fillId="0" borderId="19" xfId="0" applyNumberFormat="1" applyBorder="1" applyAlignment="1">
      <alignment horizontal="center" vertical="center"/>
    </xf>
    <xf numFmtId="2" fontId="2" fillId="0" borderId="19" xfId="0" applyNumberFormat="1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40" fontId="7" fillId="0" borderId="10" xfId="0" applyNumberFormat="1" applyFont="1" applyBorder="1" applyAlignment="1">
      <alignment horizontal="center" vertical="center"/>
    </xf>
    <xf numFmtId="2" fontId="0" fillId="0" borderId="10" xfId="0" applyNumberFormat="1" applyBorder="1" applyAlignment="1">
      <alignment horizontal="center" vertical="center"/>
    </xf>
    <xf numFmtId="2" fontId="2" fillId="6" borderId="10" xfId="0" applyNumberFormat="1" applyFont="1" applyFill="1" applyBorder="1" applyAlignment="1">
      <alignment horizontal="center" vertical="center"/>
    </xf>
    <xf numFmtId="14" fontId="0" fillId="0" borderId="13" xfId="1" applyNumberFormat="1" applyFont="1" applyBorder="1" applyAlignment="1">
      <alignment horizontal="center" vertical="center"/>
    </xf>
    <xf numFmtId="20" fontId="0" fillId="0" borderId="10" xfId="1" applyNumberFormat="1" applyFont="1" applyBorder="1" applyAlignment="1">
      <alignment horizontal="center" vertical="center"/>
    </xf>
    <xf numFmtId="2" fontId="0" fillId="0" borderId="10" xfId="1" applyNumberFormat="1" applyFont="1" applyBorder="1" applyAlignment="1">
      <alignment horizontal="center" vertical="center"/>
    </xf>
    <xf numFmtId="14" fontId="0" fillId="0" borderId="10" xfId="1" applyNumberFormat="1" applyFont="1" applyBorder="1" applyAlignment="1">
      <alignment horizontal="center" vertical="center"/>
    </xf>
    <xf numFmtId="2" fontId="2" fillId="0" borderId="10" xfId="0" applyNumberFormat="1" applyFont="1" applyBorder="1" applyAlignment="1">
      <alignment horizontal="center" vertical="center"/>
    </xf>
    <xf numFmtId="40" fontId="1" fillId="0" borderId="10" xfId="0" applyNumberFormat="1" applyFon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2" fontId="8" fillId="0" borderId="19" xfId="0" applyNumberFormat="1" applyFont="1" applyBorder="1" applyAlignment="1">
      <alignment horizontal="center" vertical="center"/>
    </xf>
    <xf numFmtId="2" fontId="8" fillId="0" borderId="10" xfId="0" applyNumberFormat="1" applyFont="1" applyBorder="1" applyAlignment="1">
      <alignment horizontal="center" vertical="center"/>
    </xf>
    <xf numFmtId="2" fontId="9" fillId="0" borderId="10" xfId="0" applyNumberFormat="1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0" fontId="0" fillId="0" borderId="20" xfId="0" quotePrefix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21" xfId="0" quotePrefix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 wrapText="1"/>
    </xf>
    <xf numFmtId="0" fontId="3" fillId="3" borderId="12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/>
    </xf>
    <xf numFmtId="0" fontId="12" fillId="0" borderId="15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29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12" fillId="0" borderId="32" xfId="0" applyFont="1" applyBorder="1" applyAlignment="1">
      <alignment horizontal="center" vertical="center"/>
    </xf>
    <xf numFmtId="0" fontId="12" fillId="0" borderId="33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2" fillId="0" borderId="34" xfId="0" applyFont="1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164" fontId="0" fillId="0" borderId="36" xfId="0" applyNumberFormat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164" fontId="0" fillId="0" borderId="38" xfId="0" applyNumberFormat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9" borderId="3" xfId="0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/>
    </xf>
    <xf numFmtId="0" fontId="13" fillId="8" borderId="7" xfId="0" applyFont="1" applyFill="1" applyBorder="1" applyAlignment="1">
      <alignment horizontal="center" vertical="center" wrapText="1"/>
    </xf>
    <xf numFmtId="0" fontId="14" fillId="10" borderId="1" xfId="0" applyFont="1" applyFill="1" applyBorder="1" applyAlignment="1">
      <alignment horizontal="center" vertical="center"/>
    </xf>
    <xf numFmtId="0" fontId="14" fillId="10" borderId="2" xfId="0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3" fillId="8" borderId="39" xfId="0" applyFont="1" applyFill="1" applyBorder="1" applyAlignment="1">
      <alignment horizontal="center" vertical="center" wrapText="1"/>
    </xf>
    <xf numFmtId="0" fontId="13" fillId="10" borderId="7" xfId="0" applyFont="1" applyFill="1" applyBorder="1" applyAlignment="1">
      <alignment horizontal="center" vertical="center"/>
    </xf>
    <xf numFmtId="0" fontId="14" fillId="10" borderId="7" xfId="0" applyFont="1" applyFill="1" applyBorder="1" applyAlignment="1">
      <alignment horizontal="center" vertical="center"/>
    </xf>
    <xf numFmtId="0" fontId="13" fillId="11" borderId="1" xfId="0" applyFont="1" applyFill="1" applyBorder="1" applyAlignment="1">
      <alignment horizontal="center" vertical="center"/>
    </xf>
    <xf numFmtId="0" fontId="13" fillId="11" borderId="2" xfId="0" applyFont="1" applyFill="1" applyBorder="1" applyAlignment="1">
      <alignment horizontal="center" vertical="center"/>
    </xf>
    <xf numFmtId="0" fontId="13" fillId="11" borderId="1" xfId="0" applyFont="1" applyFill="1" applyBorder="1" applyAlignment="1">
      <alignment horizontal="center" vertical="center"/>
    </xf>
    <xf numFmtId="0" fontId="13" fillId="7" borderId="1" xfId="0" applyFont="1" applyFill="1" applyBorder="1" applyAlignment="1">
      <alignment horizontal="center" vertical="center"/>
    </xf>
    <xf numFmtId="0" fontId="13" fillId="7" borderId="2" xfId="0" applyFont="1" applyFill="1" applyBorder="1" applyAlignment="1">
      <alignment horizontal="center" vertical="center"/>
    </xf>
    <xf numFmtId="0" fontId="13" fillId="7" borderId="14" xfId="0" applyFont="1" applyFill="1" applyBorder="1" applyAlignment="1">
      <alignment horizontal="center" vertical="center"/>
    </xf>
    <xf numFmtId="0" fontId="14" fillId="10" borderId="40" xfId="0" applyFont="1" applyFill="1" applyBorder="1" applyAlignment="1">
      <alignment horizontal="center" vertical="center"/>
    </xf>
    <xf numFmtId="0" fontId="13" fillId="8" borderId="11" xfId="0" applyFont="1" applyFill="1" applyBorder="1" applyAlignment="1">
      <alignment horizontal="center" vertical="center" wrapText="1"/>
    </xf>
    <xf numFmtId="0" fontId="13" fillId="10" borderId="11" xfId="0" applyFont="1" applyFill="1" applyBorder="1" applyAlignment="1">
      <alignment horizontal="center" vertical="center"/>
    </xf>
    <xf numFmtId="0" fontId="14" fillId="10" borderId="11" xfId="0" applyFont="1" applyFill="1" applyBorder="1" applyAlignment="1">
      <alignment horizontal="center" vertical="center"/>
    </xf>
    <xf numFmtId="0" fontId="13" fillId="11" borderId="41" xfId="0" applyFont="1" applyFill="1" applyBorder="1" applyAlignment="1">
      <alignment horizontal="center" vertical="center"/>
    </xf>
    <xf numFmtId="0" fontId="13" fillId="11" borderId="42" xfId="0" applyFont="1" applyFill="1" applyBorder="1" applyAlignment="1">
      <alignment horizontal="center" vertical="center" wrapText="1"/>
    </xf>
    <xf numFmtId="0" fontId="13" fillId="11" borderId="43" xfId="0" applyFont="1" applyFill="1" applyBorder="1" applyAlignment="1">
      <alignment horizontal="center" vertical="center"/>
    </xf>
    <xf numFmtId="0" fontId="13" fillId="7" borderId="44" xfId="0" applyFont="1" applyFill="1" applyBorder="1" applyAlignment="1">
      <alignment horizontal="center" vertical="center"/>
    </xf>
    <xf numFmtId="0" fontId="13" fillId="7" borderId="45" xfId="0" applyFont="1" applyFill="1" applyBorder="1" applyAlignment="1">
      <alignment horizontal="center" vertical="center" wrapText="1"/>
    </xf>
    <xf numFmtId="0" fontId="13" fillId="7" borderId="43" xfId="0" applyFont="1" applyFill="1" applyBorder="1" applyAlignment="1">
      <alignment horizontal="center" vertical="center"/>
    </xf>
    <xf numFmtId="0" fontId="14" fillId="10" borderId="12" xfId="0" applyFont="1" applyFill="1" applyBorder="1" applyAlignment="1">
      <alignment horizontal="center" vertical="center"/>
    </xf>
    <xf numFmtId="0" fontId="14" fillId="0" borderId="31" xfId="0" applyFont="1" applyBorder="1" applyAlignment="1">
      <alignment horizontal="center" vertical="center"/>
    </xf>
    <xf numFmtId="2" fontId="14" fillId="0" borderId="7" xfId="0" applyNumberFormat="1" applyFont="1" applyBorder="1" applyAlignment="1">
      <alignment horizontal="center" vertical="center"/>
    </xf>
    <xf numFmtId="165" fontId="14" fillId="0" borderId="8" xfId="2" applyNumberFormat="1" applyFont="1" applyBorder="1" applyAlignment="1">
      <alignment horizontal="center" vertical="center"/>
    </xf>
    <xf numFmtId="2" fontId="14" fillId="0" borderId="31" xfId="0" applyNumberFormat="1" applyFont="1" applyBorder="1" applyAlignment="1">
      <alignment horizontal="center" vertical="center"/>
    </xf>
    <xf numFmtId="2" fontId="14" fillId="0" borderId="8" xfId="0" applyNumberFormat="1" applyFont="1" applyBorder="1" applyAlignment="1">
      <alignment horizontal="center" vertical="center"/>
    </xf>
    <xf numFmtId="2" fontId="14" fillId="0" borderId="9" xfId="0" applyNumberFormat="1" applyFont="1" applyBorder="1" applyAlignment="1">
      <alignment horizontal="center" vertical="center"/>
    </xf>
    <xf numFmtId="9" fontId="14" fillId="0" borderId="6" xfId="2" applyFont="1" applyBorder="1" applyAlignment="1">
      <alignment horizontal="center" vertical="center"/>
    </xf>
    <xf numFmtId="0" fontId="14" fillId="0" borderId="46" xfId="0" applyFont="1" applyBorder="1" applyAlignment="1">
      <alignment horizontal="center" vertical="center"/>
    </xf>
    <xf numFmtId="2" fontId="14" fillId="0" borderId="46" xfId="0" applyNumberFormat="1" applyFont="1" applyBorder="1" applyAlignment="1">
      <alignment horizontal="center" vertical="center"/>
    </xf>
    <xf numFmtId="2" fontId="14" fillId="0" borderId="0" xfId="0" applyNumberFormat="1" applyFont="1" applyAlignment="1">
      <alignment horizontal="center" vertical="center"/>
    </xf>
    <xf numFmtId="2" fontId="14" fillId="0" borderId="40" xfId="0" applyNumberFormat="1" applyFont="1" applyBorder="1" applyAlignment="1">
      <alignment horizontal="center" vertical="center"/>
    </xf>
    <xf numFmtId="0" fontId="14" fillId="12" borderId="1" xfId="0" applyFont="1" applyFill="1" applyBorder="1" applyAlignment="1">
      <alignment horizontal="center" vertical="center"/>
    </xf>
    <xf numFmtId="2" fontId="0" fillId="12" borderId="14" xfId="0" applyNumberFormat="1" applyFill="1" applyBorder="1" applyAlignment="1">
      <alignment horizontal="center" vertical="center"/>
    </xf>
    <xf numFmtId="9" fontId="0" fillId="0" borderId="14" xfId="2" applyFont="1" applyFill="1" applyBorder="1" applyAlignment="1">
      <alignment horizontal="center" vertical="center"/>
    </xf>
    <xf numFmtId="166" fontId="0" fillId="12" borderId="11" xfId="0" applyNumberFormat="1" applyFill="1" applyBorder="1" applyAlignment="1">
      <alignment horizontal="center" vertical="center"/>
    </xf>
    <xf numFmtId="166" fontId="0" fillId="12" borderId="14" xfId="0" applyNumberFormat="1" applyFill="1" applyBorder="1" applyAlignment="1">
      <alignment horizontal="center" vertical="center"/>
    </xf>
    <xf numFmtId="0" fontId="0" fillId="13" borderId="0" xfId="0" applyFill="1" applyAlignment="1">
      <alignment horizontal="center" vertical="center"/>
    </xf>
    <xf numFmtId="0" fontId="0" fillId="13" borderId="0" xfId="0" applyFill="1" applyAlignment="1">
      <alignment horizontal="center" vertical="center"/>
    </xf>
    <xf numFmtId="0" fontId="15" fillId="0" borderId="47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31" xfId="0" applyFont="1" applyBorder="1" applyAlignment="1">
      <alignment horizontal="center" vertical="center" wrapText="1"/>
    </xf>
    <xf numFmtId="0" fontId="2" fillId="0" borderId="49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14" fontId="0" fillId="0" borderId="31" xfId="0" applyNumberFormat="1" applyBorder="1" applyAlignment="1">
      <alignment horizontal="center" vertical="center"/>
    </xf>
    <xf numFmtId="0" fontId="2" fillId="0" borderId="50" xfId="0" applyFont="1" applyBorder="1" applyAlignment="1">
      <alignment horizontal="center" vertical="center" wrapText="1"/>
    </xf>
    <xf numFmtId="166" fontId="0" fillId="0" borderId="51" xfId="0" applyNumberFormat="1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14" fontId="0" fillId="0" borderId="50" xfId="0" applyNumberFormat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51" xfId="0" applyBorder="1" applyAlignment="1">
      <alignment horizontal="center" vertical="center"/>
    </xf>
    <xf numFmtId="166" fontId="0" fillId="0" borderId="46" xfId="0" applyNumberFormat="1" applyBorder="1" applyAlignment="1">
      <alignment horizontal="center" vertical="center"/>
    </xf>
    <xf numFmtId="0" fontId="2" fillId="0" borderId="46" xfId="0" applyFont="1" applyBorder="1" applyAlignment="1">
      <alignment horizontal="center" vertical="center" wrapText="1"/>
    </xf>
    <xf numFmtId="14" fontId="0" fillId="0" borderId="46" xfId="0" applyNumberFormat="1" applyBorder="1" applyAlignment="1">
      <alignment horizontal="center" vertical="center"/>
    </xf>
    <xf numFmtId="0" fontId="2" fillId="0" borderId="34" xfId="0" applyFont="1" applyBorder="1" applyAlignment="1">
      <alignment horizontal="center" vertical="center" wrapText="1"/>
    </xf>
    <xf numFmtId="166" fontId="0" fillId="0" borderId="52" xfId="0" applyNumberFormat="1" applyBorder="1" applyAlignment="1">
      <alignment horizontal="center" vertical="center"/>
    </xf>
    <xf numFmtId="166" fontId="0" fillId="0" borderId="34" xfId="0" applyNumberFormat="1" applyBorder="1" applyAlignment="1">
      <alignment horizontal="center" vertical="center"/>
    </xf>
    <xf numFmtId="14" fontId="0" fillId="0" borderId="34" xfId="0" applyNumberFormat="1" applyBorder="1" applyAlignment="1">
      <alignment horizontal="center" vertical="center"/>
    </xf>
    <xf numFmtId="14" fontId="0" fillId="0" borderId="12" xfId="0" applyNumberFormat="1" applyBorder="1" applyAlignment="1">
      <alignment horizontal="center" vertical="center"/>
    </xf>
    <xf numFmtId="0" fontId="2" fillId="0" borderId="7" xfId="0" applyFont="1" applyBorder="1" applyAlignment="1">
      <alignment horizontal="center" vertical="center" wrapText="1"/>
    </xf>
    <xf numFmtId="166" fontId="0" fillId="0" borderId="8" xfId="0" applyNumberFormat="1" applyBorder="1" applyAlignment="1">
      <alignment horizontal="center" vertical="center"/>
    </xf>
    <xf numFmtId="166" fontId="0" fillId="0" borderId="7" xfId="0" applyNumberFormat="1" applyBorder="1" applyAlignment="1">
      <alignment horizontal="center" vertical="center"/>
    </xf>
    <xf numFmtId="14" fontId="0" fillId="0" borderId="9" xfId="0" applyNumberFormat="1" applyBorder="1" applyAlignment="1">
      <alignment horizontal="center" vertical="center"/>
    </xf>
    <xf numFmtId="0" fontId="0" fillId="0" borderId="15" xfId="0" applyBorder="1" applyAlignment="1">
      <alignment horizontal="center" vertical="center" wrapText="1"/>
    </xf>
    <xf numFmtId="166" fontId="0" fillId="0" borderId="16" xfId="0" applyNumberFormat="1" applyBorder="1" applyAlignment="1">
      <alignment horizontal="center" vertical="center"/>
    </xf>
    <xf numFmtId="14" fontId="0" fillId="0" borderId="17" xfId="0" applyNumberFormat="1" applyBorder="1" applyAlignment="1">
      <alignment horizontal="center" vertical="center"/>
    </xf>
    <xf numFmtId="0" fontId="0" fillId="0" borderId="20" xfId="0" applyBorder="1" applyAlignment="1">
      <alignment horizontal="center" vertical="center" wrapText="1"/>
    </xf>
    <xf numFmtId="166" fontId="0" fillId="0" borderId="10" xfId="0" applyNumberFormat="1" applyBorder="1" applyAlignment="1">
      <alignment horizontal="center" vertical="center"/>
    </xf>
    <xf numFmtId="14" fontId="0" fillId="0" borderId="21" xfId="0" applyNumberFormat="1" applyBorder="1" applyAlignment="1">
      <alignment horizontal="center" vertical="center"/>
    </xf>
    <xf numFmtId="0" fontId="0" fillId="0" borderId="32" xfId="0" applyBorder="1" applyAlignment="1">
      <alignment horizontal="center" vertical="center" wrapText="1"/>
    </xf>
    <xf numFmtId="166" fontId="0" fillId="0" borderId="26" xfId="0" applyNumberFormat="1" applyBorder="1" applyAlignment="1">
      <alignment horizontal="center" vertical="center"/>
    </xf>
    <xf numFmtId="14" fontId="0" fillId="0" borderId="27" xfId="0" applyNumberFormat="1" applyBorder="1" applyAlignment="1">
      <alignment horizontal="center" vertical="center"/>
    </xf>
    <xf numFmtId="0" fontId="17" fillId="2" borderId="1" xfId="0" applyFont="1" applyFill="1" applyBorder="1" applyAlignment="1">
      <alignment horizontal="center" vertical="center"/>
    </xf>
    <xf numFmtId="0" fontId="17" fillId="2" borderId="3" xfId="0" applyFont="1" applyFill="1" applyBorder="1" applyAlignment="1">
      <alignment horizontal="center" vertical="center"/>
    </xf>
    <xf numFmtId="0" fontId="17" fillId="2" borderId="2" xfId="0" applyFont="1" applyFill="1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14" borderId="14" xfId="0" applyFill="1" applyBorder="1" applyAlignment="1">
      <alignment horizontal="center" vertical="center"/>
    </xf>
    <xf numFmtId="0" fontId="18" fillId="0" borderId="35" xfId="0" applyFont="1" applyBorder="1" applyAlignment="1">
      <alignment horizontal="center" vertical="center"/>
    </xf>
    <xf numFmtId="0" fontId="18" fillId="0" borderId="29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9" fillId="0" borderId="35" xfId="0" applyFont="1" applyBorder="1" applyAlignment="1">
      <alignment horizontal="center" vertical="center"/>
    </xf>
    <xf numFmtId="0" fontId="20" fillId="2" borderId="15" xfId="0" applyFont="1" applyFill="1" applyBorder="1" applyAlignment="1">
      <alignment horizontal="center" vertical="center"/>
    </xf>
    <xf numFmtId="0" fontId="20" fillId="2" borderId="28" xfId="0" applyFont="1" applyFill="1" applyBorder="1" applyAlignment="1">
      <alignment horizontal="center" vertical="center"/>
    </xf>
    <xf numFmtId="0" fontId="20" fillId="2" borderId="29" xfId="0" applyFont="1" applyFill="1" applyBorder="1" applyAlignment="1">
      <alignment horizontal="center" vertical="center"/>
    </xf>
    <xf numFmtId="0" fontId="20" fillId="2" borderId="30" xfId="0" applyFont="1" applyFill="1" applyBorder="1" applyAlignment="1">
      <alignment horizontal="center" vertical="center"/>
    </xf>
    <xf numFmtId="0" fontId="11" fillId="2" borderId="31" xfId="0" applyFont="1" applyFill="1" applyBorder="1" applyAlignment="1">
      <alignment horizontal="center" vertical="center"/>
    </xf>
    <xf numFmtId="0" fontId="20" fillId="2" borderId="32" xfId="0" applyFont="1" applyFill="1" applyBorder="1" applyAlignment="1">
      <alignment horizontal="center" vertical="center"/>
    </xf>
    <xf numFmtId="0" fontId="20" fillId="2" borderId="33" xfId="0" applyFont="1" applyFill="1" applyBorder="1" applyAlignment="1">
      <alignment horizontal="center" vertical="center"/>
    </xf>
    <xf numFmtId="0" fontId="20" fillId="2" borderId="1" xfId="0" applyFont="1" applyFill="1" applyBorder="1" applyAlignment="1">
      <alignment horizontal="center" vertical="center"/>
    </xf>
    <xf numFmtId="0" fontId="11" fillId="2" borderId="34" xfId="0" applyFont="1" applyFill="1" applyBorder="1" applyAlignment="1">
      <alignment horizontal="center" vertical="center"/>
    </xf>
    <xf numFmtId="0" fontId="11" fillId="2" borderId="6" xfId="0" applyFont="1" applyFill="1" applyBorder="1" applyAlignment="1">
      <alignment horizontal="center" vertical="center" wrapText="1"/>
    </xf>
    <xf numFmtId="0" fontId="11" fillId="2" borderId="8" xfId="0" applyFont="1" applyFill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center" vertical="center" wrapText="1"/>
    </xf>
    <xf numFmtId="0" fontId="11" fillId="2" borderId="5" xfId="0" applyFont="1" applyFill="1" applyBorder="1" applyAlignment="1">
      <alignment horizontal="center" vertical="center" wrapText="1"/>
    </xf>
    <xf numFmtId="0" fontId="0" fillId="0" borderId="53" xfId="0" applyBorder="1" applyAlignment="1">
      <alignment horizontal="center" vertical="center"/>
    </xf>
    <xf numFmtId="0" fontId="8" fillId="14" borderId="17" xfId="0" applyFont="1" applyFill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quotePrefix="1" applyBorder="1" applyAlignment="1">
      <alignment horizontal="center" vertical="center"/>
    </xf>
    <xf numFmtId="0" fontId="23" fillId="0" borderId="7" xfId="0" quotePrefix="1" applyFont="1" applyBorder="1" applyAlignment="1">
      <alignment horizontal="center" vertical="center"/>
    </xf>
    <xf numFmtId="0" fontId="23" fillId="0" borderId="39" xfId="0" quotePrefix="1" applyFont="1" applyBorder="1" applyAlignment="1">
      <alignment horizontal="center" vertical="center"/>
    </xf>
    <xf numFmtId="0" fontId="24" fillId="14" borderId="1" xfId="0" applyFont="1" applyFill="1" applyBorder="1" applyAlignment="1">
      <alignment horizontal="center" vertical="center"/>
    </xf>
    <xf numFmtId="2" fontId="24" fillId="14" borderId="14" xfId="0" applyNumberFormat="1" applyFont="1" applyFill="1" applyBorder="1" applyAlignment="1">
      <alignment horizontal="center" vertical="center"/>
    </xf>
    <xf numFmtId="9" fontId="24" fillId="14" borderId="14" xfId="2" applyFont="1" applyFill="1" applyBorder="1" applyAlignment="1">
      <alignment horizontal="center" vertical="center"/>
    </xf>
    <xf numFmtId="166" fontId="24" fillId="14" borderId="11" xfId="0" applyNumberFormat="1" applyFont="1" applyFill="1" applyBorder="1" applyAlignment="1">
      <alignment horizontal="center" vertical="center"/>
    </xf>
    <xf numFmtId="0" fontId="24" fillId="14" borderId="0" xfId="0" applyFont="1" applyFill="1" applyAlignment="1">
      <alignment horizontal="center" vertical="center"/>
    </xf>
    <xf numFmtId="166" fontId="24" fillId="14" borderId="14" xfId="0" applyNumberFormat="1" applyFont="1" applyFill="1" applyBorder="1" applyAlignment="1">
      <alignment horizontal="center" vertical="center"/>
    </xf>
    <xf numFmtId="0" fontId="16" fillId="2" borderId="5" xfId="0" applyFont="1" applyFill="1" applyBorder="1" applyAlignment="1">
      <alignment horizontal="center" vertical="center"/>
    </xf>
    <xf numFmtId="0" fontId="0" fillId="15" borderId="9" xfId="0" applyFill="1" applyBorder="1" applyAlignment="1">
      <alignment horizontal="center" vertical="center"/>
    </xf>
    <xf numFmtId="0" fontId="0" fillId="15" borderId="1" xfId="0" applyFill="1" applyBorder="1" applyAlignment="1">
      <alignment horizontal="center" vertical="center"/>
    </xf>
    <xf numFmtId="0" fontId="0" fillId="15" borderId="2" xfId="0" applyFill="1" applyBorder="1" applyAlignment="1">
      <alignment horizontal="center" vertical="center"/>
    </xf>
    <xf numFmtId="0" fontId="0" fillId="15" borderId="40" xfId="0" applyFill="1" applyBorder="1" applyAlignment="1">
      <alignment horizontal="center" vertical="center"/>
    </xf>
    <xf numFmtId="0" fontId="0" fillId="15" borderId="6" xfId="0" applyFill="1" applyBorder="1" applyAlignment="1">
      <alignment horizontal="center" vertical="center"/>
    </xf>
    <xf numFmtId="0" fontId="18" fillId="15" borderId="9" xfId="0" applyFont="1" applyFill="1" applyBorder="1" applyAlignment="1">
      <alignment horizontal="center" vertical="center" wrapText="1"/>
    </xf>
    <xf numFmtId="0" fontId="18" fillId="15" borderId="12" xfId="0" applyFont="1" applyFill="1" applyBorder="1" applyAlignment="1">
      <alignment horizontal="center" vertical="center"/>
    </xf>
    <xf numFmtId="0" fontId="21" fillId="15" borderId="9" xfId="0" applyFont="1" applyFill="1" applyBorder="1" applyAlignment="1">
      <alignment horizontal="center" vertical="center" wrapText="1"/>
    </xf>
    <xf numFmtId="0" fontId="21" fillId="15" borderId="12" xfId="0" applyFont="1" applyFill="1" applyBorder="1" applyAlignment="1">
      <alignment horizontal="center" vertical="center"/>
    </xf>
    <xf numFmtId="0" fontId="0" fillId="15" borderId="7" xfId="0" applyFill="1" applyBorder="1" applyAlignment="1">
      <alignment horizontal="center" vertical="center"/>
    </xf>
    <xf numFmtId="0" fontId="0" fillId="15" borderId="6" xfId="0" applyFill="1" applyBorder="1" applyAlignment="1">
      <alignment horizontal="center" vertical="center" wrapText="1"/>
    </xf>
    <xf numFmtId="0" fontId="0" fillId="15" borderId="4" xfId="0" applyFill="1" applyBorder="1" applyAlignment="1">
      <alignment horizontal="center" vertical="center"/>
    </xf>
    <xf numFmtId="0" fontId="0" fillId="15" borderId="11" xfId="0" applyFill="1" applyBorder="1" applyAlignment="1">
      <alignment horizontal="center" vertical="center"/>
    </xf>
    <xf numFmtId="0" fontId="0" fillId="15" borderId="7" xfId="0" applyFill="1" applyBorder="1" applyAlignment="1">
      <alignment horizontal="center" vertical="center" wrapText="1"/>
    </xf>
    <xf numFmtId="0" fontId="0" fillId="15" borderId="8" xfId="0" applyFill="1" applyBorder="1" applyAlignment="1">
      <alignment horizontal="center" vertical="center" wrapText="1"/>
    </xf>
    <xf numFmtId="0" fontId="0" fillId="15" borderId="11" xfId="0" applyFill="1" applyBorder="1" applyAlignment="1">
      <alignment horizontal="center" vertical="center" wrapText="1"/>
    </xf>
    <xf numFmtId="0" fontId="0" fillId="15" borderId="5" xfId="0" applyFill="1" applyBorder="1" applyAlignment="1">
      <alignment horizontal="center" vertical="center" wrapText="1"/>
    </xf>
    <xf numFmtId="0" fontId="4" fillId="15" borderId="9" xfId="0" applyFont="1" applyFill="1" applyBorder="1" applyAlignment="1">
      <alignment horizontal="center" vertical="center" wrapText="1"/>
    </xf>
    <xf numFmtId="0" fontId="4" fillId="15" borderId="12" xfId="0" applyFont="1" applyFill="1" applyBorder="1" applyAlignment="1">
      <alignment horizontal="center" vertical="center" wrapText="1"/>
    </xf>
    <xf numFmtId="0" fontId="25" fillId="0" borderId="31" xfId="0" applyFont="1" applyBorder="1" applyAlignment="1">
      <alignment horizontal="center" vertical="center"/>
    </xf>
    <xf numFmtId="0" fontId="0" fillId="15" borderId="3" xfId="0" applyFill="1" applyBorder="1" applyAlignment="1">
      <alignment horizontal="center" vertical="center"/>
    </xf>
    <xf numFmtId="0" fontId="0" fillId="15" borderId="1" xfId="0" applyFont="1" applyFill="1" applyBorder="1" applyAlignment="1">
      <alignment horizontal="center" vertical="center"/>
    </xf>
    <xf numFmtId="0" fontId="0" fillId="15" borderId="1" xfId="0" applyFont="1" applyFill="1" applyBorder="1" applyAlignment="1">
      <alignment horizontal="center" vertical="center"/>
    </xf>
    <xf numFmtId="0" fontId="0" fillId="15" borderId="2" xfId="0" applyFont="1" applyFill="1" applyBorder="1" applyAlignment="1">
      <alignment horizontal="center" vertical="center"/>
    </xf>
    <xf numFmtId="0" fontId="0" fillId="15" borderId="14" xfId="0" applyFont="1" applyFill="1" applyBorder="1" applyAlignment="1">
      <alignment horizontal="center" vertical="center"/>
    </xf>
    <xf numFmtId="0" fontId="4" fillId="15" borderId="41" xfId="0" applyFont="1" applyFill="1" applyBorder="1" applyAlignment="1">
      <alignment horizontal="center" vertical="center"/>
    </xf>
    <xf numFmtId="0" fontId="4" fillId="15" borderId="42" xfId="0" applyFont="1" applyFill="1" applyBorder="1" applyAlignment="1">
      <alignment horizontal="center" vertical="center" wrapText="1"/>
    </xf>
    <xf numFmtId="0" fontId="4" fillId="15" borderId="43" xfId="0" applyFont="1" applyFill="1" applyBorder="1" applyAlignment="1">
      <alignment horizontal="center" vertical="center"/>
    </xf>
    <xf numFmtId="0" fontId="4" fillId="15" borderId="44" xfId="0" applyFont="1" applyFill="1" applyBorder="1" applyAlignment="1">
      <alignment horizontal="center" vertical="center"/>
    </xf>
    <xf numFmtId="0" fontId="4" fillId="15" borderId="45" xfId="0" applyFont="1" applyFill="1" applyBorder="1" applyAlignment="1">
      <alignment horizontal="center" vertical="center" wrapText="1"/>
    </xf>
    <xf numFmtId="0" fontId="23" fillId="0" borderId="11" xfId="0" quotePrefix="1" applyFont="1" applyBorder="1" applyAlignment="1">
      <alignment horizontal="center" vertical="center"/>
    </xf>
  </cellXfs>
  <cellStyles count="3">
    <cellStyle name="Normal" xfId="0" builtinId="0"/>
    <cellStyle name="Normal 3" xfId="1" xr:uid="{2C3098F3-8A20-4715-96DD-DE32E85E88A3}"/>
    <cellStyle name="Porcentaje" xfId="2" builtinId="5"/>
  </cellStyles>
  <dxfs count="7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FFF00"/>
        </patternFill>
      </fill>
    </dxf>
    <dxf>
      <font>
        <color rgb="FFFF0000"/>
      </font>
    </dxf>
    <dxf>
      <font>
        <color rgb="FF0070C0"/>
      </font>
    </dxf>
    <dxf>
      <font>
        <color rgb="FFFF0000"/>
      </font>
    </dxf>
  </dxfs>
  <tableStyles count="0" defaultTableStyle="TableStyleMedium2" defaultPivotStyle="PivotStyleLight16"/>
  <colors>
    <mruColors>
      <color rgb="FFFFC85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3.-%20BT%20ALEJANDRO\5.%20PERFORMANCE%20ALEJANDRO\PERFOMANCE%20-%20Consumo%20de%20Combustibl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A DE CONSUMO CONTRATO"/>
      <sheetName val="CONSUMOS IFO"/>
      <sheetName val="CONSUMOS MGO"/>
      <sheetName val="Hoja1"/>
      <sheetName val="PERFOMANCE 2017"/>
      <sheetName val="PERFOMANCE"/>
      <sheetName val="ABASTECIMIENTO"/>
      <sheetName val="Hoja3"/>
    </sheetNames>
    <sheetDataSet>
      <sheetData sheetId="0"/>
      <sheetData sheetId="1">
        <row r="12">
          <cell r="I12">
            <v>0</v>
          </cell>
          <cell r="J12">
            <v>14.375000000003638</v>
          </cell>
          <cell r="K12">
            <v>6.2937499999861757</v>
          </cell>
          <cell r="L12">
            <v>10.228125000008731</v>
          </cell>
          <cell r="O12">
            <v>76.666666666686069</v>
          </cell>
          <cell r="P12">
            <v>33.566666666592937</v>
          </cell>
          <cell r="Q12">
            <v>54.550000000046566</v>
          </cell>
        </row>
        <row r="26">
          <cell r="I26">
            <v>135.47083333330374</v>
          </cell>
          <cell r="J26">
            <v>20.056250000023283</v>
          </cell>
          <cell r="K26">
            <v>15.840624999967986</v>
          </cell>
          <cell r="L26">
            <v>35.140625000014552</v>
          </cell>
          <cell r="N26">
            <v>106.59999999997672</v>
          </cell>
          <cell r="O26">
            <v>106.96666666679084</v>
          </cell>
          <cell r="P26">
            <v>84.483333333162591</v>
          </cell>
          <cell r="Q26">
            <v>187.41666666674428</v>
          </cell>
        </row>
      </sheetData>
      <sheetData sheetId="2">
        <row r="12">
          <cell r="I12">
            <v>0</v>
          </cell>
          <cell r="J12">
            <v>0</v>
          </cell>
          <cell r="K12">
            <v>8.3916666666482342</v>
          </cell>
          <cell r="L12">
            <v>0</v>
          </cell>
        </row>
        <row r="26">
          <cell r="I26">
            <v>0</v>
          </cell>
          <cell r="J26">
            <v>0</v>
          </cell>
          <cell r="K26">
            <v>21.120833333290648</v>
          </cell>
        </row>
      </sheetData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D5D94F-DC47-4CAF-BC6E-9E89BF72BA54}">
  <dimension ref="B3:V12"/>
  <sheetViews>
    <sheetView zoomScale="82" zoomScaleNormal="82" workbookViewId="0">
      <selection activeCell="J16" sqref="J16"/>
    </sheetView>
  </sheetViews>
  <sheetFormatPr baseColWidth="10" defaultRowHeight="15" x14ac:dyDescent="0.25"/>
  <cols>
    <col min="1" max="1" width="5.7109375" style="1" customWidth="1"/>
    <col min="2" max="2" width="14.85546875" style="1" customWidth="1"/>
    <col min="3" max="3" width="17.140625" style="1" customWidth="1"/>
    <col min="4" max="5" width="15.85546875" style="1" customWidth="1"/>
    <col min="6" max="6" width="14.42578125" style="1" customWidth="1"/>
    <col min="7" max="7" width="12.85546875" style="1" bestFit="1" customWidth="1"/>
    <col min="8" max="9" width="11.5703125" style="1" bestFit="1" customWidth="1"/>
    <col min="10" max="10" width="13.7109375" style="1" customWidth="1"/>
    <col min="11" max="11" width="12.85546875" style="1" bestFit="1" customWidth="1"/>
    <col min="12" max="13" width="11.5703125" style="1" bestFit="1" customWidth="1"/>
    <col min="14" max="14" width="13" style="1" customWidth="1"/>
    <col min="15" max="15" width="16" style="1" customWidth="1"/>
    <col min="16" max="16" width="16.140625" style="1" customWidth="1"/>
    <col min="17" max="17" width="15" style="1" customWidth="1"/>
    <col min="18" max="18" width="18" style="1" customWidth="1"/>
    <col min="19" max="19" width="11.5703125" style="1" bestFit="1" customWidth="1"/>
    <col min="20" max="20" width="18" style="1" customWidth="1"/>
    <col min="21" max="21" width="11.5703125" style="1" customWidth="1"/>
    <col min="22" max="22" width="26" style="1" customWidth="1"/>
    <col min="23" max="23" width="11.42578125" style="1"/>
    <col min="24" max="24" width="10.28515625" style="1" customWidth="1"/>
    <col min="25" max="25" width="12.85546875" style="1" customWidth="1"/>
    <col min="26" max="26" width="8.5703125" style="1" customWidth="1"/>
    <col min="27" max="27" width="12.28515625" style="1" customWidth="1"/>
    <col min="28" max="16384" width="11.42578125" style="1"/>
  </cols>
  <sheetData>
    <row r="3" spans="2:22" ht="15.75" thickBot="1" x14ac:dyDescent="0.3"/>
    <row r="4" spans="2:22" ht="35.25" customHeight="1" thickBot="1" x14ac:dyDescent="0.3">
      <c r="B4" s="152" t="s">
        <v>35</v>
      </c>
      <c r="C4" s="153"/>
      <c r="D4" s="153"/>
      <c r="E4" s="153"/>
      <c r="F4" s="153"/>
      <c r="G4" s="153"/>
      <c r="H4" s="153"/>
      <c r="I4" s="153"/>
      <c r="J4" s="153"/>
      <c r="K4" s="153"/>
      <c r="L4" s="153"/>
      <c r="M4" s="153"/>
      <c r="N4" s="153"/>
      <c r="O4" s="153"/>
      <c r="P4" s="153"/>
      <c r="Q4" s="153"/>
      <c r="R4" s="153"/>
      <c r="S4" s="153"/>
      <c r="T4" s="153"/>
      <c r="U4" s="153"/>
      <c r="V4" s="154"/>
    </row>
    <row r="5" spans="2:22" ht="20.25" customHeight="1" thickBot="1" x14ac:dyDescent="0.3">
      <c r="B5" s="193" t="s">
        <v>0</v>
      </c>
      <c r="C5" s="198" t="s">
        <v>1</v>
      </c>
      <c r="D5" s="199" t="s">
        <v>34</v>
      </c>
      <c r="E5" s="199" t="s">
        <v>33</v>
      </c>
      <c r="F5" s="193" t="s">
        <v>2</v>
      </c>
      <c r="G5" s="49" t="s">
        <v>8</v>
      </c>
      <c r="H5" s="50"/>
      <c r="I5" s="50"/>
      <c r="J5" s="51"/>
      <c r="K5" s="46" t="s">
        <v>7</v>
      </c>
      <c r="L5" s="47"/>
      <c r="M5" s="47"/>
      <c r="N5" s="48"/>
      <c r="O5" s="202" t="s">
        <v>3</v>
      </c>
      <c r="P5" s="203" t="s">
        <v>4</v>
      </c>
      <c r="Q5" s="44" t="s">
        <v>5</v>
      </c>
      <c r="R5" s="202" t="s">
        <v>9</v>
      </c>
      <c r="S5" s="202" t="s">
        <v>10</v>
      </c>
      <c r="T5" s="202" t="s">
        <v>11</v>
      </c>
      <c r="U5" s="202" t="s">
        <v>12</v>
      </c>
      <c r="V5" s="206" t="s">
        <v>6</v>
      </c>
    </row>
    <row r="6" spans="2:22" ht="38.25" customHeight="1" thickBot="1" x14ac:dyDescent="0.3">
      <c r="B6" s="200"/>
      <c r="C6" s="201"/>
      <c r="D6" s="200"/>
      <c r="E6" s="200"/>
      <c r="F6" s="200"/>
      <c r="G6" s="4" t="s">
        <v>13</v>
      </c>
      <c r="H6" s="4" t="s">
        <v>14</v>
      </c>
      <c r="I6" s="5" t="s">
        <v>15</v>
      </c>
      <c r="J6" s="5" t="s">
        <v>16</v>
      </c>
      <c r="K6" s="2" t="s">
        <v>13</v>
      </c>
      <c r="L6" s="2" t="s">
        <v>14</v>
      </c>
      <c r="M6" s="3" t="s">
        <v>15</v>
      </c>
      <c r="N6" s="3" t="s">
        <v>16</v>
      </c>
      <c r="O6" s="204"/>
      <c r="P6" s="205"/>
      <c r="Q6" s="45"/>
      <c r="R6" s="204"/>
      <c r="S6" s="204"/>
      <c r="T6" s="204"/>
      <c r="U6" s="204"/>
      <c r="V6" s="207"/>
    </row>
    <row r="7" spans="2:22" ht="19.5" customHeight="1" x14ac:dyDescent="0.25">
      <c r="B7" s="6" t="s">
        <v>17</v>
      </c>
      <c r="C7" s="7" t="s">
        <v>18</v>
      </c>
      <c r="D7" s="7" t="s">
        <v>19</v>
      </c>
      <c r="E7" s="7" t="s">
        <v>20</v>
      </c>
      <c r="F7" s="8" t="s">
        <v>21</v>
      </c>
      <c r="G7" s="15">
        <v>43185</v>
      </c>
      <c r="H7" s="13">
        <v>0.20833333333333334</v>
      </c>
      <c r="I7" s="14">
        <v>341.1</v>
      </c>
      <c r="J7" s="14">
        <v>68.400000000000006</v>
      </c>
      <c r="K7" s="12">
        <v>43184</v>
      </c>
      <c r="L7" s="13">
        <v>0.16666666666666666</v>
      </c>
      <c r="M7" s="14">
        <v>354.6</v>
      </c>
      <c r="N7" s="14">
        <v>68.900000000000006</v>
      </c>
      <c r="O7" s="9">
        <v>253.3</v>
      </c>
      <c r="P7" s="9">
        <v>25</v>
      </c>
      <c r="Q7" s="10">
        <f>O7/P7</f>
        <v>10.132</v>
      </c>
      <c r="R7" s="16">
        <f>M7-I7</f>
        <v>13.5</v>
      </c>
      <c r="S7" s="26">
        <f>(R7/P7)*24</f>
        <v>12.96</v>
      </c>
      <c r="T7" s="32">
        <f>N7-J7</f>
        <v>0.5</v>
      </c>
      <c r="U7" s="17">
        <f>(T7/P7)*24</f>
        <v>0.48</v>
      </c>
      <c r="V7" s="11" t="s">
        <v>22</v>
      </c>
    </row>
    <row r="8" spans="2:22" ht="19.5" customHeight="1" x14ac:dyDescent="0.25">
      <c r="B8" s="39" t="s">
        <v>23</v>
      </c>
      <c r="C8" s="41" t="s">
        <v>24</v>
      </c>
      <c r="D8" s="18" t="str">
        <f>E7</f>
        <v>SINGAPORE</v>
      </c>
      <c r="E8" s="18" t="s">
        <v>25</v>
      </c>
      <c r="F8" s="19" t="s">
        <v>26</v>
      </c>
      <c r="G8" s="25">
        <v>43187</v>
      </c>
      <c r="H8" s="23">
        <v>0.58333333333333337</v>
      </c>
      <c r="I8" s="24">
        <v>333.2</v>
      </c>
      <c r="J8" s="24">
        <v>59.6</v>
      </c>
      <c r="K8" s="22">
        <v>43186</v>
      </c>
      <c r="L8" s="23">
        <v>0.6875</v>
      </c>
      <c r="M8" s="24">
        <v>341.1</v>
      </c>
      <c r="N8" s="24">
        <v>61.4</v>
      </c>
      <c r="O8" s="20">
        <v>241</v>
      </c>
      <c r="P8" s="20">
        <v>22.5</v>
      </c>
      <c r="Q8" s="21">
        <f t="shared" ref="Q8:Q11" si="0">O8/P8</f>
        <v>10.71111111111111</v>
      </c>
      <c r="R8" s="20">
        <f>M8-I8</f>
        <v>7.9000000000000341</v>
      </c>
      <c r="S8" s="34">
        <f>(R8/P8)*24</f>
        <v>8.4266666666667032</v>
      </c>
      <c r="T8" s="33">
        <f>N8-J8</f>
        <v>1.7999999999999972</v>
      </c>
      <c r="U8" s="26">
        <f>(T8/P8)*24</f>
        <v>1.919999999999997</v>
      </c>
      <c r="V8" s="42" t="s">
        <v>22</v>
      </c>
    </row>
    <row r="9" spans="2:22" ht="19.5" customHeight="1" x14ac:dyDescent="0.25">
      <c r="B9" s="40"/>
      <c r="C9" s="41"/>
      <c r="D9" s="18" t="str">
        <f t="shared" ref="D9:D11" si="1">E8</f>
        <v>PALEMBANG</v>
      </c>
      <c r="E9" s="18" t="s">
        <v>27</v>
      </c>
      <c r="F9" s="27" t="s">
        <v>21</v>
      </c>
      <c r="G9" s="25">
        <v>43192</v>
      </c>
      <c r="H9" s="23">
        <v>0.52083333333333337</v>
      </c>
      <c r="I9" s="24">
        <v>293.5</v>
      </c>
      <c r="J9" s="24">
        <v>53.4</v>
      </c>
      <c r="K9" s="22">
        <v>43189</v>
      </c>
      <c r="L9" s="23">
        <v>0.41666666666666669</v>
      </c>
      <c r="M9" s="24">
        <v>327</v>
      </c>
      <c r="N9" s="24">
        <v>54.4</v>
      </c>
      <c r="O9" s="20">
        <v>769</v>
      </c>
      <c r="P9" s="20">
        <v>74.5</v>
      </c>
      <c r="Q9" s="21">
        <f t="shared" si="0"/>
        <v>10.322147651006711</v>
      </c>
      <c r="R9" s="20">
        <f>M9-I9</f>
        <v>33.5</v>
      </c>
      <c r="S9" s="34">
        <f>(R9/P9)*24</f>
        <v>10.791946308724832</v>
      </c>
      <c r="T9" s="33">
        <f>N9-J9</f>
        <v>1</v>
      </c>
      <c r="U9" s="26">
        <f t="shared" ref="U9:U11" si="2">(T9/P9)*24</f>
        <v>0.32214765100671139</v>
      </c>
      <c r="V9" s="43"/>
    </row>
    <row r="10" spans="2:22" ht="19.5" customHeight="1" x14ac:dyDescent="0.25">
      <c r="B10" s="39" t="s">
        <v>28</v>
      </c>
      <c r="C10" s="41" t="s">
        <v>29</v>
      </c>
      <c r="D10" s="18" t="str">
        <f t="shared" si="1"/>
        <v>VUNG TAU</v>
      </c>
      <c r="E10" s="18" t="s">
        <v>25</v>
      </c>
      <c r="F10" s="19" t="s">
        <v>26</v>
      </c>
      <c r="G10" s="25">
        <v>43198</v>
      </c>
      <c r="H10" s="23">
        <v>0.58333333333333337</v>
      </c>
      <c r="I10" s="24">
        <v>261.7</v>
      </c>
      <c r="J10" s="24">
        <v>41.1</v>
      </c>
      <c r="K10" s="22">
        <v>43195</v>
      </c>
      <c r="L10" s="23">
        <v>0.52083333333333337</v>
      </c>
      <c r="M10" s="24">
        <v>291.5</v>
      </c>
      <c r="N10" s="24">
        <v>42.1</v>
      </c>
      <c r="O10" s="20">
        <v>769</v>
      </c>
      <c r="P10" s="20">
        <v>73.5</v>
      </c>
      <c r="Q10" s="21">
        <f t="shared" si="0"/>
        <v>10.462585034013605</v>
      </c>
      <c r="R10" s="20">
        <f>M10-I10</f>
        <v>29.800000000000011</v>
      </c>
      <c r="S10" s="34">
        <f t="shared" ref="S10:S11" si="3">(R10/P10)*24</f>
        <v>9.7306122448979622</v>
      </c>
      <c r="T10" s="33">
        <f>N10-J10</f>
        <v>1</v>
      </c>
      <c r="U10" s="26">
        <f t="shared" si="2"/>
        <v>0.32653061224489793</v>
      </c>
      <c r="V10" s="42" t="s">
        <v>22</v>
      </c>
    </row>
    <row r="11" spans="2:22" ht="19.5" customHeight="1" x14ac:dyDescent="0.25">
      <c r="B11" s="40"/>
      <c r="C11" s="41"/>
      <c r="D11" s="18" t="str">
        <f t="shared" si="1"/>
        <v>PALEMBANG</v>
      </c>
      <c r="E11" s="18" t="s">
        <v>30</v>
      </c>
      <c r="F11" s="27" t="s">
        <v>21</v>
      </c>
      <c r="G11" s="25">
        <v>43206</v>
      </c>
      <c r="H11" s="23">
        <v>4.1666666666666664E-2</v>
      </c>
      <c r="I11" s="24">
        <v>197.9</v>
      </c>
      <c r="J11" s="24">
        <v>35</v>
      </c>
      <c r="K11" s="22">
        <v>43200</v>
      </c>
      <c r="L11" s="23">
        <v>0.25</v>
      </c>
      <c r="M11" s="24">
        <v>257.8</v>
      </c>
      <c r="N11" s="24">
        <v>36.700000000000003</v>
      </c>
      <c r="O11" s="20">
        <v>1450</v>
      </c>
      <c r="P11" s="20">
        <v>139</v>
      </c>
      <c r="Q11" s="21">
        <f t="shared" si="0"/>
        <v>10.431654676258994</v>
      </c>
      <c r="R11" s="20">
        <f>M11-I11</f>
        <v>59.900000000000006</v>
      </c>
      <c r="S11" s="34">
        <f t="shared" si="3"/>
        <v>10.342446043165468</v>
      </c>
      <c r="T11" s="33">
        <f>N11-J11</f>
        <v>1.7000000000000028</v>
      </c>
      <c r="U11" s="26">
        <f t="shared" si="2"/>
        <v>0.29352517985611559</v>
      </c>
      <c r="V11" s="43"/>
    </row>
    <row r="12" spans="2:22" ht="15.75" customHeight="1" x14ac:dyDescent="0.25">
      <c r="Q12" s="31"/>
    </row>
  </sheetData>
  <mergeCells count="22">
    <mergeCell ref="B4:V4"/>
    <mergeCell ref="V5:V6"/>
    <mergeCell ref="K5:N5"/>
    <mergeCell ref="G5:J5"/>
    <mergeCell ref="B5:B6"/>
    <mergeCell ref="C5:C6"/>
    <mergeCell ref="D5:D6"/>
    <mergeCell ref="E5:E6"/>
    <mergeCell ref="F5:F6"/>
    <mergeCell ref="O5:O6"/>
    <mergeCell ref="P5:P6"/>
    <mergeCell ref="R5:R6"/>
    <mergeCell ref="S5:S6"/>
    <mergeCell ref="T5:T6"/>
    <mergeCell ref="U5:U6"/>
    <mergeCell ref="Q5:Q6"/>
    <mergeCell ref="V8:V9"/>
    <mergeCell ref="B10:B11"/>
    <mergeCell ref="C10:C11"/>
    <mergeCell ref="V10:V11"/>
    <mergeCell ref="B8:B9"/>
    <mergeCell ref="C8:C9"/>
  </mergeCells>
  <conditionalFormatting sqref="Q7:U11">
    <cfRule type="cellIs" dxfId="6" priority="3" operator="lessThan">
      <formula>12.5</formula>
    </cfRule>
  </conditionalFormatting>
  <conditionalFormatting sqref="F7:N11">
    <cfRule type="containsText" dxfId="5" priority="1" operator="containsText" text="IN BALLAST">
      <formula>NOT(ISERROR(SEARCH("IN BALLAST",F7)))</formula>
    </cfRule>
    <cfRule type="containsText" dxfId="4" priority="2" operator="containsText" text="LADEN">
      <formula>NOT(ISERROR(SEARCH("LADEN",F7)))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F1512-A3BA-43CF-9DD6-F17353504BFB}">
  <dimension ref="B1:N18"/>
  <sheetViews>
    <sheetView tabSelected="1" workbookViewId="0">
      <selection activeCell="H22" sqref="H22"/>
    </sheetView>
  </sheetViews>
  <sheetFormatPr baseColWidth="10" defaultRowHeight="15" x14ac:dyDescent="0.25"/>
  <cols>
    <col min="1" max="1" width="5.7109375" customWidth="1"/>
    <col min="2" max="2" width="15.140625" customWidth="1"/>
    <col min="6" max="6" width="19.5703125" customWidth="1"/>
    <col min="9" max="9" width="24.7109375" customWidth="1"/>
  </cols>
  <sheetData>
    <row r="1" spans="2:14" ht="15.75" thickBot="1" x14ac:dyDescent="0.3"/>
    <row r="2" spans="2:14" ht="16.5" customHeight="1" thickBot="1" x14ac:dyDescent="0.3">
      <c r="B2" s="162" t="s">
        <v>36</v>
      </c>
      <c r="C2" s="163"/>
      <c r="D2" s="164" t="s">
        <v>37</v>
      </c>
      <c r="E2" s="165"/>
      <c r="F2" s="166" t="s">
        <v>38</v>
      </c>
      <c r="H2" s="171" t="s">
        <v>91</v>
      </c>
      <c r="I2" s="172"/>
      <c r="J2" s="172"/>
      <c r="K2" s="194" t="s">
        <v>94</v>
      </c>
      <c r="N2" t="s">
        <v>96</v>
      </c>
    </row>
    <row r="3" spans="2:14" ht="16.5" thickBot="1" x14ac:dyDescent="0.3">
      <c r="B3" s="167"/>
      <c r="C3" s="168"/>
      <c r="D3" s="169" t="s">
        <v>39</v>
      </c>
      <c r="E3" s="169" t="s">
        <v>40</v>
      </c>
      <c r="F3" s="170"/>
      <c r="H3" s="173"/>
      <c r="I3" s="174"/>
      <c r="J3" s="174"/>
      <c r="K3" s="195"/>
      <c r="N3" t="s">
        <v>99</v>
      </c>
    </row>
    <row r="4" spans="2:14" ht="15.75" thickBot="1" x14ac:dyDescent="0.3">
      <c r="B4" s="157" t="s">
        <v>41</v>
      </c>
      <c r="C4" s="158" t="s">
        <v>42</v>
      </c>
      <c r="D4" s="61">
        <v>4.5</v>
      </c>
      <c r="E4" s="62">
        <f>D4/24</f>
        <v>0.1875</v>
      </c>
      <c r="F4" s="63" t="s">
        <v>43</v>
      </c>
      <c r="H4" s="35" t="s">
        <v>31</v>
      </c>
      <c r="I4" s="36"/>
      <c r="J4" s="7">
        <v>11</v>
      </c>
      <c r="K4" s="28" t="s">
        <v>93</v>
      </c>
      <c r="N4" t="s">
        <v>97</v>
      </c>
    </row>
    <row r="5" spans="2:14" ht="15.75" thickBot="1" x14ac:dyDescent="0.3">
      <c r="B5" s="157" t="s">
        <v>45</v>
      </c>
      <c r="C5" s="159" t="s">
        <v>42</v>
      </c>
      <c r="D5" s="64">
        <v>4.5</v>
      </c>
      <c r="E5" s="65">
        <f>D5/24</f>
        <v>0.1875</v>
      </c>
      <c r="F5" s="63"/>
      <c r="H5" s="37" t="s">
        <v>32</v>
      </c>
      <c r="I5" s="38"/>
      <c r="J5" s="29">
        <v>13</v>
      </c>
      <c r="K5" s="30" t="s">
        <v>93</v>
      </c>
      <c r="N5" t="s">
        <v>98</v>
      </c>
    </row>
    <row r="6" spans="2:14" ht="15.75" customHeight="1" thickBot="1" x14ac:dyDescent="0.3">
      <c r="B6" s="157" t="s">
        <v>46</v>
      </c>
      <c r="C6" s="160" t="s">
        <v>42</v>
      </c>
      <c r="D6" s="155">
        <v>4.5</v>
      </c>
      <c r="E6" s="62">
        <f>D6/24</f>
        <v>0.1875</v>
      </c>
      <c r="F6" s="156"/>
      <c r="H6" s="171" t="s">
        <v>91</v>
      </c>
      <c r="I6" s="172"/>
      <c r="J6" s="172"/>
      <c r="K6" s="196" t="s">
        <v>92</v>
      </c>
    </row>
    <row r="7" spans="2:14" ht="15.75" thickBot="1" x14ac:dyDescent="0.3">
      <c r="H7" s="173"/>
      <c r="I7" s="174"/>
      <c r="J7" s="174"/>
      <c r="K7" s="197"/>
    </row>
    <row r="8" spans="2:14" x14ac:dyDescent="0.25">
      <c r="H8" s="35" t="s">
        <v>31</v>
      </c>
      <c r="I8" s="36"/>
      <c r="J8" s="7">
        <v>0</v>
      </c>
      <c r="K8" s="176" t="s">
        <v>93</v>
      </c>
    </row>
    <row r="9" spans="2:14" ht="15.75" thickBot="1" x14ac:dyDescent="0.3">
      <c r="H9" s="37" t="s">
        <v>32</v>
      </c>
      <c r="I9" s="38"/>
      <c r="J9" s="29">
        <v>0</v>
      </c>
      <c r="K9" s="175" t="s">
        <v>93</v>
      </c>
    </row>
    <row r="10" spans="2:14" ht="16.5" thickBot="1" x14ac:dyDescent="0.3">
      <c r="B10" s="52" t="s">
        <v>36</v>
      </c>
      <c r="C10" s="53"/>
      <c r="D10" s="54" t="s">
        <v>37</v>
      </c>
      <c r="E10" s="55"/>
      <c r="F10" s="56" t="s">
        <v>38</v>
      </c>
    </row>
    <row r="11" spans="2:14" ht="16.5" thickBot="1" x14ac:dyDescent="0.3">
      <c r="B11" s="57"/>
      <c r="C11" s="58"/>
      <c r="D11" s="59" t="s">
        <v>39</v>
      </c>
      <c r="E11" s="59" t="s">
        <v>40</v>
      </c>
      <c r="F11" s="60"/>
    </row>
    <row r="12" spans="2:14" ht="15.75" thickBot="1" x14ac:dyDescent="0.3">
      <c r="B12" s="157" t="s">
        <v>46</v>
      </c>
      <c r="C12" s="161" t="s">
        <v>47</v>
      </c>
      <c r="D12" s="61">
        <v>6</v>
      </c>
      <c r="E12" s="62">
        <f>D12/24</f>
        <v>0.25</v>
      </c>
      <c r="F12" s="63"/>
    </row>
    <row r="17" spans="2:5" x14ac:dyDescent="0.25">
      <c r="B17" s="178" t="s">
        <v>90</v>
      </c>
      <c r="C17" s="177" t="s">
        <v>89</v>
      </c>
      <c r="D17" s="177"/>
      <c r="E17" s="178" t="s">
        <v>90</v>
      </c>
    </row>
    <row r="18" spans="2:5" x14ac:dyDescent="0.25">
      <c r="B18" s="178"/>
      <c r="C18" s="177"/>
      <c r="D18" s="177"/>
      <c r="E18" s="178"/>
    </row>
  </sheetData>
  <mergeCells count="17">
    <mergeCell ref="K6:K7"/>
    <mergeCell ref="C17:D18"/>
    <mergeCell ref="B17:B18"/>
    <mergeCell ref="E17:E18"/>
    <mergeCell ref="H8:I8"/>
    <mergeCell ref="H9:I9"/>
    <mergeCell ref="H5:I5"/>
    <mergeCell ref="H4:I4"/>
    <mergeCell ref="H2:J3"/>
    <mergeCell ref="K2:K3"/>
    <mergeCell ref="H6:J7"/>
    <mergeCell ref="B2:C3"/>
    <mergeCell ref="D2:E2"/>
    <mergeCell ref="F2:F3"/>
    <mergeCell ref="B10:C11"/>
    <mergeCell ref="D10:E10"/>
    <mergeCell ref="F10:F11"/>
  </mergeCells>
  <conditionalFormatting sqref="B12 B4:B6">
    <cfRule type="containsText" dxfId="3" priority="3" operator="containsText" text="Fondeado">
      <formula>NOT(ISERROR(SEARCH("Fondeado",B4)))</formula>
    </cfRule>
  </conditionalFormatting>
  <conditionalFormatting sqref="C12">
    <cfRule type="containsText" dxfId="2" priority="2" operator="containsText" text="Navegando">
      <formula>NOT(ISERROR(SEARCH("Navegando",C12)))</formula>
    </cfRule>
  </conditionalFormatting>
  <conditionalFormatting sqref="C4">
    <cfRule type="containsText" dxfId="1" priority="5" operator="containsText" text="Navegando">
      <formula>NOT(ISERROR(SEARCH("Navegando",C4)))</formula>
    </cfRule>
  </conditionalFormatting>
  <conditionalFormatting sqref="C5">
    <cfRule type="containsText" dxfId="0" priority="4" operator="containsText" text="Cargando">
      <formula>NOT(ISERROR(SEARCH("Cargando",C5)))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843A2-352A-418D-AE4A-E40B0A0B9582}">
  <dimension ref="A1:U73"/>
  <sheetViews>
    <sheetView zoomScale="106" zoomScaleNormal="106" workbookViewId="0">
      <selection activeCell="H11" sqref="H11"/>
    </sheetView>
  </sheetViews>
  <sheetFormatPr baseColWidth="10" defaultRowHeight="15" x14ac:dyDescent="0.25"/>
  <cols>
    <col min="1" max="1" width="14.85546875" style="1" customWidth="1"/>
    <col min="2" max="2" width="23.140625" style="1" customWidth="1"/>
    <col min="3" max="3" width="11.28515625" style="1" customWidth="1"/>
    <col min="4" max="4" width="10.5703125" style="1" customWidth="1"/>
    <col min="5" max="5" width="12.7109375" style="1" customWidth="1"/>
    <col min="6" max="6" width="10.7109375" style="1" customWidth="1"/>
    <col min="7" max="7" width="20.140625" style="1" customWidth="1"/>
    <col min="8" max="8" width="15" style="1" customWidth="1"/>
    <col min="9" max="9" width="14.28515625" style="1" customWidth="1"/>
    <col min="10" max="10" width="17.28515625" style="1" customWidth="1"/>
    <col min="11" max="11" width="10.140625" style="1" customWidth="1"/>
    <col min="12" max="12" width="26.28515625" style="1" customWidth="1"/>
    <col min="13" max="13" width="10.7109375" style="1" customWidth="1"/>
    <col min="14" max="14" width="10.85546875" style="1" customWidth="1"/>
    <col min="15" max="15" width="15.42578125" style="1" customWidth="1"/>
    <col min="16" max="16" width="14.140625" style="1" customWidth="1"/>
    <col min="17" max="17" width="22.42578125" style="1" customWidth="1"/>
    <col min="18" max="18" width="12.42578125" style="1" customWidth="1"/>
    <col min="19" max="19" width="11.28515625" style="1" customWidth="1"/>
    <col min="20" max="20" width="17.5703125" style="1" customWidth="1"/>
    <col min="21" max="21" width="21" style="1" customWidth="1"/>
    <col min="22" max="22" width="16.42578125" style="1" customWidth="1"/>
    <col min="23" max="23" width="13.5703125" style="1" customWidth="1"/>
    <col min="24" max="24" width="16.28515625" style="1" customWidth="1"/>
    <col min="25" max="25" width="13.7109375" style="1" customWidth="1"/>
    <col min="26" max="26" width="11.42578125" style="1"/>
    <col min="27" max="27" width="14" style="1" customWidth="1"/>
    <col min="28" max="29" width="11.42578125" style="1"/>
    <col min="30" max="30" width="13.85546875" style="1" customWidth="1"/>
    <col min="31" max="16384" width="11.42578125" style="1"/>
  </cols>
  <sheetData>
    <row r="1" spans="1:21" ht="29.25" thickBot="1" x14ac:dyDescent="0.3">
      <c r="A1" s="188" t="s">
        <v>95</v>
      </c>
      <c r="B1" s="188"/>
      <c r="C1" s="188"/>
      <c r="D1" s="188"/>
      <c r="E1" s="188"/>
      <c r="F1" s="188"/>
      <c r="G1" s="188"/>
      <c r="H1" s="188"/>
      <c r="I1" s="188"/>
      <c r="J1" s="188"/>
      <c r="L1" s="66" t="s">
        <v>48</v>
      </c>
      <c r="M1" s="67"/>
      <c r="N1" s="67"/>
      <c r="O1" s="67"/>
      <c r="P1" s="67"/>
      <c r="Q1" s="67"/>
      <c r="R1" s="67"/>
      <c r="S1" s="67"/>
      <c r="T1" s="68"/>
    </row>
    <row r="2" spans="1:21" ht="15.75" thickBot="1" x14ac:dyDescent="0.3">
      <c r="A2" s="189" t="s">
        <v>0</v>
      </c>
      <c r="B2" s="189" t="s">
        <v>100</v>
      </c>
      <c r="C2" s="190" t="s">
        <v>101</v>
      </c>
      <c r="D2" s="191"/>
      <c r="E2" s="190" t="s">
        <v>103</v>
      </c>
      <c r="F2" s="209"/>
      <c r="G2" s="209"/>
      <c r="H2" s="209"/>
      <c r="I2" s="209"/>
      <c r="J2" s="191"/>
      <c r="L2" s="69" t="s">
        <v>49</v>
      </c>
      <c r="M2" s="70" t="s">
        <v>50</v>
      </c>
      <c r="N2" s="71"/>
      <c r="O2" s="72" t="s">
        <v>51</v>
      </c>
      <c r="P2" s="73"/>
      <c r="Q2" s="73"/>
      <c r="R2" s="73"/>
      <c r="S2" s="73"/>
      <c r="T2" s="74"/>
    </row>
    <row r="3" spans="1:21" ht="15.75" thickBot="1" x14ac:dyDescent="0.3">
      <c r="A3" s="192"/>
      <c r="B3" s="192"/>
      <c r="C3" s="189" t="s">
        <v>102</v>
      </c>
      <c r="D3" s="189" t="s">
        <v>53</v>
      </c>
      <c r="E3" s="190" t="s">
        <v>54</v>
      </c>
      <c r="F3" s="191"/>
      <c r="G3" s="210" t="s">
        <v>55</v>
      </c>
      <c r="H3" s="211" t="s">
        <v>56</v>
      </c>
      <c r="I3" s="212"/>
      <c r="J3" s="213" t="s">
        <v>57</v>
      </c>
      <c r="L3" s="75"/>
      <c r="M3" s="76" t="s">
        <v>52</v>
      </c>
      <c r="N3" s="84" t="s">
        <v>53</v>
      </c>
      <c r="O3" s="78" t="s">
        <v>54</v>
      </c>
      <c r="P3" s="79"/>
      <c r="Q3" s="80" t="s">
        <v>55</v>
      </c>
      <c r="R3" s="81" t="s">
        <v>56</v>
      </c>
      <c r="S3" s="82"/>
      <c r="T3" s="83" t="s">
        <v>57</v>
      </c>
    </row>
    <row r="4" spans="1:21" ht="39" thickBot="1" x14ac:dyDescent="0.3">
      <c r="A4" s="192"/>
      <c r="B4" s="192"/>
      <c r="C4" s="192"/>
      <c r="D4" s="192"/>
      <c r="E4" s="214" t="s">
        <v>58</v>
      </c>
      <c r="F4" s="215" t="s">
        <v>59</v>
      </c>
      <c r="G4" s="216" t="s">
        <v>58</v>
      </c>
      <c r="H4" s="217" t="s">
        <v>58</v>
      </c>
      <c r="I4" s="218" t="s">
        <v>59</v>
      </c>
      <c r="J4" s="216" t="s">
        <v>58</v>
      </c>
      <c r="L4" s="85"/>
      <c r="M4" s="86"/>
      <c r="N4" s="94"/>
      <c r="O4" s="88" t="s">
        <v>58</v>
      </c>
      <c r="P4" s="89" t="s">
        <v>59</v>
      </c>
      <c r="Q4" s="90" t="s">
        <v>58</v>
      </c>
      <c r="R4" s="91" t="s">
        <v>58</v>
      </c>
      <c r="S4" s="92" t="s">
        <v>59</v>
      </c>
      <c r="T4" s="93" t="s">
        <v>58</v>
      </c>
    </row>
    <row r="5" spans="1:21" ht="15.75" thickBot="1" x14ac:dyDescent="0.3">
      <c r="A5" s="180" t="s">
        <v>17</v>
      </c>
      <c r="B5" s="208" t="s">
        <v>96</v>
      </c>
      <c r="C5" s="96">
        <f>'Analysis as per Daily Report'!P7</f>
        <v>25</v>
      </c>
      <c r="D5" s="97">
        <f>(C5/$C$9)</f>
        <v>0.13172916483710032</v>
      </c>
      <c r="E5" s="98">
        <f>'[1]CONSUMOS IFO'!$I$12</f>
        <v>0</v>
      </c>
      <c r="F5" s="98">
        <f>E5/C5*24</f>
        <v>0</v>
      </c>
      <c r="G5" s="99" t="e">
        <f>#REF!+#REF!+#REF!+#REF!+#REF!+#REF!</f>
        <v>#REF!</v>
      </c>
      <c r="H5" s="98">
        <f>'[1]CONSUMOS MGO'!$I$12</f>
        <v>0</v>
      </c>
      <c r="I5" s="98">
        <f>H5/C5*24</f>
        <v>0</v>
      </c>
      <c r="J5" s="100" t="e">
        <f>#REF!+#REF!+#REF!+#REF!+#REF!+#REF!</f>
        <v>#REF!</v>
      </c>
      <c r="L5" s="95" t="s">
        <v>44</v>
      </c>
      <c r="M5" s="96">
        <f>'[1]CONSUMOS IFO'!$N$26</f>
        <v>106.59999999997672</v>
      </c>
      <c r="N5" s="101">
        <f>(M5/$M$9)</f>
        <v>0.21958253227130256</v>
      </c>
      <c r="O5" s="98">
        <f>'[1]CONSUMOS IFO'!$I$26</f>
        <v>135.47083333330374</v>
      </c>
      <c r="P5" s="98">
        <f>O5/M5*24</f>
        <v>30.5</v>
      </c>
      <c r="Q5" s="99" t="e">
        <f>#REF!+#REF!+#REF!+#REF!+#REF!+#REF!</f>
        <v>#REF!</v>
      </c>
      <c r="R5" s="98">
        <f>'[1]CONSUMOS MGO'!$I$26</f>
        <v>0</v>
      </c>
      <c r="S5" s="98">
        <f>R5/M5*24</f>
        <v>0</v>
      </c>
      <c r="T5" s="100" t="e">
        <f>#REF!+#REF!+#REF!+#REF!+#REF!+#REF!</f>
        <v>#REF!</v>
      </c>
    </row>
    <row r="6" spans="1:21" ht="15.75" thickBot="1" x14ac:dyDescent="0.3">
      <c r="A6" s="181"/>
      <c r="B6" s="208" t="s">
        <v>97</v>
      </c>
      <c r="C6" s="96">
        <f>'[1]CONSUMOS IFO'!$O$12</f>
        <v>76.666666666686069</v>
      </c>
      <c r="D6" s="97">
        <f>(C6/$C$9)</f>
        <v>0.40396943883387654</v>
      </c>
      <c r="E6" s="98">
        <f>'[1]CONSUMOS IFO'!$J$12</f>
        <v>14.375000000003638</v>
      </c>
      <c r="F6" s="103">
        <f>E6/C6*24</f>
        <v>4.5</v>
      </c>
      <c r="G6" s="104"/>
      <c r="H6" s="98">
        <f>'[1]CONSUMOS MGO'!$J$12</f>
        <v>0</v>
      </c>
      <c r="I6" s="103">
        <f>H6/C6*24</f>
        <v>0</v>
      </c>
      <c r="J6" s="105"/>
      <c r="L6" s="102" t="s">
        <v>45</v>
      </c>
      <c r="M6" s="96">
        <f>'[1]CONSUMOS IFO'!$O$26</f>
        <v>106.96666666679084</v>
      </c>
      <c r="N6" s="101">
        <f>(M6/$M$9)</f>
        <v>0.22033781928066973</v>
      </c>
      <c r="O6" s="98">
        <f>'[1]CONSUMOS IFO'!$J$26</f>
        <v>20.056250000023283</v>
      </c>
      <c r="P6" s="103">
        <f>O6/M6*24</f>
        <v>4.5</v>
      </c>
      <c r="Q6" s="104"/>
      <c r="R6" s="98">
        <f>'[1]CONSUMOS MGO'!$J$26</f>
        <v>0</v>
      </c>
      <c r="S6" s="103">
        <f>R6/M6*24</f>
        <v>0</v>
      </c>
      <c r="T6" s="105"/>
    </row>
    <row r="7" spans="1:21" ht="15.75" thickBot="1" x14ac:dyDescent="0.3">
      <c r="A7" s="181"/>
      <c r="B7" s="208" t="s">
        <v>98</v>
      </c>
      <c r="C7" s="96">
        <f>'[1]CONSUMOS IFO'!$P$12</f>
        <v>33.566666666592937</v>
      </c>
      <c r="D7" s="97">
        <f>(C7/$C$9)</f>
        <v>0.17686835865422487</v>
      </c>
      <c r="E7" s="98">
        <f>'[1]CONSUMOS IFO'!$K$12</f>
        <v>6.2937499999861757</v>
      </c>
      <c r="F7" s="103">
        <f>E7/C7*24</f>
        <v>4.5</v>
      </c>
      <c r="G7" s="104"/>
      <c r="H7" s="98">
        <f>'[1]CONSUMOS MGO'!$K$12</f>
        <v>8.3916666666482342</v>
      </c>
      <c r="I7" s="103">
        <f>H7/C7*24</f>
        <v>6</v>
      </c>
      <c r="J7" s="105"/>
      <c r="L7" s="102" t="s">
        <v>46</v>
      </c>
      <c r="M7" s="96">
        <f>'[1]CONSUMOS IFO'!$P$26</f>
        <v>84.483333333162591</v>
      </c>
      <c r="N7" s="101">
        <f>(M7/$M$9)</f>
        <v>0.17402499313339997</v>
      </c>
      <c r="O7" s="98">
        <f>'[1]CONSUMOS IFO'!$K$26</f>
        <v>15.840624999967986</v>
      </c>
      <c r="P7" s="103">
        <f>O7/M7*24</f>
        <v>4.5</v>
      </c>
      <c r="Q7" s="104"/>
      <c r="R7" s="98">
        <f>'[1]CONSUMOS MGO'!$K$26</f>
        <v>21.120833333290648</v>
      </c>
      <c r="S7" s="103">
        <f>R7/M7*24</f>
        <v>6</v>
      </c>
      <c r="T7" s="105"/>
    </row>
    <row r="8" spans="1:21" ht="15.75" thickBot="1" x14ac:dyDescent="0.3">
      <c r="A8" s="181"/>
      <c r="B8" s="208" t="s">
        <v>99</v>
      </c>
      <c r="C8" s="96">
        <f>'[1]CONSUMOS IFO'!$Q$12</f>
        <v>54.550000000046566</v>
      </c>
      <c r="D8" s="97">
        <f>(C8/$C$9)</f>
        <v>0.28743303767479828</v>
      </c>
      <c r="E8" s="98">
        <f>'[1]CONSUMOS IFO'!$L$12</f>
        <v>10.228125000008731</v>
      </c>
      <c r="F8" s="103">
        <f>E8/C8*24</f>
        <v>4.5</v>
      </c>
      <c r="G8" s="104"/>
      <c r="H8" s="98">
        <f>'[1]CONSUMOS MGO'!$L$12</f>
        <v>0</v>
      </c>
      <c r="I8" s="103">
        <f>H8/C8*24</f>
        <v>0</v>
      </c>
      <c r="J8" s="105"/>
      <c r="L8" s="102" t="s">
        <v>41</v>
      </c>
      <c r="M8" s="96">
        <f>'[1]CONSUMOS IFO'!$Q$26</f>
        <v>187.41666666674428</v>
      </c>
      <c r="N8" s="101">
        <f>(M8/$M$9)</f>
        <v>0.38605465531462774</v>
      </c>
      <c r="O8" s="98">
        <f>'[1]CONSUMOS IFO'!$L$26</f>
        <v>35.140625000014552</v>
      </c>
      <c r="P8" s="103">
        <f>O8/M8*24</f>
        <v>4.5</v>
      </c>
      <c r="Q8" s="104"/>
      <c r="R8" s="98">
        <f>'[1]CONSUMOS MGO'!$L$12</f>
        <v>0</v>
      </c>
      <c r="S8" s="103">
        <f>R8/M8*24</f>
        <v>0</v>
      </c>
      <c r="T8" s="105"/>
    </row>
    <row r="9" spans="1:21" ht="16.5" thickBot="1" x14ac:dyDescent="0.3">
      <c r="A9" s="219"/>
      <c r="B9" s="182" t="s">
        <v>60</v>
      </c>
      <c r="C9" s="183">
        <f>SUM(C5:C8)</f>
        <v>189.78333333332557</v>
      </c>
      <c r="D9" s="184">
        <f>SUM(D5:D8)</f>
        <v>1</v>
      </c>
      <c r="E9" s="185">
        <f>SUM(E5:E8)</f>
        <v>30.896874999998545</v>
      </c>
      <c r="F9" s="186"/>
      <c r="G9" s="187" t="e">
        <f>SUM(G5:G8)</f>
        <v>#REF!</v>
      </c>
      <c r="H9" s="185">
        <f>SUM(H5:H8)</f>
        <v>8.3916666666482342</v>
      </c>
      <c r="I9" s="186"/>
      <c r="J9" s="187" t="e">
        <f>SUM(J5:J8)</f>
        <v>#REF!</v>
      </c>
      <c r="L9" s="106" t="s">
        <v>60</v>
      </c>
      <c r="M9" s="107">
        <f>SUM(M5:M8)</f>
        <v>485.46666666667443</v>
      </c>
      <c r="N9" s="108">
        <f>SUM(N5:N8)</f>
        <v>1</v>
      </c>
      <c r="O9" s="109">
        <f>SUM(O5:O8)</f>
        <v>206.50833333330957</v>
      </c>
      <c r="Q9" s="109" t="e">
        <f>SUM(Q5:Q8)</f>
        <v>#REF!</v>
      </c>
      <c r="R9" s="109">
        <f>SUM(R5:R8)</f>
        <v>21.120833333290648</v>
      </c>
      <c r="T9" s="110" t="e">
        <f>SUM(T5:T8)</f>
        <v>#REF!</v>
      </c>
    </row>
    <row r="10" spans="1:21" x14ac:dyDescent="0.25">
      <c r="A10" s="179"/>
      <c r="B10" s="179"/>
      <c r="C10" s="179"/>
      <c r="D10" s="179"/>
      <c r="E10" s="179"/>
      <c r="F10" s="179"/>
      <c r="G10" s="179"/>
      <c r="H10" s="179"/>
      <c r="I10" s="179"/>
      <c r="J10" s="179"/>
      <c r="K10" s="179"/>
      <c r="L10" s="179"/>
      <c r="M10" s="179"/>
      <c r="N10" s="179"/>
      <c r="O10" s="179"/>
      <c r="P10" s="179"/>
      <c r="Q10" s="179"/>
      <c r="R10" s="179"/>
      <c r="S10" s="179"/>
      <c r="T10" s="179"/>
      <c r="U10" s="179"/>
    </row>
    <row r="28" spans="2:17" s="112" customFormat="1" x14ac:dyDescent="0.25">
      <c r="B28" s="111"/>
      <c r="C28" s="111"/>
      <c r="D28" s="111"/>
      <c r="E28" s="111"/>
      <c r="F28" s="111"/>
      <c r="G28" s="111"/>
      <c r="H28" s="111"/>
      <c r="I28" s="111"/>
      <c r="J28" s="111"/>
      <c r="K28" s="111"/>
      <c r="L28" s="111"/>
      <c r="M28" s="111"/>
      <c r="N28" s="111"/>
      <c r="O28" s="111"/>
      <c r="P28" s="111"/>
      <c r="Q28" s="111"/>
    </row>
    <row r="29" spans="2:17" ht="15.75" thickBot="1" x14ac:dyDescent="0.3"/>
    <row r="30" spans="2:17" ht="15.75" customHeight="1" thickBot="1" x14ac:dyDescent="0.3">
      <c r="B30" s="113" t="s">
        <v>61</v>
      </c>
      <c r="C30" s="114"/>
      <c r="D30" s="114"/>
      <c r="E30" s="114"/>
      <c r="G30" s="66" t="s">
        <v>62</v>
      </c>
      <c r="H30" s="67"/>
      <c r="I30" s="67"/>
      <c r="J30" s="67"/>
      <c r="K30" s="67"/>
      <c r="L30" s="67"/>
      <c r="M30" s="67"/>
      <c r="N30" s="67"/>
      <c r="O30" s="67"/>
    </row>
    <row r="31" spans="2:17" ht="15.75" customHeight="1" thickBot="1" x14ac:dyDescent="0.3">
      <c r="B31" s="115"/>
      <c r="C31" s="116"/>
      <c r="D31" s="116"/>
      <c r="E31" s="116"/>
      <c r="G31" s="69" t="s">
        <v>49</v>
      </c>
      <c r="H31" s="70" t="s">
        <v>50</v>
      </c>
      <c r="I31" s="71"/>
      <c r="J31" s="72" t="s">
        <v>51</v>
      </c>
      <c r="K31" s="73"/>
      <c r="L31" s="73"/>
      <c r="M31" s="73"/>
      <c r="N31" s="73"/>
      <c r="O31" s="74"/>
    </row>
    <row r="32" spans="2:17" ht="24.75" customHeight="1" thickBot="1" x14ac:dyDescent="0.3">
      <c r="B32" s="117"/>
      <c r="C32" s="118" t="s">
        <v>63</v>
      </c>
      <c r="D32" s="119" t="s">
        <v>64</v>
      </c>
      <c r="E32" s="119" t="s">
        <v>65</v>
      </c>
      <c r="F32" s="120"/>
      <c r="G32" s="75"/>
      <c r="H32" s="76" t="s">
        <v>52</v>
      </c>
      <c r="I32" s="77" t="s">
        <v>53</v>
      </c>
      <c r="J32" s="78" t="s">
        <v>54</v>
      </c>
      <c r="K32" s="79"/>
      <c r="L32" s="80" t="s">
        <v>55</v>
      </c>
      <c r="M32" s="81" t="s">
        <v>56</v>
      </c>
      <c r="N32" s="82"/>
      <c r="O32" s="83" t="s">
        <v>57</v>
      </c>
    </row>
    <row r="33" spans="2:15" ht="34.5" thickBot="1" x14ac:dyDescent="0.3">
      <c r="B33" s="121" t="s">
        <v>66</v>
      </c>
      <c r="C33" s="122">
        <v>108.3</v>
      </c>
      <c r="D33" s="123">
        <v>6.7</v>
      </c>
      <c r="E33" s="124">
        <v>42959</v>
      </c>
      <c r="F33" s="120"/>
      <c r="G33" s="85"/>
      <c r="H33" s="86"/>
      <c r="I33" s="87"/>
      <c r="J33" s="88" t="s">
        <v>60</v>
      </c>
      <c r="K33" s="89" t="s">
        <v>59</v>
      </c>
      <c r="L33" s="90" t="s">
        <v>58</v>
      </c>
      <c r="M33" s="91" t="s">
        <v>60</v>
      </c>
      <c r="N33" s="92" t="s">
        <v>59</v>
      </c>
      <c r="O33" s="93" t="s">
        <v>58</v>
      </c>
    </row>
    <row r="34" spans="2:15" ht="25.5" customHeight="1" thickBot="1" x14ac:dyDescent="0.3">
      <c r="B34" s="125" t="s">
        <v>67</v>
      </c>
      <c r="C34" s="126">
        <v>0</v>
      </c>
      <c r="D34" s="127">
        <v>113.217</v>
      </c>
      <c r="E34" s="128">
        <v>42964</v>
      </c>
      <c r="F34" s="129"/>
      <c r="G34" s="95" t="s">
        <v>44</v>
      </c>
      <c r="H34" s="96" t="e">
        <f>C5+M5+#REF!+#REF!+#REF!+#REF!+#REF!+#REF!+#REF!+#REF!+#REF!+#REF!+#REF!+#REF!+#REF!+#REF!+#REF!+#REF!+#REF!+#REF!+#REF!+#REF!+#REF!+#REF!+#REF!+#REF!</f>
        <v>#REF!</v>
      </c>
      <c r="I34" s="97" t="e">
        <f>(H34/$H$38)</f>
        <v>#REF!</v>
      </c>
      <c r="J34" s="98" t="e">
        <f>E5+O5+#REF!+#REF!+#REF!+#REF!+#REF!+#REF!+#REF!+#REF!+#REF!+#REF!+#REF!+#REF!+#REF!+#REF!+#REF!+#REF!+#REF!+#REF!+#REF!+#REF!+#REF!+#REF!+#REF!+#REF!</f>
        <v>#REF!</v>
      </c>
      <c r="K34" s="98"/>
      <c r="L34" s="99" t="e">
        <f>#REF!+#REF!+#REF!+#REF!+#REF!+#REF!</f>
        <v>#REF!</v>
      </c>
      <c r="M34" s="98" t="e">
        <f>H5+R5+#REF!+#REF!+#REF!+#REF!+#REF!+#REF!+#REF!+#REF!+#REF!+#REF!+#REF!+#REF!+#REF!+#REF!+#REF!+#REF!+#REF!+#REF!+#REF!+#REF!+#REF!+#REF!+#REF!</f>
        <v>#REF!</v>
      </c>
      <c r="N34" s="98"/>
      <c r="O34" s="100" t="e">
        <f>#REF!+#REF!+#REF!+#REF!+#REF!+#REF!</f>
        <v>#REF!</v>
      </c>
    </row>
    <row r="35" spans="2:15" ht="21" customHeight="1" thickBot="1" x14ac:dyDescent="0.3">
      <c r="B35" s="125" t="s">
        <v>68</v>
      </c>
      <c r="C35" s="130">
        <v>780.18899999999996</v>
      </c>
      <c r="D35" s="131">
        <v>0</v>
      </c>
      <c r="E35" s="128">
        <v>42967</v>
      </c>
      <c r="F35" s="129"/>
      <c r="G35" s="102" t="s">
        <v>45</v>
      </c>
      <c r="H35" s="96" t="e">
        <f>C6+M6+#REF!+#REF!+#REF!+#REF!+#REF!+#REF!+#REF!+#REF!+#REF!+#REF!+#REF!+#REF!+#REF!+#REF!+#REF!+#REF!+#REF!+#REF!+#REF!+#REF!+#REF!+#REF!+#REF!+#REF!</f>
        <v>#REF!</v>
      </c>
      <c r="I35" s="97" t="e">
        <f>(H35/$H$38)</f>
        <v>#REF!</v>
      </c>
      <c r="J35" s="98" t="e">
        <f>E6+O6+#REF!+#REF!+#REF!+#REF!+#REF!+#REF!+#REF!+#REF!+#REF!+#REF!+#REF!+#REF!+#REF!+#REF!+#REF!+#REF!+#REF!+#REF!+#REF!+#REF!+#REF!+#REF!+#REF!+#REF!</f>
        <v>#REF!</v>
      </c>
      <c r="K35" s="103"/>
      <c r="L35" s="104"/>
      <c r="M35" s="98" t="e">
        <f>H6+R6+#REF!+#REF!+#REF!+#REF!+#REF!+#REF!+#REF!+#REF!+#REF!+#REF!+#REF!+#REF!+#REF!+#REF!+#REF!+#REF!+#REF!++#REF!+#REF!+#REF!+#REF!+#REF!+#REF!</f>
        <v>#REF!</v>
      </c>
      <c r="N35" s="103"/>
      <c r="O35" s="105"/>
    </row>
    <row r="36" spans="2:15" ht="24.75" customHeight="1" thickBot="1" x14ac:dyDescent="0.3">
      <c r="B36" s="125" t="s">
        <v>69</v>
      </c>
      <c r="C36" s="126">
        <v>0</v>
      </c>
      <c r="D36" s="127">
        <v>78.769000000000005</v>
      </c>
      <c r="E36" s="128">
        <v>43055</v>
      </c>
      <c r="F36" s="129"/>
      <c r="G36" s="102" t="s">
        <v>46</v>
      </c>
      <c r="H36" s="96" t="e">
        <f>C7+M7+#REF!+#REF!+#REF!+#REF!+#REF!+#REF!+#REF!+#REF!+#REF!+#REF!+#REF!+#REF!+#REF!+#REF!+#REF!+#REF!+#REF!+#REF!+#REF!+#REF!+#REF!+#REF!+#REF!+#REF!</f>
        <v>#REF!</v>
      </c>
      <c r="I36" s="97" t="e">
        <f>(H36/$H$38)</f>
        <v>#REF!</v>
      </c>
      <c r="J36" s="98" t="e">
        <f>E7+O7+#REF!+#REF!+#REF!+#REF!+#REF!+#REF!+#REF!+#REF!+#REF!+#REF!+#REF!+#REF!+#REF!+#REF!+#REF!+#REF!+#REF!+#REF!+#REF!+#REF!+#REF!+#REF!+#REF!+#REF!</f>
        <v>#REF!</v>
      </c>
      <c r="K36" s="103"/>
      <c r="L36" s="104"/>
      <c r="M36" s="98" t="e">
        <f>H7+R7+#REF!+#REF!+#REF!+#REF!+#REF!+#REF!+#REF!+#REF!+#REF!+#REF!+#REF!+#REF!+#REF!+#REF!+#REF!+#REF!+#REF!+#REF!++#REF!+#REF!+#REF!+#REF!+#REF!+#REF!</f>
        <v>#REF!</v>
      </c>
      <c r="N36" s="103"/>
      <c r="O36" s="105"/>
    </row>
    <row r="37" spans="2:15" ht="22.5" customHeight="1" thickBot="1" x14ac:dyDescent="0.3">
      <c r="B37" s="125" t="s">
        <v>70</v>
      </c>
      <c r="C37" s="126">
        <v>547.89</v>
      </c>
      <c r="D37" s="131">
        <v>0</v>
      </c>
      <c r="E37" s="128">
        <v>43056</v>
      </c>
      <c r="G37" s="102" t="s">
        <v>41</v>
      </c>
      <c r="H37" s="96" t="e">
        <f>C8+M8+#REF!+#REF!+#REF!+#REF!+#REF!+#REF!+#REF!+#REF!+#REF!+#REF!+#REF!+#REF!+#REF!+#REF!+#REF!+#REF!+#REF!+#REF!+#REF!+#REF!+#REF!+#REF!+#REF!+#REF!</f>
        <v>#REF!</v>
      </c>
      <c r="I37" s="97" t="e">
        <f>(H37/$H$38)</f>
        <v>#REF!</v>
      </c>
      <c r="J37" s="98" t="e">
        <f>E8+O8+#REF!+#REF!+#REF!+#REF!+#REF!+#REF!+#REF!+#REF!+#REF!+#REF!+#REF!+#REF!+#REF!+#REF!+#REF!+#REF!+#REF!+#REF!+#REF!+#REF!+#REF!+#REF!+#REF!+#REF!</f>
        <v>#REF!</v>
      </c>
      <c r="K37" s="103"/>
      <c r="L37" s="104"/>
      <c r="M37" s="98" t="e">
        <f>H8+R8+#REF!+#REF!+#REF!+#REF!+#REF!+#REF!+#REF!+#REF!+#REF!+#REF!+#REF!+#REF!+#REF!+#REF!+#REF!+#REF!+#REF!++#REF!+#REF!+#REF!+#REF!+#REF!+#REF!</f>
        <v>#REF!</v>
      </c>
      <c r="N37" s="103"/>
      <c r="O37" s="105"/>
    </row>
    <row r="38" spans="2:15" ht="24.75" customHeight="1" thickBot="1" x14ac:dyDescent="0.3">
      <c r="B38" s="132" t="s">
        <v>71</v>
      </c>
      <c r="C38" s="126">
        <v>800</v>
      </c>
      <c r="D38" s="131">
        <v>0</v>
      </c>
      <c r="E38" s="133">
        <v>43107</v>
      </c>
      <c r="G38" s="106" t="s">
        <v>60</v>
      </c>
      <c r="H38" s="107" t="e">
        <f>SUM(H34:H37)</f>
        <v>#REF!</v>
      </c>
      <c r="I38" s="108" t="e">
        <f>SUM(I34:I37)</f>
        <v>#REF!</v>
      </c>
      <c r="J38" s="109" t="e">
        <f>SUM(J34:J37)</f>
        <v>#REF!</v>
      </c>
      <c r="L38" s="110" t="e">
        <f>SUM(L34:L37)</f>
        <v>#REF!</v>
      </c>
      <c r="M38" s="109" t="e">
        <f>SUM(M34:M37)</f>
        <v>#REF!</v>
      </c>
      <c r="O38" s="110" t="e">
        <f>SUM(O34:O37)</f>
        <v>#REF!</v>
      </c>
    </row>
    <row r="39" spans="2:15" ht="24.75" customHeight="1" x14ac:dyDescent="0.25">
      <c r="B39" s="132" t="s">
        <v>72</v>
      </c>
      <c r="C39" s="126">
        <v>0</v>
      </c>
      <c r="D39" s="131">
        <v>100.895</v>
      </c>
      <c r="E39" s="133">
        <v>43118</v>
      </c>
    </row>
    <row r="40" spans="2:15" ht="21" customHeight="1" thickBot="1" x14ac:dyDescent="0.3">
      <c r="B40" s="134" t="s">
        <v>73</v>
      </c>
      <c r="C40" s="135">
        <v>0</v>
      </c>
      <c r="D40" s="136">
        <v>42.783999999999999</v>
      </c>
      <c r="E40" s="137">
        <v>43191</v>
      </c>
    </row>
    <row r="41" spans="2:15" ht="24" customHeight="1" thickBot="1" x14ac:dyDescent="0.3">
      <c r="B41" s="134" t="s">
        <v>74</v>
      </c>
      <c r="C41" s="135">
        <v>450</v>
      </c>
      <c r="D41" s="136">
        <v>0</v>
      </c>
      <c r="E41" s="137">
        <v>43200</v>
      </c>
    </row>
    <row r="42" spans="2:15" ht="23.25" customHeight="1" thickBot="1" x14ac:dyDescent="0.3">
      <c r="B42" s="134" t="s">
        <v>75</v>
      </c>
      <c r="C42" s="135">
        <v>230</v>
      </c>
      <c r="D42" s="136">
        <v>0</v>
      </c>
      <c r="E42" s="137">
        <v>43265</v>
      </c>
    </row>
    <row r="43" spans="2:15" ht="25.5" customHeight="1" thickBot="1" x14ac:dyDescent="0.3">
      <c r="B43" s="134" t="s">
        <v>76</v>
      </c>
      <c r="C43" s="135">
        <v>0</v>
      </c>
      <c r="D43" s="136">
        <v>67.611000000000004</v>
      </c>
      <c r="E43" s="137">
        <v>43267</v>
      </c>
    </row>
    <row r="44" spans="2:15" ht="28.5" customHeight="1" thickBot="1" x14ac:dyDescent="0.3">
      <c r="B44" s="134" t="s">
        <v>77</v>
      </c>
      <c r="C44" s="135">
        <v>400</v>
      </c>
      <c r="D44" s="136">
        <v>0</v>
      </c>
      <c r="E44" s="138">
        <v>43300</v>
      </c>
    </row>
    <row r="45" spans="2:15" ht="28.5" customHeight="1" thickBot="1" x14ac:dyDescent="0.3">
      <c r="B45" s="134" t="s">
        <v>78</v>
      </c>
      <c r="C45" s="135">
        <v>300</v>
      </c>
      <c r="D45" s="136">
        <v>0</v>
      </c>
      <c r="E45" s="138">
        <v>43330</v>
      </c>
    </row>
    <row r="46" spans="2:15" ht="24" customHeight="1" thickBot="1" x14ac:dyDescent="0.3">
      <c r="B46" s="134" t="s">
        <v>79</v>
      </c>
      <c r="C46" s="135">
        <v>0</v>
      </c>
      <c r="D46" s="136">
        <v>81.046999999999997</v>
      </c>
      <c r="E46" s="138">
        <v>43376</v>
      </c>
    </row>
    <row r="47" spans="2:15" ht="24" customHeight="1" thickBot="1" x14ac:dyDescent="0.3">
      <c r="B47" s="134" t="s">
        <v>80</v>
      </c>
      <c r="C47" s="135">
        <v>380</v>
      </c>
      <c r="D47" s="136">
        <v>0</v>
      </c>
      <c r="E47" s="138">
        <v>43377</v>
      </c>
    </row>
    <row r="48" spans="2:15" ht="24" customHeight="1" thickBot="1" x14ac:dyDescent="0.3">
      <c r="B48" s="134" t="s">
        <v>81</v>
      </c>
      <c r="C48" s="135">
        <v>550</v>
      </c>
      <c r="D48" s="136">
        <v>0</v>
      </c>
      <c r="E48" s="138">
        <v>43411</v>
      </c>
    </row>
    <row r="49" spans="2:5" ht="26.25" customHeight="1" thickBot="1" x14ac:dyDescent="0.3">
      <c r="B49" s="134" t="s">
        <v>82</v>
      </c>
      <c r="C49" s="135">
        <v>0</v>
      </c>
      <c r="D49" s="136">
        <v>80</v>
      </c>
      <c r="E49" s="138">
        <v>43447</v>
      </c>
    </row>
    <row r="50" spans="2:5" ht="23.25" customHeight="1" thickBot="1" x14ac:dyDescent="0.3">
      <c r="B50" s="134" t="s">
        <v>83</v>
      </c>
      <c r="C50" s="135">
        <v>400</v>
      </c>
      <c r="D50" s="136">
        <v>0</v>
      </c>
      <c r="E50" s="138">
        <v>43498</v>
      </c>
    </row>
    <row r="51" spans="2:5" ht="18.75" customHeight="1" thickBot="1" x14ac:dyDescent="0.3">
      <c r="B51" s="134" t="s">
        <v>84</v>
      </c>
      <c r="C51" s="135">
        <v>0</v>
      </c>
      <c r="D51" s="136">
        <v>73.376999999999995</v>
      </c>
      <c r="E51" s="138">
        <v>43522</v>
      </c>
    </row>
    <row r="52" spans="2:5" ht="19.5" customHeight="1" thickBot="1" x14ac:dyDescent="0.3">
      <c r="B52" s="134" t="s">
        <v>85</v>
      </c>
      <c r="C52" s="135">
        <v>600</v>
      </c>
      <c r="D52" s="136">
        <v>0</v>
      </c>
      <c r="E52" s="138">
        <v>43548</v>
      </c>
    </row>
    <row r="53" spans="2:5" ht="18" customHeight="1" thickBot="1" x14ac:dyDescent="0.3">
      <c r="B53" s="134" t="s">
        <v>86</v>
      </c>
      <c r="C53" s="135">
        <v>0</v>
      </c>
      <c r="D53" s="136">
        <v>80</v>
      </c>
      <c r="E53" s="138">
        <v>43582</v>
      </c>
    </row>
    <row r="54" spans="2:5" ht="15.75" customHeight="1" thickBot="1" x14ac:dyDescent="0.3">
      <c r="B54" s="139" t="s">
        <v>87</v>
      </c>
      <c r="C54" s="140">
        <v>400</v>
      </c>
      <c r="D54" s="141">
        <v>0</v>
      </c>
      <c r="E54" s="142">
        <v>43604</v>
      </c>
    </row>
    <row r="55" spans="2:5" x14ac:dyDescent="0.25">
      <c r="B55" s="143" t="s">
        <v>88</v>
      </c>
      <c r="C55" s="144">
        <v>500</v>
      </c>
      <c r="D55" s="144">
        <v>0</v>
      </c>
      <c r="E55" s="145">
        <v>43656</v>
      </c>
    </row>
    <row r="56" spans="2:5" x14ac:dyDescent="0.25">
      <c r="B56" s="146" t="s">
        <v>88</v>
      </c>
      <c r="C56" s="147">
        <v>400</v>
      </c>
      <c r="D56" s="147">
        <v>80</v>
      </c>
      <c r="E56" s="148">
        <v>43703</v>
      </c>
    </row>
    <row r="57" spans="2:5" ht="15.75" customHeight="1" x14ac:dyDescent="0.25">
      <c r="B57" s="146" t="s">
        <v>88</v>
      </c>
      <c r="C57" s="147"/>
      <c r="D57" s="147"/>
      <c r="E57" s="148"/>
    </row>
    <row r="58" spans="2:5" ht="15.75" thickBot="1" x14ac:dyDescent="0.3">
      <c r="B58" s="149" t="s">
        <v>88</v>
      </c>
      <c r="C58" s="150"/>
      <c r="D58" s="150"/>
      <c r="E58" s="151"/>
    </row>
    <row r="61" spans="2:5" ht="15" customHeight="1" x14ac:dyDescent="0.25"/>
    <row r="62" spans="2:5" ht="15.75" customHeight="1" x14ac:dyDescent="0.25"/>
    <row r="64" spans="2:5" ht="15.75" customHeight="1" x14ac:dyDescent="0.25"/>
    <row r="68" ht="15" customHeight="1" x14ac:dyDescent="0.25"/>
    <row r="69" ht="15.75" customHeight="1" x14ac:dyDescent="0.25"/>
    <row r="72" ht="15" customHeight="1" x14ac:dyDescent="0.25"/>
    <row r="73" ht="15.75" customHeight="1" x14ac:dyDescent="0.25"/>
  </sheetData>
  <mergeCells count="34">
    <mergeCell ref="A1:J1"/>
    <mergeCell ref="M32:N32"/>
    <mergeCell ref="L34:L37"/>
    <mergeCell ref="O34:O37"/>
    <mergeCell ref="A2:A4"/>
    <mergeCell ref="A5:A9"/>
    <mergeCell ref="B28:Q28"/>
    <mergeCell ref="B30:E31"/>
    <mergeCell ref="G30:O30"/>
    <mergeCell ref="G31:G33"/>
    <mergeCell ref="H31:I31"/>
    <mergeCell ref="J31:O31"/>
    <mergeCell ref="H32:H33"/>
    <mergeCell ref="I32:I33"/>
    <mergeCell ref="J32:K32"/>
    <mergeCell ref="G5:G8"/>
    <mergeCell ref="J5:J8"/>
    <mergeCell ref="Q5:Q8"/>
    <mergeCell ref="T5:T8"/>
    <mergeCell ref="E3:F3"/>
    <mergeCell ref="H3:I3"/>
    <mergeCell ref="M3:M4"/>
    <mergeCell ref="N3:N4"/>
    <mergeCell ref="O3:P3"/>
    <mergeCell ref="R3:S3"/>
    <mergeCell ref="L1:T1"/>
    <mergeCell ref="B2:B4"/>
    <mergeCell ref="C2:D2"/>
    <mergeCell ref="E2:J2"/>
    <mergeCell ref="L2:L4"/>
    <mergeCell ref="M2:N2"/>
    <mergeCell ref="O2:T2"/>
    <mergeCell ref="C3:C4"/>
    <mergeCell ref="D3:D4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6C2D050-5A25-4188-B9A2-1F37C4FF7970}">
          <x14:formula1>
            <xm:f>'Performance as per CP'!$N$2:$N$11</xm:f>
          </x14:formula1>
          <xm:sqref>B5:B8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Analysis as per Daily Report</vt:lpstr>
      <vt:lpstr>Performance as per CP</vt:lpstr>
      <vt:lpstr>PERFOMANCE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 Neyra V.</dc:creator>
  <cp:lastModifiedBy>Lucia Neyra V.</cp:lastModifiedBy>
  <dcterms:created xsi:type="dcterms:W3CDTF">2020-01-29T21:50:27Z</dcterms:created>
  <dcterms:modified xsi:type="dcterms:W3CDTF">2020-01-30T19:14:25Z</dcterms:modified>
</cp:coreProperties>
</file>