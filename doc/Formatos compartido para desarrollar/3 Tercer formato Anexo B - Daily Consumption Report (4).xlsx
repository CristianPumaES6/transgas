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queryTables/queryTable3.xml" ContentType="application/vnd.openxmlformats-officedocument.spreadsheetml.queryTable+xml"/>
  <Override PartName="/xl/tables/table30.xml" ContentType="application/vnd.openxmlformats-officedocument.spreadsheetml.table+xml"/>
  <Override PartName="/xl/queryTables/queryTable4.xml" ContentType="application/vnd.openxmlformats-officedocument.spreadsheetml.query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queryTables/queryTable5.xml" ContentType="application/vnd.openxmlformats-officedocument.spreadsheetml.queryTable+xml"/>
  <Override PartName="/xl/tables/table33.xml" ContentType="application/vnd.openxmlformats-officedocument.spreadsheetml.table+xml"/>
  <Override PartName="/xl/queryTables/queryTable6.xml" ContentType="application/vnd.openxmlformats-officedocument.spreadsheetml.queryTable+xml"/>
  <Override PartName="/xl/tables/table34.xml" ContentType="application/vnd.openxmlformats-officedocument.spreadsheetml.table+xml"/>
  <Override PartName="/xl/queryTables/queryTable7.xml" ContentType="application/vnd.openxmlformats-officedocument.spreadsheetml.queryTable+xml"/>
  <Override PartName="/xl/tables/table35.xml" ContentType="application/vnd.openxmlformats-officedocument.spreadsheetml.table+xml"/>
  <Override PartName="/xl/queryTables/queryTable8.xml" ContentType="application/vnd.openxmlformats-officedocument.spreadsheetml.queryTable+xml"/>
  <Override PartName="/xl/tables/table36.xml" ContentType="application/vnd.openxmlformats-officedocument.spreadsheetml.table+xml"/>
  <Override PartName="/xl/queryTables/queryTable9.xml" ContentType="application/vnd.openxmlformats-officedocument.spreadsheetml.queryTable+xml"/>
  <Override PartName="/xl/tables/table37.xml" ContentType="application/vnd.openxmlformats-officedocument.spreadsheetml.table+xml"/>
  <Override PartName="/xl/queryTables/queryTable10.xml" ContentType="application/vnd.openxmlformats-officedocument.spreadsheetml.queryTable+xml"/>
  <Override PartName="/xl/tables/table38.xml" ContentType="application/vnd.openxmlformats-officedocument.spreadsheetml.table+xml"/>
  <Override PartName="/xl/queryTables/queryTable11.xml" ContentType="application/vnd.openxmlformats-officedocument.spreadsheetml.queryTable+xml"/>
  <Override PartName="/xl/tables/table39.xml" ContentType="application/vnd.openxmlformats-officedocument.spreadsheetml.table+xml"/>
  <Override PartName="/xl/queryTables/queryTable12.xml" ContentType="application/vnd.openxmlformats-officedocument.spreadsheetml.queryTable+xml"/>
  <Override PartName="/xl/tables/table40.xml" ContentType="application/vnd.openxmlformats-officedocument.spreadsheetml.table+xml"/>
  <Override PartName="/xl/queryTables/queryTable13.xml" ContentType="application/vnd.openxmlformats-officedocument.spreadsheetml.queryTable+xml"/>
  <Override PartName="/xl/tables/table41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CAPITAN\02.- Reportes Diarios\2021 Guti\10.- Mayo 2021\"/>
    </mc:Choice>
  </mc:AlternateContent>
  <bookViews>
    <workbookView xWindow="0" yWindow="0" windowWidth="20490" windowHeight="7755" tabRatio="318" firstSheet="26" activeTab="27"/>
  </bookViews>
  <sheets>
    <sheet name="COMBO2" sheetId="31" state="hidden" r:id="rId1"/>
    <sheet name="BASE DATOS" sheetId="16" r:id="rId2"/>
    <sheet name="GRAFICA " sheetId="14" r:id="rId3"/>
    <sheet name="V051-19" sheetId="3" r:id="rId4"/>
    <sheet name="V052-20" sheetId="1" r:id="rId5"/>
    <sheet name="V053-20" sheetId="4" r:id="rId6"/>
    <sheet name="V054-20" sheetId="5" r:id="rId7"/>
    <sheet name="V055-20" sheetId="6" r:id="rId8"/>
    <sheet name="V056-20" sheetId="7" r:id="rId9"/>
    <sheet name="V057-20" sheetId="36" r:id="rId10"/>
    <sheet name="V058-20" sheetId="37" r:id="rId11"/>
    <sheet name="V059-20" sheetId="38" r:id="rId12"/>
    <sheet name="V060-20" sheetId="39" r:id="rId13"/>
    <sheet name="V061-20" sheetId="40" r:id="rId14"/>
    <sheet name="V062-20" sheetId="41" r:id="rId15"/>
    <sheet name="V062A-20" sheetId="42" r:id="rId16"/>
    <sheet name="V01-20" sheetId="43" r:id="rId17"/>
    <sheet name="V02-20" sheetId="44" r:id="rId18"/>
    <sheet name="V03-20" sheetId="45" r:id="rId19"/>
    <sheet name="V04-20 " sheetId="46" r:id="rId20"/>
    <sheet name="V05-20 " sheetId="48" r:id="rId21"/>
    <sheet name="V06-20" sheetId="51" r:id="rId22"/>
    <sheet name="V07-20" sheetId="49" r:id="rId23"/>
    <sheet name="V01-21" sheetId="50" r:id="rId24"/>
    <sheet name="V02-21" sheetId="52" r:id="rId25"/>
    <sheet name="FONDEADOS TALARA" sheetId="53" r:id="rId26"/>
    <sheet name="V03-21 " sheetId="54" r:id="rId27"/>
    <sheet name="V04-21" sheetId="55" r:id="rId28"/>
    <sheet name="Hoja17" sheetId="17" state="hidden" r:id="rId29"/>
    <sheet name="Hoja18" sheetId="18" state="hidden" r:id="rId30"/>
    <sheet name="Hoja20" sheetId="20" state="hidden" r:id="rId31"/>
    <sheet name="Hoja21" sheetId="21" state="hidden" r:id="rId32"/>
    <sheet name="Hoja22" sheetId="22" state="hidden" r:id="rId33"/>
    <sheet name="Hoja23" sheetId="23" state="hidden" r:id="rId34"/>
    <sheet name="Hoja24" sheetId="24" state="hidden" r:id="rId35"/>
    <sheet name="Hoja25" sheetId="25" state="hidden" r:id="rId36"/>
    <sheet name="Hoja26" sheetId="26" state="hidden" r:id="rId37"/>
    <sheet name="Hoja27" sheetId="27" state="hidden" r:id="rId38"/>
    <sheet name="Hoja28" sheetId="28" state="hidden" r:id="rId39"/>
    <sheet name="MARZO2" sheetId="34" state="hidden" r:id="rId40"/>
    <sheet name="ABRIL2" sheetId="35" state="hidden" r:id="rId41"/>
  </sheets>
  <externalReferences>
    <externalReference r:id="rId42"/>
  </externalReferences>
  <definedNames>
    <definedName name="COMBO1">[1]!COMBO[#Data]</definedName>
    <definedName name="DatosExternos_1" localSheetId="40" hidden="1">ABRIL2!$A$1:$AK$44</definedName>
    <definedName name="DatosExternos_1" localSheetId="1" hidden="1">'BASE DATOS'!$A$5:$AK$345</definedName>
    <definedName name="DatosExternos_1" localSheetId="0" hidden="1">COMBO2!$A$1:$AK$8</definedName>
    <definedName name="DatosExternos_1" localSheetId="28" hidden="1">Hoja17!$A$1:$AK$34</definedName>
    <definedName name="DatosExternos_1" localSheetId="29" hidden="1">Hoja18!$A$1:$AK$52</definedName>
    <definedName name="DatosExternos_1" localSheetId="30" hidden="1">Hoja20!$A$1:$AK$112</definedName>
    <definedName name="DatosExternos_1" localSheetId="31" hidden="1">Hoja21!$A$1:$AK$72</definedName>
    <definedName name="DatosExternos_1" localSheetId="32" hidden="1">Hoja22!$A$1:$AK$7</definedName>
    <definedName name="DatosExternos_1" localSheetId="33" hidden="1">Hoja23!$A$1:$AK$53</definedName>
    <definedName name="DatosExternos_1" localSheetId="34" hidden="1">Hoja24!$A$1:$AK$112</definedName>
    <definedName name="DatosExternos_1" localSheetId="35" hidden="1">Hoja25!$A$1:$AK$112</definedName>
    <definedName name="DatosExternos_1" localSheetId="36" hidden="1">Hoja26!$A$1:$AK$112</definedName>
    <definedName name="DatosExternos_1" localSheetId="37" hidden="1">Hoja27!$A$1:$AK$112</definedName>
    <definedName name="DatosExternos_1" localSheetId="38" hidden="1">Hoja28!$A$1:$AK$112</definedName>
    <definedName name="DatosExternos_1" localSheetId="39" hidden="1">MARZO2!$A$1:$AK$47</definedName>
    <definedName name="ListaV">COMBO2!$A$1:$A$10</definedName>
    <definedName name="VIAJE" localSheetId="1">BASE_DATOS[[#All],[VIAJE]]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5" i="55" l="1"/>
  <c r="D6" i="54" l="1"/>
  <c r="O6" i="54"/>
  <c r="Q6" i="54" s="1"/>
  <c r="W6" i="54"/>
  <c r="Y6" i="54" s="1"/>
  <c r="Y7" i="54" s="1"/>
  <c r="Y8" i="54" s="1"/>
  <c r="Y9" i="54" s="1"/>
  <c r="Y10" i="54" s="1"/>
  <c r="Y11" i="54" s="1"/>
  <c r="Y12" i="54" s="1"/>
  <c r="Y13" i="54" s="1"/>
  <c r="Y14" i="54" s="1"/>
  <c r="Y15" i="54" s="1"/>
  <c r="Y16" i="54" s="1"/>
  <c r="Y17" i="54" s="1"/>
  <c r="Y18" i="54" s="1"/>
  <c r="Y19" i="54" s="1"/>
  <c r="Y20" i="54" s="1"/>
  <c r="Y21" i="54" s="1"/>
  <c r="Y22" i="54" s="1"/>
  <c r="Y23" i="54" s="1"/>
  <c r="Y24" i="54" s="1"/>
  <c r="Y25" i="54" s="1"/>
  <c r="Y26" i="54" s="1"/>
  <c r="Y27" i="54" s="1"/>
  <c r="Y28" i="54" s="1"/>
  <c r="Y29" i="54" s="1"/>
  <c r="Y30" i="54" s="1"/>
  <c r="Y31" i="54" s="1"/>
  <c r="Y32" i="54" s="1"/>
  <c r="Y33" i="54" s="1"/>
  <c r="Y34" i="54" s="1"/>
  <c r="Y35" i="54" s="1"/>
  <c r="Y36" i="54" s="1"/>
  <c r="Y37" i="54" s="1"/>
  <c r="Y38" i="54" s="1"/>
  <c r="Y39" i="54" s="1"/>
  <c r="Y40" i="54" s="1"/>
  <c r="Y41" i="54" s="1"/>
  <c r="Y42" i="54" s="1"/>
  <c r="Y43" i="54" s="1"/>
  <c r="Y44" i="54" s="1"/>
  <c r="Y45" i="54" s="1"/>
  <c r="Y46" i="54" s="1"/>
  <c r="Y47" i="54" s="1"/>
  <c r="Y48" i="54" s="1"/>
  <c r="Y49" i="54" s="1"/>
  <c r="Y50" i="54" s="1"/>
  <c r="Y51" i="54" s="1"/>
  <c r="Y52" i="54" s="1"/>
  <c r="Y53" i="54" s="1"/>
  <c r="AB6" i="54"/>
  <c r="AB7" i="54" s="1"/>
  <c r="AB8" i="54" s="1"/>
  <c r="AB9" i="54" s="1"/>
  <c r="AB10" i="54" s="1"/>
  <c r="AB11" i="54" s="1"/>
  <c r="AB12" i="54" s="1"/>
  <c r="AB13" i="54" s="1"/>
  <c r="AB14" i="54" s="1"/>
  <c r="AB15" i="54" s="1"/>
  <c r="AB16" i="54" s="1"/>
  <c r="AB17" i="54" s="1"/>
  <c r="AB18" i="54" s="1"/>
  <c r="AB19" i="54" s="1"/>
  <c r="AB20" i="54" s="1"/>
  <c r="AB21" i="54" s="1"/>
  <c r="AB22" i="54" s="1"/>
  <c r="AB23" i="54" s="1"/>
  <c r="AB24" i="54" s="1"/>
  <c r="AB25" i="54" s="1"/>
  <c r="AB26" i="54" s="1"/>
  <c r="AB27" i="54" s="1"/>
  <c r="AB28" i="54" s="1"/>
  <c r="AB29" i="54" s="1"/>
  <c r="AB30" i="54" s="1"/>
  <c r="AB31" i="54" s="1"/>
  <c r="AB32" i="54" s="1"/>
  <c r="AB33" i="54" s="1"/>
  <c r="AB34" i="54" s="1"/>
  <c r="AB35" i="54" s="1"/>
  <c r="AB36" i="54" s="1"/>
  <c r="AB37" i="54" s="1"/>
  <c r="AB38" i="54" s="1"/>
  <c r="AB39" i="54" s="1"/>
  <c r="AB40" i="54" s="1"/>
  <c r="AB41" i="54" s="1"/>
  <c r="AB42" i="54" s="1"/>
  <c r="AB43" i="54" s="1"/>
  <c r="AB44" i="54" s="1"/>
  <c r="AB45" i="54" s="1"/>
  <c r="AB46" i="54" s="1"/>
  <c r="AB47" i="54" s="1"/>
  <c r="AB48" i="54" s="1"/>
  <c r="AB49" i="54" s="1"/>
  <c r="AB50" i="54" s="1"/>
  <c r="AB51" i="54" s="1"/>
  <c r="AB52" i="54" s="1"/>
  <c r="AE6" i="54"/>
  <c r="AH6" i="54"/>
  <c r="AH7" i="54" s="1"/>
  <c r="AH8" i="54" s="1"/>
  <c r="AH9" i="54" s="1"/>
  <c r="AK6" i="54"/>
  <c r="D7" i="54"/>
  <c r="O7" i="54"/>
  <c r="Q7" i="54"/>
  <c r="Q8" i="54" s="1"/>
  <c r="Q9" i="54" s="1"/>
  <c r="Q10" i="54" s="1"/>
  <c r="Q11" i="54" s="1"/>
  <c r="Q12" i="54" s="1"/>
  <c r="Q13" i="54" s="1"/>
  <c r="Q14" i="54" s="1"/>
  <c r="Q15" i="54" s="1"/>
  <c r="Q16" i="54" s="1"/>
  <c r="Q17" i="54" s="1"/>
  <c r="Q18" i="54" s="1"/>
  <c r="Q19" i="54" s="1"/>
  <c r="Q20" i="54" s="1"/>
  <c r="Q21" i="54" s="1"/>
  <c r="Q22" i="54" s="1"/>
  <c r="Q23" i="54" s="1"/>
  <c r="Q24" i="54" s="1"/>
  <c r="Q25" i="54" s="1"/>
  <c r="Q26" i="54" s="1"/>
  <c r="Q27" i="54" s="1"/>
  <c r="Q28" i="54" s="1"/>
  <c r="Q29" i="54" s="1"/>
  <c r="Q30" i="54" s="1"/>
  <c r="Q31" i="54" s="1"/>
  <c r="Q32" i="54" s="1"/>
  <c r="Q33" i="54" s="1"/>
  <c r="Q34" i="54" s="1"/>
  <c r="Q35" i="54" s="1"/>
  <c r="Q36" i="54" s="1"/>
  <c r="Q37" i="54" s="1"/>
  <c r="Q38" i="54" s="1"/>
  <c r="Q39" i="54" s="1"/>
  <c r="Q40" i="54" s="1"/>
  <c r="Q41" i="54" s="1"/>
  <c r="Q42" i="54" s="1"/>
  <c r="Q43" i="54" s="1"/>
  <c r="Q44" i="54" s="1"/>
  <c r="Q45" i="54" s="1"/>
  <c r="Q46" i="54" s="1"/>
  <c r="Q47" i="54" s="1"/>
  <c r="Q48" i="54" s="1"/>
  <c r="Q49" i="54" s="1"/>
  <c r="Q50" i="54" s="1"/>
  <c r="Q51" i="54" s="1"/>
  <c r="Q52" i="54" s="1"/>
  <c r="Q53" i="54" s="1"/>
  <c r="Q54" i="54" s="1"/>
  <c r="Q55" i="54" s="1"/>
  <c r="Q56" i="54" s="1"/>
  <c r="Q57" i="54" s="1"/>
  <c r="Q58" i="54" s="1"/>
  <c r="Q59" i="54" s="1"/>
  <c r="Q60" i="54" s="1"/>
  <c r="W7" i="54"/>
  <c r="AE7" i="54"/>
  <c r="AE8" i="54" s="1"/>
  <c r="AE9" i="54" s="1"/>
  <c r="AE10" i="54" s="1"/>
  <c r="AE11" i="54" s="1"/>
  <c r="AE12" i="54" s="1"/>
  <c r="AE13" i="54" s="1"/>
  <c r="AE14" i="54" s="1"/>
  <c r="AE15" i="54" s="1"/>
  <c r="AE16" i="54" s="1"/>
  <c r="AE17" i="54" s="1"/>
  <c r="AE18" i="54" s="1"/>
  <c r="AE19" i="54" s="1"/>
  <c r="AE20" i="54" s="1"/>
  <c r="AE21" i="54" s="1"/>
  <c r="AE22" i="54" s="1"/>
  <c r="AE23" i="54" s="1"/>
  <c r="AE24" i="54" s="1"/>
  <c r="AE25" i="54" s="1"/>
  <c r="AE26" i="54" s="1"/>
  <c r="AE27" i="54" s="1"/>
  <c r="AE28" i="54" s="1"/>
  <c r="AE29" i="54" s="1"/>
  <c r="AE30" i="54" s="1"/>
  <c r="AE31" i="54" s="1"/>
  <c r="AE32" i="54" s="1"/>
  <c r="AE33" i="54" s="1"/>
  <c r="AE34" i="54" s="1"/>
  <c r="AE35" i="54" s="1"/>
  <c r="AE36" i="54" s="1"/>
  <c r="AE37" i="54" s="1"/>
  <c r="AE38" i="54" s="1"/>
  <c r="AE39" i="54" s="1"/>
  <c r="AE40" i="54" s="1"/>
  <c r="AE41" i="54" s="1"/>
  <c r="AE42" i="54" s="1"/>
  <c r="AE43" i="54" s="1"/>
  <c r="AE44" i="54" s="1"/>
  <c r="AE45" i="54" s="1"/>
  <c r="AE46" i="54" s="1"/>
  <c r="AE47" i="54" s="1"/>
  <c r="AE48" i="54" s="1"/>
  <c r="AE49" i="54" s="1"/>
  <c r="AE50" i="54" s="1"/>
  <c r="AE51" i="54" s="1"/>
  <c r="AE52" i="54" s="1"/>
  <c r="AE53" i="54" s="1"/>
  <c r="AE54" i="54" s="1"/>
  <c r="AE55" i="54" s="1"/>
  <c r="AE56" i="54" s="1"/>
  <c r="AE57" i="54" s="1"/>
  <c r="AE58" i="54" s="1"/>
  <c r="AE59" i="54" s="1"/>
  <c r="AE60" i="54" s="1"/>
  <c r="AE61" i="54" s="1"/>
  <c r="AE62" i="54" s="1"/>
  <c r="AE63" i="54" s="1"/>
  <c r="AE64" i="54" s="1"/>
  <c r="AE65" i="54" s="1"/>
  <c r="AE66" i="54" s="1"/>
  <c r="AE67" i="54" s="1"/>
  <c r="AE68" i="54" s="1"/>
  <c r="AE69" i="54" s="1"/>
  <c r="AE70" i="54" s="1"/>
  <c r="AE71" i="54" s="1"/>
  <c r="AE72" i="54" s="1"/>
  <c r="AE73" i="54" s="1"/>
  <c r="AE74" i="54" s="1"/>
  <c r="AE75" i="54" s="1"/>
  <c r="AE76" i="54" s="1"/>
  <c r="AE77" i="54" s="1"/>
  <c r="AE78" i="54" s="1"/>
  <c r="AE79" i="54" s="1"/>
  <c r="AE80" i="54" s="1"/>
  <c r="AE81" i="54" s="1"/>
  <c r="AE82" i="54" s="1"/>
  <c r="AE83" i="54" s="1"/>
  <c r="AE84" i="54" s="1"/>
  <c r="AE85" i="54" s="1"/>
  <c r="AE86" i="54" s="1"/>
  <c r="AE87" i="54" s="1"/>
  <c r="AE88" i="54" s="1"/>
  <c r="AE89" i="54" s="1"/>
  <c r="AE90" i="54" s="1"/>
  <c r="AE91" i="54" s="1"/>
  <c r="AE92" i="54" s="1"/>
  <c r="AE93" i="54" s="1"/>
  <c r="AE94" i="54" s="1"/>
  <c r="AE95" i="54" s="1"/>
  <c r="AE96" i="54" s="1"/>
  <c r="AE97" i="54" s="1"/>
  <c r="AE98" i="54" s="1"/>
  <c r="AE99" i="54" s="1"/>
  <c r="AE100" i="54" s="1"/>
  <c r="AE101" i="54" s="1"/>
  <c r="AE102" i="54" s="1"/>
  <c r="AE103" i="54" s="1"/>
  <c r="AE104" i="54" s="1"/>
  <c r="AE105" i="54" s="1"/>
  <c r="AE106" i="54" s="1"/>
  <c r="AE107" i="54" s="1"/>
  <c r="AE108" i="54" s="1"/>
  <c r="AE109" i="54" s="1"/>
  <c r="AE110" i="54" s="1"/>
  <c r="AE111" i="54" s="1"/>
  <c r="AK7" i="54"/>
  <c r="AK8" i="54" s="1"/>
  <c r="D8" i="54"/>
  <c r="O8" i="54"/>
  <c r="W8" i="54"/>
  <c r="D9" i="54"/>
  <c r="O9" i="54"/>
  <c r="W9" i="54"/>
  <c r="AK9" i="54"/>
  <c r="AK10" i="54" s="1"/>
  <c r="AK11" i="54" s="1"/>
  <c r="AK12" i="54" s="1"/>
  <c r="D10" i="54"/>
  <c r="O10" i="54"/>
  <c r="W10" i="54"/>
  <c r="AH10" i="54"/>
  <c r="AH11" i="54" s="1"/>
  <c r="AH12" i="54" s="1"/>
  <c r="AH13" i="54" s="1"/>
  <c r="D11" i="54"/>
  <c r="O11" i="54"/>
  <c r="W11" i="54"/>
  <c r="D12" i="54"/>
  <c r="O12" i="54"/>
  <c r="W12" i="54"/>
  <c r="D13" i="54"/>
  <c r="O13" i="54"/>
  <c r="W13" i="54"/>
  <c r="AK13" i="54"/>
  <c r="AK14" i="54" s="1"/>
  <c r="AK15" i="54" s="1"/>
  <c r="AK16" i="54" s="1"/>
  <c r="AK17" i="54" s="1"/>
  <c r="AK18" i="54" s="1"/>
  <c r="AK19" i="54" s="1"/>
  <c r="AK20" i="54" s="1"/>
  <c r="D14" i="54"/>
  <c r="O14" i="54"/>
  <c r="W14" i="54"/>
  <c r="AH14" i="54"/>
  <c r="AH15" i="54" s="1"/>
  <c r="AH16" i="54" s="1"/>
  <c r="AH17" i="54" s="1"/>
  <c r="AH18" i="54" s="1"/>
  <c r="AH19" i="54" s="1"/>
  <c r="AH20" i="54" s="1"/>
  <c r="AH21" i="54" s="1"/>
  <c r="D15" i="54"/>
  <c r="O15" i="54"/>
  <c r="W15" i="54"/>
  <c r="D16" i="54"/>
  <c r="O16" i="54"/>
  <c r="W16" i="54"/>
  <c r="D17" i="54"/>
  <c r="O17" i="54"/>
  <c r="W17" i="54"/>
  <c r="D18" i="54"/>
  <c r="O18" i="54"/>
  <c r="W18" i="54"/>
  <c r="D19" i="54"/>
  <c r="O19" i="54"/>
  <c r="W19" i="54"/>
  <c r="D20" i="54"/>
  <c r="O20" i="54"/>
  <c r="W20" i="54"/>
  <c r="D21" i="54"/>
  <c r="O21" i="54"/>
  <c r="W21" i="54"/>
  <c r="AK21" i="54"/>
  <c r="AK22" i="54" s="1"/>
  <c r="AK23" i="54" s="1"/>
  <c r="AK24" i="54" s="1"/>
  <c r="AK25" i="54" s="1"/>
  <c r="AK26" i="54" s="1"/>
  <c r="AK27" i="54" s="1"/>
  <c r="AK28" i="54" s="1"/>
  <c r="AK29" i="54" s="1"/>
  <c r="AK30" i="54" s="1"/>
  <c r="AK31" i="54" s="1"/>
  <c r="AK32" i="54" s="1"/>
  <c r="AK33" i="54" s="1"/>
  <c r="AK34" i="54" s="1"/>
  <c r="AK35" i="54" s="1"/>
  <c r="AK36" i="54" s="1"/>
  <c r="AK37" i="54" s="1"/>
  <c r="AK38" i="54" s="1"/>
  <c r="AK39" i="54" s="1"/>
  <c r="AK40" i="54" s="1"/>
  <c r="AK41" i="54" s="1"/>
  <c r="AK42" i="54" s="1"/>
  <c r="AK43" i="54" s="1"/>
  <c r="AK44" i="54" s="1"/>
  <c r="AK45" i="54" s="1"/>
  <c r="AK46" i="54" s="1"/>
  <c r="AK47" i="54" s="1"/>
  <c r="AK48" i="54" s="1"/>
  <c r="AK49" i="54" s="1"/>
  <c r="AK50" i="54" s="1"/>
  <c r="AK51" i="54" s="1"/>
  <c r="AK52" i="54" s="1"/>
  <c r="AK53" i="54" s="1"/>
  <c r="AK54" i="54" s="1"/>
  <c r="AK55" i="54" s="1"/>
  <c r="AK56" i="54" s="1"/>
  <c r="AK57" i="54" s="1"/>
  <c r="AK58" i="54" s="1"/>
  <c r="AK59" i="54" s="1"/>
  <c r="AK60" i="54" s="1"/>
  <c r="AK61" i="54" s="1"/>
  <c r="AK62" i="54" s="1"/>
  <c r="AK63" i="54" s="1"/>
  <c r="AK64" i="54" s="1"/>
  <c r="AK65" i="54" s="1"/>
  <c r="AK66" i="54" s="1"/>
  <c r="AK67" i="54" s="1"/>
  <c r="AK68" i="54" s="1"/>
  <c r="AK69" i="54" s="1"/>
  <c r="AK70" i="54" s="1"/>
  <c r="AK71" i="54" s="1"/>
  <c r="AK72" i="54" s="1"/>
  <c r="AK73" i="54" s="1"/>
  <c r="AK74" i="54" s="1"/>
  <c r="AK75" i="54" s="1"/>
  <c r="AK76" i="54" s="1"/>
  <c r="AK77" i="54" s="1"/>
  <c r="AK78" i="54" s="1"/>
  <c r="AK79" i="54" s="1"/>
  <c r="AK80" i="54" s="1"/>
  <c r="AK81" i="54" s="1"/>
  <c r="AK82" i="54" s="1"/>
  <c r="AK83" i="54" s="1"/>
  <c r="AK84" i="54" s="1"/>
  <c r="AK85" i="54" s="1"/>
  <c r="AK86" i="54" s="1"/>
  <c r="AK87" i="54" s="1"/>
  <c r="AK88" i="54" s="1"/>
  <c r="AK89" i="54" s="1"/>
  <c r="AK90" i="54" s="1"/>
  <c r="AK91" i="54" s="1"/>
  <c r="AK92" i="54" s="1"/>
  <c r="AK93" i="54" s="1"/>
  <c r="AK94" i="54" s="1"/>
  <c r="AK95" i="54" s="1"/>
  <c r="AK96" i="54" s="1"/>
  <c r="AK97" i="54" s="1"/>
  <c r="AK98" i="54" s="1"/>
  <c r="AK99" i="54" s="1"/>
  <c r="AK100" i="54" s="1"/>
  <c r="AK101" i="54" s="1"/>
  <c r="AK102" i="54" s="1"/>
  <c r="AK103" i="54" s="1"/>
  <c r="AK104" i="54" s="1"/>
  <c r="AK105" i="54" s="1"/>
  <c r="AK106" i="54" s="1"/>
  <c r="AK107" i="54" s="1"/>
  <c r="AK108" i="54" s="1"/>
  <c r="AK109" i="54" s="1"/>
  <c r="AK110" i="54" s="1"/>
  <c r="AK111" i="54" s="1"/>
  <c r="D22" i="54"/>
  <c r="O22" i="54"/>
  <c r="W22" i="54"/>
  <c r="AH22" i="54"/>
  <c r="AH23" i="54" s="1"/>
  <c r="AH24" i="54" s="1"/>
  <c r="AH25" i="54" s="1"/>
  <c r="AH26" i="54" s="1"/>
  <c r="AH27" i="54" s="1"/>
  <c r="AH28" i="54" s="1"/>
  <c r="AH29" i="54" s="1"/>
  <c r="AH30" i="54" s="1"/>
  <c r="AH31" i="54" s="1"/>
  <c r="AH32" i="54" s="1"/>
  <c r="AH33" i="54" s="1"/>
  <c r="AH34" i="54" s="1"/>
  <c r="AH35" i="54" s="1"/>
  <c r="AH36" i="54" s="1"/>
  <c r="AH37" i="54" s="1"/>
  <c r="AH38" i="54" s="1"/>
  <c r="AH39" i="54" s="1"/>
  <c r="AH40" i="54" s="1"/>
  <c r="AH41" i="54" s="1"/>
  <c r="AH42" i="54" s="1"/>
  <c r="AH43" i="54" s="1"/>
  <c r="AH44" i="54" s="1"/>
  <c r="AH45" i="54" s="1"/>
  <c r="AH46" i="54" s="1"/>
  <c r="AH47" i="54" s="1"/>
  <c r="AH48" i="54" s="1"/>
  <c r="AH49" i="54" s="1"/>
  <c r="AH50" i="54" s="1"/>
  <c r="AH51" i="54" s="1"/>
  <c r="AH52" i="54" s="1"/>
  <c r="AH53" i="54" s="1"/>
  <c r="AH54" i="54" s="1"/>
  <c r="AH55" i="54" s="1"/>
  <c r="AH56" i="54" s="1"/>
  <c r="AH57" i="54" s="1"/>
  <c r="AH58" i="54" s="1"/>
  <c r="AH59" i="54" s="1"/>
  <c r="AH60" i="54" s="1"/>
  <c r="AH61" i="54" s="1"/>
  <c r="AH62" i="54" s="1"/>
  <c r="AH63" i="54" s="1"/>
  <c r="AH64" i="54" s="1"/>
  <c r="AH65" i="54" s="1"/>
  <c r="AH66" i="54" s="1"/>
  <c r="AH67" i="54" s="1"/>
  <c r="AH68" i="54" s="1"/>
  <c r="AH69" i="54" s="1"/>
  <c r="AH70" i="54" s="1"/>
  <c r="AH71" i="54" s="1"/>
  <c r="AH72" i="54" s="1"/>
  <c r="AH73" i="54" s="1"/>
  <c r="AH74" i="54" s="1"/>
  <c r="AH75" i="54" s="1"/>
  <c r="AH76" i="54" s="1"/>
  <c r="AH77" i="54" s="1"/>
  <c r="AH78" i="54" s="1"/>
  <c r="AH79" i="54" s="1"/>
  <c r="AH80" i="54" s="1"/>
  <c r="AH81" i="54" s="1"/>
  <c r="AH82" i="54" s="1"/>
  <c r="AH83" i="54" s="1"/>
  <c r="AH84" i="54" s="1"/>
  <c r="AH85" i="54" s="1"/>
  <c r="AH86" i="54" s="1"/>
  <c r="AH87" i="54" s="1"/>
  <c r="AH88" i="54" s="1"/>
  <c r="AH89" i="54" s="1"/>
  <c r="AH90" i="54" s="1"/>
  <c r="AH91" i="54" s="1"/>
  <c r="AH92" i="54" s="1"/>
  <c r="AH93" i="54" s="1"/>
  <c r="AH94" i="54" s="1"/>
  <c r="AH95" i="54" s="1"/>
  <c r="AH96" i="54" s="1"/>
  <c r="AH97" i="54" s="1"/>
  <c r="AH98" i="54" s="1"/>
  <c r="AH99" i="54" s="1"/>
  <c r="AH100" i="54" s="1"/>
  <c r="AH101" i="54" s="1"/>
  <c r="AH102" i="54" s="1"/>
  <c r="AH103" i="54" s="1"/>
  <c r="AH104" i="54" s="1"/>
  <c r="AH105" i="54" s="1"/>
  <c r="AH106" i="54" s="1"/>
  <c r="AH107" i="54" s="1"/>
  <c r="AH108" i="54" s="1"/>
  <c r="AH109" i="54" s="1"/>
  <c r="AH110" i="54" s="1"/>
  <c r="AH111" i="54" s="1"/>
  <c r="D23" i="54"/>
  <c r="O23" i="54"/>
  <c r="W23" i="54"/>
  <c r="D24" i="54"/>
  <c r="O24" i="54"/>
  <c r="W24" i="54"/>
  <c r="D25" i="54"/>
  <c r="O25" i="54"/>
  <c r="W25" i="54"/>
  <c r="D26" i="54"/>
  <c r="O26" i="54"/>
  <c r="W26" i="54"/>
  <c r="D27" i="54"/>
  <c r="O27" i="54"/>
  <c r="W27" i="54"/>
  <c r="D28" i="54"/>
  <c r="O28" i="54"/>
  <c r="W28" i="54"/>
  <c r="D29" i="54"/>
  <c r="O29" i="54"/>
  <c r="W29" i="54"/>
  <c r="D30" i="54"/>
  <c r="O30" i="54"/>
  <c r="W30" i="54"/>
  <c r="D31" i="54"/>
  <c r="O31" i="54"/>
  <c r="W31" i="54"/>
  <c r="D32" i="54"/>
  <c r="O32" i="54"/>
  <c r="W32" i="54"/>
  <c r="D33" i="54"/>
  <c r="O33" i="54"/>
  <c r="W33" i="54"/>
  <c r="D34" i="54"/>
  <c r="O34" i="54"/>
  <c r="W34" i="54"/>
  <c r="D35" i="54"/>
  <c r="O35" i="54"/>
  <c r="W35" i="54"/>
  <c r="D36" i="54"/>
  <c r="O36" i="54"/>
  <c r="W36" i="54"/>
  <c r="D37" i="54"/>
  <c r="O37" i="54"/>
  <c r="W37" i="54"/>
  <c r="D38" i="54"/>
  <c r="O38" i="54"/>
  <c r="W38" i="54"/>
  <c r="D39" i="54"/>
  <c r="O39" i="54"/>
  <c r="W39" i="54"/>
  <c r="D40" i="54"/>
  <c r="O40" i="54"/>
  <c r="W40" i="54"/>
  <c r="D41" i="54"/>
  <c r="O41" i="54"/>
  <c r="W41" i="54"/>
  <c r="D42" i="54"/>
  <c r="O42" i="54"/>
  <c r="W42" i="54"/>
  <c r="D43" i="54"/>
  <c r="O43" i="54"/>
  <c r="W43" i="54"/>
  <c r="D44" i="54"/>
  <c r="O44" i="54"/>
  <c r="W44" i="54"/>
  <c r="D45" i="54"/>
  <c r="O45" i="54"/>
  <c r="W45" i="54"/>
  <c r="D46" i="54"/>
  <c r="O46" i="54"/>
  <c r="W46" i="54"/>
  <c r="D47" i="54"/>
  <c r="O47" i="54"/>
  <c r="W47" i="54"/>
  <c r="D48" i="54"/>
  <c r="O48" i="54"/>
  <c r="W48" i="54"/>
  <c r="D49" i="54"/>
  <c r="O49" i="54"/>
  <c r="W49" i="54"/>
  <c r="D50" i="54"/>
  <c r="O50" i="54"/>
  <c r="W50" i="54"/>
  <c r="D51" i="54"/>
  <c r="O51" i="54"/>
  <c r="W51" i="54"/>
  <c r="D52" i="54"/>
  <c r="O52" i="54"/>
  <c r="W52" i="54"/>
  <c r="D53" i="54"/>
  <c r="O53" i="54"/>
  <c r="W53" i="54"/>
  <c r="AB53" i="54"/>
  <c r="AB54" i="54" s="1"/>
  <c r="AB55" i="54" s="1"/>
  <c r="AB56" i="54" s="1"/>
  <c r="AB57" i="54" s="1"/>
  <c r="AB58" i="54" s="1"/>
  <c r="AB59" i="54" s="1"/>
  <c r="AB60" i="54" s="1"/>
  <c r="AB61" i="54" s="1"/>
  <c r="AB62" i="54" s="1"/>
  <c r="AB63" i="54" s="1"/>
  <c r="AB64" i="54" s="1"/>
  <c r="AB65" i="54" s="1"/>
  <c r="AB66" i="54" s="1"/>
  <c r="AB67" i="54" s="1"/>
  <c r="AB68" i="54" s="1"/>
  <c r="AB69" i="54" s="1"/>
  <c r="AB70" i="54" s="1"/>
  <c r="AB71" i="54" s="1"/>
  <c r="AB72" i="54" s="1"/>
  <c r="AB73" i="54" s="1"/>
  <c r="AB74" i="54" s="1"/>
  <c r="AB75" i="54" s="1"/>
  <c r="AB76" i="54" s="1"/>
  <c r="AB77" i="54" s="1"/>
  <c r="AB78" i="54" s="1"/>
  <c r="AB79" i="54" s="1"/>
  <c r="AB80" i="54" s="1"/>
  <c r="AB81" i="54" s="1"/>
  <c r="AB82" i="54" s="1"/>
  <c r="AB83" i="54" s="1"/>
  <c r="AB84" i="54" s="1"/>
  <c r="AB85" i="54" s="1"/>
  <c r="AB86" i="54" s="1"/>
  <c r="AB87" i="54" s="1"/>
  <c r="AB88" i="54" s="1"/>
  <c r="AB89" i="54" s="1"/>
  <c r="AB90" i="54" s="1"/>
  <c r="AB91" i="54" s="1"/>
  <c r="AB92" i="54" s="1"/>
  <c r="AB93" i="54" s="1"/>
  <c r="AB94" i="54" s="1"/>
  <c r="AB95" i="54" s="1"/>
  <c r="AB96" i="54" s="1"/>
  <c r="AB97" i="54" s="1"/>
  <c r="AB98" i="54" s="1"/>
  <c r="AB99" i="54" s="1"/>
  <c r="AB100" i="54" s="1"/>
  <c r="AB101" i="54" s="1"/>
  <c r="AB102" i="54" s="1"/>
  <c r="AB103" i="54" s="1"/>
  <c r="AB104" i="54" s="1"/>
  <c r="AB105" i="54" s="1"/>
  <c r="AB106" i="54" s="1"/>
  <c r="AB107" i="54" s="1"/>
  <c r="AB108" i="54" s="1"/>
  <c r="AB109" i="54" s="1"/>
  <c r="AB110" i="54" s="1"/>
  <c r="AB111" i="54" s="1"/>
  <c r="AB112" i="54" s="1"/>
  <c r="AB113" i="54" s="1"/>
  <c r="AB114" i="54" s="1"/>
  <c r="D54" i="54"/>
  <c r="O54" i="54"/>
  <c r="W54" i="54"/>
  <c r="D55" i="54"/>
  <c r="O55" i="54"/>
  <c r="W55" i="54"/>
  <c r="D56" i="54"/>
  <c r="O56" i="54"/>
  <c r="W56" i="54"/>
  <c r="D57" i="54"/>
  <c r="O57" i="54"/>
  <c r="W57" i="54"/>
  <c r="D58" i="54"/>
  <c r="O58" i="54"/>
  <c r="W58" i="54"/>
  <c r="D59" i="54"/>
  <c r="O59" i="54"/>
  <c r="W59" i="54"/>
  <c r="D60" i="54"/>
  <c r="O60" i="54"/>
  <c r="W60" i="54"/>
  <c r="D61" i="54"/>
  <c r="O61" i="54"/>
  <c r="Q61" i="54"/>
  <c r="Q62" i="54" s="1"/>
  <c r="Q63" i="54" s="1"/>
  <c r="Q64" i="54" s="1"/>
  <c r="Q65" i="54" s="1"/>
  <c r="Q66" i="54" s="1"/>
  <c r="Q67" i="54" s="1"/>
  <c r="Q68" i="54" s="1"/>
  <c r="Q69" i="54" s="1"/>
  <c r="Q70" i="54" s="1"/>
  <c r="Q71" i="54" s="1"/>
  <c r="Q72" i="54" s="1"/>
  <c r="Q73" i="54" s="1"/>
  <c r="Q74" i="54" s="1"/>
  <c r="Q75" i="54" s="1"/>
  <c r="Q76" i="54" s="1"/>
  <c r="Q77" i="54" s="1"/>
  <c r="Q78" i="54" s="1"/>
  <c r="Q79" i="54" s="1"/>
  <c r="Q80" i="54" s="1"/>
  <c r="Q81" i="54" s="1"/>
  <c r="Q82" i="54" s="1"/>
  <c r="Q83" i="54" s="1"/>
  <c r="Q84" i="54" s="1"/>
  <c r="Q85" i="54" s="1"/>
  <c r="Q86" i="54" s="1"/>
  <c r="Q87" i="54" s="1"/>
  <c r="Q88" i="54" s="1"/>
  <c r="Q89" i="54" s="1"/>
  <c r="Q90" i="54" s="1"/>
  <c r="Q91" i="54" s="1"/>
  <c r="Q92" i="54" s="1"/>
  <c r="Q93" i="54" s="1"/>
  <c r="Q94" i="54" s="1"/>
  <c r="Q95" i="54" s="1"/>
  <c r="Q96" i="54" s="1"/>
  <c r="Q97" i="54" s="1"/>
  <c r="Q98" i="54" s="1"/>
  <c r="Q99" i="54" s="1"/>
  <c r="Q100" i="54" s="1"/>
  <c r="Q101" i="54" s="1"/>
  <c r="Q102" i="54" s="1"/>
  <c r="Q103" i="54" s="1"/>
  <c r="Q104" i="54" s="1"/>
  <c r="Q105" i="54" s="1"/>
  <c r="Q106" i="54" s="1"/>
  <c r="Q107" i="54" s="1"/>
  <c r="Q108" i="54" s="1"/>
  <c r="Q109" i="54" s="1"/>
  <c r="Q110" i="54" s="1"/>
  <c r="Q111" i="54" s="1"/>
  <c r="Q112" i="54" s="1"/>
  <c r="Q113" i="54" s="1"/>
  <c r="Q114" i="54" s="1"/>
  <c r="W61" i="54"/>
  <c r="D62" i="54"/>
  <c r="O62" i="54"/>
  <c r="W62" i="54"/>
  <c r="D63" i="54"/>
  <c r="O63" i="54"/>
  <c r="W63" i="54"/>
  <c r="D64" i="54"/>
  <c r="O64" i="54"/>
  <c r="W64" i="54"/>
  <c r="D65" i="54"/>
  <c r="O65" i="54"/>
  <c r="W65" i="54"/>
  <c r="D66" i="54"/>
  <c r="O66" i="54"/>
  <c r="W66" i="54"/>
  <c r="D67" i="54"/>
  <c r="O67" i="54"/>
  <c r="W67" i="54"/>
  <c r="D68" i="54"/>
  <c r="O68" i="54"/>
  <c r="W68" i="54"/>
  <c r="D69" i="54"/>
  <c r="O69" i="54"/>
  <c r="W69" i="54"/>
  <c r="D70" i="54"/>
  <c r="O70" i="54"/>
  <c r="W70" i="54"/>
  <c r="D71" i="54"/>
  <c r="O71" i="54"/>
  <c r="W71" i="54"/>
  <c r="D72" i="54"/>
  <c r="O72" i="54"/>
  <c r="W72" i="54"/>
  <c r="D73" i="54"/>
  <c r="O73" i="54"/>
  <c r="W73" i="54"/>
  <c r="D74" i="54"/>
  <c r="O74" i="54"/>
  <c r="W74" i="54"/>
  <c r="D75" i="54"/>
  <c r="O75" i="54"/>
  <c r="W75" i="54"/>
  <c r="D76" i="54"/>
  <c r="O76" i="54"/>
  <c r="W76" i="54"/>
  <c r="D77" i="54"/>
  <c r="O77" i="54"/>
  <c r="W77" i="54"/>
  <c r="D78" i="54"/>
  <c r="O78" i="54"/>
  <c r="W78" i="54"/>
  <c r="D79" i="54"/>
  <c r="O79" i="54"/>
  <c r="W79" i="54"/>
  <c r="D80" i="54"/>
  <c r="O80" i="54"/>
  <c r="W80" i="54"/>
  <c r="D81" i="54"/>
  <c r="O81" i="54"/>
  <c r="W81" i="54"/>
  <c r="D82" i="54"/>
  <c r="O82" i="54"/>
  <c r="W82" i="54"/>
  <c r="D83" i="54"/>
  <c r="O83" i="54"/>
  <c r="W83" i="54"/>
  <c r="D84" i="54"/>
  <c r="O84" i="54"/>
  <c r="W84" i="54"/>
  <c r="D85" i="54"/>
  <c r="O85" i="54"/>
  <c r="W85" i="54"/>
  <c r="D86" i="54"/>
  <c r="O86" i="54"/>
  <c r="W86" i="54"/>
  <c r="D87" i="54"/>
  <c r="O87" i="54"/>
  <c r="W87" i="54"/>
  <c r="D88" i="54"/>
  <c r="O88" i="54"/>
  <c r="W88" i="54"/>
  <c r="D89" i="54"/>
  <c r="O89" i="54"/>
  <c r="W89" i="54"/>
  <c r="D90" i="54"/>
  <c r="O90" i="54"/>
  <c r="W90" i="54"/>
  <c r="D91" i="54"/>
  <c r="I91" i="54"/>
  <c r="O91" i="54"/>
  <c r="W91" i="54"/>
  <c r="D92" i="54"/>
  <c r="I92" i="54"/>
  <c r="O92" i="54"/>
  <c r="W92" i="54"/>
  <c r="D93" i="54"/>
  <c r="I93" i="54"/>
  <c r="O93" i="54"/>
  <c r="W93" i="54"/>
  <c r="D94" i="54"/>
  <c r="I94" i="54"/>
  <c r="O94" i="54"/>
  <c r="W94" i="54"/>
  <c r="D95" i="54"/>
  <c r="I95" i="54"/>
  <c r="O95" i="54"/>
  <c r="W95" i="54"/>
  <c r="D96" i="54"/>
  <c r="I96" i="54"/>
  <c r="O96" i="54"/>
  <c r="W96" i="54"/>
  <c r="D97" i="54"/>
  <c r="I97" i="54"/>
  <c r="O97" i="54"/>
  <c r="W97" i="54"/>
  <c r="D98" i="54"/>
  <c r="I98" i="54"/>
  <c r="O98" i="54"/>
  <c r="W98" i="54"/>
  <c r="D99" i="54"/>
  <c r="I99" i="54"/>
  <c r="O99" i="54"/>
  <c r="W99" i="54"/>
  <c r="D100" i="54"/>
  <c r="I100" i="54"/>
  <c r="O100" i="54"/>
  <c r="W100" i="54"/>
  <c r="D101" i="54"/>
  <c r="I101" i="54"/>
  <c r="O101" i="54"/>
  <c r="W101" i="54"/>
  <c r="D102" i="54"/>
  <c r="I102" i="54"/>
  <c r="O102" i="54"/>
  <c r="W102" i="54"/>
  <c r="D103" i="54"/>
  <c r="I103" i="54"/>
  <c r="O103" i="54"/>
  <c r="W103" i="54"/>
  <c r="D104" i="54"/>
  <c r="I104" i="54"/>
  <c r="O104" i="54"/>
  <c r="W104" i="54"/>
  <c r="D105" i="54"/>
  <c r="I105" i="54"/>
  <c r="O105" i="54"/>
  <c r="W105" i="54"/>
  <c r="D106" i="54"/>
  <c r="I106" i="54"/>
  <c r="O106" i="54"/>
  <c r="W106" i="54"/>
  <c r="D107" i="54"/>
  <c r="I107" i="54"/>
  <c r="O107" i="54"/>
  <c r="W107" i="54"/>
  <c r="D108" i="54"/>
  <c r="I108" i="54"/>
  <c r="O108" i="54"/>
  <c r="W108" i="54"/>
  <c r="D109" i="54"/>
  <c r="I109" i="54"/>
  <c r="O109" i="54"/>
  <c r="W109" i="54"/>
  <c r="D110" i="54"/>
  <c r="I110" i="54"/>
  <c r="O110" i="54"/>
  <c r="W110" i="54"/>
  <c r="D111" i="54"/>
  <c r="I111" i="54"/>
  <c r="O111" i="54"/>
  <c r="W111" i="54"/>
  <c r="D112" i="54"/>
  <c r="I112" i="54"/>
  <c r="O112" i="54"/>
  <c r="W112" i="54"/>
  <c r="D113" i="54"/>
  <c r="I113" i="54"/>
  <c r="O113" i="54"/>
  <c r="W113" i="54"/>
  <c r="D114" i="54"/>
  <c r="I114" i="54"/>
  <c r="O114" i="54"/>
  <c r="W114" i="54"/>
  <c r="W8" i="55"/>
  <c r="W9" i="55"/>
  <c r="W10" i="55"/>
  <c r="W11" i="55"/>
  <c r="W12" i="55"/>
  <c r="W13" i="55"/>
  <c r="W14" i="55"/>
  <c r="W15" i="55"/>
  <c r="W16" i="55"/>
  <c r="W17" i="55"/>
  <c r="W18" i="55"/>
  <c r="W19" i="55"/>
  <c r="W20" i="55"/>
  <c r="W21" i="55"/>
  <c r="W22" i="55"/>
  <c r="W23" i="55"/>
  <c r="W24" i="55"/>
  <c r="W25" i="55"/>
  <c r="W26" i="55"/>
  <c r="W27" i="55"/>
  <c r="W28" i="55"/>
  <c r="W29" i="55"/>
  <c r="W30" i="55"/>
  <c r="W31" i="55"/>
  <c r="W32" i="55"/>
  <c r="W33" i="55"/>
  <c r="W34" i="55"/>
  <c r="W35" i="55"/>
  <c r="W36" i="55"/>
  <c r="W37" i="55"/>
  <c r="W38" i="55"/>
  <c r="W39" i="55"/>
  <c r="W40" i="55"/>
  <c r="W41" i="55"/>
  <c r="W42" i="55"/>
  <c r="W43" i="55"/>
  <c r="W44" i="55"/>
  <c r="W45" i="55"/>
  <c r="W46" i="55"/>
  <c r="W47" i="55"/>
  <c r="W48" i="55"/>
  <c r="W49" i="55"/>
  <c r="W50" i="55"/>
  <c r="W51" i="55"/>
  <c r="W52" i="55"/>
  <c r="W53" i="55"/>
  <c r="W54" i="55"/>
  <c r="W55" i="55"/>
  <c r="W56" i="55"/>
  <c r="W57" i="55"/>
  <c r="W58" i="55"/>
  <c r="W59" i="55"/>
  <c r="W60" i="55"/>
  <c r="W61" i="55"/>
  <c r="W62" i="55"/>
  <c r="W63" i="55"/>
  <c r="W64" i="55"/>
  <c r="W65" i="55"/>
  <c r="W66" i="55"/>
  <c r="W67" i="55"/>
  <c r="W68" i="55"/>
  <c r="W69" i="55"/>
  <c r="W70" i="55"/>
  <c r="W71" i="55"/>
  <c r="W72" i="55"/>
  <c r="W73" i="55"/>
  <c r="W74" i="55"/>
  <c r="W75" i="55"/>
  <c r="W76" i="55"/>
  <c r="W77" i="55"/>
  <c r="W78" i="55"/>
  <c r="W79" i="55"/>
  <c r="W80" i="55"/>
  <c r="W81" i="55"/>
  <c r="W82" i="55"/>
  <c r="W83" i="55"/>
  <c r="W84" i="55"/>
  <c r="W85" i="55"/>
  <c r="W86" i="55"/>
  <c r="W87" i="55"/>
  <c r="W88" i="55"/>
  <c r="W89" i="55"/>
  <c r="W90" i="55"/>
  <c r="W91" i="55"/>
  <c r="W92" i="55"/>
  <c r="W93" i="55"/>
  <c r="W94" i="55"/>
  <c r="W95" i="55"/>
  <c r="W96" i="55"/>
  <c r="W97" i="55"/>
  <c r="W98" i="55"/>
  <c r="W99" i="55"/>
  <c r="W100" i="55"/>
  <c r="W101" i="55"/>
  <c r="W102" i="55"/>
  <c r="W103" i="55"/>
  <c r="W104" i="55"/>
  <c r="W105" i="55"/>
  <c r="W106" i="55"/>
  <c r="W107" i="55"/>
  <c r="W108" i="55"/>
  <c r="W109" i="55"/>
  <c r="W110" i="55"/>
  <c r="W111" i="55"/>
  <c r="W112" i="55"/>
  <c r="W113" i="55"/>
  <c r="W114" i="55"/>
  <c r="W115" i="55"/>
  <c r="W116" i="55"/>
  <c r="W117" i="55"/>
  <c r="W118" i="55"/>
  <c r="W7" i="55"/>
  <c r="W6" i="55"/>
  <c r="Y6" i="55" s="1"/>
  <c r="AK7" i="55"/>
  <c r="AK8" i="55" s="1"/>
  <c r="AK9" i="55" s="1"/>
  <c r="AK10" i="55" s="1"/>
  <c r="AK11" i="55" s="1"/>
  <c r="AK12" i="55" s="1"/>
  <c r="AK13" i="55" s="1"/>
  <c r="AK14" i="55" s="1"/>
  <c r="AK15" i="55" s="1"/>
  <c r="AK16" i="55" s="1"/>
  <c r="AK17" i="55" s="1"/>
  <c r="AK18" i="55" s="1"/>
  <c r="AK19" i="55" s="1"/>
  <c r="AK20" i="55" s="1"/>
  <c r="AK21" i="55" s="1"/>
  <c r="AK22" i="55" s="1"/>
  <c r="AK23" i="55" s="1"/>
  <c r="AK24" i="55" s="1"/>
  <c r="AK25" i="55" s="1"/>
  <c r="AK26" i="55" s="1"/>
  <c r="AK27" i="55" s="1"/>
  <c r="AK28" i="55" s="1"/>
  <c r="AK29" i="55" s="1"/>
  <c r="AK30" i="55" s="1"/>
  <c r="AK31" i="55" s="1"/>
  <c r="AK32" i="55" s="1"/>
  <c r="AK33" i="55" s="1"/>
  <c r="AK34" i="55" s="1"/>
  <c r="AK35" i="55" s="1"/>
  <c r="AK36" i="55" s="1"/>
  <c r="AK37" i="55" s="1"/>
  <c r="AK38" i="55" s="1"/>
  <c r="AK39" i="55" s="1"/>
  <c r="AK40" i="55" s="1"/>
  <c r="AK41" i="55" s="1"/>
  <c r="AK42" i="55" s="1"/>
  <c r="AK43" i="55" s="1"/>
  <c r="AK44" i="55" s="1"/>
  <c r="AK45" i="55" s="1"/>
  <c r="AK46" i="55" s="1"/>
  <c r="AK47" i="55" s="1"/>
  <c r="AK48" i="55" s="1"/>
  <c r="AK49" i="55" s="1"/>
  <c r="AK50" i="55" s="1"/>
  <c r="AK51" i="55" s="1"/>
  <c r="AK52" i="55" s="1"/>
  <c r="AK53" i="55" s="1"/>
  <c r="AK54" i="55" s="1"/>
  <c r="AK55" i="55" s="1"/>
  <c r="AK56" i="55" s="1"/>
  <c r="AK57" i="55" s="1"/>
  <c r="AK58" i="55" s="1"/>
  <c r="AK59" i="55" s="1"/>
  <c r="AK60" i="55" s="1"/>
  <c r="AK61" i="55" s="1"/>
  <c r="AK62" i="55" s="1"/>
  <c r="AK63" i="55" s="1"/>
  <c r="AK64" i="55" s="1"/>
  <c r="AK65" i="55" s="1"/>
  <c r="AK66" i="55" s="1"/>
  <c r="AK67" i="55" s="1"/>
  <c r="AK68" i="55" s="1"/>
  <c r="AK69" i="55" s="1"/>
  <c r="AK70" i="55" s="1"/>
  <c r="AK71" i="55" s="1"/>
  <c r="AK72" i="55" s="1"/>
  <c r="AK73" i="55" s="1"/>
  <c r="AK74" i="55" s="1"/>
  <c r="AK75" i="55" s="1"/>
  <c r="AK76" i="55" s="1"/>
  <c r="AK77" i="55" s="1"/>
  <c r="AK78" i="55" s="1"/>
  <c r="AK79" i="55" s="1"/>
  <c r="AK80" i="55" s="1"/>
  <c r="AK81" i="55" s="1"/>
  <c r="AK82" i="55" s="1"/>
  <c r="AK83" i="55" s="1"/>
  <c r="AK84" i="55" s="1"/>
  <c r="AK85" i="55" s="1"/>
  <c r="AK86" i="55" s="1"/>
  <c r="AK87" i="55" s="1"/>
  <c r="AK88" i="55" s="1"/>
  <c r="AK89" i="55" s="1"/>
  <c r="AK90" i="55" s="1"/>
  <c r="AK91" i="55" s="1"/>
  <c r="AK92" i="55" s="1"/>
  <c r="AK93" i="55" s="1"/>
  <c r="AK94" i="55" s="1"/>
  <c r="AK95" i="55" s="1"/>
  <c r="AK96" i="55" s="1"/>
  <c r="AK97" i="55" s="1"/>
  <c r="AK98" i="55" s="1"/>
  <c r="AK99" i="55" s="1"/>
  <c r="AK100" i="55" s="1"/>
  <c r="AK101" i="55" s="1"/>
  <c r="AK102" i="55" s="1"/>
  <c r="AK103" i="55" s="1"/>
  <c r="AK104" i="55" s="1"/>
  <c r="AK105" i="55" s="1"/>
  <c r="AK106" i="55" s="1"/>
  <c r="AK107" i="55" s="1"/>
  <c r="AK108" i="55" s="1"/>
  <c r="AK109" i="55" s="1"/>
  <c r="AK110" i="55" s="1"/>
  <c r="AK111" i="55" s="1"/>
  <c r="AK6" i="55"/>
  <c r="AH7" i="55"/>
  <c r="AH6" i="55"/>
  <c r="AE7" i="55"/>
  <c r="AE6" i="55"/>
  <c r="AB7" i="55"/>
  <c r="AB6" i="55"/>
  <c r="Q7" i="55"/>
  <c r="Q6" i="55"/>
  <c r="O7" i="55"/>
  <c r="O6" i="55"/>
  <c r="O8" i="55"/>
  <c r="Q8" i="55" s="1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55" i="55"/>
  <c r="O56" i="55"/>
  <c r="O57" i="55"/>
  <c r="O58" i="55"/>
  <c r="O59" i="55"/>
  <c r="O60" i="55"/>
  <c r="O61" i="55"/>
  <c r="O62" i="55"/>
  <c r="O63" i="55"/>
  <c r="O64" i="55"/>
  <c r="O65" i="55"/>
  <c r="O66" i="55"/>
  <c r="O67" i="55"/>
  <c r="O68" i="55"/>
  <c r="O69" i="55"/>
  <c r="O70" i="55"/>
  <c r="O71" i="55"/>
  <c r="O72" i="55"/>
  <c r="O73" i="55"/>
  <c r="O74" i="55"/>
  <c r="O75" i="55"/>
  <c r="O76" i="55"/>
  <c r="O77" i="55"/>
  <c r="O78" i="55"/>
  <c r="O79" i="55"/>
  <c r="O80" i="55"/>
  <c r="O81" i="55"/>
  <c r="O82" i="55"/>
  <c r="O83" i="55"/>
  <c r="O84" i="55"/>
  <c r="O85" i="55"/>
  <c r="O86" i="55"/>
  <c r="O87" i="55"/>
  <c r="O88" i="55"/>
  <c r="O89" i="55"/>
  <c r="O90" i="55"/>
  <c r="O91" i="55"/>
  <c r="O92" i="55"/>
  <c r="O93" i="55"/>
  <c r="O94" i="55"/>
  <c r="O95" i="55"/>
  <c r="O96" i="55"/>
  <c r="O97" i="55"/>
  <c r="O98" i="55"/>
  <c r="O99" i="55"/>
  <c r="O100" i="55"/>
  <c r="O101" i="55"/>
  <c r="O102" i="55"/>
  <c r="O103" i="55"/>
  <c r="O104" i="55"/>
  <c r="O105" i="55"/>
  <c r="O106" i="55"/>
  <c r="O107" i="55"/>
  <c r="O108" i="55"/>
  <c r="O109" i="55"/>
  <c r="O110" i="55"/>
  <c r="O111" i="55"/>
  <c r="O112" i="55"/>
  <c r="O113" i="55"/>
  <c r="O114" i="55"/>
  <c r="O115" i="55"/>
  <c r="O116" i="55"/>
  <c r="O117" i="55"/>
  <c r="O118" i="55"/>
  <c r="D7" i="55"/>
  <c r="I7" i="55"/>
  <c r="AH8" i="55"/>
  <c r="AH9" i="55" s="1"/>
  <c r="AH10" i="55" s="1"/>
  <c r="AH11" i="55" s="1"/>
  <c r="AH12" i="55" s="1"/>
  <c r="AH13" i="55" s="1"/>
  <c r="AH14" i="55" s="1"/>
  <c r="AH16" i="55" s="1"/>
  <c r="AH17" i="55" s="1"/>
  <c r="AH18" i="55" s="1"/>
  <c r="AH19" i="55" s="1"/>
  <c r="AH20" i="55" s="1"/>
  <c r="AH21" i="55" s="1"/>
  <c r="AH22" i="55" s="1"/>
  <c r="AH23" i="55" s="1"/>
  <c r="AH24" i="55" s="1"/>
  <c r="AH25" i="55" s="1"/>
  <c r="AH26" i="55" s="1"/>
  <c r="AH27" i="55" s="1"/>
  <c r="AH28" i="55" s="1"/>
  <c r="AH29" i="55" s="1"/>
  <c r="AH30" i="55" s="1"/>
  <c r="AH31" i="55" s="1"/>
  <c r="AH32" i="55" s="1"/>
  <c r="AH33" i="55" s="1"/>
  <c r="AH34" i="55" s="1"/>
  <c r="AH35" i="55" s="1"/>
  <c r="AH36" i="55" s="1"/>
  <c r="AH37" i="55" s="1"/>
  <c r="AH38" i="55" s="1"/>
  <c r="AH39" i="55" s="1"/>
  <c r="AH40" i="55" s="1"/>
  <c r="AH41" i="55" s="1"/>
  <c r="AH42" i="55" s="1"/>
  <c r="AH43" i="55" s="1"/>
  <c r="AH44" i="55" s="1"/>
  <c r="AH45" i="55" s="1"/>
  <c r="AH46" i="55" s="1"/>
  <c r="AH47" i="55" s="1"/>
  <c r="AH48" i="55" s="1"/>
  <c r="AH49" i="55" s="1"/>
  <c r="AH50" i="55" s="1"/>
  <c r="AH51" i="55" s="1"/>
  <c r="AH52" i="55" s="1"/>
  <c r="AH53" i="55" s="1"/>
  <c r="AH54" i="55" s="1"/>
  <c r="AH55" i="55" s="1"/>
  <c r="AH56" i="55" s="1"/>
  <c r="AH57" i="55" s="1"/>
  <c r="AH58" i="55" s="1"/>
  <c r="AH59" i="55" s="1"/>
  <c r="AH60" i="55" s="1"/>
  <c r="AH61" i="55" s="1"/>
  <c r="AH62" i="55" s="1"/>
  <c r="AH63" i="55" s="1"/>
  <c r="AH64" i="55" s="1"/>
  <c r="AH65" i="55" s="1"/>
  <c r="AH66" i="55" s="1"/>
  <c r="AH67" i="55" s="1"/>
  <c r="AH68" i="55" s="1"/>
  <c r="AH69" i="55" s="1"/>
  <c r="AH70" i="55" s="1"/>
  <c r="AH71" i="55" s="1"/>
  <c r="AH72" i="55" s="1"/>
  <c r="AH73" i="55" s="1"/>
  <c r="AH74" i="55" s="1"/>
  <c r="AH75" i="55" s="1"/>
  <c r="AH76" i="55" s="1"/>
  <c r="AH77" i="55" s="1"/>
  <c r="AH78" i="55" s="1"/>
  <c r="AH79" i="55" s="1"/>
  <c r="AH80" i="55" s="1"/>
  <c r="AH81" i="55" s="1"/>
  <c r="AH82" i="55" s="1"/>
  <c r="AH83" i="55" s="1"/>
  <c r="AH84" i="55" s="1"/>
  <c r="AH85" i="55" s="1"/>
  <c r="AH86" i="55" s="1"/>
  <c r="AH87" i="55" s="1"/>
  <c r="AH88" i="55" s="1"/>
  <c r="AH89" i="55" s="1"/>
  <c r="AH90" i="55" s="1"/>
  <c r="AH91" i="55" s="1"/>
  <c r="AH92" i="55" s="1"/>
  <c r="AH93" i="55" s="1"/>
  <c r="AH94" i="55" s="1"/>
  <c r="AH95" i="55" s="1"/>
  <c r="AH96" i="55" s="1"/>
  <c r="AH97" i="55" s="1"/>
  <c r="AH98" i="55" s="1"/>
  <c r="AH99" i="55" s="1"/>
  <c r="AH100" i="55" s="1"/>
  <c r="AH101" i="55" s="1"/>
  <c r="AH102" i="55" s="1"/>
  <c r="AH103" i="55" s="1"/>
  <c r="AH104" i="55" s="1"/>
  <c r="AH105" i="55" s="1"/>
  <c r="AH106" i="55" s="1"/>
  <c r="AH107" i="55" s="1"/>
  <c r="AH108" i="55" s="1"/>
  <c r="AH109" i="55" s="1"/>
  <c r="AH110" i="55" s="1"/>
  <c r="AH111" i="55" s="1"/>
  <c r="I6" i="55"/>
  <c r="H133" i="55"/>
  <c r="H132" i="55"/>
  <c r="H131" i="55"/>
  <c r="S130" i="55"/>
  <c r="H130" i="55"/>
  <c r="E130" i="55"/>
  <c r="D130" i="55"/>
  <c r="S129" i="55"/>
  <c r="H129" i="55"/>
  <c r="E129" i="55"/>
  <c r="K129" i="55" s="1"/>
  <c r="S128" i="55"/>
  <c r="H128" i="55"/>
  <c r="E128" i="55"/>
  <c r="D128" i="55"/>
  <c r="S127" i="55"/>
  <c r="H127" i="55"/>
  <c r="S126" i="55"/>
  <c r="H126" i="55"/>
  <c r="O120" i="55"/>
  <c r="D118" i="55"/>
  <c r="D117" i="55"/>
  <c r="D116" i="55"/>
  <c r="D115" i="55"/>
  <c r="D114" i="55"/>
  <c r="D113" i="55"/>
  <c r="D112" i="55"/>
  <c r="D111" i="55"/>
  <c r="D110" i="55"/>
  <c r="D109" i="55"/>
  <c r="D108" i="55"/>
  <c r="D107" i="55"/>
  <c r="D106" i="55"/>
  <c r="D105" i="55"/>
  <c r="D104" i="55"/>
  <c r="D103" i="55"/>
  <c r="D102" i="55"/>
  <c r="D101" i="55"/>
  <c r="D100" i="55"/>
  <c r="D99" i="55"/>
  <c r="D98" i="55"/>
  <c r="D97" i="55"/>
  <c r="D96" i="55"/>
  <c r="D95" i="55"/>
  <c r="D94" i="55"/>
  <c r="D93" i="55"/>
  <c r="D92" i="55"/>
  <c r="D91" i="55"/>
  <c r="D90" i="55"/>
  <c r="D89" i="55"/>
  <c r="D88" i="55"/>
  <c r="D87" i="55"/>
  <c r="D86" i="55"/>
  <c r="D85" i="55"/>
  <c r="D84" i="55"/>
  <c r="D83" i="55"/>
  <c r="D82" i="55"/>
  <c r="D81" i="55"/>
  <c r="D80" i="55"/>
  <c r="D79" i="55"/>
  <c r="D78" i="55"/>
  <c r="D77" i="55"/>
  <c r="D76" i="55"/>
  <c r="D75" i="55"/>
  <c r="D74" i="55"/>
  <c r="D73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D14" i="55"/>
  <c r="D127" i="55" s="1"/>
  <c r="D13" i="55"/>
  <c r="D12" i="55"/>
  <c r="D11" i="55"/>
  <c r="D10" i="55"/>
  <c r="D9" i="55"/>
  <c r="D8" i="55"/>
  <c r="AK112" i="54" l="1"/>
  <c r="AK113" i="54"/>
  <c r="AK114" i="54" s="1"/>
  <c r="AE113" i="54"/>
  <c r="AE114" i="54" s="1"/>
  <c r="AE112" i="54"/>
  <c r="AH113" i="54"/>
  <c r="AH114" i="54" s="1"/>
  <c r="AH112" i="54"/>
  <c r="Y54" i="54"/>
  <c r="Y55" i="54" s="1"/>
  <c r="Y56" i="54" s="1"/>
  <c r="Y57" i="54" s="1"/>
  <c r="Y58" i="54" s="1"/>
  <c r="Y59" i="54" s="1"/>
  <c r="Y60" i="54" s="1"/>
  <c r="Y61" i="54" s="1"/>
  <c r="Y62" i="54" s="1"/>
  <c r="Y63" i="54" s="1"/>
  <c r="Y64" i="54" s="1"/>
  <c r="Y65" i="54" s="1"/>
  <c r="Y66" i="54" s="1"/>
  <c r="Y67" i="54" s="1"/>
  <c r="Y68" i="54" s="1"/>
  <c r="Y69" i="54" s="1"/>
  <c r="Y70" i="54" s="1"/>
  <c r="Y71" i="54" s="1"/>
  <c r="Y72" i="54" s="1"/>
  <c r="Y73" i="54" s="1"/>
  <c r="Y74" i="54" s="1"/>
  <c r="Y75" i="54" s="1"/>
  <c r="Y76" i="54" s="1"/>
  <c r="Y77" i="54" s="1"/>
  <c r="Y78" i="54" s="1"/>
  <c r="Y79" i="54" s="1"/>
  <c r="Y80" i="54" s="1"/>
  <c r="Y81" i="54" s="1"/>
  <c r="Y82" i="54" s="1"/>
  <c r="Y83" i="54" s="1"/>
  <c r="Y84" i="54" s="1"/>
  <c r="Y85" i="54" s="1"/>
  <c r="Y86" i="54" s="1"/>
  <c r="Y87" i="54" s="1"/>
  <c r="Y88" i="54" s="1"/>
  <c r="Y89" i="54" s="1"/>
  <c r="Y90" i="54" s="1"/>
  <c r="Y91" i="54" s="1"/>
  <c r="Y92" i="54" s="1"/>
  <c r="Y93" i="54" s="1"/>
  <c r="Y94" i="54" s="1"/>
  <c r="Y95" i="54" s="1"/>
  <c r="Y96" i="54" s="1"/>
  <c r="Y97" i="54" s="1"/>
  <c r="Y98" i="54" s="1"/>
  <c r="Y99" i="54" s="1"/>
  <c r="Y100" i="54" s="1"/>
  <c r="Y101" i="54" s="1"/>
  <c r="Y102" i="54" s="1"/>
  <c r="Y103" i="54" s="1"/>
  <c r="Y104" i="54" s="1"/>
  <c r="Y105" i="54" s="1"/>
  <c r="Y106" i="54" s="1"/>
  <c r="Y107" i="54" s="1"/>
  <c r="Y108" i="54" s="1"/>
  <c r="Y109" i="54" s="1"/>
  <c r="Y110" i="54" s="1"/>
  <c r="Y111" i="54" s="1"/>
  <c r="Y7" i="55"/>
  <c r="Y8" i="55" s="1"/>
  <c r="Y9" i="55" s="1"/>
  <c r="D126" i="55"/>
  <c r="L126" i="55" s="1"/>
  <c r="D131" i="55"/>
  <c r="L131" i="55" s="1"/>
  <c r="M131" i="55" s="1"/>
  <c r="AE8" i="55"/>
  <c r="AE9" i="55" s="1"/>
  <c r="AE10" i="55" s="1"/>
  <c r="AE11" i="55" s="1"/>
  <c r="AE12" i="55" s="1"/>
  <c r="AE13" i="55" s="1"/>
  <c r="AE14" i="55" s="1"/>
  <c r="AE15" i="55" s="1"/>
  <c r="AE16" i="55" s="1"/>
  <c r="AE17" i="55" s="1"/>
  <c r="AE18" i="55" s="1"/>
  <c r="AE19" i="55" s="1"/>
  <c r="AE20" i="55" s="1"/>
  <c r="AE21" i="55" s="1"/>
  <c r="AE22" i="55" s="1"/>
  <c r="AE23" i="55" s="1"/>
  <c r="AE24" i="55" s="1"/>
  <c r="AE25" i="55" s="1"/>
  <c r="AE26" i="55" s="1"/>
  <c r="AE27" i="55" s="1"/>
  <c r="AE28" i="55" s="1"/>
  <c r="AE29" i="55" s="1"/>
  <c r="AE30" i="55" s="1"/>
  <c r="AE31" i="55" s="1"/>
  <c r="AE32" i="55" s="1"/>
  <c r="AE33" i="55" s="1"/>
  <c r="AE34" i="55" s="1"/>
  <c r="AE35" i="55" s="1"/>
  <c r="AE36" i="55" s="1"/>
  <c r="AE37" i="55" s="1"/>
  <c r="AE38" i="55" s="1"/>
  <c r="AE39" i="55" s="1"/>
  <c r="AE40" i="55" s="1"/>
  <c r="AE41" i="55" s="1"/>
  <c r="AE42" i="55" s="1"/>
  <c r="AE43" i="55" s="1"/>
  <c r="AE44" i="55" s="1"/>
  <c r="AE45" i="55" s="1"/>
  <c r="AE46" i="55" s="1"/>
  <c r="AE47" i="55" s="1"/>
  <c r="AE48" i="55" s="1"/>
  <c r="AE49" i="55" s="1"/>
  <c r="AE50" i="55" s="1"/>
  <c r="AE51" i="55" s="1"/>
  <c r="AE52" i="55" s="1"/>
  <c r="AE53" i="55" s="1"/>
  <c r="AE54" i="55" s="1"/>
  <c r="AE55" i="55" s="1"/>
  <c r="AE56" i="55" s="1"/>
  <c r="AE57" i="55" s="1"/>
  <c r="AE58" i="55" s="1"/>
  <c r="AE59" i="55" s="1"/>
  <c r="AE60" i="55" s="1"/>
  <c r="AE61" i="55" s="1"/>
  <c r="AE62" i="55" s="1"/>
  <c r="AE63" i="55" s="1"/>
  <c r="AE64" i="55" s="1"/>
  <c r="AE65" i="55" s="1"/>
  <c r="AE66" i="55" s="1"/>
  <c r="AE67" i="55" s="1"/>
  <c r="AE68" i="55" s="1"/>
  <c r="AE69" i="55" s="1"/>
  <c r="AE70" i="55" s="1"/>
  <c r="AE71" i="55" s="1"/>
  <c r="AE72" i="55" s="1"/>
  <c r="AE73" i="55" s="1"/>
  <c r="AE74" i="55" s="1"/>
  <c r="AE75" i="55" s="1"/>
  <c r="AE76" i="55" s="1"/>
  <c r="AE77" i="55" s="1"/>
  <c r="AE78" i="55" s="1"/>
  <c r="AE79" i="55" s="1"/>
  <c r="AE80" i="55" s="1"/>
  <c r="AE81" i="55" s="1"/>
  <c r="AE82" i="55" s="1"/>
  <c r="AE83" i="55" s="1"/>
  <c r="AE84" i="55" s="1"/>
  <c r="AE85" i="55" s="1"/>
  <c r="AE86" i="55" s="1"/>
  <c r="AE87" i="55" s="1"/>
  <c r="AE88" i="55" s="1"/>
  <c r="AE89" i="55" s="1"/>
  <c r="AE90" i="55" s="1"/>
  <c r="AE91" i="55" s="1"/>
  <c r="AE92" i="55" s="1"/>
  <c r="AE93" i="55" s="1"/>
  <c r="AE94" i="55" s="1"/>
  <c r="AE95" i="55" s="1"/>
  <c r="AE96" i="55" s="1"/>
  <c r="AE97" i="55" s="1"/>
  <c r="AE98" i="55" s="1"/>
  <c r="AE99" i="55" s="1"/>
  <c r="AE100" i="55" s="1"/>
  <c r="AE101" i="55" s="1"/>
  <c r="AE102" i="55" s="1"/>
  <c r="AE103" i="55" s="1"/>
  <c r="AE104" i="55" s="1"/>
  <c r="AE105" i="55" s="1"/>
  <c r="AE106" i="55" s="1"/>
  <c r="AE107" i="55" s="1"/>
  <c r="AE108" i="55" s="1"/>
  <c r="AE109" i="55" s="1"/>
  <c r="AE110" i="55" s="1"/>
  <c r="AE111" i="55" s="1"/>
  <c r="AE113" i="55" s="1"/>
  <c r="AE114" i="55" s="1"/>
  <c r="AE115" i="55" s="1"/>
  <c r="AE116" i="55" s="1"/>
  <c r="AE117" i="55" s="1"/>
  <c r="AE118" i="55" s="1"/>
  <c r="AB8" i="55"/>
  <c r="AB9" i="55" s="1"/>
  <c r="AB10" i="55" s="1"/>
  <c r="AB11" i="55" s="1"/>
  <c r="AB12" i="55" s="1"/>
  <c r="AB13" i="55" s="1"/>
  <c r="AB14" i="55" s="1"/>
  <c r="AB15" i="55" s="1"/>
  <c r="AB16" i="55" s="1"/>
  <c r="AB17" i="55" s="1"/>
  <c r="AB18" i="55" s="1"/>
  <c r="AB19" i="55" s="1"/>
  <c r="AB20" i="55" s="1"/>
  <c r="AB21" i="55" s="1"/>
  <c r="AB22" i="55" s="1"/>
  <c r="AB23" i="55" s="1"/>
  <c r="AB24" i="55" s="1"/>
  <c r="AB25" i="55" s="1"/>
  <c r="AB26" i="55" s="1"/>
  <c r="AB27" i="55" s="1"/>
  <c r="AB28" i="55" s="1"/>
  <c r="AB29" i="55" s="1"/>
  <c r="AB30" i="55" s="1"/>
  <c r="AB31" i="55" s="1"/>
  <c r="AB32" i="55" s="1"/>
  <c r="AB33" i="55" s="1"/>
  <c r="AB34" i="55" s="1"/>
  <c r="AB35" i="55" s="1"/>
  <c r="AB36" i="55" s="1"/>
  <c r="AB37" i="55" s="1"/>
  <c r="AB38" i="55" s="1"/>
  <c r="AB39" i="55" s="1"/>
  <c r="AB40" i="55" s="1"/>
  <c r="AB41" i="55" s="1"/>
  <c r="AB42" i="55" s="1"/>
  <c r="AB43" i="55" s="1"/>
  <c r="AB44" i="55" s="1"/>
  <c r="AB45" i="55" s="1"/>
  <c r="AB46" i="55" s="1"/>
  <c r="AB47" i="55" s="1"/>
  <c r="AB48" i="55" s="1"/>
  <c r="AB49" i="55" s="1"/>
  <c r="AB50" i="55" s="1"/>
  <c r="AB51" i="55" s="1"/>
  <c r="AB52" i="55" s="1"/>
  <c r="AB53" i="55" s="1"/>
  <c r="AB54" i="55" s="1"/>
  <c r="AB55" i="55" s="1"/>
  <c r="AB56" i="55" s="1"/>
  <c r="AB57" i="55" s="1"/>
  <c r="AB58" i="55" s="1"/>
  <c r="AB59" i="55" s="1"/>
  <c r="AB60" i="55" s="1"/>
  <c r="AB61" i="55" s="1"/>
  <c r="AB62" i="55" s="1"/>
  <c r="AB63" i="55" s="1"/>
  <c r="AB64" i="55" s="1"/>
  <c r="AB65" i="55" s="1"/>
  <c r="AB66" i="55" s="1"/>
  <c r="AB67" i="55" s="1"/>
  <c r="AB68" i="55" s="1"/>
  <c r="AB69" i="55" s="1"/>
  <c r="AB70" i="55" s="1"/>
  <c r="AB71" i="55" s="1"/>
  <c r="AB72" i="55" s="1"/>
  <c r="AB73" i="55" s="1"/>
  <c r="AB74" i="55" s="1"/>
  <c r="AB75" i="55" s="1"/>
  <c r="AB76" i="55" s="1"/>
  <c r="AB77" i="55" s="1"/>
  <c r="AB78" i="55" s="1"/>
  <c r="AB79" i="55" s="1"/>
  <c r="AB80" i="55" s="1"/>
  <c r="AB81" i="55" s="1"/>
  <c r="AB82" i="55" s="1"/>
  <c r="AB83" i="55" s="1"/>
  <c r="AB84" i="55" s="1"/>
  <c r="AB85" i="55" s="1"/>
  <c r="AB86" i="55" s="1"/>
  <c r="AB87" i="55" s="1"/>
  <c r="AB88" i="55" s="1"/>
  <c r="AB89" i="55" s="1"/>
  <c r="AB90" i="55" s="1"/>
  <c r="AB91" i="55" s="1"/>
  <c r="AB92" i="55" s="1"/>
  <c r="AB93" i="55" s="1"/>
  <c r="AB94" i="55" s="1"/>
  <c r="AB95" i="55" s="1"/>
  <c r="AB96" i="55" s="1"/>
  <c r="AB97" i="55" s="1"/>
  <c r="AB98" i="55" s="1"/>
  <c r="AB99" i="55" s="1"/>
  <c r="AB100" i="55" s="1"/>
  <c r="AB101" i="55" s="1"/>
  <c r="AB102" i="55" s="1"/>
  <c r="AB103" i="55" s="1"/>
  <c r="AB104" i="55" s="1"/>
  <c r="AB105" i="55" s="1"/>
  <c r="AB106" i="55" s="1"/>
  <c r="AB107" i="55" s="1"/>
  <c r="AB108" i="55" s="1"/>
  <c r="AB109" i="55" s="1"/>
  <c r="AB110" i="55" s="1"/>
  <c r="AB111" i="55" s="1"/>
  <c r="AB112" i="55" s="1"/>
  <c r="AB113" i="55" s="1"/>
  <c r="AB114" i="55" s="1"/>
  <c r="AB115" i="55" s="1"/>
  <c r="AB116" i="55" s="1"/>
  <c r="AB117" i="55" s="1"/>
  <c r="AB118" i="55" s="1"/>
  <c r="Q9" i="55"/>
  <c r="Q10" i="55" s="1"/>
  <c r="Q11" i="55" s="1"/>
  <c r="Q12" i="55" s="1"/>
  <c r="Q13" i="55" s="1"/>
  <c r="Q14" i="55" s="1"/>
  <c r="Q15" i="55" s="1"/>
  <c r="Q16" i="55" s="1"/>
  <c r="Q17" i="55" s="1"/>
  <c r="Q18" i="55" s="1"/>
  <c r="Q19" i="55" s="1"/>
  <c r="Q20" i="55" s="1"/>
  <c r="Q21" i="55" s="1"/>
  <c r="Q22" i="55" s="1"/>
  <c r="Q23" i="55" s="1"/>
  <c r="Q24" i="55" s="1"/>
  <c r="Q25" i="55" s="1"/>
  <c r="Q26" i="55" s="1"/>
  <c r="Q27" i="55" s="1"/>
  <c r="Q28" i="55" s="1"/>
  <c r="Q29" i="55" s="1"/>
  <c r="Q30" i="55" s="1"/>
  <c r="Q31" i="55" s="1"/>
  <c r="Q32" i="55" s="1"/>
  <c r="Q33" i="55" s="1"/>
  <c r="Q34" i="55" s="1"/>
  <c r="Q35" i="55" s="1"/>
  <c r="Q36" i="55" s="1"/>
  <c r="Q37" i="55" s="1"/>
  <c r="Q38" i="55" s="1"/>
  <c r="Q39" i="55" s="1"/>
  <c r="Q40" i="55" s="1"/>
  <c r="Q41" i="55" s="1"/>
  <c r="Q42" i="55" s="1"/>
  <c r="Q43" i="55" s="1"/>
  <c r="Q44" i="55" s="1"/>
  <c r="Q45" i="55" s="1"/>
  <c r="Q46" i="55" s="1"/>
  <c r="Q47" i="55" s="1"/>
  <c r="Q48" i="55" s="1"/>
  <c r="Q49" i="55" s="1"/>
  <c r="Q50" i="55" s="1"/>
  <c r="Q51" i="55" s="1"/>
  <c r="Q52" i="55" s="1"/>
  <c r="Q53" i="55" s="1"/>
  <c r="Q54" i="55" s="1"/>
  <c r="Q55" i="55" s="1"/>
  <c r="Q56" i="55" s="1"/>
  <c r="Q57" i="55" s="1"/>
  <c r="Q58" i="55" s="1"/>
  <c r="Q59" i="55" s="1"/>
  <c r="Q60" i="55" s="1"/>
  <c r="Q61" i="55" s="1"/>
  <c r="Q62" i="55" s="1"/>
  <c r="Q63" i="55" s="1"/>
  <c r="Q64" i="55" s="1"/>
  <c r="Q65" i="55" s="1"/>
  <c r="Q66" i="55" s="1"/>
  <c r="Q67" i="55" s="1"/>
  <c r="Q68" i="55" s="1"/>
  <c r="Q69" i="55" s="1"/>
  <c r="Q70" i="55" s="1"/>
  <c r="Q71" i="55" s="1"/>
  <c r="Q72" i="55" s="1"/>
  <c r="Q73" i="55" s="1"/>
  <c r="Q74" i="55" s="1"/>
  <c r="Q75" i="55" s="1"/>
  <c r="Q76" i="55" s="1"/>
  <c r="Q77" i="55" s="1"/>
  <c r="Q78" i="55" s="1"/>
  <c r="Q79" i="55" s="1"/>
  <c r="Q80" i="55" s="1"/>
  <c r="Q81" i="55" s="1"/>
  <c r="Q82" i="55" s="1"/>
  <c r="Q83" i="55" s="1"/>
  <c r="Q84" i="55" s="1"/>
  <c r="Q85" i="55" s="1"/>
  <c r="Q86" i="55" s="1"/>
  <c r="Q87" i="55" s="1"/>
  <c r="Q88" i="55" s="1"/>
  <c r="Q89" i="55" s="1"/>
  <c r="Q90" i="55" s="1"/>
  <c r="Q91" i="55" s="1"/>
  <c r="Q92" i="55" s="1"/>
  <c r="Q93" i="55" s="1"/>
  <c r="Q94" i="55" s="1"/>
  <c r="Q95" i="55" s="1"/>
  <c r="Q96" i="55" s="1"/>
  <c r="Q97" i="55" s="1"/>
  <c r="Q98" i="55" s="1"/>
  <c r="Q99" i="55" s="1"/>
  <c r="Q100" i="55" s="1"/>
  <c r="Q101" i="55" s="1"/>
  <c r="Q102" i="55" s="1"/>
  <c r="Q103" i="55" s="1"/>
  <c r="Q104" i="55" s="1"/>
  <c r="Q105" i="55" s="1"/>
  <c r="Q106" i="55" s="1"/>
  <c r="Q107" i="55" s="1"/>
  <c r="Q108" i="55" s="1"/>
  <c r="Q109" i="55" s="1"/>
  <c r="Q110" i="55" s="1"/>
  <c r="Q111" i="55" s="1"/>
  <c r="Q112" i="55" s="1"/>
  <c r="Q113" i="55" s="1"/>
  <c r="Q114" i="55" s="1"/>
  <c r="Q115" i="55" s="1"/>
  <c r="Q116" i="55" s="1"/>
  <c r="Q117" i="55" s="1"/>
  <c r="Q118" i="55" s="1"/>
  <c r="F130" i="55"/>
  <c r="I130" i="55"/>
  <c r="F128" i="55"/>
  <c r="F135" i="55" s="1"/>
  <c r="I128" i="55"/>
  <c r="D132" i="55"/>
  <c r="L132" i="55" s="1"/>
  <c r="M132" i="55" s="1"/>
  <c r="AK112" i="55"/>
  <c r="AK113" i="55"/>
  <c r="AK114" i="55" s="1"/>
  <c r="AK115" i="55" s="1"/>
  <c r="AK116" i="55" s="1"/>
  <c r="AK117" i="55" s="1"/>
  <c r="AK118" i="55" s="1"/>
  <c r="AH113" i="55"/>
  <c r="AH114" i="55" s="1"/>
  <c r="AH115" i="55" s="1"/>
  <c r="AH116" i="55" s="1"/>
  <c r="AH117" i="55" s="1"/>
  <c r="AH118" i="55" s="1"/>
  <c r="AH112" i="55"/>
  <c r="L127" i="55"/>
  <c r="M127" i="55" s="1"/>
  <c r="H135" i="55"/>
  <c r="L129" i="55"/>
  <c r="M129" i="55" s="1"/>
  <c r="D133" i="55"/>
  <c r="T128" i="55" s="1"/>
  <c r="D129" i="55"/>
  <c r="F129" i="55" s="1"/>
  <c r="I127" i="55"/>
  <c r="K128" i="55"/>
  <c r="E135" i="55"/>
  <c r="S135" i="55"/>
  <c r="K130" i="55"/>
  <c r="Y112" i="54" l="1"/>
  <c r="Y113" i="54"/>
  <c r="Y114" i="54" s="1"/>
  <c r="I131" i="55"/>
  <c r="I126" i="55"/>
  <c r="AE112" i="55"/>
  <c r="I132" i="55"/>
  <c r="T127" i="55"/>
  <c r="T130" i="55"/>
  <c r="M126" i="55"/>
  <c r="N129" i="55"/>
  <c r="T126" i="55"/>
  <c r="L130" i="55"/>
  <c r="M130" i="55" s="1"/>
  <c r="N130" i="55"/>
  <c r="I129" i="55"/>
  <c r="N128" i="55"/>
  <c r="L128" i="55"/>
  <c r="M128" i="55" s="1"/>
  <c r="D135" i="55"/>
  <c r="L133" i="55"/>
  <c r="M133" i="55" s="1"/>
  <c r="I133" i="55"/>
  <c r="V126" i="55"/>
  <c r="W126" i="55" s="1"/>
  <c r="T129" i="55"/>
  <c r="M135" i="55" l="1"/>
  <c r="L135" i="55"/>
  <c r="T135" i="55"/>
  <c r="N135" i="55"/>
  <c r="H133" i="54" l="1"/>
  <c r="H132" i="54"/>
  <c r="H131" i="54"/>
  <c r="S130" i="54"/>
  <c r="H130" i="54"/>
  <c r="E130" i="54"/>
  <c r="D130" i="54"/>
  <c r="S129" i="54"/>
  <c r="H129" i="54"/>
  <c r="E129" i="54"/>
  <c r="K129" i="54" s="1"/>
  <c r="S128" i="54"/>
  <c r="H128" i="54"/>
  <c r="E128" i="54"/>
  <c r="K128" i="54" s="1"/>
  <c r="D128" i="54"/>
  <c r="S127" i="54"/>
  <c r="H127" i="54"/>
  <c r="S126" i="54"/>
  <c r="H126" i="54"/>
  <c r="O120" i="54"/>
  <c r="Y10" i="55" l="1"/>
  <c r="Y11" i="55" s="1"/>
  <c r="Y12" i="55" s="1"/>
  <c r="Y13" i="55" s="1"/>
  <c r="Y14" i="55" s="1"/>
  <c r="Y15" i="55" s="1"/>
  <c r="Y16" i="55" s="1"/>
  <c r="Y17" i="55" s="1"/>
  <c r="Y18" i="55" s="1"/>
  <c r="Y19" i="55" s="1"/>
  <c r="Y20" i="55" s="1"/>
  <c r="Y21" i="55" s="1"/>
  <c r="Y22" i="55" s="1"/>
  <c r="Y23" i="55" s="1"/>
  <c r="Y24" i="55" s="1"/>
  <c r="Y25" i="55" s="1"/>
  <c r="Y26" i="55" s="1"/>
  <c r="Y27" i="55" s="1"/>
  <c r="Y28" i="55" s="1"/>
  <c r="Y29" i="55" s="1"/>
  <c r="Y30" i="55" s="1"/>
  <c r="Y31" i="55" s="1"/>
  <c r="Y32" i="55" s="1"/>
  <c r="Y33" i="55" s="1"/>
  <c r="Y34" i="55" s="1"/>
  <c r="Y35" i="55" s="1"/>
  <c r="Y36" i="55" s="1"/>
  <c r="Y37" i="55" s="1"/>
  <c r="Y38" i="55" s="1"/>
  <c r="Y39" i="55" s="1"/>
  <c r="Y40" i="55" s="1"/>
  <c r="Y41" i="55" s="1"/>
  <c r="Y42" i="55" s="1"/>
  <c r="Y43" i="55" s="1"/>
  <c r="Y44" i="55" s="1"/>
  <c r="Y45" i="55" s="1"/>
  <c r="Y46" i="55" s="1"/>
  <c r="Y47" i="55" s="1"/>
  <c r="Y48" i="55" s="1"/>
  <c r="Y49" i="55" s="1"/>
  <c r="Y50" i="55" s="1"/>
  <c r="Y51" i="55" s="1"/>
  <c r="Y52" i="55" s="1"/>
  <c r="Y53" i="55" s="1"/>
  <c r="Y54" i="55" s="1"/>
  <c r="Y55" i="55" s="1"/>
  <c r="Y56" i="55" s="1"/>
  <c r="Y57" i="55" s="1"/>
  <c r="Y58" i="55" s="1"/>
  <c r="Y59" i="55" s="1"/>
  <c r="Y60" i="55" s="1"/>
  <c r="Y61" i="55" s="1"/>
  <c r="Y62" i="55" s="1"/>
  <c r="Y63" i="55" s="1"/>
  <c r="Y64" i="55" s="1"/>
  <c r="Y65" i="55" s="1"/>
  <c r="Y66" i="55" s="1"/>
  <c r="Y67" i="55" s="1"/>
  <c r="Y68" i="55" s="1"/>
  <c r="Y69" i="55" s="1"/>
  <c r="Y70" i="55" s="1"/>
  <c r="Y71" i="55" s="1"/>
  <c r="Y72" i="55" s="1"/>
  <c r="Y73" i="55" s="1"/>
  <c r="Y74" i="55" s="1"/>
  <c r="Y75" i="55" s="1"/>
  <c r="Y76" i="55" s="1"/>
  <c r="Y77" i="55" s="1"/>
  <c r="Y78" i="55" s="1"/>
  <c r="Y79" i="55" s="1"/>
  <c r="Y80" i="55" s="1"/>
  <c r="Y81" i="55" s="1"/>
  <c r="Y82" i="55" s="1"/>
  <c r="Y83" i="55" s="1"/>
  <c r="Y84" i="55" s="1"/>
  <c r="Y85" i="55" s="1"/>
  <c r="Y86" i="55" s="1"/>
  <c r="Y87" i="55" s="1"/>
  <c r="Y88" i="55" s="1"/>
  <c r="Y89" i="55" s="1"/>
  <c r="Y90" i="55" s="1"/>
  <c r="Y91" i="55" s="1"/>
  <c r="Y92" i="55" s="1"/>
  <c r="Y93" i="55" s="1"/>
  <c r="Y94" i="55" s="1"/>
  <c r="Y95" i="55" s="1"/>
  <c r="Y96" i="55" s="1"/>
  <c r="Y97" i="55" s="1"/>
  <c r="Y98" i="55" s="1"/>
  <c r="Y99" i="55" s="1"/>
  <c r="Y100" i="55" s="1"/>
  <c r="Y101" i="55" s="1"/>
  <c r="Y102" i="55" s="1"/>
  <c r="Y103" i="55" s="1"/>
  <c r="Y104" i="55" s="1"/>
  <c r="Y105" i="55" s="1"/>
  <c r="Y106" i="55" s="1"/>
  <c r="Y107" i="55" s="1"/>
  <c r="Y108" i="55" s="1"/>
  <c r="Y109" i="55" s="1"/>
  <c r="Y110" i="55" s="1"/>
  <c r="Y111" i="55" s="1"/>
  <c r="D129" i="54"/>
  <c r="N129" i="54" s="1"/>
  <c r="D126" i="54"/>
  <c r="L126" i="54" s="1"/>
  <c r="M126" i="54" s="1"/>
  <c r="D133" i="54"/>
  <c r="L133" i="54" s="1"/>
  <c r="M133" i="54" s="1"/>
  <c r="D132" i="54"/>
  <c r="L132" i="54" s="1"/>
  <c r="M132" i="54" s="1"/>
  <c r="D127" i="54"/>
  <c r="L127" i="54" s="1"/>
  <c r="M127" i="54" s="1"/>
  <c r="E135" i="54"/>
  <c r="D131" i="54"/>
  <c r="L131" i="54" s="1"/>
  <c r="M131" i="54" s="1"/>
  <c r="F128" i="54"/>
  <c r="F135" i="54" s="1"/>
  <c r="I128" i="54"/>
  <c r="F130" i="54"/>
  <c r="I130" i="54"/>
  <c r="H135" i="54"/>
  <c r="L129" i="54"/>
  <c r="M129" i="54" s="1"/>
  <c r="S135" i="54"/>
  <c r="N128" i="54"/>
  <c r="L128" i="54"/>
  <c r="M128" i="54" s="1"/>
  <c r="K130" i="54"/>
  <c r="D18" i="53"/>
  <c r="D17" i="53"/>
  <c r="D16" i="53"/>
  <c r="D15" i="53"/>
  <c r="D14" i="53"/>
  <c r="D13" i="53"/>
  <c r="D12" i="53"/>
  <c r="D11" i="53"/>
  <c r="D10" i="53"/>
  <c r="D9" i="53"/>
  <c r="D8" i="53"/>
  <c r="D7" i="53"/>
  <c r="Y112" i="55" l="1"/>
  <c r="Y113" i="55"/>
  <c r="Y114" i="55" s="1"/>
  <c r="Y115" i="55" s="1"/>
  <c r="Y116" i="55" s="1"/>
  <c r="Y117" i="55" s="1"/>
  <c r="Y118" i="55" s="1"/>
  <c r="I129" i="54"/>
  <c r="F129" i="54"/>
  <c r="I127" i="54"/>
  <c r="T130" i="54"/>
  <c r="I126" i="54"/>
  <c r="I132" i="54"/>
  <c r="T128" i="54"/>
  <c r="I133" i="54"/>
  <c r="T127" i="54"/>
  <c r="T126" i="54"/>
  <c r="V126" i="54"/>
  <c r="W126" i="54" s="1"/>
  <c r="T129" i="54"/>
  <c r="I131" i="54"/>
  <c r="D135" i="54"/>
  <c r="L130" i="54"/>
  <c r="M130" i="54" s="1"/>
  <c r="M135" i="54" s="1"/>
  <c r="N130" i="54"/>
  <c r="N135" i="54" s="1"/>
  <c r="W8" i="53"/>
  <c r="W9" i="53"/>
  <c r="W10" i="53"/>
  <c r="W11" i="53"/>
  <c r="W12" i="53"/>
  <c r="W13" i="53"/>
  <c r="W14" i="53"/>
  <c r="W15" i="53"/>
  <c r="W16" i="53"/>
  <c r="W17" i="53"/>
  <c r="W18" i="53"/>
  <c r="T135" i="54" l="1"/>
  <c r="L135" i="54"/>
  <c r="H33" i="53"/>
  <c r="H32" i="53"/>
  <c r="H31" i="53"/>
  <c r="S30" i="53"/>
  <c r="H30" i="53"/>
  <c r="E30" i="53"/>
  <c r="D30" i="53"/>
  <c r="S29" i="53"/>
  <c r="H29" i="53"/>
  <c r="E29" i="53"/>
  <c r="K29" i="53" s="1"/>
  <c r="S28" i="53"/>
  <c r="H28" i="53"/>
  <c r="E28" i="53"/>
  <c r="D28" i="53"/>
  <c r="S27" i="53"/>
  <c r="H27" i="53"/>
  <c r="S26" i="53"/>
  <c r="H26" i="53"/>
  <c r="O20" i="53"/>
  <c r="D27" i="53"/>
  <c r="O18" i="53"/>
  <c r="O17" i="53"/>
  <c r="O16" i="53"/>
  <c r="D29" i="53"/>
  <c r="O15" i="53"/>
  <c r="O14" i="53"/>
  <c r="O13" i="53"/>
  <c r="O12" i="53"/>
  <c r="O11" i="53"/>
  <c r="O10" i="53"/>
  <c r="O9" i="53"/>
  <c r="O8" i="53"/>
  <c r="W7" i="53"/>
  <c r="O7" i="53"/>
  <c r="AK6" i="53"/>
  <c r="AK7" i="53" s="1"/>
  <c r="AK8" i="53" s="1"/>
  <c r="AK9" i="53" s="1"/>
  <c r="AK10" i="53" s="1"/>
  <c r="AK11" i="53" s="1"/>
  <c r="AK12" i="53" s="1"/>
  <c r="AK13" i="53" s="1"/>
  <c r="AK14" i="53" s="1"/>
  <c r="AK15" i="53" s="1"/>
  <c r="AK16" i="53" s="1"/>
  <c r="AK17" i="53" s="1"/>
  <c r="AK18" i="53" s="1"/>
  <c r="AH6" i="53"/>
  <c r="AH7" i="53" s="1"/>
  <c r="AH8" i="53" s="1"/>
  <c r="AH9" i="53" s="1"/>
  <c r="AH10" i="53" s="1"/>
  <c r="AH11" i="53" s="1"/>
  <c r="AH12" i="53" s="1"/>
  <c r="AH13" i="53" s="1"/>
  <c r="AH14" i="53" s="1"/>
  <c r="AH15" i="53" s="1"/>
  <c r="AH16" i="53" s="1"/>
  <c r="AH17" i="53" s="1"/>
  <c r="AH18" i="53" s="1"/>
  <c r="AE6" i="53"/>
  <c r="AE7" i="53" s="1"/>
  <c r="AE8" i="53" s="1"/>
  <c r="AE9" i="53" s="1"/>
  <c r="AE10" i="53" s="1"/>
  <c r="AE11" i="53" s="1"/>
  <c r="AE12" i="53" s="1"/>
  <c r="AE13" i="53" s="1"/>
  <c r="AE14" i="53" s="1"/>
  <c r="AE15" i="53" s="1"/>
  <c r="AE16" i="53" s="1"/>
  <c r="AE17" i="53" s="1"/>
  <c r="AE18" i="53" s="1"/>
  <c r="AB6" i="53"/>
  <c r="AB7" i="53" s="1"/>
  <c r="AB8" i="53" s="1"/>
  <c r="AB9" i="53" s="1"/>
  <c r="AB10" i="53" s="1"/>
  <c r="AB11" i="53" s="1"/>
  <c r="AB12" i="53" s="1"/>
  <c r="AB13" i="53" s="1"/>
  <c r="AB14" i="53" s="1"/>
  <c r="AB15" i="53" s="1"/>
  <c r="AB16" i="53" s="1"/>
  <c r="AB17" i="53" s="1"/>
  <c r="AB18" i="53" s="1"/>
  <c r="W6" i="53"/>
  <c r="Y6" i="53" s="1"/>
  <c r="O6" i="53"/>
  <c r="Q6" i="53" s="1"/>
  <c r="D6" i="53"/>
  <c r="F29" i="53" l="1"/>
  <c r="Y7" i="53"/>
  <c r="Y8" i="53" s="1"/>
  <c r="Y9" i="53" s="1"/>
  <c r="Y10" i="53" s="1"/>
  <c r="Y11" i="53" s="1"/>
  <c r="Y12" i="53" s="1"/>
  <c r="Y13" i="53" s="1"/>
  <c r="Y14" i="53" s="1"/>
  <c r="Y15" i="53" s="1"/>
  <c r="Y16" i="53" s="1"/>
  <c r="Y17" i="53" s="1"/>
  <c r="Y18" i="53" s="1"/>
  <c r="Q7" i="53"/>
  <c r="Q8" i="53" s="1"/>
  <c r="Q9" i="53" s="1"/>
  <c r="Q10" i="53" s="1"/>
  <c r="Q11" i="53" s="1"/>
  <c r="Q12" i="53" s="1"/>
  <c r="Q13" i="53" s="1"/>
  <c r="Q14" i="53" s="1"/>
  <c r="Q15" i="53" s="1"/>
  <c r="Q16" i="53" s="1"/>
  <c r="Q17" i="53" s="1"/>
  <c r="Q18" i="53" s="1"/>
  <c r="H35" i="53"/>
  <c r="I28" i="53"/>
  <c r="F30" i="53"/>
  <c r="I30" i="53"/>
  <c r="D32" i="53"/>
  <c r="L32" i="53" s="1"/>
  <c r="M32" i="53" s="1"/>
  <c r="D26" i="53"/>
  <c r="I26" i="53" s="1"/>
  <c r="D31" i="53"/>
  <c r="D33" i="53"/>
  <c r="T27" i="53" s="1"/>
  <c r="L27" i="53"/>
  <c r="M27" i="53" s="1"/>
  <c r="I27" i="53"/>
  <c r="N29" i="53"/>
  <c r="L29" i="53"/>
  <c r="M29" i="53" s="1"/>
  <c r="F28" i="53"/>
  <c r="F35" i="53" s="1"/>
  <c r="E35" i="53"/>
  <c r="K28" i="53"/>
  <c r="S35" i="53"/>
  <c r="I29" i="53"/>
  <c r="K30" i="53"/>
  <c r="AK6" i="52"/>
  <c r="AH6" i="52"/>
  <c r="AE6" i="52"/>
  <c r="AB6" i="52"/>
  <c r="D6" i="52"/>
  <c r="T28" i="53" l="1"/>
  <c r="T26" i="53"/>
  <c r="V26" i="53"/>
  <c r="W26" i="53" s="1"/>
  <c r="T30" i="53"/>
  <c r="N28" i="53"/>
  <c r="L28" i="53"/>
  <c r="M28" i="53" s="1"/>
  <c r="L33" i="53"/>
  <c r="M33" i="53" s="1"/>
  <c r="I33" i="53"/>
  <c r="I32" i="53"/>
  <c r="T29" i="53"/>
  <c r="L31" i="53"/>
  <c r="M31" i="53" s="1"/>
  <c r="I31" i="53"/>
  <c r="D35" i="53"/>
  <c r="L26" i="53"/>
  <c r="L30" i="53"/>
  <c r="M30" i="53" s="1"/>
  <c r="N30" i="53"/>
  <c r="W79" i="52"/>
  <c r="W78" i="52"/>
  <c r="W77" i="52"/>
  <c r="W76" i="52"/>
  <c r="W75" i="52"/>
  <c r="W74" i="52"/>
  <c r="W73" i="52"/>
  <c r="W72" i="52"/>
  <c r="W71" i="52"/>
  <c r="W70" i="52"/>
  <c r="W69" i="52"/>
  <c r="W68" i="52"/>
  <c r="W67" i="52"/>
  <c r="W66" i="52"/>
  <c r="W65" i="52"/>
  <c r="W64" i="52"/>
  <c r="W63" i="52"/>
  <c r="W62" i="52"/>
  <c r="W61" i="52"/>
  <c r="W60" i="52"/>
  <c r="W59" i="52"/>
  <c r="W58" i="52"/>
  <c r="W57" i="52"/>
  <c r="W56" i="52"/>
  <c r="W55" i="52"/>
  <c r="W54" i="52"/>
  <c r="W53" i="52"/>
  <c r="W52" i="52"/>
  <c r="W51" i="52"/>
  <c r="W50" i="52"/>
  <c r="W49" i="52"/>
  <c r="W48" i="52"/>
  <c r="W47" i="52"/>
  <c r="W46" i="52"/>
  <c r="W45" i="52"/>
  <c r="W44" i="52"/>
  <c r="W43" i="52"/>
  <c r="W42" i="52"/>
  <c r="W41" i="52"/>
  <c r="W40" i="52"/>
  <c r="W39" i="52"/>
  <c r="W38" i="52"/>
  <c r="W37" i="52"/>
  <c r="W36" i="52"/>
  <c r="W35" i="52"/>
  <c r="W34" i="52"/>
  <c r="W33" i="52"/>
  <c r="W32" i="52"/>
  <c r="T35" i="53" l="1"/>
  <c r="N35" i="53"/>
  <c r="L35" i="53"/>
  <c r="M26" i="53"/>
  <c r="M35" i="53" s="1"/>
  <c r="O79" i="52"/>
  <c r="O78" i="52"/>
  <c r="O77" i="52"/>
  <c r="O76" i="52"/>
  <c r="O75" i="52"/>
  <c r="O74" i="52"/>
  <c r="O73" i="52"/>
  <c r="O72" i="52"/>
  <c r="O71" i="52"/>
  <c r="O70" i="52"/>
  <c r="O69" i="52"/>
  <c r="O68" i="52"/>
  <c r="O67" i="52"/>
  <c r="O66" i="52"/>
  <c r="O65" i="52"/>
  <c r="O64" i="52"/>
  <c r="O63" i="52"/>
  <c r="O62" i="52"/>
  <c r="O61" i="52"/>
  <c r="O60" i="52"/>
  <c r="O59" i="52"/>
  <c r="O58" i="52"/>
  <c r="O57" i="52"/>
  <c r="O56" i="52"/>
  <c r="O55" i="52"/>
  <c r="O54" i="52"/>
  <c r="O53" i="52"/>
  <c r="O52" i="52"/>
  <c r="O51" i="52"/>
  <c r="O50" i="52"/>
  <c r="O49" i="52"/>
  <c r="O48" i="52"/>
  <c r="O47" i="52"/>
  <c r="O46" i="52"/>
  <c r="O45" i="52"/>
  <c r="O44" i="52"/>
  <c r="O43" i="52"/>
  <c r="O42" i="52"/>
  <c r="O41" i="52"/>
  <c r="O40" i="52"/>
  <c r="O39" i="52"/>
  <c r="O38" i="52"/>
  <c r="O37" i="52"/>
  <c r="O36" i="52"/>
  <c r="O35" i="52"/>
  <c r="O34" i="52"/>
  <c r="O33" i="52"/>
  <c r="O32" i="52"/>
  <c r="O25" i="52" l="1"/>
  <c r="D79" i="52"/>
  <c r="D78" i="52"/>
  <c r="D77" i="52"/>
  <c r="D76" i="52"/>
  <c r="D75" i="52"/>
  <c r="D74" i="52"/>
  <c r="D73" i="52"/>
  <c r="D72" i="52"/>
  <c r="D71" i="52"/>
  <c r="D70" i="52"/>
  <c r="D69" i="52"/>
  <c r="D68" i="52"/>
  <c r="D67" i="52"/>
  <c r="D66" i="52"/>
  <c r="D65" i="52"/>
  <c r="D64" i="52"/>
  <c r="D63" i="52"/>
  <c r="D62" i="52"/>
  <c r="D61" i="52"/>
  <c r="D60" i="52"/>
  <c r="D59" i="52"/>
  <c r="D58" i="52"/>
  <c r="D57" i="52"/>
  <c r="D56" i="52"/>
  <c r="D55" i="52"/>
  <c r="D54" i="52"/>
  <c r="D53" i="52"/>
  <c r="D52" i="52"/>
  <c r="D51" i="52"/>
  <c r="D50" i="52"/>
  <c r="D49" i="52"/>
  <c r="D48" i="52"/>
  <c r="D47" i="52"/>
  <c r="D46" i="52"/>
  <c r="D45" i="52"/>
  <c r="D44" i="52"/>
  <c r="D43" i="52"/>
  <c r="D42" i="52"/>
  <c r="D41" i="52"/>
  <c r="D40" i="52"/>
  <c r="D39" i="52"/>
  <c r="D38" i="52"/>
  <c r="D37" i="52"/>
  <c r="D36" i="52"/>
  <c r="D35" i="52"/>
  <c r="D34" i="52"/>
  <c r="D33" i="52"/>
  <c r="D32" i="52"/>
  <c r="D31" i="52"/>
  <c r="D30" i="52"/>
  <c r="D29" i="52"/>
  <c r="D28" i="52"/>
  <c r="D27" i="52"/>
  <c r="D26" i="52"/>
  <c r="D25" i="52"/>
  <c r="D24" i="52"/>
  <c r="D23" i="52"/>
  <c r="D22" i="52"/>
  <c r="D21" i="52"/>
  <c r="W27" i="52" l="1"/>
  <c r="W28" i="52"/>
  <c r="W29" i="52"/>
  <c r="W30" i="52"/>
  <c r="W31" i="52"/>
  <c r="W18" i="52"/>
  <c r="W19" i="52"/>
  <c r="W20" i="52"/>
  <c r="W21" i="52"/>
  <c r="W22" i="52"/>
  <c r="W23" i="52"/>
  <c r="W24" i="52"/>
  <c r="W25" i="52"/>
  <c r="W26" i="52"/>
  <c r="W9" i="52"/>
  <c r="W10" i="52"/>
  <c r="W11" i="52"/>
  <c r="W12" i="52"/>
  <c r="W13" i="52"/>
  <c r="W14" i="52"/>
  <c r="W15" i="52"/>
  <c r="W16" i="52"/>
  <c r="W17" i="52"/>
  <c r="O24" i="52"/>
  <c r="O26" i="52"/>
  <c r="O27" i="52"/>
  <c r="O28" i="52"/>
  <c r="O29" i="52"/>
  <c r="O30" i="52"/>
  <c r="O31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9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W8" i="52" l="1"/>
  <c r="O8" i="52"/>
  <c r="I8" i="52"/>
  <c r="D8" i="52"/>
  <c r="AH7" i="52"/>
  <c r="AH8" i="52" s="1"/>
  <c r="AH9" i="52" s="1"/>
  <c r="AH10" i="52" s="1"/>
  <c r="AH11" i="52" s="1"/>
  <c r="AH12" i="52" s="1"/>
  <c r="AH13" i="52" s="1"/>
  <c r="AH14" i="52" s="1"/>
  <c r="AH15" i="52" s="1"/>
  <c r="AH16" i="52" s="1"/>
  <c r="AH17" i="52" s="1"/>
  <c r="AH18" i="52" s="1"/>
  <c r="AH19" i="52" s="1"/>
  <c r="AH20" i="52" s="1"/>
  <c r="AH21" i="52" s="1"/>
  <c r="AH22" i="52" s="1"/>
  <c r="AH23" i="52" s="1"/>
  <c r="AH24" i="52" s="1"/>
  <c r="AH25" i="52" s="1"/>
  <c r="AH26" i="52" s="1"/>
  <c r="AH27" i="52" s="1"/>
  <c r="AH28" i="52" s="1"/>
  <c r="AH29" i="52" s="1"/>
  <c r="AH30" i="52" s="1"/>
  <c r="AH31" i="52" s="1"/>
  <c r="AH32" i="52" s="1"/>
  <c r="AH33" i="52" s="1"/>
  <c r="AH34" i="52" s="1"/>
  <c r="AH35" i="52" s="1"/>
  <c r="AH36" i="52" s="1"/>
  <c r="AH37" i="52" s="1"/>
  <c r="AH38" i="52" s="1"/>
  <c r="AH39" i="52" s="1"/>
  <c r="AH40" i="52" s="1"/>
  <c r="AH41" i="52" s="1"/>
  <c r="AH42" i="52" s="1"/>
  <c r="AH43" i="52" s="1"/>
  <c r="AH44" i="52" s="1"/>
  <c r="AH45" i="52" s="1"/>
  <c r="AH46" i="52" s="1"/>
  <c r="AH47" i="52" s="1"/>
  <c r="AH48" i="52" s="1"/>
  <c r="AH49" i="52" s="1"/>
  <c r="AH50" i="52" s="1"/>
  <c r="AH51" i="52" s="1"/>
  <c r="AH52" i="52" s="1"/>
  <c r="AH53" i="52" s="1"/>
  <c r="AH54" i="52" s="1"/>
  <c r="AH55" i="52" s="1"/>
  <c r="AH56" i="52" s="1"/>
  <c r="AH57" i="52" s="1"/>
  <c r="AH58" i="52" s="1"/>
  <c r="AH59" i="52" s="1"/>
  <c r="AH60" i="52" s="1"/>
  <c r="AH61" i="52" s="1"/>
  <c r="AH62" i="52" s="1"/>
  <c r="AH63" i="52" s="1"/>
  <c r="AH64" i="52" s="1"/>
  <c r="AH65" i="52" s="1"/>
  <c r="AH66" i="52" s="1"/>
  <c r="AH67" i="52" s="1"/>
  <c r="AH68" i="52" s="1"/>
  <c r="AH69" i="52" s="1"/>
  <c r="AH70" i="52" s="1"/>
  <c r="AH71" i="52" s="1"/>
  <c r="AH72" i="52" s="1"/>
  <c r="AH73" i="52" s="1"/>
  <c r="AH74" i="52" s="1"/>
  <c r="AH75" i="52" s="1"/>
  <c r="AH76" i="52" s="1"/>
  <c r="AH77" i="52" s="1"/>
  <c r="AH78" i="52" s="1"/>
  <c r="AH79" i="52" s="1"/>
  <c r="AE7" i="52"/>
  <c r="AE8" i="52" s="1"/>
  <c r="AE9" i="52" s="1"/>
  <c r="AE10" i="52" s="1"/>
  <c r="AE11" i="52" s="1"/>
  <c r="AE12" i="52" s="1"/>
  <c r="AE13" i="52" s="1"/>
  <c r="AE14" i="52" s="1"/>
  <c r="AE15" i="52" s="1"/>
  <c r="AE16" i="52" s="1"/>
  <c r="AE17" i="52" s="1"/>
  <c r="AE18" i="52" s="1"/>
  <c r="AE19" i="52" s="1"/>
  <c r="AE20" i="52" s="1"/>
  <c r="AE21" i="52" s="1"/>
  <c r="AE22" i="52" s="1"/>
  <c r="AE23" i="52" s="1"/>
  <c r="AE24" i="52" s="1"/>
  <c r="AE25" i="52" s="1"/>
  <c r="AE26" i="52" s="1"/>
  <c r="AE27" i="52" s="1"/>
  <c r="AE28" i="52" s="1"/>
  <c r="AE29" i="52" s="1"/>
  <c r="AE30" i="52" s="1"/>
  <c r="AE31" i="52" s="1"/>
  <c r="AE32" i="52" s="1"/>
  <c r="AE33" i="52" s="1"/>
  <c r="AE34" i="52" s="1"/>
  <c r="AE35" i="52" s="1"/>
  <c r="AE36" i="52" s="1"/>
  <c r="AE37" i="52" s="1"/>
  <c r="AE38" i="52" s="1"/>
  <c r="AE39" i="52" s="1"/>
  <c r="AE40" i="52" s="1"/>
  <c r="AE41" i="52" s="1"/>
  <c r="AE42" i="52" s="1"/>
  <c r="AE43" i="52" s="1"/>
  <c r="AE44" i="52" s="1"/>
  <c r="AE45" i="52" s="1"/>
  <c r="AE46" i="52" s="1"/>
  <c r="AE47" i="52" s="1"/>
  <c r="AE48" i="52" s="1"/>
  <c r="AE49" i="52" s="1"/>
  <c r="AE50" i="52" s="1"/>
  <c r="AE51" i="52" s="1"/>
  <c r="AE52" i="52" s="1"/>
  <c r="AE53" i="52" s="1"/>
  <c r="AE54" i="52" s="1"/>
  <c r="AE55" i="52" s="1"/>
  <c r="AE56" i="52" s="1"/>
  <c r="AE57" i="52" s="1"/>
  <c r="AE58" i="52" s="1"/>
  <c r="AE59" i="52" s="1"/>
  <c r="AE60" i="52" s="1"/>
  <c r="AE61" i="52" s="1"/>
  <c r="AE62" i="52" s="1"/>
  <c r="AE63" i="52" s="1"/>
  <c r="AE64" i="52" s="1"/>
  <c r="AE65" i="52" s="1"/>
  <c r="AE66" i="52" s="1"/>
  <c r="AE67" i="52" s="1"/>
  <c r="AE68" i="52" s="1"/>
  <c r="AE69" i="52" s="1"/>
  <c r="AE70" i="52" s="1"/>
  <c r="AE71" i="52" s="1"/>
  <c r="AE72" i="52" s="1"/>
  <c r="AE73" i="52" s="1"/>
  <c r="AE74" i="52" s="1"/>
  <c r="AE75" i="52" s="1"/>
  <c r="AE76" i="52" s="1"/>
  <c r="AE77" i="52" s="1"/>
  <c r="AE78" i="52" s="1"/>
  <c r="AE79" i="52" s="1"/>
  <c r="W7" i="52"/>
  <c r="O7" i="52"/>
  <c r="I7" i="52"/>
  <c r="D7" i="52"/>
  <c r="AK7" i="52"/>
  <c r="AK8" i="52" s="1"/>
  <c r="AK9" i="52" s="1"/>
  <c r="AK10" i="52" s="1"/>
  <c r="AK11" i="52" s="1"/>
  <c r="AK12" i="52" s="1"/>
  <c r="AK13" i="52" s="1"/>
  <c r="AK14" i="52" s="1"/>
  <c r="AK15" i="52" s="1"/>
  <c r="AK16" i="52" s="1"/>
  <c r="AK17" i="52" s="1"/>
  <c r="AK18" i="52" s="1"/>
  <c r="AK19" i="52" s="1"/>
  <c r="AK20" i="52" s="1"/>
  <c r="AK21" i="52" s="1"/>
  <c r="AK22" i="52" s="1"/>
  <c r="AK23" i="52" s="1"/>
  <c r="AK24" i="52" s="1"/>
  <c r="AK25" i="52" s="1"/>
  <c r="AK26" i="52" s="1"/>
  <c r="AK27" i="52" s="1"/>
  <c r="AK28" i="52" s="1"/>
  <c r="AK29" i="52" s="1"/>
  <c r="AK30" i="52" s="1"/>
  <c r="AK31" i="52" s="1"/>
  <c r="AK32" i="52" s="1"/>
  <c r="AK33" i="52" s="1"/>
  <c r="AK34" i="52" s="1"/>
  <c r="AK35" i="52" s="1"/>
  <c r="AK36" i="52" s="1"/>
  <c r="AK37" i="52" s="1"/>
  <c r="AK38" i="52" s="1"/>
  <c r="AK39" i="52" s="1"/>
  <c r="AK40" i="52" s="1"/>
  <c r="AK41" i="52" s="1"/>
  <c r="AK42" i="52" s="1"/>
  <c r="AK43" i="52" s="1"/>
  <c r="AK44" i="52" s="1"/>
  <c r="AK45" i="52" s="1"/>
  <c r="AK46" i="52" s="1"/>
  <c r="AK47" i="52" s="1"/>
  <c r="AK48" i="52" s="1"/>
  <c r="AK49" i="52" s="1"/>
  <c r="AK50" i="52" s="1"/>
  <c r="AK51" i="52" s="1"/>
  <c r="AK52" i="52" s="1"/>
  <c r="AK53" i="52" s="1"/>
  <c r="AK54" i="52" s="1"/>
  <c r="AK55" i="52" s="1"/>
  <c r="AK56" i="52" s="1"/>
  <c r="AK57" i="52" s="1"/>
  <c r="AK58" i="52" s="1"/>
  <c r="AK59" i="52" s="1"/>
  <c r="AK60" i="52" s="1"/>
  <c r="AK61" i="52" s="1"/>
  <c r="AK62" i="52" s="1"/>
  <c r="AK63" i="52" s="1"/>
  <c r="AK64" i="52" s="1"/>
  <c r="AK65" i="52" s="1"/>
  <c r="AK66" i="52" s="1"/>
  <c r="AK67" i="52" s="1"/>
  <c r="AK68" i="52" s="1"/>
  <c r="AK69" i="52" s="1"/>
  <c r="AK70" i="52" s="1"/>
  <c r="AK71" i="52" s="1"/>
  <c r="AK72" i="52" s="1"/>
  <c r="AK73" i="52" s="1"/>
  <c r="AK74" i="52" s="1"/>
  <c r="AK75" i="52" s="1"/>
  <c r="AK76" i="52" s="1"/>
  <c r="AK77" i="52" s="1"/>
  <c r="AK78" i="52" s="1"/>
  <c r="AK79" i="52" s="1"/>
  <c r="AB7" i="52"/>
  <c r="AB8" i="52" s="1"/>
  <c r="AB9" i="52" s="1"/>
  <c r="AB10" i="52" s="1"/>
  <c r="AB11" i="52" s="1"/>
  <c r="AB12" i="52" s="1"/>
  <c r="AB13" i="52" s="1"/>
  <c r="AB14" i="52" s="1"/>
  <c r="AB15" i="52" s="1"/>
  <c r="AB16" i="52" s="1"/>
  <c r="AB17" i="52" s="1"/>
  <c r="AB18" i="52" s="1"/>
  <c r="AB19" i="52" s="1"/>
  <c r="AB20" i="52" s="1"/>
  <c r="AB21" i="52" s="1"/>
  <c r="AB22" i="52" s="1"/>
  <c r="AB23" i="52" s="1"/>
  <c r="AB24" i="52" s="1"/>
  <c r="AB25" i="52" s="1"/>
  <c r="AB26" i="52" s="1"/>
  <c r="W6" i="52"/>
  <c r="Y6" i="52" s="1"/>
  <c r="O6" i="52"/>
  <c r="I6" i="52"/>
  <c r="H94" i="52"/>
  <c r="H93" i="52"/>
  <c r="H92" i="52"/>
  <c r="S91" i="52"/>
  <c r="H91" i="52"/>
  <c r="E91" i="52"/>
  <c r="D91" i="52"/>
  <c r="S90" i="52"/>
  <c r="H90" i="52"/>
  <c r="E90" i="52"/>
  <c r="K90" i="52" s="1"/>
  <c r="L90" i="52" s="1"/>
  <c r="S89" i="52"/>
  <c r="H89" i="52"/>
  <c r="E89" i="52"/>
  <c r="S88" i="52"/>
  <c r="H88" i="52"/>
  <c r="S87" i="52"/>
  <c r="H87" i="52"/>
  <c r="O81" i="52"/>
  <c r="D94" i="52"/>
  <c r="L94" i="52" s="1"/>
  <c r="D87" i="52"/>
  <c r="D93" i="52"/>
  <c r="L93" i="52" s="1"/>
  <c r="Q6" i="52" l="1"/>
  <c r="Q7" i="52" s="1"/>
  <c r="Q8" i="52" s="1"/>
  <c r="Q9" i="52" s="1"/>
  <c r="Q10" i="52" s="1"/>
  <c r="Q11" i="52" s="1"/>
  <c r="Q12" i="52" s="1"/>
  <c r="Q13" i="52" s="1"/>
  <c r="Q14" i="52" s="1"/>
  <c r="Q15" i="52" s="1"/>
  <c r="Q16" i="52" s="1"/>
  <c r="Q17" i="52" s="1"/>
  <c r="Q18" i="52" s="1"/>
  <c r="Q19" i="52" s="1"/>
  <c r="Q20" i="52" s="1"/>
  <c r="Q21" i="52" s="1"/>
  <c r="Q22" i="52" s="1"/>
  <c r="Q23" i="52" s="1"/>
  <c r="Q24" i="52" s="1"/>
  <c r="Q25" i="52" s="1"/>
  <c r="Q26" i="52" s="1"/>
  <c r="Q27" i="52" s="1"/>
  <c r="Q28" i="52" s="1"/>
  <c r="Q29" i="52" s="1"/>
  <c r="Q30" i="52" s="1"/>
  <c r="Q31" i="52" s="1"/>
  <c r="Q32" i="52" s="1"/>
  <c r="Q33" i="52" s="1"/>
  <c r="Q34" i="52" s="1"/>
  <c r="Q35" i="52" s="1"/>
  <c r="Q36" i="52" s="1"/>
  <c r="Q37" i="52" s="1"/>
  <c r="Q38" i="52" s="1"/>
  <c r="Q39" i="52" s="1"/>
  <c r="Q40" i="52" s="1"/>
  <c r="Q41" i="52" s="1"/>
  <c r="Q42" i="52" s="1"/>
  <c r="Q43" i="52" s="1"/>
  <c r="Q44" i="52" s="1"/>
  <c r="Q45" i="52" s="1"/>
  <c r="Q46" i="52" s="1"/>
  <c r="Q47" i="52" s="1"/>
  <c r="Q48" i="52" s="1"/>
  <c r="Q49" i="52" s="1"/>
  <c r="Q50" i="52" s="1"/>
  <c r="Q51" i="52" s="1"/>
  <c r="Q52" i="52" s="1"/>
  <c r="Q53" i="52" s="1"/>
  <c r="Q54" i="52" s="1"/>
  <c r="Q55" i="52" s="1"/>
  <c r="Q56" i="52" s="1"/>
  <c r="Q57" i="52" s="1"/>
  <c r="Q58" i="52" s="1"/>
  <c r="Q59" i="52" s="1"/>
  <c r="Q60" i="52" s="1"/>
  <c r="Q61" i="52" s="1"/>
  <c r="Q62" i="52" s="1"/>
  <c r="Q63" i="52" s="1"/>
  <c r="Q64" i="52" s="1"/>
  <c r="Q65" i="52" s="1"/>
  <c r="Q66" i="52" s="1"/>
  <c r="Q67" i="52" s="1"/>
  <c r="Q68" i="52" s="1"/>
  <c r="Q69" i="52" s="1"/>
  <c r="Q70" i="52" s="1"/>
  <c r="Q71" i="52" s="1"/>
  <c r="Q72" i="52" s="1"/>
  <c r="Q73" i="52" s="1"/>
  <c r="Q74" i="52" s="1"/>
  <c r="Q75" i="52" s="1"/>
  <c r="Q76" i="52" s="1"/>
  <c r="Q77" i="52" s="1"/>
  <c r="Q78" i="52" s="1"/>
  <c r="Q79" i="52" s="1"/>
  <c r="AB27" i="52"/>
  <c r="AB28" i="52" s="1"/>
  <c r="AB29" i="52" s="1"/>
  <c r="AB30" i="52" s="1"/>
  <c r="AB31" i="52" s="1"/>
  <c r="AB32" i="52" s="1"/>
  <c r="AB33" i="52" s="1"/>
  <c r="AB34" i="52" s="1"/>
  <c r="AB35" i="52" s="1"/>
  <c r="AB36" i="52" s="1"/>
  <c r="AB37" i="52" s="1"/>
  <c r="AB38" i="52" s="1"/>
  <c r="AB39" i="52" s="1"/>
  <c r="AB40" i="52" s="1"/>
  <c r="AB41" i="52" s="1"/>
  <c r="AB42" i="52" s="1"/>
  <c r="AB43" i="52" s="1"/>
  <c r="AB44" i="52" s="1"/>
  <c r="AB45" i="52" s="1"/>
  <c r="AB46" i="52" s="1"/>
  <c r="AB47" i="52" s="1"/>
  <c r="AB48" i="52" s="1"/>
  <c r="AB49" i="52" s="1"/>
  <c r="AB50" i="52" s="1"/>
  <c r="AB51" i="52" s="1"/>
  <c r="AB52" i="52" s="1"/>
  <c r="AB53" i="52" s="1"/>
  <c r="AB54" i="52" s="1"/>
  <c r="AB55" i="52" s="1"/>
  <c r="AB56" i="52" s="1"/>
  <c r="AB57" i="52" s="1"/>
  <c r="AB58" i="52" s="1"/>
  <c r="AB59" i="52" s="1"/>
  <c r="AB60" i="52" s="1"/>
  <c r="AB61" i="52" s="1"/>
  <c r="AB62" i="52" s="1"/>
  <c r="AB63" i="52" s="1"/>
  <c r="AB64" i="52" s="1"/>
  <c r="AB65" i="52" s="1"/>
  <c r="AB66" i="52" s="1"/>
  <c r="AB67" i="52" s="1"/>
  <c r="AB68" i="52" s="1"/>
  <c r="AB69" i="52" s="1"/>
  <c r="AB70" i="52" s="1"/>
  <c r="AB71" i="52" s="1"/>
  <c r="AB72" i="52" s="1"/>
  <c r="AB73" i="52" s="1"/>
  <c r="AB74" i="52" s="1"/>
  <c r="AB75" i="52" s="1"/>
  <c r="AB76" i="52" s="1"/>
  <c r="AB77" i="52" s="1"/>
  <c r="AB78" i="52" s="1"/>
  <c r="AB79" i="52" s="1"/>
  <c r="M94" i="52"/>
  <c r="Y7" i="52"/>
  <c r="Y8" i="52" s="1"/>
  <c r="Y9" i="52" s="1"/>
  <c r="Y10" i="52" s="1"/>
  <c r="Y11" i="52" s="1"/>
  <c r="Y12" i="52" s="1"/>
  <c r="Y13" i="52" s="1"/>
  <c r="Y14" i="52" s="1"/>
  <c r="Y15" i="52" s="1"/>
  <c r="Y16" i="52" s="1"/>
  <c r="Y17" i="52" s="1"/>
  <c r="Y18" i="52" s="1"/>
  <c r="Y19" i="52" s="1"/>
  <c r="Y20" i="52" s="1"/>
  <c r="Y21" i="52" s="1"/>
  <c r="Y22" i="52" s="1"/>
  <c r="Y23" i="52" s="1"/>
  <c r="Y24" i="52" s="1"/>
  <c r="Y25" i="52" s="1"/>
  <c r="Y26" i="52" s="1"/>
  <c r="Y27" i="52" s="1"/>
  <c r="Y28" i="52" s="1"/>
  <c r="Y29" i="52" s="1"/>
  <c r="Y30" i="52" s="1"/>
  <c r="Y31" i="52" s="1"/>
  <c r="Y32" i="52" s="1"/>
  <c r="Y33" i="52" s="1"/>
  <c r="Y34" i="52" s="1"/>
  <c r="Y35" i="52" s="1"/>
  <c r="Y36" i="52" s="1"/>
  <c r="Y37" i="52" s="1"/>
  <c r="Y38" i="52" s="1"/>
  <c r="Y39" i="52" s="1"/>
  <c r="Y40" i="52" s="1"/>
  <c r="Y41" i="52" s="1"/>
  <c r="Y42" i="52" s="1"/>
  <c r="Y43" i="52" s="1"/>
  <c r="Y44" i="52" s="1"/>
  <c r="Y45" i="52" s="1"/>
  <c r="Y46" i="52" s="1"/>
  <c r="Y47" i="52" s="1"/>
  <c r="Y48" i="52" s="1"/>
  <c r="Y49" i="52" s="1"/>
  <c r="Y50" i="52" s="1"/>
  <c r="Y51" i="52" s="1"/>
  <c r="Y52" i="52" s="1"/>
  <c r="Y53" i="52" s="1"/>
  <c r="Y54" i="52" s="1"/>
  <c r="Y55" i="52" s="1"/>
  <c r="Y56" i="52" s="1"/>
  <c r="Y57" i="52" s="1"/>
  <c r="Y58" i="52" s="1"/>
  <c r="Y59" i="52" s="1"/>
  <c r="Y60" i="52" s="1"/>
  <c r="Y61" i="52" s="1"/>
  <c r="Y62" i="52" s="1"/>
  <c r="Y63" i="52" s="1"/>
  <c r="Y64" i="52" s="1"/>
  <c r="Y65" i="52" s="1"/>
  <c r="Y66" i="52" s="1"/>
  <c r="Y67" i="52" s="1"/>
  <c r="Y68" i="52" s="1"/>
  <c r="Y69" i="52" s="1"/>
  <c r="Y70" i="52" s="1"/>
  <c r="Y71" i="52" s="1"/>
  <c r="Y72" i="52" s="1"/>
  <c r="Y73" i="52" s="1"/>
  <c r="Y74" i="52" s="1"/>
  <c r="Y75" i="52" s="1"/>
  <c r="Y76" i="52" s="1"/>
  <c r="Y77" i="52" s="1"/>
  <c r="Y78" i="52" s="1"/>
  <c r="Y79" i="52" s="1"/>
  <c r="I91" i="52"/>
  <c r="M93" i="52"/>
  <c r="F91" i="52"/>
  <c r="I87" i="52"/>
  <c r="L87" i="52"/>
  <c r="D88" i="52"/>
  <c r="T89" i="52" s="1"/>
  <c r="K89" i="52"/>
  <c r="E96" i="52"/>
  <c r="D89" i="52"/>
  <c r="I89" i="52" s="1"/>
  <c r="M90" i="52"/>
  <c r="D92" i="52"/>
  <c r="D90" i="52"/>
  <c r="F90" i="52" s="1"/>
  <c r="H96" i="52"/>
  <c r="I94" i="52"/>
  <c r="I93" i="52"/>
  <c r="S96" i="52"/>
  <c r="K91" i="52"/>
  <c r="AK88" i="50"/>
  <c r="AK89" i="50" s="1"/>
  <c r="AK90" i="50" s="1"/>
  <c r="AH88" i="50"/>
  <c r="AH89" i="50" s="1"/>
  <c r="AH90" i="50" s="1"/>
  <c r="AE88" i="50"/>
  <c r="AE89" i="50" s="1"/>
  <c r="AE90" i="50" s="1"/>
  <c r="AB88" i="50"/>
  <c r="AB89" i="50" s="1"/>
  <c r="AB90" i="50" s="1"/>
  <c r="D88" i="50"/>
  <c r="D89" i="50"/>
  <c r="D90" i="50"/>
  <c r="I88" i="50"/>
  <c r="O88" i="50"/>
  <c r="Q88" i="50" s="1"/>
  <c r="W88" i="50"/>
  <c r="I89" i="50"/>
  <c r="O89" i="50"/>
  <c r="W89" i="50"/>
  <c r="Q89" i="50" l="1"/>
  <c r="T91" i="52"/>
  <c r="L91" i="52"/>
  <c r="M91" i="52" s="1"/>
  <c r="N91" i="52"/>
  <c r="F89" i="52"/>
  <c r="F96" i="52" s="1"/>
  <c r="N90" i="52"/>
  <c r="L92" i="52"/>
  <c r="M92" i="52" s="1"/>
  <c r="I92" i="52"/>
  <c r="M87" i="52"/>
  <c r="L88" i="52"/>
  <c r="M88" i="52" s="1"/>
  <c r="T88" i="52"/>
  <c r="V87" i="52"/>
  <c r="W87" i="52" s="1"/>
  <c r="T87" i="52"/>
  <c r="T90" i="52"/>
  <c r="I88" i="52"/>
  <c r="I90" i="52"/>
  <c r="N89" i="52"/>
  <c r="L89" i="52"/>
  <c r="M89" i="52" s="1"/>
  <c r="D96" i="52"/>
  <c r="N96" i="52" l="1"/>
  <c r="T96" i="52"/>
  <c r="M96" i="52"/>
  <c r="L96" i="52"/>
  <c r="D68" i="42"/>
  <c r="D61" i="51"/>
  <c r="I47" i="51"/>
  <c r="AK47" i="51"/>
  <c r="AH47" i="51"/>
  <c r="AE47" i="51"/>
  <c r="AB47" i="51"/>
  <c r="W47" i="51"/>
  <c r="O47" i="51"/>
  <c r="I6" i="49"/>
  <c r="O6" i="49"/>
  <c r="W6" i="49"/>
  <c r="H76" i="51" l="1"/>
  <c r="H75" i="51"/>
  <c r="H74" i="51"/>
  <c r="S73" i="51"/>
  <c r="H73" i="51"/>
  <c r="E73" i="51"/>
  <c r="D73" i="51"/>
  <c r="S72" i="51"/>
  <c r="H72" i="51"/>
  <c r="E72" i="51"/>
  <c r="S71" i="51"/>
  <c r="H71" i="51"/>
  <c r="E71" i="51"/>
  <c r="D71" i="51"/>
  <c r="S70" i="51"/>
  <c r="H70" i="51"/>
  <c r="S69" i="51"/>
  <c r="H69" i="51"/>
  <c r="O63" i="51"/>
  <c r="W60" i="51"/>
  <c r="O60" i="51"/>
  <c r="I60" i="51"/>
  <c r="D60" i="51"/>
  <c r="W59" i="51"/>
  <c r="O59" i="51"/>
  <c r="I59" i="51"/>
  <c r="D59" i="51"/>
  <c r="W58" i="51"/>
  <c r="O58" i="51"/>
  <c r="I58" i="51"/>
  <c r="D58" i="51"/>
  <c r="W57" i="51"/>
  <c r="O57" i="51"/>
  <c r="I57" i="51"/>
  <c r="D57" i="51"/>
  <c r="W56" i="51"/>
  <c r="O56" i="51"/>
  <c r="I56" i="51"/>
  <c r="D56" i="51"/>
  <c r="W55" i="51"/>
  <c r="O55" i="51"/>
  <c r="I55" i="51"/>
  <c r="D55" i="51"/>
  <c r="W54" i="51"/>
  <c r="O54" i="51"/>
  <c r="I54" i="51"/>
  <c r="D54" i="51"/>
  <c r="W53" i="51"/>
  <c r="O53" i="51"/>
  <c r="I53" i="51"/>
  <c r="D53" i="51"/>
  <c r="W52" i="51"/>
  <c r="O52" i="51"/>
  <c r="I52" i="51"/>
  <c r="D52" i="51"/>
  <c r="W51" i="51"/>
  <c r="O51" i="51"/>
  <c r="I51" i="51"/>
  <c r="D51" i="51"/>
  <c r="W50" i="51"/>
  <c r="O50" i="51"/>
  <c r="I50" i="51"/>
  <c r="D50" i="51"/>
  <c r="W49" i="51"/>
  <c r="O49" i="51"/>
  <c r="I49" i="51"/>
  <c r="D49" i="51"/>
  <c r="AH48" i="51"/>
  <c r="AH49" i="51" s="1"/>
  <c r="AH50" i="51" s="1"/>
  <c r="AH51" i="51" s="1"/>
  <c r="AH52" i="51" s="1"/>
  <c r="AH53" i="51" s="1"/>
  <c r="AH54" i="51" s="1"/>
  <c r="AH55" i="51" s="1"/>
  <c r="AH56" i="51" s="1"/>
  <c r="AH57" i="51" s="1"/>
  <c r="AH58" i="51" s="1"/>
  <c r="AH59" i="51" s="1"/>
  <c r="AH60" i="51" s="1"/>
  <c r="AH61" i="51" s="1"/>
  <c r="AE48" i="51"/>
  <c r="AE49" i="51" s="1"/>
  <c r="AE50" i="51" s="1"/>
  <c r="AE51" i="51" s="1"/>
  <c r="AE52" i="51" s="1"/>
  <c r="AE53" i="51" s="1"/>
  <c r="AE54" i="51" s="1"/>
  <c r="AE55" i="51" s="1"/>
  <c r="AE56" i="51" s="1"/>
  <c r="AE57" i="51" s="1"/>
  <c r="AE58" i="51" s="1"/>
  <c r="AE59" i="51" s="1"/>
  <c r="AE60" i="51" s="1"/>
  <c r="AE61" i="51" s="1"/>
  <c r="AB48" i="51"/>
  <c r="AB49" i="51" s="1"/>
  <c r="AB50" i="51" s="1"/>
  <c r="AB51" i="51" s="1"/>
  <c r="AB52" i="51" s="1"/>
  <c r="AB53" i="51" s="1"/>
  <c r="AB54" i="51" s="1"/>
  <c r="AB55" i="51" s="1"/>
  <c r="AB56" i="51" s="1"/>
  <c r="AB57" i="51" s="1"/>
  <c r="AB58" i="51" s="1"/>
  <c r="AB59" i="51" s="1"/>
  <c r="AB60" i="51" s="1"/>
  <c r="AB61" i="51" s="1"/>
  <c r="W48" i="51"/>
  <c r="O48" i="51"/>
  <c r="I48" i="51"/>
  <c r="D48" i="51"/>
  <c r="AK48" i="51"/>
  <c r="AK49" i="51" s="1"/>
  <c r="AK50" i="51" s="1"/>
  <c r="AK51" i="51" s="1"/>
  <c r="AK52" i="51" s="1"/>
  <c r="AK53" i="51" s="1"/>
  <c r="AK54" i="51" s="1"/>
  <c r="AK55" i="51" s="1"/>
  <c r="AK56" i="51" s="1"/>
  <c r="AK57" i="51" s="1"/>
  <c r="AK58" i="51" s="1"/>
  <c r="AK59" i="51" s="1"/>
  <c r="AK60" i="51" s="1"/>
  <c r="AK61" i="51" s="1"/>
  <c r="W44" i="51"/>
  <c r="O44" i="51"/>
  <c r="I44" i="51"/>
  <c r="D44" i="51"/>
  <c r="W43" i="51"/>
  <c r="O43" i="51"/>
  <c r="I43" i="51"/>
  <c r="D43" i="51"/>
  <c r="W42" i="51"/>
  <c r="O42" i="51"/>
  <c r="I42" i="51"/>
  <c r="D42" i="51"/>
  <c r="W41" i="51"/>
  <c r="O41" i="51"/>
  <c r="I41" i="51"/>
  <c r="D41" i="51"/>
  <c r="W40" i="51"/>
  <c r="O40" i="51"/>
  <c r="I40" i="51"/>
  <c r="D40" i="51"/>
  <c r="W39" i="51"/>
  <c r="O39" i="51"/>
  <c r="I39" i="51"/>
  <c r="D39" i="51"/>
  <c r="W38" i="51"/>
  <c r="O38" i="51"/>
  <c r="I38" i="51"/>
  <c r="D38" i="51"/>
  <c r="AE37" i="51"/>
  <c r="AE38" i="51" s="1"/>
  <c r="W37" i="51"/>
  <c r="O37" i="51"/>
  <c r="I37" i="51"/>
  <c r="D37" i="51"/>
  <c r="W36" i="51"/>
  <c r="O36" i="51"/>
  <c r="I36" i="51"/>
  <c r="D36" i="51"/>
  <c r="W35" i="51"/>
  <c r="O35" i="51"/>
  <c r="I35" i="51"/>
  <c r="D35" i="51"/>
  <c r="W34" i="51"/>
  <c r="O34" i="51"/>
  <c r="I34" i="51"/>
  <c r="D34" i="51"/>
  <c r="W33" i="51"/>
  <c r="O33" i="51"/>
  <c r="I33" i="51"/>
  <c r="D33" i="51"/>
  <c r="W32" i="51"/>
  <c r="O32" i="51"/>
  <c r="I32" i="51"/>
  <c r="D32" i="51"/>
  <c r="W31" i="51"/>
  <c r="O31" i="51"/>
  <c r="I31" i="51"/>
  <c r="D31" i="51"/>
  <c r="W30" i="51"/>
  <c r="O30" i="51"/>
  <c r="I30" i="51"/>
  <c r="D30" i="51"/>
  <c r="W29" i="51"/>
  <c r="O29" i="51"/>
  <c r="I29" i="51"/>
  <c r="D29" i="51"/>
  <c r="W28" i="51"/>
  <c r="O28" i="51"/>
  <c r="I28" i="51"/>
  <c r="D28" i="51"/>
  <c r="W27" i="51"/>
  <c r="O27" i="51"/>
  <c r="I27" i="51"/>
  <c r="D27" i="51"/>
  <c r="W26" i="51"/>
  <c r="O26" i="51"/>
  <c r="I26" i="51"/>
  <c r="D26" i="51"/>
  <c r="W25" i="51"/>
  <c r="O25" i="51"/>
  <c r="I25" i="51"/>
  <c r="D25" i="51"/>
  <c r="W24" i="51"/>
  <c r="O24" i="51"/>
  <c r="I24" i="51"/>
  <c r="D24" i="51"/>
  <c r="W23" i="51"/>
  <c r="O23" i="51"/>
  <c r="I23" i="51"/>
  <c r="D23" i="51"/>
  <c r="W22" i="51"/>
  <c r="O22" i="51"/>
  <c r="I22" i="51"/>
  <c r="D22" i="51"/>
  <c r="W21" i="51"/>
  <c r="O21" i="51"/>
  <c r="I21" i="51"/>
  <c r="D21" i="51"/>
  <c r="W20" i="51"/>
  <c r="O20" i="51"/>
  <c r="I20" i="51"/>
  <c r="D20" i="51"/>
  <c r="W19" i="51"/>
  <c r="O19" i="51"/>
  <c r="I19" i="51"/>
  <c r="D19" i="51"/>
  <c r="W18" i="51"/>
  <c r="O18" i="51"/>
  <c r="I18" i="51"/>
  <c r="D18" i="51"/>
  <c r="W17" i="51"/>
  <c r="O17" i="51"/>
  <c r="I17" i="51"/>
  <c r="D17" i="51"/>
  <c r="W16" i="51"/>
  <c r="O16" i="51"/>
  <c r="I16" i="51"/>
  <c r="D16" i="51"/>
  <c r="W15" i="51"/>
  <c r="O15" i="51"/>
  <c r="I15" i="51"/>
  <c r="D15" i="51"/>
  <c r="W14" i="51"/>
  <c r="O14" i="51"/>
  <c r="I14" i="51"/>
  <c r="D14" i="51"/>
  <c r="W13" i="51"/>
  <c r="O13" i="51"/>
  <c r="I13" i="51"/>
  <c r="D13" i="51"/>
  <c r="W12" i="51"/>
  <c r="O12" i="51"/>
  <c r="I12" i="51"/>
  <c r="D12" i="51"/>
  <c r="W11" i="51"/>
  <c r="O11" i="51"/>
  <c r="I11" i="51"/>
  <c r="D11" i="51"/>
  <c r="W10" i="51"/>
  <c r="O10" i="51"/>
  <c r="I10" i="51"/>
  <c r="D10" i="51"/>
  <c r="W9" i="51"/>
  <c r="O9" i="51"/>
  <c r="I9" i="51"/>
  <c r="D9" i="51"/>
  <c r="W8" i="51"/>
  <c r="O8" i="51"/>
  <c r="I8" i="51"/>
  <c r="D8" i="51"/>
  <c r="W7" i="51"/>
  <c r="O7" i="51"/>
  <c r="I7" i="51"/>
  <c r="D7" i="51"/>
  <c r="AK6" i="51"/>
  <c r="AK7" i="51" s="1"/>
  <c r="AK8" i="51" s="1"/>
  <c r="AK9" i="51" s="1"/>
  <c r="AK10" i="51" s="1"/>
  <c r="AK11" i="51" s="1"/>
  <c r="AK12" i="51" s="1"/>
  <c r="AK13" i="51" s="1"/>
  <c r="AK14" i="51" s="1"/>
  <c r="AK15" i="51" s="1"/>
  <c r="AK16" i="51" s="1"/>
  <c r="AK17" i="51" s="1"/>
  <c r="AK18" i="51" s="1"/>
  <c r="AK19" i="51" s="1"/>
  <c r="AK20" i="51" s="1"/>
  <c r="AK21" i="51" s="1"/>
  <c r="AK22" i="51" s="1"/>
  <c r="AK23" i="51" s="1"/>
  <c r="AK24" i="51" s="1"/>
  <c r="AK25" i="51" s="1"/>
  <c r="AK26" i="51" s="1"/>
  <c r="AK27" i="51" s="1"/>
  <c r="AK28" i="51" s="1"/>
  <c r="AK29" i="51" s="1"/>
  <c r="AK30" i="51" s="1"/>
  <c r="AK31" i="51" s="1"/>
  <c r="AK32" i="51" s="1"/>
  <c r="AK33" i="51" s="1"/>
  <c r="AK34" i="51" s="1"/>
  <c r="AK35" i="51" s="1"/>
  <c r="AK36" i="51" s="1"/>
  <c r="AK37" i="51" s="1"/>
  <c r="AH6" i="51"/>
  <c r="AH7" i="51" s="1"/>
  <c r="AH8" i="51" s="1"/>
  <c r="AH9" i="51" s="1"/>
  <c r="AH10" i="51" s="1"/>
  <c r="AH11" i="51" s="1"/>
  <c r="AH12" i="51" s="1"/>
  <c r="AH13" i="51" s="1"/>
  <c r="AH14" i="51" s="1"/>
  <c r="AH15" i="51" s="1"/>
  <c r="AH16" i="51" s="1"/>
  <c r="AH17" i="51" s="1"/>
  <c r="AH18" i="51" s="1"/>
  <c r="AH19" i="51" s="1"/>
  <c r="AH20" i="51" s="1"/>
  <c r="AH21" i="51" s="1"/>
  <c r="AH22" i="51" s="1"/>
  <c r="AH23" i="51" s="1"/>
  <c r="AH24" i="51" s="1"/>
  <c r="AH25" i="51" s="1"/>
  <c r="AH26" i="51" s="1"/>
  <c r="AH27" i="51" s="1"/>
  <c r="AH28" i="51" s="1"/>
  <c r="AH29" i="51" s="1"/>
  <c r="AH30" i="51" s="1"/>
  <c r="AH31" i="51" s="1"/>
  <c r="AH32" i="51" s="1"/>
  <c r="AH33" i="51" s="1"/>
  <c r="AH34" i="51" s="1"/>
  <c r="AH35" i="51" s="1"/>
  <c r="AH36" i="51" s="1"/>
  <c r="AH37" i="51" s="1"/>
  <c r="AE6" i="51"/>
  <c r="AE7" i="51" s="1"/>
  <c r="AE8" i="51" s="1"/>
  <c r="AE9" i="51" s="1"/>
  <c r="AE10" i="51" s="1"/>
  <c r="AE11" i="51" s="1"/>
  <c r="AE12" i="51" s="1"/>
  <c r="AE13" i="51" s="1"/>
  <c r="AE14" i="51" s="1"/>
  <c r="AE15" i="51" s="1"/>
  <c r="AE16" i="51" s="1"/>
  <c r="AE17" i="51" s="1"/>
  <c r="AE18" i="51" s="1"/>
  <c r="AE19" i="51" s="1"/>
  <c r="AE20" i="51" s="1"/>
  <c r="AE21" i="51" s="1"/>
  <c r="AE22" i="51" s="1"/>
  <c r="AE23" i="51" s="1"/>
  <c r="AE24" i="51" s="1"/>
  <c r="AE25" i="51" s="1"/>
  <c r="AE26" i="51" s="1"/>
  <c r="AE27" i="51" s="1"/>
  <c r="AE28" i="51" s="1"/>
  <c r="AE29" i="51" s="1"/>
  <c r="AE30" i="51" s="1"/>
  <c r="AE31" i="51" s="1"/>
  <c r="AE32" i="51" s="1"/>
  <c r="AE33" i="51" s="1"/>
  <c r="AE34" i="51" s="1"/>
  <c r="AE35" i="51" s="1"/>
  <c r="AE36" i="51" s="1"/>
  <c r="AB6" i="51"/>
  <c r="AB7" i="51" s="1"/>
  <c r="AB8" i="51" s="1"/>
  <c r="AB9" i="51" s="1"/>
  <c r="AB10" i="51" s="1"/>
  <c r="AB11" i="51" s="1"/>
  <c r="AB12" i="51" s="1"/>
  <c r="AB13" i="51" s="1"/>
  <c r="AB14" i="51" s="1"/>
  <c r="AB15" i="51" s="1"/>
  <c r="AB16" i="51" s="1"/>
  <c r="AB17" i="51" s="1"/>
  <c r="AB18" i="51" s="1"/>
  <c r="AB19" i="51" s="1"/>
  <c r="AB20" i="51" s="1"/>
  <c r="AB21" i="51" s="1"/>
  <c r="AB22" i="51" s="1"/>
  <c r="AB23" i="51" s="1"/>
  <c r="AB24" i="51" s="1"/>
  <c r="AB25" i="51" s="1"/>
  <c r="AB26" i="51" s="1"/>
  <c r="AB27" i="51" s="1"/>
  <c r="AB28" i="51" s="1"/>
  <c r="AB29" i="51" s="1"/>
  <c r="AB30" i="51" s="1"/>
  <c r="AB31" i="51" s="1"/>
  <c r="AB32" i="51" s="1"/>
  <c r="AB33" i="51" s="1"/>
  <c r="AB34" i="51" s="1"/>
  <c r="AB35" i="51" s="1"/>
  <c r="AB36" i="51" s="1"/>
  <c r="AB37" i="51" s="1"/>
  <c r="W6" i="51"/>
  <c r="Y6" i="51" s="1"/>
  <c r="Y7" i="51" s="1"/>
  <c r="O6" i="51"/>
  <c r="Q6" i="51" s="1"/>
  <c r="Q7" i="51" s="1"/>
  <c r="I6" i="51"/>
  <c r="D109" i="49"/>
  <c r="E100" i="50"/>
  <c r="I72" i="50"/>
  <c r="Q8" i="51" l="1"/>
  <c r="Q9" i="51" s="1"/>
  <c r="Q10" i="51" s="1"/>
  <c r="Q11" i="51" s="1"/>
  <c r="Q12" i="51" s="1"/>
  <c r="Q13" i="51" s="1"/>
  <c r="Q14" i="51" s="1"/>
  <c r="Q15" i="51" s="1"/>
  <c r="Q16" i="51" s="1"/>
  <c r="Q17" i="51" s="1"/>
  <c r="Q18" i="51" s="1"/>
  <c r="Q19" i="51" s="1"/>
  <c r="Q20" i="51" s="1"/>
  <c r="Q21" i="51" s="1"/>
  <c r="Q22" i="51" s="1"/>
  <c r="Q23" i="51" s="1"/>
  <c r="Q24" i="51" s="1"/>
  <c r="Q25" i="51" s="1"/>
  <c r="Q26" i="51" s="1"/>
  <c r="Q27" i="51" s="1"/>
  <c r="Q28" i="51" s="1"/>
  <c r="Q29" i="51" s="1"/>
  <c r="Q30" i="51" s="1"/>
  <c r="Q31" i="51" s="1"/>
  <c r="Q32" i="51" s="1"/>
  <c r="Q33" i="51" s="1"/>
  <c r="Q34" i="51" s="1"/>
  <c r="Q35" i="51" s="1"/>
  <c r="Q36" i="51" s="1"/>
  <c r="Q37" i="51" s="1"/>
  <c r="Q38" i="51" s="1"/>
  <c r="Y8" i="51"/>
  <c r="Y9" i="51" s="1"/>
  <c r="Y10" i="51" s="1"/>
  <c r="Y11" i="51" s="1"/>
  <c r="Y12" i="51" s="1"/>
  <c r="Y13" i="51" s="1"/>
  <c r="Y14" i="51" s="1"/>
  <c r="Y15" i="51" s="1"/>
  <c r="Y16" i="51" s="1"/>
  <c r="Y17" i="51" s="1"/>
  <c r="Y18" i="51" s="1"/>
  <c r="Y19" i="51" s="1"/>
  <c r="Y20" i="51" s="1"/>
  <c r="Y21" i="51" s="1"/>
  <c r="Y22" i="51" s="1"/>
  <c r="Y23" i="51" s="1"/>
  <c r="Y24" i="51" s="1"/>
  <c r="Y25" i="51" s="1"/>
  <c r="Y26" i="51" s="1"/>
  <c r="Y27" i="51" s="1"/>
  <c r="Y28" i="51" s="1"/>
  <c r="Y29" i="51" s="1"/>
  <c r="Y30" i="51" s="1"/>
  <c r="Y31" i="51" s="1"/>
  <c r="Y32" i="51" s="1"/>
  <c r="Y33" i="51" s="1"/>
  <c r="Y34" i="51" s="1"/>
  <c r="Y35" i="51" s="1"/>
  <c r="Y36" i="51" s="1"/>
  <c r="Y37" i="51" s="1"/>
  <c r="Y38" i="51" s="1"/>
  <c r="D72" i="51"/>
  <c r="I72" i="51" s="1"/>
  <c r="D69" i="51"/>
  <c r="L69" i="51" s="1"/>
  <c r="AE39" i="51"/>
  <c r="AE40" i="51" s="1"/>
  <c r="AE41" i="51" s="1"/>
  <c r="AE42" i="51" s="1"/>
  <c r="AE43" i="51" s="1"/>
  <c r="AE44" i="51" s="1"/>
  <c r="D70" i="51"/>
  <c r="L70" i="51" s="1"/>
  <c r="M70" i="51" s="1"/>
  <c r="H78" i="51"/>
  <c r="I73" i="51"/>
  <c r="F73" i="51"/>
  <c r="I71" i="51"/>
  <c r="AK39" i="51"/>
  <c r="AK40" i="51" s="1"/>
  <c r="AK41" i="51" s="1"/>
  <c r="AK42" i="51" s="1"/>
  <c r="AK43" i="51" s="1"/>
  <c r="AK44" i="51" s="1"/>
  <c r="AK38" i="51"/>
  <c r="AB39" i="51"/>
  <c r="AB40" i="51" s="1"/>
  <c r="AB41" i="51" s="1"/>
  <c r="AB42" i="51" s="1"/>
  <c r="AB43" i="51" s="1"/>
  <c r="AB44" i="51" s="1"/>
  <c r="AB38" i="51"/>
  <c r="AH39" i="51"/>
  <c r="AH40" i="51" s="1"/>
  <c r="AH41" i="51" s="1"/>
  <c r="AH42" i="51" s="1"/>
  <c r="AH43" i="51" s="1"/>
  <c r="AH44" i="51" s="1"/>
  <c r="AH38" i="51"/>
  <c r="D74" i="51"/>
  <c r="D75" i="51"/>
  <c r="L75" i="51" s="1"/>
  <c r="M75" i="51" s="1"/>
  <c r="D76" i="51"/>
  <c r="L76" i="51" s="1"/>
  <c r="M76" i="51" s="1"/>
  <c r="K71" i="51"/>
  <c r="E78" i="51"/>
  <c r="K72" i="51"/>
  <c r="K73" i="51"/>
  <c r="S78" i="51"/>
  <c r="D82" i="50"/>
  <c r="D83" i="50"/>
  <c r="D84" i="50"/>
  <c r="I82" i="50"/>
  <c r="O82" i="50"/>
  <c r="W82" i="50"/>
  <c r="I83" i="50"/>
  <c r="O83" i="50"/>
  <c r="W83" i="50"/>
  <c r="I84" i="50"/>
  <c r="O84" i="50"/>
  <c r="W84" i="50"/>
  <c r="Q39" i="51" l="1"/>
  <c r="Q40" i="51" s="1"/>
  <c r="Q41" i="51" s="1"/>
  <c r="Q42" i="51" s="1"/>
  <c r="Q43" i="51" s="1"/>
  <c r="Q44" i="51" s="1"/>
  <c r="F72" i="51"/>
  <c r="F78" i="51" s="1"/>
  <c r="Y39" i="51"/>
  <c r="Y40" i="51" s="1"/>
  <c r="Y41" i="51" s="1"/>
  <c r="Y42" i="51" s="1"/>
  <c r="Y43" i="51" s="1"/>
  <c r="Y44" i="51" s="1"/>
  <c r="I70" i="51"/>
  <c r="I69" i="51"/>
  <c r="T73" i="51"/>
  <c r="I76" i="51"/>
  <c r="N73" i="51"/>
  <c r="L73" i="51"/>
  <c r="M73" i="51" s="1"/>
  <c r="N71" i="51"/>
  <c r="L71" i="51"/>
  <c r="M71" i="51" s="1"/>
  <c r="T71" i="51"/>
  <c r="D78" i="51"/>
  <c r="L74" i="51"/>
  <c r="M74" i="51" s="1"/>
  <c r="I74" i="51"/>
  <c r="T72" i="51"/>
  <c r="V69" i="51"/>
  <c r="W69" i="51" s="1"/>
  <c r="I75" i="51"/>
  <c r="T70" i="51"/>
  <c r="T69" i="51"/>
  <c r="L72" i="51"/>
  <c r="M72" i="51" s="1"/>
  <c r="N72" i="51"/>
  <c r="M69" i="51"/>
  <c r="D74" i="50"/>
  <c r="D75" i="50"/>
  <c r="D76" i="50"/>
  <c r="D77" i="50"/>
  <c r="D78" i="50"/>
  <c r="D79" i="50"/>
  <c r="D80" i="50"/>
  <c r="D81" i="50"/>
  <c r="D100" i="50" s="1"/>
  <c r="D73" i="50"/>
  <c r="I73" i="50"/>
  <c r="O73" i="50"/>
  <c r="W73" i="50"/>
  <c r="I74" i="50"/>
  <c r="O74" i="50"/>
  <c r="W74" i="50"/>
  <c r="I75" i="50"/>
  <c r="O75" i="50"/>
  <c r="W75" i="50"/>
  <c r="I76" i="50"/>
  <c r="O76" i="50"/>
  <c r="W76" i="50"/>
  <c r="I77" i="50"/>
  <c r="O77" i="50"/>
  <c r="W77" i="50"/>
  <c r="I78" i="50"/>
  <c r="O78" i="50"/>
  <c r="W78" i="50"/>
  <c r="I79" i="50"/>
  <c r="O79" i="50"/>
  <c r="W79" i="50"/>
  <c r="I80" i="50"/>
  <c r="O80" i="50"/>
  <c r="W80" i="50"/>
  <c r="I81" i="50"/>
  <c r="O81" i="50"/>
  <c r="W81" i="50"/>
  <c r="T78" i="51" l="1"/>
  <c r="L78" i="51"/>
  <c r="N78" i="51"/>
  <c r="M78" i="51"/>
  <c r="O72" i="50"/>
  <c r="W72" i="50" l="1"/>
  <c r="W71" i="50"/>
  <c r="W70" i="50"/>
  <c r="W59" i="50" l="1"/>
  <c r="H105" i="50" l="1"/>
  <c r="H104" i="50"/>
  <c r="H103" i="50"/>
  <c r="S102" i="50"/>
  <c r="H102" i="50"/>
  <c r="E102" i="50"/>
  <c r="D102" i="50"/>
  <c r="S101" i="50"/>
  <c r="H101" i="50"/>
  <c r="E101" i="50"/>
  <c r="K101" i="50" s="1"/>
  <c r="S100" i="50"/>
  <c r="H100" i="50"/>
  <c r="S99" i="50"/>
  <c r="H99" i="50"/>
  <c r="S98" i="50"/>
  <c r="H98" i="50"/>
  <c r="O92" i="50"/>
  <c r="W90" i="50"/>
  <c r="O90" i="50"/>
  <c r="Q90" i="50" s="1"/>
  <c r="I90" i="50"/>
  <c r="D72" i="50"/>
  <c r="O71" i="50"/>
  <c r="I71" i="50"/>
  <c r="D71" i="50"/>
  <c r="O70" i="50"/>
  <c r="I70" i="50"/>
  <c r="D70" i="50"/>
  <c r="W69" i="50"/>
  <c r="O69" i="50"/>
  <c r="I69" i="50"/>
  <c r="D69" i="50"/>
  <c r="W68" i="50"/>
  <c r="O68" i="50"/>
  <c r="I68" i="50"/>
  <c r="D68" i="50"/>
  <c r="W67" i="50"/>
  <c r="O67" i="50"/>
  <c r="I67" i="50"/>
  <c r="D67" i="50"/>
  <c r="W66" i="50"/>
  <c r="O66" i="50"/>
  <c r="I66" i="50"/>
  <c r="D66" i="50"/>
  <c r="W65" i="50"/>
  <c r="O65" i="50"/>
  <c r="I65" i="50"/>
  <c r="D65" i="50"/>
  <c r="W64" i="50"/>
  <c r="O64" i="50"/>
  <c r="I64" i="50"/>
  <c r="D64" i="50"/>
  <c r="W63" i="50"/>
  <c r="O63" i="50"/>
  <c r="I63" i="50"/>
  <c r="D63" i="50"/>
  <c r="W62" i="50"/>
  <c r="O62" i="50"/>
  <c r="I62" i="50"/>
  <c r="D62" i="50"/>
  <c r="W61" i="50"/>
  <c r="O61" i="50"/>
  <c r="I61" i="50"/>
  <c r="D61" i="50"/>
  <c r="W60" i="50"/>
  <c r="O60" i="50"/>
  <c r="I60" i="50"/>
  <c r="D60" i="50"/>
  <c r="O59" i="50"/>
  <c r="I59" i="50"/>
  <c r="D59" i="50"/>
  <c r="W58" i="50"/>
  <c r="O58" i="50"/>
  <c r="I58" i="50"/>
  <c r="D58" i="50"/>
  <c r="W57" i="50"/>
  <c r="O57" i="50"/>
  <c r="I57" i="50"/>
  <c r="D57" i="50"/>
  <c r="W56" i="50"/>
  <c r="O56" i="50"/>
  <c r="I56" i="50"/>
  <c r="D56" i="50"/>
  <c r="W55" i="50"/>
  <c r="O55" i="50"/>
  <c r="I55" i="50"/>
  <c r="D55" i="50"/>
  <c r="W54" i="50"/>
  <c r="O54" i="50"/>
  <c r="I54" i="50"/>
  <c r="D54" i="50"/>
  <c r="W53" i="50"/>
  <c r="O53" i="50"/>
  <c r="I53" i="50"/>
  <c r="D53" i="50"/>
  <c r="W52" i="50"/>
  <c r="O52" i="50"/>
  <c r="I52" i="50"/>
  <c r="D52" i="50"/>
  <c r="W51" i="50"/>
  <c r="O51" i="50"/>
  <c r="I51" i="50"/>
  <c r="D51" i="50"/>
  <c r="W50" i="50"/>
  <c r="O50" i="50"/>
  <c r="I50" i="50"/>
  <c r="D50" i="50"/>
  <c r="W49" i="50"/>
  <c r="O49" i="50"/>
  <c r="I49" i="50"/>
  <c r="D49" i="50"/>
  <c r="W48" i="50"/>
  <c r="O48" i="50"/>
  <c r="I48" i="50"/>
  <c r="D48" i="50"/>
  <c r="W47" i="50"/>
  <c r="O47" i="50"/>
  <c r="I47" i="50"/>
  <c r="D47" i="50"/>
  <c r="W46" i="50"/>
  <c r="O46" i="50"/>
  <c r="I46" i="50"/>
  <c r="D46" i="50"/>
  <c r="W45" i="50"/>
  <c r="O45" i="50"/>
  <c r="I45" i="50"/>
  <c r="D45" i="50"/>
  <c r="W44" i="50"/>
  <c r="O44" i="50"/>
  <c r="I44" i="50"/>
  <c r="D44" i="50"/>
  <c r="W43" i="50"/>
  <c r="O43" i="50"/>
  <c r="I43" i="50"/>
  <c r="D43" i="50"/>
  <c r="W42" i="50"/>
  <c r="O42" i="50"/>
  <c r="I42" i="50"/>
  <c r="D42" i="50"/>
  <c r="W41" i="50"/>
  <c r="O41" i="50"/>
  <c r="I41" i="50"/>
  <c r="D41" i="50"/>
  <c r="W40" i="50"/>
  <c r="O40" i="50"/>
  <c r="I40" i="50"/>
  <c r="D40" i="50"/>
  <c r="W39" i="50"/>
  <c r="O39" i="50"/>
  <c r="I39" i="50"/>
  <c r="D39" i="50"/>
  <c r="W38" i="50"/>
  <c r="O38" i="50"/>
  <c r="I38" i="50"/>
  <c r="D38" i="50"/>
  <c r="W37" i="50"/>
  <c r="O37" i="50"/>
  <c r="I37" i="50"/>
  <c r="D37" i="50"/>
  <c r="W36" i="50"/>
  <c r="O36" i="50"/>
  <c r="I36" i="50"/>
  <c r="D36" i="50"/>
  <c r="W35" i="50"/>
  <c r="O35" i="50"/>
  <c r="I35" i="50"/>
  <c r="D35" i="50"/>
  <c r="W34" i="50"/>
  <c r="O34" i="50"/>
  <c r="I34" i="50"/>
  <c r="D34" i="50"/>
  <c r="W33" i="50"/>
  <c r="O33" i="50"/>
  <c r="I33" i="50"/>
  <c r="D33" i="50"/>
  <c r="W32" i="50"/>
  <c r="O32" i="50"/>
  <c r="I32" i="50"/>
  <c r="D32" i="50"/>
  <c r="W31" i="50"/>
  <c r="O31" i="50"/>
  <c r="I31" i="50"/>
  <c r="D31" i="50"/>
  <c r="W30" i="50"/>
  <c r="O30" i="50"/>
  <c r="I30" i="50"/>
  <c r="D30" i="50"/>
  <c r="W29" i="50"/>
  <c r="O29" i="50"/>
  <c r="I29" i="50"/>
  <c r="D29" i="50"/>
  <c r="W28" i="50"/>
  <c r="O28" i="50"/>
  <c r="I28" i="50"/>
  <c r="D28" i="50"/>
  <c r="W27" i="50"/>
  <c r="O27" i="50"/>
  <c r="I27" i="50"/>
  <c r="D27" i="50"/>
  <c r="W26" i="50"/>
  <c r="O26" i="50"/>
  <c r="I26" i="50"/>
  <c r="D26" i="50"/>
  <c r="W25" i="50"/>
  <c r="O25" i="50"/>
  <c r="I25" i="50"/>
  <c r="D25" i="50"/>
  <c r="W24" i="50"/>
  <c r="O24" i="50"/>
  <c r="I24" i="50"/>
  <c r="D24" i="50"/>
  <c r="W23" i="50"/>
  <c r="O23" i="50"/>
  <c r="I23" i="50"/>
  <c r="D23" i="50"/>
  <c r="W22" i="50"/>
  <c r="O22" i="50"/>
  <c r="I22" i="50"/>
  <c r="D22" i="50"/>
  <c r="W21" i="50"/>
  <c r="O21" i="50"/>
  <c r="I21" i="50"/>
  <c r="D21" i="50"/>
  <c r="W20" i="50"/>
  <c r="O20" i="50"/>
  <c r="I20" i="50"/>
  <c r="D20" i="50"/>
  <c r="W19" i="50"/>
  <c r="O19" i="50"/>
  <c r="I19" i="50"/>
  <c r="D19" i="50"/>
  <c r="W18" i="50"/>
  <c r="O18" i="50"/>
  <c r="I18" i="50"/>
  <c r="D18" i="50"/>
  <c r="W17" i="50"/>
  <c r="O17" i="50"/>
  <c r="I17" i="50"/>
  <c r="D17" i="50"/>
  <c r="W16" i="50"/>
  <c r="O16" i="50"/>
  <c r="I16" i="50"/>
  <c r="D16" i="50"/>
  <c r="W15" i="50"/>
  <c r="O15" i="50"/>
  <c r="I15" i="50"/>
  <c r="D15" i="50"/>
  <c r="W14" i="50"/>
  <c r="O14" i="50"/>
  <c r="I14" i="50"/>
  <c r="D14" i="50"/>
  <c r="W13" i="50"/>
  <c r="O13" i="50"/>
  <c r="I13" i="50"/>
  <c r="D13" i="50"/>
  <c r="W12" i="50"/>
  <c r="O12" i="50"/>
  <c r="I12" i="50"/>
  <c r="D12" i="50"/>
  <c r="W11" i="50"/>
  <c r="O11" i="50"/>
  <c r="I11" i="50"/>
  <c r="D11" i="50"/>
  <c r="W10" i="50"/>
  <c r="O10" i="50"/>
  <c r="I10" i="50"/>
  <c r="D10" i="50"/>
  <c r="W9" i="50"/>
  <c r="O9" i="50"/>
  <c r="I9" i="50"/>
  <c r="D9" i="50"/>
  <c r="W8" i="50"/>
  <c r="O8" i="50"/>
  <c r="I8" i="50"/>
  <c r="D8" i="50"/>
  <c r="W7" i="50"/>
  <c r="O7" i="50"/>
  <c r="I7" i="50"/>
  <c r="D7" i="50"/>
  <c r="W6" i="50"/>
  <c r="O6" i="50"/>
  <c r="I6" i="50"/>
  <c r="D98" i="50" l="1"/>
  <c r="L98" i="50" s="1"/>
  <c r="D104" i="50"/>
  <c r="L104" i="50" s="1"/>
  <c r="M104" i="50" s="1"/>
  <c r="D105" i="50"/>
  <c r="L105" i="50" s="1"/>
  <c r="M105" i="50" s="1"/>
  <c r="D99" i="50"/>
  <c r="D103" i="50"/>
  <c r="D101" i="50"/>
  <c r="F101" i="50" s="1"/>
  <c r="F102" i="50"/>
  <c r="I102" i="50"/>
  <c r="I100" i="50"/>
  <c r="AE8" i="50"/>
  <c r="AE9" i="50" s="1"/>
  <c r="AE10" i="50" s="1"/>
  <c r="AE11" i="50" s="1"/>
  <c r="AE12" i="50" s="1"/>
  <c r="AE13" i="50" s="1"/>
  <c r="AE7" i="50"/>
  <c r="Q8" i="50"/>
  <c r="Q9" i="50" s="1"/>
  <c r="Q10" i="50" s="1"/>
  <c r="Q11" i="50" s="1"/>
  <c r="Q12" i="50" s="1"/>
  <c r="Q13" i="50" s="1"/>
  <c r="Q7" i="50"/>
  <c r="F100" i="50"/>
  <c r="E107" i="50"/>
  <c r="K100" i="50"/>
  <c r="H107" i="50"/>
  <c r="L101" i="50"/>
  <c r="M101" i="50" s="1"/>
  <c r="S107" i="50"/>
  <c r="K102" i="50"/>
  <c r="D75" i="49"/>
  <c r="D76" i="49"/>
  <c r="I76" i="49"/>
  <c r="O76" i="49"/>
  <c r="W76" i="49"/>
  <c r="I75" i="49"/>
  <c r="O75" i="49"/>
  <c r="W75" i="49"/>
  <c r="F107" i="50" l="1"/>
  <c r="I104" i="50"/>
  <c r="I98" i="50"/>
  <c r="I105" i="50"/>
  <c r="T102" i="50"/>
  <c r="T98" i="50"/>
  <c r="T100" i="50"/>
  <c r="AB7" i="50"/>
  <c r="AB8" i="50"/>
  <c r="AB9" i="50" s="1"/>
  <c r="AB10" i="50" s="1"/>
  <c r="AB11" i="50" s="1"/>
  <c r="AB12" i="50" s="1"/>
  <c r="AB13" i="50" s="1"/>
  <c r="L99" i="50"/>
  <c r="M99" i="50" s="1"/>
  <c r="T99" i="50"/>
  <c r="V98" i="50"/>
  <c r="W98" i="50" s="1"/>
  <c r="T101" i="50"/>
  <c r="AH8" i="50"/>
  <c r="AH9" i="50" s="1"/>
  <c r="AH10" i="50" s="1"/>
  <c r="AH11" i="50" s="1"/>
  <c r="AH12" i="50" s="1"/>
  <c r="AH13" i="50" s="1"/>
  <c r="AH7" i="50"/>
  <c r="D107" i="50"/>
  <c r="L103" i="50"/>
  <c r="M103" i="50" s="1"/>
  <c r="I103" i="50"/>
  <c r="AK7" i="50"/>
  <c r="AK8" i="50"/>
  <c r="AK9" i="50" s="1"/>
  <c r="AK10" i="50" s="1"/>
  <c r="AK11" i="50" s="1"/>
  <c r="AK12" i="50" s="1"/>
  <c r="AK13" i="50" s="1"/>
  <c r="L102" i="50"/>
  <c r="M102" i="50" s="1"/>
  <c r="N102" i="50"/>
  <c r="I101" i="50"/>
  <c r="N101" i="50"/>
  <c r="N100" i="50"/>
  <c r="L100" i="50"/>
  <c r="M100" i="50" s="1"/>
  <c r="I99" i="50"/>
  <c r="M98" i="50"/>
  <c r="Y8" i="50"/>
  <c r="Y9" i="50" s="1"/>
  <c r="Y10" i="50" s="1"/>
  <c r="Y11" i="50" s="1"/>
  <c r="Y12" i="50" s="1"/>
  <c r="Y13" i="50" s="1"/>
  <c r="Y7" i="50"/>
  <c r="Q14" i="50"/>
  <c r="Q15" i="50"/>
  <c r="Q16" i="50" s="1"/>
  <c r="Q17" i="50" s="1"/>
  <c r="Q18" i="50" s="1"/>
  <c r="Q19" i="50" s="1"/>
  <c r="Q20" i="50" s="1"/>
  <c r="Q21" i="50" s="1"/>
  <c r="Q22" i="50" s="1"/>
  <c r="AE15" i="50"/>
  <c r="AE16" i="50" s="1"/>
  <c r="AE17" i="50" s="1"/>
  <c r="AE18" i="50" s="1"/>
  <c r="AE19" i="50" s="1"/>
  <c r="AE20" i="50" s="1"/>
  <c r="AE21" i="50" s="1"/>
  <c r="AE22" i="50" s="1"/>
  <c r="AE14" i="50"/>
  <c r="O72" i="49"/>
  <c r="L107" i="50" l="1"/>
  <c r="M107" i="50"/>
  <c r="T107" i="50"/>
  <c r="Q23" i="50"/>
  <c r="Q24" i="50" s="1"/>
  <c r="Q25" i="50"/>
  <c r="Q26" i="50" s="1"/>
  <c r="Q27" i="50" s="1"/>
  <c r="Q28" i="50" s="1"/>
  <c r="Q29" i="50" s="1"/>
  <c r="Q30" i="50" s="1"/>
  <c r="Q31" i="50" s="1"/>
  <c r="Q32" i="50" s="1"/>
  <c r="Q33" i="50" s="1"/>
  <c r="Q34" i="50" s="1"/>
  <c r="Q35" i="50" s="1"/>
  <c r="Q36" i="50" s="1"/>
  <c r="Q37" i="50" s="1"/>
  <c r="Q38" i="50" s="1"/>
  <c r="Q39" i="50" s="1"/>
  <c r="Q40" i="50" s="1"/>
  <c r="Q41" i="50" s="1"/>
  <c r="Q42" i="50" s="1"/>
  <c r="Q43" i="50" s="1"/>
  <c r="Q44" i="50" s="1"/>
  <c r="Q45" i="50" s="1"/>
  <c r="Q46" i="50" s="1"/>
  <c r="Q47" i="50" s="1"/>
  <c r="Q48" i="50" s="1"/>
  <c r="Q49" i="50" s="1"/>
  <c r="Q50" i="50" s="1"/>
  <c r="Q51" i="50" s="1"/>
  <c r="Q52" i="50" s="1"/>
  <c r="Q53" i="50" s="1"/>
  <c r="Q54" i="50" s="1"/>
  <c r="Q55" i="50" s="1"/>
  <c r="Q56" i="50" s="1"/>
  <c r="Q57" i="50" s="1"/>
  <c r="Q58" i="50" s="1"/>
  <c r="Q59" i="50" s="1"/>
  <c r="Q60" i="50" s="1"/>
  <c r="Q61" i="50" s="1"/>
  <c r="Q62" i="50" s="1"/>
  <c r="Q63" i="50" s="1"/>
  <c r="Q64" i="50" s="1"/>
  <c r="Q65" i="50" s="1"/>
  <c r="Q66" i="50" s="1"/>
  <c r="Q67" i="50" s="1"/>
  <c r="Q68" i="50" s="1"/>
  <c r="Q69" i="50" s="1"/>
  <c r="Q70" i="50" s="1"/>
  <c r="Q71" i="50" s="1"/>
  <c r="Q72" i="50" s="1"/>
  <c r="Q73" i="50" s="1"/>
  <c r="Q74" i="50" s="1"/>
  <c r="Q75" i="50" s="1"/>
  <c r="Q76" i="50" s="1"/>
  <c r="Q77" i="50" s="1"/>
  <c r="Q78" i="50" s="1"/>
  <c r="Q79" i="50" s="1"/>
  <c r="Q80" i="50" s="1"/>
  <c r="Q81" i="50" s="1"/>
  <c r="Q82" i="50" s="1"/>
  <c r="Q83" i="50" s="1"/>
  <c r="Q84" i="50" s="1"/>
  <c r="AH14" i="50"/>
  <c r="AH15" i="50"/>
  <c r="AH16" i="50" s="1"/>
  <c r="AH17" i="50" s="1"/>
  <c r="AH18" i="50" s="1"/>
  <c r="AH19" i="50" s="1"/>
  <c r="AH20" i="50" s="1"/>
  <c r="AH21" i="50" s="1"/>
  <c r="AH22" i="50" s="1"/>
  <c r="AE25" i="50"/>
  <c r="AE26" i="50" s="1"/>
  <c r="AE27" i="50" s="1"/>
  <c r="AE28" i="50" s="1"/>
  <c r="AE29" i="50" s="1"/>
  <c r="AE30" i="50" s="1"/>
  <c r="AE31" i="50" s="1"/>
  <c r="AE32" i="50" s="1"/>
  <c r="AE33" i="50" s="1"/>
  <c r="AE34" i="50" s="1"/>
  <c r="AE35" i="50" s="1"/>
  <c r="AE36" i="50" s="1"/>
  <c r="AE37" i="50" s="1"/>
  <c r="AE38" i="50" s="1"/>
  <c r="AE39" i="50" s="1"/>
  <c r="AE40" i="50" s="1"/>
  <c r="AE41" i="50" s="1"/>
  <c r="AE42" i="50" s="1"/>
  <c r="AE43" i="50" s="1"/>
  <c r="AE44" i="50" s="1"/>
  <c r="AE45" i="50" s="1"/>
  <c r="AE46" i="50" s="1"/>
  <c r="AE47" i="50" s="1"/>
  <c r="AE48" i="50" s="1"/>
  <c r="AE49" i="50" s="1"/>
  <c r="AE50" i="50" s="1"/>
  <c r="AE51" i="50" s="1"/>
  <c r="AE52" i="50" s="1"/>
  <c r="AE53" i="50" s="1"/>
  <c r="AE54" i="50" s="1"/>
  <c r="AE55" i="50" s="1"/>
  <c r="AE56" i="50" s="1"/>
  <c r="AE57" i="50" s="1"/>
  <c r="AE58" i="50" s="1"/>
  <c r="AE59" i="50" s="1"/>
  <c r="AE60" i="50" s="1"/>
  <c r="AE61" i="50" s="1"/>
  <c r="AE62" i="50" s="1"/>
  <c r="AE63" i="50" s="1"/>
  <c r="AE64" i="50" s="1"/>
  <c r="AE65" i="50" s="1"/>
  <c r="AE66" i="50" s="1"/>
  <c r="AE67" i="50" s="1"/>
  <c r="AE68" i="50" s="1"/>
  <c r="AE69" i="50" s="1"/>
  <c r="AE70" i="50" s="1"/>
  <c r="AE71" i="50" s="1"/>
  <c r="AE72" i="50" s="1"/>
  <c r="AE73" i="50" s="1"/>
  <c r="AE74" i="50" s="1"/>
  <c r="AE75" i="50" s="1"/>
  <c r="AE76" i="50" s="1"/>
  <c r="AE77" i="50" s="1"/>
  <c r="AE78" i="50" s="1"/>
  <c r="AE79" i="50" s="1"/>
  <c r="AE80" i="50" s="1"/>
  <c r="AE81" i="50" s="1"/>
  <c r="AE82" i="50" s="1"/>
  <c r="AE83" i="50" s="1"/>
  <c r="AE84" i="50" s="1"/>
  <c r="AE23" i="50"/>
  <c r="AE24" i="50" s="1"/>
  <c r="N107" i="50"/>
  <c r="AB15" i="50"/>
  <c r="AB16" i="50" s="1"/>
  <c r="AB17" i="50" s="1"/>
  <c r="AB18" i="50" s="1"/>
  <c r="AB19" i="50" s="1"/>
  <c r="AB20" i="50" s="1"/>
  <c r="AB21" i="50" s="1"/>
  <c r="AB22" i="50" s="1"/>
  <c r="AB23" i="50" s="1"/>
  <c r="AB24" i="50" s="1"/>
  <c r="AB25" i="50" s="1"/>
  <c r="AB26" i="50" s="1"/>
  <c r="AB27" i="50" s="1"/>
  <c r="AB28" i="50" s="1"/>
  <c r="AB29" i="50" s="1"/>
  <c r="AB30" i="50" s="1"/>
  <c r="AB31" i="50" s="1"/>
  <c r="AB32" i="50" s="1"/>
  <c r="AB33" i="50" s="1"/>
  <c r="AB34" i="50" s="1"/>
  <c r="AB35" i="50" s="1"/>
  <c r="AB36" i="50" s="1"/>
  <c r="AB37" i="50" s="1"/>
  <c r="AB38" i="50" s="1"/>
  <c r="AB39" i="50" s="1"/>
  <c r="AB40" i="50" s="1"/>
  <c r="AB41" i="50" s="1"/>
  <c r="AB14" i="50"/>
  <c r="Y14" i="50"/>
  <c r="Y15" i="50"/>
  <c r="Y16" i="50" s="1"/>
  <c r="Y17" i="50" s="1"/>
  <c r="Y18" i="50" s="1"/>
  <c r="Y19" i="50" s="1"/>
  <c r="Y20" i="50" s="1"/>
  <c r="Y21" i="50" s="1"/>
  <c r="Y22" i="50" s="1"/>
  <c r="AK15" i="50"/>
  <c r="AK16" i="50" s="1"/>
  <c r="AK17" i="50" s="1"/>
  <c r="AK18" i="50" s="1"/>
  <c r="AK19" i="50" s="1"/>
  <c r="AK20" i="50" s="1"/>
  <c r="AK21" i="50" s="1"/>
  <c r="AK22" i="50" s="1"/>
  <c r="AK14" i="50"/>
  <c r="D59" i="49"/>
  <c r="I59" i="49"/>
  <c r="O59" i="49"/>
  <c r="W59" i="49"/>
  <c r="AK23" i="50" l="1"/>
  <c r="AK24" i="50" s="1"/>
  <c r="AK25" i="50"/>
  <c r="AK26" i="50" s="1"/>
  <c r="AK27" i="50" s="1"/>
  <c r="AK28" i="50" s="1"/>
  <c r="AK29" i="50" s="1"/>
  <c r="AK30" i="50" s="1"/>
  <c r="AK31" i="50" s="1"/>
  <c r="AK32" i="50" s="1"/>
  <c r="AK33" i="50" s="1"/>
  <c r="AK34" i="50" s="1"/>
  <c r="AK35" i="50" s="1"/>
  <c r="AK36" i="50" s="1"/>
  <c r="AK37" i="50" s="1"/>
  <c r="AK38" i="50" s="1"/>
  <c r="AK39" i="50" s="1"/>
  <c r="AK40" i="50" s="1"/>
  <c r="AK41" i="50" s="1"/>
  <c r="AK42" i="50" s="1"/>
  <c r="AK43" i="50" s="1"/>
  <c r="AK44" i="50" s="1"/>
  <c r="AK45" i="50" s="1"/>
  <c r="AK46" i="50" s="1"/>
  <c r="AK47" i="50" s="1"/>
  <c r="AK48" i="50" s="1"/>
  <c r="AK49" i="50" s="1"/>
  <c r="AK50" i="50" s="1"/>
  <c r="AK51" i="50" s="1"/>
  <c r="AK52" i="50" s="1"/>
  <c r="AK53" i="50" s="1"/>
  <c r="AK54" i="50" s="1"/>
  <c r="AK55" i="50" s="1"/>
  <c r="AK56" i="50" s="1"/>
  <c r="AK57" i="50" s="1"/>
  <c r="AK58" i="50" s="1"/>
  <c r="AK59" i="50" s="1"/>
  <c r="AK60" i="50" s="1"/>
  <c r="AK61" i="50" s="1"/>
  <c r="AK62" i="50" s="1"/>
  <c r="AK63" i="50" s="1"/>
  <c r="AK64" i="50" s="1"/>
  <c r="AK65" i="50" s="1"/>
  <c r="AK66" i="50" s="1"/>
  <c r="AK67" i="50" s="1"/>
  <c r="AK68" i="50" s="1"/>
  <c r="AK69" i="50" s="1"/>
  <c r="AK70" i="50" s="1"/>
  <c r="AK71" i="50" s="1"/>
  <c r="AK72" i="50" s="1"/>
  <c r="AK73" i="50" s="1"/>
  <c r="AK74" i="50" s="1"/>
  <c r="AK75" i="50" s="1"/>
  <c r="AK76" i="50" s="1"/>
  <c r="AK77" i="50" s="1"/>
  <c r="AK78" i="50" s="1"/>
  <c r="AK79" i="50" s="1"/>
  <c r="AK80" i="50" s="1"/>
  <c r="AK81" i="50" s="1"/>
  <c r="AK82" i="50" s="1"/>
  <c r="AK83" i="50" s="1"/>
  <c r="AK84" i="50" s="1"/>
  <c r="AB42" i="50"/>
  <c r="AB43" i="50" s="1"/>
  <c r="AB44" i="50" s="1"/>
  <c r="AB45" i="50" s="1"/>
  <c r="AB46" i="50" s="1"/>
  <c r="AB47" i="50" s="1"/>
  <c r="AB48" i="50" s="1"/>
  <c r="AB49" i="50" s="1"/>
  <c r="AB50" i="50" s="1"/>
  <c r="AB51" i="50" s="1"/>
  <c r="AB52" i="50" s="1"/>
  <c r="AB53" i="50" s="1"/>
  <c r="AB54" i="50" s="1"/>
  <c r="AB55" i="50" s="1"/>
  <c r="AB56" i="50" s="1"/>
  <c r="AB57" i="50" s="1"/>
  <c r="AB58" i="50" s="1"/>
  <c r="AB59" i="50" s="1"/>
  <c r="AB60" i="50" s="1"/>
  <c r="AB61" i="50" s="1"/>
  <c r="AB62" i="50" s="1"/>
  <c r="AB63" i="50" s="1"/>
  <c r="AB64" i="50" s="1"/>
  <c r="AB65" i="50" s="1"/>
  <c r="AB66" i="50" s="1"/>
  <c r="AB67" i="50" s="1"/>
  <c r="AB68" i="50" s="1"/>
  <c r="AB69" i="50" s="1"/>
  <c r="AB70" i="50" s="1"/>
  <c r="AB71" i="50" s="1"/>
  <c r="AB72" i="50" s="1"/>
  <c r="AB73" i="50" s="1"/>
  <c r="AB74" i="50" s="1"/>
  <c r="AB75" i="50" s="1"/>
  <c r="AB76" i="50" s="1"/>
  <c r="AB77" i="50" s="1"/>
  <c r="AB78" i="50" s="1"/>
  <c r="AB79" i="50" s="1"/>
  <c r="AB80" i="50" s="1"/>
  <c r="AB81" i="50" s="1"/>
  <c r="AB82" i="50" s="1"/>
  <c r="AB83" i="50" s="1"/>
  <c r="AB84" i="50" s="1"/>
  <c r="AH23" i="50"/>
  <c r="AH24" i="50" s="1"/>
  <c r="AH25" i="50"/>
  <c r="AH26" i="50" s="1"/>
  <c r="AH27" i="50" s="1"/>
  <c r="AH28" i="50" s="1"/>
  <c r="AH29" i="50" s="1"/>
  <c r="AH30" i="50" s="1"/>
  <c r="AH31" i="50" s="1"/>
  <c r="AH32" i="50" s="1"/>
  <c r="AH33" i="50" s="1"/>
  <c r="AH34" i="50" s="1"/>
  <c r="AH35" i="50" s="1"/>
  <c r="AH36" i="50" s="1"/>
  <c r="AH37" i="50" s="1"/>
  <c r="AH38" i="50" s="1"/>
  <c r="AH39" i="50" s="1"/>
  <c r="AH40" i="50" s="1"/>
  <c r="AH41" i="50" s="1"/>
  <c r="AH42" i="50" s="1"/>
  <c r="AH43" i="50" s="1"/>
  <c r="AH44" i="50" s="1"/>
  <c r="AH45" i="50" s="1"/>
  <c r="AH46" i="50" s="1"/>
  <c r="AH47" i="50" s="1"/>
  <c r="AH48" i="50" s="1"/>
  <c r="AH49" i="50" s="1"/>
  <c r="AH50" i="50" s="1"/>
  <c r="AH51" i="50" s="1"/>
  <c r="AH52" i="50" s="1"/>
  <c r="AH53" i="50" s="1"/>
  <c r="AH54" i="50" s="1"/>
  <c r="AH55" i="50" s="1"/>
  <c r="AH56" i="50" s="1"/>
  <c r="AH57" i="50" s="1"/>
  <c r="AH58" i="50" s="1"/>
  <c r="AH59" i="50" s="1"/>
  <c r="AH60" i="50" s="1"/>
  <c r="AH61" i="50" s="1"/>
  <c r="AH62" i="50" s="1"/>
  <c r="AH63" i="50" s="1"/>
  <c r="AH64" i="50" s="1"/>
  <c r="AH65" i="50" s="1"/>
  <c r="AH66" i="50" s="1"/>
  <c r="AH67" i="50" s="1"/>
  <c r="AH68" i="50" s="1"/>
  <c r="AH69" i="50" s="1"/>
  <c r="AH70" i="50" s="1"/>
  <c r="AH71" i="50" s="1"/>
  <c r="AH72" i="50" s="1"/>
  <c r="AH73" i="50" s="1"/>
  <c r="AH74" i="50" s="1"/>
  <c r="AH75" i="50" s="1"/>
  <c r="AH76" i="50" s="1"/>
  <c r="AH77" i="50" s="1"/>
  <c r="AH78" i="50" s="1"/>
  <c r="AH79" i="50" s="1"/>
  <c r="AH80" i="50" s="1"/>
  <c r="AH81" i="50" s="1"/>
  <c r="AH82" i="50" s="1"/>
  <c r="AH83" i="50" s="1"/>
  <c r="AH84" i="50" s="1"/>
  <c r="Y25" i="50"/>
  <c r="Y26" i="50" s="1"/>
  <c r="Y27" i="50" s="1"/>
  <c r="Y28" i="50" s="1"/>
  <c r="Y29" i="50" s="1"/>
  <c r="Y30" i="50" s="1"/>
  <c r="Y31" i="50" s="1"/>
  <c r="Y32" i="50" s="1"/>
  <c r="Y33" i="50" s="1"/>
  <c r="Y34" i="50" s="1"/>
  <c r="Y35" i="50" s="1"/>
  <c r="Y36" i="50" s="1"/>
  <c r="Y37" i="50" s="1"/>
  <c r="Y38" i="50" s="1"/>
  <c r="Y39" i="50" s="1"/>
  <c r="Y40" i="50" s="1"/>
  <c r="Y41" i="50" s="1"/>
  <c r="Y42" i="50" s="1"/>
  <c r="Y43" i="50" s="1"/>
  <c r="Y44" i="50" s="1"/>
  <c r="Y45" i="50" s="1"/>
  <c r="Y46" i="50" s="1"/>
  <c r="Y47" i="50" s="1"/>
  <c r="Y23" i="50"/>
  <c r="Y24" i="50" s="1"/>
  <c r="D67" i="49"/>
  <c r="Y51" i="50" l="1"/>
  <c r="Y52" i="50" s="1"/>
  <c r="Y53" i="50" s="1"/>
  <c r="Y54" i="50" s="1"/>
  <c r="Y55" i="50" s="1"/>
  <c r="Y56" i="50" s="1"/>
  <c r="Y57" i="50" s="1"/>
  <c r="Y58" i="50" s="1"/>
  <c r="Y59" i="50" s="1"/>
  <c r="Y60" i="50" s="1"/>
  <c r="Y61" i="50" s="1"/>
  <c r="Y62" i="50" s="1"/>
  <c r="Y63" i="50" s="1"/>
  <c r="Y64" i="50" s="1"/>
  <c r="Y65" i="50" s="1"/>
  <c r="Y66" i="50" s="1"/>
  <c r="Y67" i="50" s="1"/>
  <c r="Y68" i="50" s="1"/>
  <c r="Y69" i="50" s="1"/>
  <c r="Y70" i="50" s="1"/>
  <c r="Y71" i="50" s="1"/>
  <c r="Y72" i="50" s="1"/>
  <c r="Y73" i="50" s="1"/>
  <c r="Y74" i="50" s="1"/>
  <c r="Y75" i="50" s="1"/>
  <c r="Y76" i="50" s="1"/>
  <c r="Y77" i="50" s="1"/>
  <c r="Y78" i="50" s="1"/>
  <c r="Y79" i="50" s="1"/>
  <c r="Y80" i="50" s="1"/>
  <c r="Y81" i="50" s="1"/>
  <c r="Y82" i="50" s="1"/>
  <c r="Y83" i="50" s="1"/>
  <c r="Y84" i="50" s="1"/>
  <c r="Y88" i="50" s="1"/>
  <c r="Y89" i="50" s="1"/>
  <c r="Y90" i="50" s="1"/>
  <c r="Y48" i="50"/>
  <c r="Y49" i="50" s="1"/>
  <c r="Y50" i="50" s="1"/>
  <c r="D66" i="49"/>
  <c r="I66" i="49"/>
  <c r="O66" i="49"/>
  <c r="W66" i="49"/>
  <c r="I99" i="49" l="1"/>
  <c r="O99" i="49"/>
  <c r="Q99" i="49" s="1"/>
  <c r="W99" i="49"/>
  <c r="Y99" i="49" s="1"/>
  <c r="AB99" i="49"/>
  <c r="AE99" i="49"/>
  <c r="AH99" i="49"/>
  <c r="H114" i="49"/>
  <c r="H113" i="49"/>
  <c r="H112" i="49"/>
  <c r="S111" i="49"/>
  <c r="H111" i="49"/>
  <c r="E111" i="49"/>
  <c r="D111" i="49"/>
  <c r="S110" i="49"/>
  <c r="H110" i="49"/>
  <c r="E110" i="49"/>
  <c r="D35" i="49" l="1"/>
  <c r="W36" i="49"/>
  <c r="O36" i="49"/>
  <c r="I36" i="49"/>
  <c r="D36" i="49"/>
  <c r="S79" i="43" l="1"/>
  <c r="H86" i="43"/>
  <c r="H85" i="43"/>
  <c r="H84" i="43"/>
  <c r="H83" i="43"/>
  <c r="H82" i="43"/>
  <c r="H80" i="43"/>
  <c r="E81" i="43"/>
  <c r="D83" i="43"/>
  <c r="D81" i="43"/>
  <c r="S109" i="49" l="1"/>
  <c r="H109" i="49"/>
  <c r="E109" i="49"/>
  <c r="S108" i="49"/>
  <c r="H108" i="49"/>
  <c r="S107" i="49"/>
  <c r="H107" i="49"/>
  <c r="O101" i="49"/>
  <c r="D98" i="49"/>
  <c r="W97" i="49"/>
  <c r="O97" i="49"/>
  <c r="I97" i="49"/>
  <c r="D97" i="49"/>
  <c r="W96" i="49"/>
  <c r="O96" i="49"/>
  <c r="I96" i="49"/>
  <c r="D96" i="49"/>
  <c r="W95" i="49"/>
  <c r="O95" i="49"/>
  <c r="I95" i="49"/>
  <c r="D95" i="49"/>
  <c r="W94" i="49"/>
  <c r="O94" i="49"/>
  <c r="I94" i="49"/>
  <c r="D94" i="49"/>
  <c r="W93" i="49"/>
  <c r="O93" i="49"/>
  <c r="I93" i="49"/>
  <c r="D93" i="49"/>
  <c r="W92" i="49"/>
  <c r="O92" i="49"/>
  <c r="I92" i="49"/>
  <c r="D92" i="49"/>
  <c r="W91" i="49"/>
  <c r="O91" i="49"/>
  <c r="I91" i="49"/>
  <c r="D91" i="49"/>
  <c r="W90" i="49"/>
  <c r="O90" i="49"/>
  <c r="I90" i="49"/>
  <c r="D90" i="49"/>
  <c r="W89" i="49"/>
  <c r="O89" i="49"/>
  <c r="I89" i="49"/>
  <c r="D89" i="49"/>
  <c r="W88" i="49"/>
  <c r="O88" i="49"/>
  <c r="I88" i="49"/>
  <c r="D88" i="49"/>
  <c r="W87" i="49"/>
  <c r="O87" i="49"/>
  <c r="I87" i="49"/>
  <c r="D87" i="49"/>
  <c r="W86" i="49"/>
  <c r="O86" i="49"/>
  <c r="I86" i="49"/>
  <c r="D86" i="49"/>
  <c r="W85" i="49"/>
  <c r="O85" i="49"/>
  <c r="I85" i="49"/>
  <c r="D85" i="49"/>
  <c r="W84" i="49"/>
  <c r="O84" i="49"/>
  <c r="I84" i="49"/>
  <c r="D84" i="49"/>
  <c r="W83" i="49"/>
  <c r="O83" i="49"/>
  <c r="I83" i="49"/>
  <c r="D83" i="49"/>
  <c r="W82" i="49"/>
  <c r="O82" i="49"/>
  <c r="I82" i="49"/>
  <c r="D82" i="49"/>
  <c r="W81" i="49"/>
  <c r="O81" i="49"/>
  <c r="I81" i="49"/>
  <c r="D81" i="49"/>
  <c r="W80" i="49"/>
  <c r="O80" i="49"/>
  <c r="I80" i="49"/>
  <c r="D80" i="49"/>
  <c r="W79" i="49"/>
  <c r="O79" i="49"/>
  <c r="I79" i="49"/>
  <c r="D79" i="49"/>
  <c r="W78" i="49"/>
  <c r="O78" i="49"/>
  <c r="I78" i="49"/>
  <c r="D78" i="49"/>
  <c r="W77" i="49"/>
  <c r="O77" i="49"/>
  <c r="I77" i="49"/>
  <c r="D77" i="49"/>
  <c r="W74" i="49"/>
  <c r="O74" i="49"/>
  <c r="I74" i="49"/>
  <c r="D74" i="49"/>
  <c r="W73" i="49"/>
  <c r="O73" i="49"/>
  <c r="I73" i="49"/>
  <c r="D73" i="49"/>
  <c r="W72" i="49"/>
  <c r="I72" i="49"/>
  <c r="D72" i="49"/>
  <c r="W71" i="49"/>
  <c r="O71" i="49"/>
  <c r="I71" i="49"/>
  <c r="D71" i="49"/>
  <c r="W70" i="49"/>
  <c r="O70" i="49"/>
  <c r="I70" i="49"/>
  <c r="D70" i="49"/>
  <c r="W69" i="49"/>
  <c r="O69" i="49"/>
  <c r="I69" i="49"/>
  <c r="D69" i="49"/>
  <c r="W68" i="49"/>
  <c r="O68" i="49"/>
  <c r="I68" i="49"/>
  <c r="D68" i="49"/>
  <c r="W67" i="49"/>
  <c r="O67" i="49"/>
  <c r="I67" i="49"/>
  <c r="W65" i="49"/>
  <c r="O65" i="49"/>
  <c r="I65" i="49"/>
  <c r="D65" i="49"/>
  <c r="W64" i="49"/>
  <c r="O64" i="49"/>
  <c r="I64" i="49"/>
  <c r="D64" i="49"/>
  <c r="W63" i="49"/>
  <c r="O63" i="49"/>
  <c r="I63" i="49"/>
  <c r="D63" i="49"/>
  <c r="W62" i="49"/>
  <c r="O62" i="49"/>
  <c r="I62" i="49"/>
  <c r="D62" i="49"/>
  <c r="W61" i="49"/>
  <c r="O61" i="49"/>
  <c r="I61" i="49"/>
  <c r="D61" i="49"/>
  <c r="W60" i="49"/>
  <c r="O60" i="49"/>
  <c r="I60" i="49"/>
  <c r="D60" i="49"/>
  <c r="W58" i="49"/>
  <c r="O58" i="49"/>
  <c r="I58" i="49"/>
  <c r="D58" i="49"/>
  <c r="W57" i="49"/>
  <c r="O57" i="49"/>
  <c r="I57" i="49"/>
  <c r="D57" i="49"/>
  <c r="W56" i="49"/>
  <c r="O56" i="49"/>
  <c r="I56" i="49"/>
  <c r="D56" i="49"/>
  <c r="W55" i="49"/>
  <c r="O55" i="49"/>
  <c r="I55" i="49"/>
  <c r="D55" i="49"/>
  <c r="W54" i="49"/>
  <c r="O54" i="49"/>
  <c r="I54" i="49"/>
  <c r="D54" i="49"/>
  <c r="W53" i="49"/>
  <c r="O53" i="49"/>
  <c r="I53" i="49"/>
  <c r="D53" i="49"/>
  <c r="W52" i="49"/>
  <c r="O52" i="49"/>
  <c r="I52" i="49"/>
  <c r="D52" i="49"/>
  <c r="W51" i="49"/>
  <c r="O51" i="49"/>
  <c r="I51" i="49"/>
  <c r="D51" i="49"/>
  <c r="W50" i="49"/>
  <c r="O50" i="49"/>
  <c r="I50" i="49"/>
  <c r="D50" i="49"/>
  <c r="W49" i="49"/>
  <c r="O49" i="49"/>
  <c r="I49" i="49"/>
  <c r="D49" i="49"/>
  <c r="W48" i="49"/>
  <c r="O48" i="49"/>
  <c r="I48" i="49"/>
  <c r="D48" i="49"/>
  <c r="W47" i="49"/>
  <c r="Y47" i="51" s="1"/>
  <c r="Y48" i="51" s="1"/>
  <c r="Y49" i="51" s="1"/>
  <c r="Y50" i="51" s="1"/>
  <c r="Y51" i="51" s="1"/>
  <c r="Y52" i="51" s="1"/>
  <c r="Y53" i="51" s="1"/>
  <c r="Y54" i="51" s="1"/>
  <c r="Y55" i="51" s="1"/>
  <c r="Y56" i="51" s="1"/>
  <c r="Y57" i="51" s="1"/>
  <c r="Y58" i="51" s="1"/>
  <c r="Y59" i="51" s="1"/>
  <c r="Y60" i="51" s="1"/>
  <c r="Y61" i="51" s="1"/>
  <c r="O47" i="49"/>
  <c r="Q47" i="51" s="1"/>
  <c r="Q48" i="51" s="1"/>
  <c r="Q49" i="51" s="1"/>
  <c r="Q50" i="51" s="1"/>
  <c r="Q51" i="51" s="1"/>
  <c r="Q52" i="51" s="1"/>
  <c r="Q53" i="51" s="1"/>
  <c r="Q54" i="51" s="1"/>
  <c r="Q55" i="51" s="1"/>
  <c r="Q56" i="51" s="1"/>
  <c r="Q57" i="51" s="1"/>
  <c r="Q58" i="51" s="1"/>
  <c r="Q59" i="51" s="1"/>
  <c r="Q60" i="51" s="1"/>
  <c r="Q61" i="51" s="1"/>
  <c r="I47" i="49"/>
  <c r="D47" i="49"/>
  <c r="W46" i="49"/>
  <c r="O46" i="49"/>
  <c r="I46" i="49"/>
  <c r="D46" i="49"/>
  <c r="W45" i="49"/>
  <c r="O45" i="49"/>
  <c r="I45" i="49"/>
  <c r="D45" i="49"/>
  <c r="W44" i="49"/>
  <c r="O44" i="49"/>
  <c r="I44" i="49"/>
  <c r="D44" i="49"/>
  <c r="W43" i="49"/>
  <c r="O43" i="49"/>
  <c r="I43" i="49"/>
  <c r="D43" i="49"/>
  <c r="W42" i="49"/>
  <c r="O42" i="49"/>
  <c r="I42" i="49"/>
  <c r="D42" i="49"/>
  <c r="W41" i="49"/>
  <c r="O41" i="49"/>
  <c r="I41" i="49"/>
  <c r="D41" i="49"/>
  <c r="W40" i="49"/>
  <c r="O40" i="49"/>
  <c r="I40" i="49"/>
  <c r="D40" i="49"/>
  <c r="W39" i="49"/>
  <c r="O39" i="49"/>
  <c r="I39" i="49"/>
  <c r="D39" i="49"/>
  <c r="W38" i="49"/>
  <c r="O38" i="49"/>
  <c r="I38" i="49"/>
  <c r="D38" i="49"/>
  <c r="W37" i="49"/>
  <c r="O37" i="49"/>
  <c r="I37" i="49"/>
  <c r="D37" i="49"/>
  <c r="W35" i="49"/>
  <c r="O35" i="49"/>
  <c r="I35" i="49"/>
  <c r="W34" i="49"/>
  <c r="O34" i="49"/>
  <c r="I34" i="49"/>
  <c r="D34" i="49"/>
  <c r="O33" i="49"/>
  <c r="I33" i="49"/>
  <c r="D33" i="49"/>
  <c r="W32" i="49"/>
  <c r="O32" i="49"/>
  <c r="I32" i="49"/>
  <c r="D32" i="49"/>
  <c r="W31" i="49"/>
  <c r="O31" i="49"/>
  <c r="I31" i="49"/>
  <c r="D31" i="49"/>
  <c r="W30" i="49"/>
  <c r="O30" i="49"/>
  <c r="I30" i="49"/>
  <c r="D30" i="49"/>
  <c r="W29" i="49"/>
  <c r="O29" i="49"/>
  <c r="I29" i="49"/>
  <c r="D29" i="49"/>
  <c r="W28" i="49"/>
  <c r="O28" i="49"/>
  <c r="I28" i="49"/>
  <c r="D28" i="49"/>
  <c r="W27" i="49"/>
  <c r="O27" i="49"/>
  <c r="I27" i="49"/>
  <c r="D27" i="49"/>
  <c r="W26" i="49"/>
  <c r="O26" i="49"/>
  <c r="I26" i="49"/>
  <c r="D26" i="49"/>
  <c r="W25" i="49"/>
  <c r="O25" i="49"/>
  <c r="I25" i="49"/>
  <c r="D25" i="49"/>
  <c r="W24" i="49"/>
  <c r="O24" i="49"/>
  <c r="I24" i="49"/>
  <c r="D24" i="49"/>
  <c r="W23" i="49"/>
  <c r="O23" i="49"/>
  <c r="I23" i="49"/>
  <c r="D23" i="49"/>
  <c r="W22" i="49"/>
  <c r="O22" i="49"/>
  <c r="I22" i="49"/>
  <c r="D22" i="49"/>
  <c r="W21" i="49"/>
  <c r="O21" i="49"/>
  <c r="I21" i="49"/>
  <c r="D21" i="49"/>
  <c r="W20" i="49"/>
  <c r="O20" i="49"/>
  <c r="I20" i="49"/>
  <c r="D20" i="49"/>
  <c r="W19" i="49"/>
  <c r="O19" i="49"/>
  <c r="I19" i="49"/>
  <c r="D19" i="49"/>
  <c r="W18" i="49"/>
  <c r="O18" i="49"/>
  <c r="I18" i="49"/>
  <c r="D18" i="49"/>
  <c r="W17" i="49"/>
  <c r="O17" i="49"/>
  <c r="I17" i="49"/>
  <c r="D17" i="49"/>
  <c r="W16" i="49"/>
  <c r="O16" i="49"/>
  <c r="I16" i="49"/>
  <c r="D16" i="49"/>
  <c r="W15" i="49"/>
  <c r="O15" i="49"/>
  <c r="I15" i="49"/>
  <c r="D15" i="49"/>
  <c r="W14" i="49"/>
  <c r="O14" i="49"/>
  <c r="I14" i="49"/>
  <c r="D14" i="49"/>
  <c r="W13" i="49"/>
  <c r="O13" i="49"/>
  <c r="I13" i="49"/>
  <c r="D13" i="49"/>
  <c r="W12" i="49"/>
  <c r="O12" i="49"/>
  <c r="I12" i="49"/>
  <c r="D12" i="49"/>
  <c r="W11" i="49"/>
  <c r="O11" i="49"/>
  <c r="I11" i="49"/>
  <c r="D11" i="49"/>
  <c r="W10" i="49"/>
  <c r="O10" i="49"/>
  <c r="I10" i="49"/>
  <c r="D10" i="49"/>
  <c r="W9" i="49"/>
  <c r="O9" i="49"/>
  <c r="I9" i="49"/>
  <c r="D9" i="49"/>
  <c r="W8" i="49"/>
  <c r="O8" i="49"/>
  <c r="I8" i="49"/>
  <c r="D8" i="49"/>
  <c r="W7" i="49"/>
  <c r="O7" i="49"/>
  <c r="I7" i="49"/>
  <c r="D7" i="49"/>
  <c r="AH7" i="49"/>
  <c r="AH8" i="49" s="1"/>
  <c r="AH9" i="49" s="1"/>
  <c r="AH10" i="49" s="1"/>
  <c r="AH11" i="49" s="1"/>
  <c r="AH12" i="49" s="1"/>
  <c r="AH13" i="49" s="1"/>
  <c r="AH14" i="49" s="1"/>
  <c r="AH15" i="49" s="1"/>
  <c r="AH16" i="49" s="1"/>
  <c r="AH17" i="49" s="1"/>
  <c r="AH18" i="49" s="1"/>
  <c r="AH19" i="49" s="1"/>
  <c r="AH20" i="49" s="1"/>
  <c r="AH21" i="49" s="1"/>
  <c r="AH22" i="49" s="1"/>
  <c r="AH23" i="49" s="1"/>
  <c r="AH24" i="49" s="1"/>
  <c r="AH25" i="49" s="1"/>
  <c r="AH26" i="49" s="1"/>
  <c r="AH27" i="49" s="1"/>
  <c r="AH28" i="49" s="1"/>
  <c r="AH29" i="49" s="1"/>
  <c r="AH30" i="49" s="1"/>
  <c r="AH31" i="49" s="1"/>
  <c r="AH32" i="49" s="1"/>
  <c r="AH33" i="49" s="1"/>
  <c r="AH34" i="49" s="1"/>
  <c r="AE7" i="49"/>
  <c r="AE8" i="49" s="1"/>
  <c r="AE9" i="49" s="1"/>
  <c r="AE10" i="49" s="1"/>
  <c r="AE11" i="49" s="1"/>
  <c r="AE12" i="49" s="1"/>
  <c r="AE13" i="49" s="1"/>
  <c r="AE14" i="49" s="1"/>
  <c r="AE15" i="49" s="1"/>
  <c r="AE16" i="49" s="1"/>
  <c r="AE17" i="49" s="1"/>
  <c r="AE18" i="49" s="1"/>
  <c r="AE19" i="49" s="1"/>
  <c r="AE20" i="49" s="1"/>
  <c r="AE21" i="49" s="1"/>
  <c r="AE22" i="49" s="1"/>
  <c r="AE23" i="49" s="1"/>
  <c r="AE24" i="49" s="1"/>
  <c r="AE25" i="49" s="1"/>
  <c r="AE26" i="49" s="1"/>
  <c r="AE27" i="49" s="1"/>
  <c r="AE28" i="49" s="1"/>
  <c r="AE29" i="49" s="1"/>
  <c r="AE30" i="49" s="1"/>
  <c r="AE31" i="49" s="1"/>
  <c r="AE32" i="49" s="1"/>
  <c r="AE33" i="49" s="1"/>
  <c r="AE34" i="49" s="1"/>
  <c r="AE35" i="49" s="1"/>
  <c r="AE36" i="49" s="1"/>
  <c r="AE37" i="49" s="1"/>
  <c r="AE38" i="49" s="1"/>
  <c r="AE39" i="49" s="1"/>
  <c r="AE40" i="49" s="1"/>
  <c r="AE41" i="49" s="1"/>
  <c r="AE42" i="49" s="1"/>
  <c r="AE43" i="49" s="1"/>
  <c r="AE44" i="49" s="1"/>
  <c r="AE45" i="49" s="1"/>
  <c r="AB7" i="49"/>
  <c r="AB8" i="49" s="1"/>
  <c r="AB9" i="49" s="1"/>
  <c r="AB10" i="49" s="1"/>
  <c r="AB11" i="49" s="1"/>
  <c r="AB12" i="49" s="1"/>
  <c r="AB13" i="49" s="1"/>
  <c r="AB14" i="49" s="1"/>
  <c r="AB15" i="49" s="1"/>
  <c r="AB16" i="49" s="1"/>
  <c r="AB17" i="49" s="1"/>
  <c r="AB18" i="49" s="1"/>
  <c r="AB19" i="49" s="1"/>
  <c r="AB20" i="49" s="1"/>
  <c r="AB21" i="49" s="1"/>
  <c r="AB22" i="49" s="1"/>
  <c r="AB23" i="49" s="1"/>
  <c r="AB24" i="49" s="1"/>
  <c r="AB25" i="49" s="1"/>
  <c r="AB26" i="49" s="1"/>
  <c r="AB27" i="49" s="1"/>
  <c r="AB28" i="49" s="1"/>
  <c r="AB29" i="49" s="1"/>
  <c r="AB30" i="49" s="1"/>
  <c r="AB31" i="49" s="1"/>
  <c r="AB32" i="49" s="1"/>
  <c r="AB33" i="49" s="1"/>
  <c r="AB34" i="49" s="1"/>
  <c r="AK7" i="49" l="1"/>
  <c r="AK8" i="49" s="1"/>
  <c r="AK9" i="49" s="1"/>
  <c r="AK10" i="49" s="1"/>
  <c r="AK11" i="49" s="1"/>
  <c r="AK12" i="49" s="1"/>
  <c r="AK13" i="49" s="1"/>
  <c r="AK14" i="49" s="1"/>
  <c r="AK15" i="49" s="1"/>
  <c r="AK16" i="49" s="1"/>
  <c r="AK17" i="49" s="1"/>
  <c r="AK18" i="49" s="1"/>
  <c r="AK19" i="49" s="1"/>
  <c r="AK20" i="49" s="1"/>
  <c r="AK21" i="49" s="1"/>
  <c r="AK22" i="49" s="1"/>
  <c r="AK23" i="49" s="1"/>
  <c r="AK24" i="49" s="1"/>
  <c r="AK25" i="49" s="1"/>
  <c r="AK26" i="49" s="1"/>
  <c r="AK27" i="49" s="1"/>
  <c r="AK28" i="49" s="1"/>
  <c r="AK29" i="49" s="1"/>
  <c r="AK30" i="49" s="1"/>
  <c r="AK31" i="49" s="1"/>
  <c r="AK32" i="49" s="1"/>
  <c r="AK33" i="49" s="1"/>
  <c r="AK34" i="49" s="1"/>
  <c r="AK35" i="49" s="1"/>
  <c r="AB35" i="49"/>
  <c r="AH35" i="49"/>
  <c r="D114" i="49"/>
  <c r="L114" i="49" s="1"/>
  <c r="M114" i="49" s="1"/>
  <c r="S116" i="49"/>
  <c r="Q7" i="49"/>
  <c r="Q8" i="49" s="1"/>
  <c r="Q9" i="49" s="1"/>
  <c r="Q10" i="49" s="1"/>
  <c r="Q11" i="49" s="1"/>
  <c r="Q12" i="49" s="1"/>
  <c r="Q13" i="49" s="1"/>
  <c r="Q14" i="49" s="1"/>
  <c r="Q15" i="49" s="1"/>
  <c r="Q16" i="49" s="1"/>
  <c r="Q17" i="49" s="1"/>
  <c r="Q18" i="49" s="1"/>
  <c r="Q19" i="49" s="1"/>
  <c r="Q20" i="49" s="1"/>
  <c r="Q21" i="49" s="1"/>
  <c r="I109" i="49"/>
  <c r="D107" i="49"/>
  <c r="L107" i="49" s="1"/>
  <c r="I111" i="49"/>
  <c r="D113" i="49"/>
  <c r="L113" i="49" s="1"/>
  <c r="M113" i="49" s="1"/>
  <c r="D108" i="49"/>
  <c r="Y7" i="49"/>
  <c r="Y8" i="49" s="1"/>
  <c r="Y9" i="49" s="1"/>
  <c r="Y10" i="49" s="1"/>
  <c r="Y11" i="49" s="1"/>
  <c r="Y12" i="49" s="1"/>
  <c r="Y13" i="49" s="1"/>
  <c r="Y14" i="49" s="1"/>
  <c r="Y15" i="49" s="1"/>
  <c r="Y16" i="49" s="1"/>
  <c r="Y17" i="49" s="1"/>
  <c r="Y18" i="49" s="1"/>
  <c r="Y19" i="49" s="1"/>
  <c r="Y20" i="49" s="1"/>
  <c r="Y21" i="49" s="1"/>
  <c r="Y22" i="49" s="1"/>
  <c r="Y23" i="49" s="1"/>
  <c r="Y24" i="49" s="1"/>
  <c r="Y25" i="49" s="1"/>
  <c r="Y26" i="49" s="1"/>
  <c r="Y27" i="49" s="1"/>
  <c r="Y28" i="49" s="1"/>
  <c r="Y29" i="49" s="1"/>
  <c r="Y30" i="49" s="1"/>
  <c r="Y31" i="49" s="1"/>
  <c r="Y32" i="49" s="1"/>
  <c r="Y33" i="49" s="1"/>
  <c r="Y34" i="49" s="1"/>
  <c r="H116" i="49"/>
  <c r="K109" i="49"/>
  <c r="E116" i="49"/>
  <c r="K110" i="49"/>
  <c r="D110" i="49"/>
  <c r="F110" i="49" s="1"/>
  <c r="F116" i="49" s="1"/>
  <c r="D112" i="49"/>
  <c r="L112" i="49" s="1"/>
  <c r="M112" i="49" s="1"/>
  <c r="F111" i="49"/>
  <c r="K111" i="49"/>
  <c r="O27" i="48"/>
  <c r="D28" i="48"/>
  <c r="D29" i="48"/>
  <c r="D30" i="48"/>
  <c r="AE46" i="49" l="1"/>
  <c r="AE47" i="49" s="1"/>
  <c r="AE48" i="49" s="1"/>
  <c r="AE49" i="49" s="1"/>
  <c r="AE50" i="49" s="1"/>
  <c r="AE51" i="49" s="1"/>
  <c r="AE52" i="49" s="1"/>
  <c r="AE53" i="49" s="1"/>
  <c r="AE54" i="49" s="1"/>
  <c r="AE55" i="49" s="1"/>
  <c r="AE56" i="49" s="1"/>
  <c r="AE57" i="49" s="1"/>
  <c r="AE58" i="49" s="1"/>
  <c r="AB37" i="49"/>
  <c r="AB38" i="49" s="1"/>
  <c r="AB39" i="49" s="1"/>
  <c r="AB40" i="49" s="1"/>
  <c r="AB41" i="49" s="1"/>
  <c r="AB42" i="49" s="1"/>
  <c r="AB43" i="49" s="1"/>
  <c r="AB44" i="49" s="1"/>
  <c r="AB45" i="49" s="1"/>
  <c r="AB46" i="49" s="1"/>
  <c r="AB47" i="49" s="1"/>
  <c r="AB48" i="49" s="1"/>
  <c r="AB49" i="49" s="1"/>
  <c r="AB50" i="49" s="1"/>
  <c r="AB51" i="49" s="1"/>
  <c r="AB52" i="49" s="1"/>
  <c r="AB53" i="49" s="1"/>
  <c r="AB54" i="49" s="1"/>
  <c r="AB55" i="49" s="1"/>
  <c r="AB56" i="49" s="1"/>
  <c r="AB57" i="49" s="1"/>
  <c r="AB58" i="49" s="1"/>
  <c r="AB36" i="49"/>
  <c r="AH37" i="49"/>
  <c r="AH38" i="49" s="1"/>
  <c r="AH39" i="49" s="1"/>
  <c r="AH40" i="49" s="1"/>
  <c r="AH41" i="49" s="1"/>
  <c r="AH42" i="49" s="1"/>
  <c r="AH43" i="49" s="1"/>
  <c r="AH44" i="49" s="1"/>
  <c r="AH45" i="49" s="1"/>
  <c r="AH46" i="49" s="1"/>
  <c r="AH47" i="49" s="1"/>
  <c r="AH48" i="49" s="1"/>
  <c r="AH49" i="49" s="1"/>
  <c r="AH50" i="49" s="1"/>
  <c r="AH51" i="49" s="1"/>
  <c r="AH52" i="49" s="1"/>
  <c r="AH53" i="49" s="1"/>
  <c r="AH54" i="49" s="1"/>
  <c r="AH55" i="49" s="1"/>
  <c r="AH56" i="49" s="1"/>
  <c r="AH57" i="49" s="1"/>
  <c r="AH58" i="49" s="1"/>
  <c r="AH36" i="49"/>
  <c r="AK37" i="49"/>
  <c r="AK38" i="49" s="1"/>
  <c r="AK39" i="49" s="1"/>
  <c r="AK40" i="49" s="1"/>
  <c r="AK41" i="49" s="1"/>
  <c r="AK42" i="49" s="1"/>
  <c r="AK43" i="49" s="1"/>
  <c r="AK44" i="49" s="1"/>
  <c r="AK45" i="49" s="1"/>
  <c r="AK46" i="49" s="1"/>
  <c r="AK47" i="49" s="1"/>
  <c r="AK48" i="49" s="1"/>
  <c r="AK49" i="49" s="1"/>
  <c r="AK50" i="49" s="1"/>
  <c r="AK51" i="49" s="1"/>
  <c r="AK52" i="49" s="1"/>
  <c r="AK53" i="49" s="1"/>
  <c r="AK54" i="49" s="1"/>
  <c r="AK55" i="49" s="1"/>
  <c r="AK56" i="49" s="1"/>
  <c r="AK57" i="49" s="1"/>
  <c r="AK58" i="49" s="1"/>
  <c r="AK36" i="49"/>
  <c r="Y35" i="49"/>
  <c r="V107" i="49"/>
  <c r="W107" i="49" s="1"/>
  <c r="I114" i="49"/>
  <c r="Q22" i="49"/>
  <c r="Q23" i="49" s="1"/>
  <c r="Q24" i="49" s="1"/>
  <c r="Q25" i="49" s="1"/>
  <c r="Q26" i="49" s="1"/>
  <c r="Q27" i="49" s="1"/>
  <c r="Q28" i="49" s="1"/>
  <c r="Q29" i="49" s="1"/>
  <c r="Q30" i="49" s="1"/>
  <c r="Q31" i="49" s="1"/>
  <c r="Q32" i="49" s="1"/>
  <c r="Q33" i="49" s="1"/>
  <c r="Q34" i="49" s="1"/>
  <c r="T111" i="49"/>
  <c r="T110" i="49"/>
  <c r="I107" i="49"/>
  <c r="T107" i="49"/>
  <c r="T108" i="49"/>
  <c r="T109" i="49"/>
  <c r="L108" i="49"/>
  <c r="M108" i="49" s="1"/>
  <c r="I113" i="49"/>
  <c r="I108" i="49"/>
  <c r="M107" i="49"/>
  <c r="D116" i="49"/>
  <c r="N111" i="49"/>
  <c r="L111" i="49"/>
  <c r="M111" i="49" s="1"/>
  <c r="I110" i="49"/>
  <c r="N109" i="49"/>
  <c r="L109" i="49"/>
  <c r="M109" i="49" s="1"/>
  <c r="I112" i="49"/>
  <c r="N110" i="49"/>
  <c r="L110" i="49"/>
  <c r="M110" i="49" s="1"/>
  <c r="O11" i="48"/>
  <c r="AH60" i="49" l="1"/>
  <c r="AH61" i="49" s="1"/>
  <c r="AH62" i="49" s="1"/>
  <c r="AH63" i="49" s="1"/>
  <c r="AH64" i="49" s="1"/>
  <c r="AH65" i="49" s="1"/>
  <c r="AH66" i="49" s="1"/>
  <c r="AH59" i="49"/>
  <c r="AB60" i="49"/>
  <c r="AB61" i="49" s="1"/>
  <c r="AB62" i="49" s="1"/>
  <c r="AB63" i="49" s="1"/>
  <c r="AB64" i="49" s="1"/>
  <c r="AB65" i="49" s="1"/>
  <c r="AB67" i="49" s="1"/>
  <c r="AB68" i="49" s="1"/>
  <c r="AB69" i="49" s="1"/>
  <c r="AB70" i="49" s="1"/>
  <c r="AB71" i="49" s="1"/>
  <c r="AB72" i="49" s="1"/>
  <c r="AB73" i="49" s="1"/>
  <c r="AB74" i="49" s="1"/>
  <c r="AB59" i="49"/>
  <c r="AK60" i="49"/>
  <c r="AK61" i="49" s="1"/>
  <c r="AK62" i="49" s="1"/>
  <c r="AK63" i="49" s="1"/>
  <c r="AK64" i="49" s="1"/>
  <c r="AK65" i="49" s="1"/>
  <c r="AK66" i="49" s="1"/>
  <c r="AK59" i="49"/>
  <c r="AE60" i="49"/>
  <c r="AE61" i="49" s="1"/>
  <c r="AE62" i="49" s="1"/>
  <c r="AE63" i="49" s="1"/>
  <c r="AE64" i="49" s="1"/>
  <c r="AE65" i="49" s="1"/>
  <c r="AE66" i="49" s="1"/>
  <c r="AE59" i="49"/>
  <c r="Y37" i="49"/>
  <c r="Y38" i="49" s="1"/>
  <c r="Y39" i="49" s="1"/>
  <c r="Y36" i="49"/>
  <c r="Q35" i="49"/>
  <c r="T116" i="49"/>
  <c r="M116" i="49"/>
  <c r="L116" i="49"/>
  <c r="N116" i="49"/>
  <c r="D11" i="48"/>
  <c r="AH67" i="49" l="1"/>
  <c r="AH68" i="49" s="1"/>
  <c r="AH69" i="49" s="1"/>
  <c r="AH70" i="49" s="1"/>
  <c r="AH71" i="49" s="1"/>
  <c r="AH72" i="49" s="1"/>
  <c r="AH73" i="49" s="1"/>
  <c r="AH74" i="49" s="1"/>
  <c r="AH77" i="49" s="1"/>
  <c r="AH78" i="49" s="1"/>
  <c r="AH79" i="49" s="1"/>
  <c r="AH80" i="49" s="1"/>
  <c r="AH81" i="49" s="1"/>
  <c r="AH82" i="49" s="1"/>
  <c r="AH83" i="49" s="1"/>
  <c r="AH84" i="49" s="1"/>
  <c r="AH85" i="49" s="1"/>
  <c r="AH86" i="49" s="1"/>
  <c r="AH87" i="49" s="1"/>
  <c r="AH88" i="49" s="1"/>
  <c r="AH89" i="49" s="1"/>
  <c r="AH90" i="49" s="1"/>
  <c r="AH91" i="49" s="1"/>
  <c r="AH92" i="49" s="1"/>
  <c r="AH93" i="49" s="1"/>
  <c r="AH94" i="49" s="1"/>
  <c r="AH95" i="49" s="1"/>
  <c r="AH96" i="49" s="1"/>
  <c r="AH97" i="49" s="1"/>
  <c r="AH98" i="49" s="1"/>
  <c r="AK67" i="49"/>
  <c r="AK68" i="49" s="1"/>
  <c r="AK69" i="49" s="1"/>
  <c r="AK70" i="49" s="1"/>
  <c r="AK71" i="49" s="1"/>
  <c r="AK72" i="49" s="1"/>
  <c r="AK73" i="49" s="1"/>
  <c r="AK74" i="49" s="1"/>
  <c r="AK77" i="49" s="1"/>
  <c r="AK78" i="49" s="1"/>
  <c r="AK79" i="49" s="1"/>
  <c r="AK80" i="49" s="1"/>
  <c r="AK81" i="49" s="1"/>
  <c r="AK82" i="49" s="1"/>
  <c r="AK83" i="49" s="1"/>
  <c r="AK84" i="49" s="1"/>
  <c r="AK85" i="49" s="1"/>
  <c r="AK86" i="49" s="1"/>
  <c r="AK87" i="49" s="1"/>
  <c r="AK88" i="49" s="1"/>
  <c r="AK89" i="49" s="1"/>
  <c r="AK90" i="49" s="1"/>
  <c r="AK91" i="49" s="1"/>
  <c r="AK92" i="49" s="1"/>
  <c r="AK93" i="49" s="1"/>
  <c r="AK94" i="49" s="1"/>
  <c r="AK95" i="49" s="1"/>
  <c r="AK96" i="49" s="1"/>
  <c r="AK97" i="49" s="1"/>
  <c r="AK98" i="49" s="1"/>
  <c r="AB77" i="49"/>
  <c r="AB78" i="49" s="1"/>
  <c r="AB79" i="49" s="1"/>
  <c r="AB80" i="49" s="1"/>
  <c r="AB81" i="49" s="1"/>
  <c r="AB82" i="49" s="1"/>
  <c r="AB83" i="49" s="1"/>
  <c r="AB84" i="49" s="1"/>
  <c r="AB85" i="49" s="1"/>
  <c r="AB86" i="49" s="1"/>
  <c r="AB87" i="49" s="1"/>
  <c r="AB88" i="49" s="1"/>
  <c r="AB89" i="49" s="1"/>
  <c r="AB90" i="49" s="1"/>
  <c r="AB91" i="49" s="1"/>
  <c r="AB92" i="49" s="1"/>
  <c r="AB93" i="49" s="1"/>
  <c r="AB94" i="49" s="1"/>
  <c r="AB95" i="49" s="1"/>
  <c r="AB96" i="49" s="1"/>
  <c r="AB97" i="49" s="1"/>
  <c r="AB98" i="49" s="1"/>
  <c r="AB75" i="49"/>
  <c r="AB76" i="49" s="1"/>
  <c r="AE67" i="49"/>
  <c r="AE68" i="49" s="1"/>
  <c r="AE69" i="49" s="1"/>
  <c r="AE70" i="49" s="1"/>
  <c r="AE71" i="49" s="1"/>
  <c r="AE72" i="49" s="1"/>
  <c r="AE73" i="49" s="1"/>
  <c r="AE74" i="49" s="1"/>
  <c r="AB66" i="49"/>
  <c r="Y40" i="49"/>
  <c r="Y41" i="49" s="1"/>
  <c r="Y42" i="49" s="1"/>
  <c r="Y43" i="49" s="1"/>
  <c r="Y44" i="49" s="1"/>
  <c r="Y45" i="49" s="1"/>
  <c r="Y46" i="49" s="1"/>
  <c r="Y47" i="49" s="1"/>
  <c r="Y48" i="49" s="1"/>
  <c r="Y49" i="49" s="1"/>
  <c r="Y50" i="49" s="1"/>
  <c r="Y51" i="49" s="1"/>
  <c r="Y52" i="49" s="1"/>
  <c r="Y53" i="49" s="1"/>
  <c r="Y54" i="49" s="1"/>
  <c r="Y55" i="49" s="1"/>
  <c r="Y56" i="49" s="1"/>
  <c r="Y57" i="49" s="1"/>
  <c r="Y58" i="49" s="1"/>
  <c r="Q36" i="49"/>
  <c r="Q37" i="49" s="1"/>
  <c r="Q38" i="49" s="1"/>
  <c r="Q39" i="49" s="1"/>
  <c r="Q40" i="49" s="1"/>
  <c r="Q41" i="49" s="1"/>
  <c r="Q42" i="49" s="1"/>
  <c r="Q43" i="49" s="1"/>
  <c r="Q44" i="49" s="1"/>
  <c r="Q45" i="49" s="1"/>
  <c r="Q46" i="49" s="1"/>
  <c r="Q47" i="49" s="1"/>
  <c r="Q48" i="49" s="1"/>
  <c r="Q49" i="49" s="1"/>
  <c r="Q50" i="49" s="1"/>
  <c r="Q51" i="49" s="1"/>
  <c r="Q52" i="49" s="1"/>
  <c r="Q53" i="49" s="1"/>
  <c r="Q54" i="49" s="1"/>
  <c r="Q55" i="49" s="1"/>
  <c r="Q56" i="49" s="1"/>
  <c r="Q57" i="49" s="1"/>
  <c r="Q58" i="49" s="1"/>
  <c r="D8" i="48"/>
  <c r="D9" i="48"/>
  <c r="D10" i="48"/>
  <c r="D12" i="48"/>
  <c r="D13" i="48"/>
  <c r="AH75" i="49" l="1"/>
  <c r="AH76" i="49" s="1"/>
  <c r="AK75" i="49"/>
  <c r="AK76" i="49" s="1"/>
  <c r="AE77" i="49"/>
  <c r="AE78" i="49" s="1"/>
  <c r="AE79" i="49" s="1"/>
  <c r="AE80" i="49" s="1"/>
  <c r="AE81" i="49" s="1"/>
  <c r="AE82" i="49" s="1"/>
  <c r="AE83" i="49" s="1"/>
  <c r="AE84" i="49" s="1"/>
  <c r="AE85" i="49" s="1"/>
  <c r="AE86" i="49" s="1"/>
  <c r="AE87" i="49" s="1"/>
  <c r="AE88" i="49" s="1"/>
  <c r="AE89" i="49" s="1"/>
  <c r="AE90" i="49" s="1"/>
  <c r="AE91" i="49" s="1"/>
  <c r="AE92" i="49" s="1"/>
  <c r="AE93" i="49" s="1"/>
  <c r="AE94" i="49" s="1"/>
  <c r="AE95" i="49" s="1"/>
  <c r="AE96" i="49" s="1"/>
  <c r="AE97" i="49" s="1"/>
  <c r="AE98" i="49" s="1"/>
  <c r="AE75" i="49"/>
  <c r="AE76" i="49" s="1"/>
  <c r="Q60" i="49"/>
  <c r="Q61" i="49" s="1"/>
  <c r="Q62" i="49" s="1"/>
  <c r="Q63" i="49" s="1"/>
  <c r="Q64" i="49" s="1"/>
  <c r="Q65" i="49" s="1"/>
  <c r="Q66" i="49" s="1"/>
  <c r="Q59" i="49"/>
  <c r="Y60" i="49"/>
  <c r="Y61" i="49" s="1"/>
  <c r="Y62" i="49" s="1"/>
  <c r="Y63" i="49" s="1"/>
  <c r="Y64" i="49" s="1"/>
  <c r="Y65" i="49" s="1"/>
  <c r="Y67" i="49" s="1"/>
  <c r="Y68" i="49" s="1"/>
  <c r="Y69" i="49" s="1"/>
  <c r="Y70" i="49" s="1"/>
  <c r="Y71" i="49" s="1"/>
  <c r="Y72" i="49" s="1"/>
  <c r="Y73" i="49" s="1"/>
  <c r="Y74" i="49" s="1"/>
  <c r="Y59" i="49"/>
  <c r="D14" i="48"/>
  <c r="D15" i="48"/>
  <c r="D16" i="48"/>
  <c r="D17" i="48"/>
  <c r="D18" i="48"/>
  <c r="D19" i="48"/>
  <c r="D20" i="48"/>
  <c r="D21" i="48"/>
  <c r="D22" i="48"/>
  <c r="D23" i="48"/>
  <c r="D24" i="48"/>
  <c r="D25" i="48"/>
  <c r="D26" i="48"/>
  <c r="D27" i="48"/>
  <c r="D31" i="48"/>
  <c r="D32" i="48"/>
  <c r="D33" i="48"/>
  <c r="D34" i="48"/>
  <c r="D35" i="48"/>
  <c r="D36" i="48"/>
  <c r="D37" i="48"/>
  <c r="D38" i="48"/>
  <c r="D39" i="48"/>
  <c r="D40" i="48"/>
  <c r="D41" i="48"/>
  <c r="D42" i="48"/>
  <c r="D43" i="48"/>
  <c r="D44" i="48"/>
  <c r="D45" i="48"/>
  <c r="D46" i="48"/>
  <c r="D47" i="48"/>
  <c r="D48" i="48"/>
  <c r="D49" i="48"/>
  <c r="D50" i="48"/>
  <c r="D51" i="48"/>
  <c r="D52" i="48"/>
  <c r="D53" i="48"/>
  <c r="D54" i="48"/>
  <c r="D55" i="48"/>
  <c r="D56" i="48"/>
  <c r="D57" i="48"/>
  <c r="D58" i="48"/>
  <c r="D59" i="48"/>
  <c r="D60" i="48"/>
  <c r="D61" i="48"/>
  <c r="D62" i="48"/>
  <c r="D63" i="48"/>
  <c r="D64" i="48"/>
  <c r="D65" i="48"/>
  <c r="D66" i="48"/>
  <c r="D67" i="48"/>
  <c r="D68" i="48"/>
  <c r="D69" i="48"/>
  <c r="D70" i="48"/>
  <c r="D71" i="48"/>
  <c r="D72" i="48"/>
  <c r="D73" i="48"/>
  <c r="D74" i="48"/>
  <c r="D75" i="48"/>
  <c r="D76" i="48"/>
  <c r="D77" i="48"/>
  <c r="D78" i="48"/>
  <c r="D79" i="48"/>
  <c r="D80" i="48"/>
  <c r="D81" i="48"/>
  <c r="D82" i="48"/>
  <c r="D83" i="48"/>
  <c r="D84" i="48"/>
  <c r="D85" i="48"/>
  <c r="D86" i="48"/>
  <c r="D87" i="48"/>
  <c r="D88" i="48"/>
  <c r="D89" i="48"/>
  <c r="D90" i="48"/>
  <c r="D91" i="48"/>
  <c r="D92" i="48"/>
  <c r="D93" i="48"/>
  <c r="D94" i="48"/>
  <c r="D95" i="48"/>
  <c r="D96" i="48"/>
  <c r="D97" i="48"/>
  <c r="D98" i="48"/>
  <c r="D99" i="48"/>
  <c r="D100" i="48"/>
  <c r="D101" i="48"/>
  <c r="D102" i="48"/>
  <c r="D103" i="48"/>
  <c r="D104" i="48"/>
  <c r="D105" i="48"/>
  <c r="D106" i="48"/>
  <c r="D107" i="48"/>
  <c r="D108" i="48"/>
  <c r="D109" i="48"/>
  <c r="D110" i="48"/>
  <c r="D111" i="48"/>
  <c r="D112" i="48"/>
  <c r="D113" i="48"/>
  <c r="D114" i="48"/>
  <c r="D115" i="48"/>
  <c r="D116" i="48"/>
  <c r="D117" i="48"/>
  <c r="D118" i="48"/>
  <c r="D119" i="48"/>
  <c r="D120" i="48"/>
  <c r="H136" i="48"/>
  <c r="H135" i="48"/>
  <c r="H134" i="48"/>
  <c r="S133" i="48"/>
  <c r="H133" i="48"/>
  <c r="E133" i="48"/>
  <c r="D133" i="48"/>
  <c r="S132" i="48"/>
  <c r="H132" i="48"/>
  <c r="E132" i="48"/>
  <c r="S131" i="48"/>
  <c r="H131" i="48"/>
  <c r="E131" i="48"/>
  <c r="D131" i="48"/>
  <c r="S130" i="48"/>
  <c r="H130" i="48"/>
  <c r="S129" i="48"/>
  <c r="H129" i="48"/>
  <c r="O123" i="48"/>
  <c r="D121" i="48"/>
  <c r="W120" i="48"/>
  <c r="O120" i="48"/>
  <c r="I120" i="48"/>
  <c r="W119" i="48"/>
  <c r="O119" i="48"/>
  <c r="I119" i="48"/>
  <c r="W118" i="48"/>
  <c r="O118" i="48"/>
  <c r="I118" i="48"/>
  <c r="W117" i="48"/>
  <c r="O117" i="48"/>
  <c r="I117" i="48"/>
  <c r="W116" i="48"/>
  <c r="O116" i="48"/>
  <c r="I116" i="48"/>
  <c r="W115" i="48"/>
  <c r="O115" i="48"/>
  <c r="I115" i="48"/>
  <c r="W114" i="48"/>
  <c r="O114" i="48"/>
  <c r="I114" i="48"/>
  <c r="W113" i="48"/>
  <c r="O113" i="48"/>
  <c r="I113" i="48"/>
  <c r="W112" i="48"/>
  <c r="O112" i="48"/>
  <c r="I112" i="48"/>
  <c r="W111" i="48"/>
  <c r="O111" i="48"/>
  <c r="I111" i="48"/>
  <c r="W110" i="48"/>
  <c r="O110" i="48"/>
  <c r="I110" i="48"/>
  <c r="W109" i="48"/>
  <c r="O109" i="48"/>
  <c r="I109" i="48"/>
  <c r="W108" i="48"/>
  <c r="O108" i="48"/>
  <c r="I108" i="48"/>
  <c r="W107" i="48"/>
  <c r="O107" i="48"/>
  <c r="I107" i="48"/>
  <c r="W106" i="48"/>
  <c r="O106" i="48"/>
  <c r="I106" i="48"/>
  <c r="W105" i="48"/>
  <c r="O105" i="48"/>
  <c r="I105" i="48"/>
  <c r="W104" i="48"/>
  <c r="O104" i="48"/>
  <c r="I104" i="48"/>
  <c r="W103" i="48"/>
  <c r="O103" i="48"/>
  <c r="I103" i="48"/>
  <c r="W102" i="48"/>
  <c r="O102" i="48"/>
  <c r="I102" i="48"/>
  <c r="W101" i="48"/>
  <c r="O101" i="48"/>
  <c r="I101" i="48"/>
  <c r="W100" i="48"/>
  <c r="O100" i="48"/>
  <c r="I100" i="48"/>
  <c r="W99" i="48"/>
  <c r="Y99" i="48" s="1"/>
  <c r="O99" i="48"/>
  <c r="I99" i="48"/>
  <c r="W98" i="48"/>
  <c r="Y98" i="48" s="1"/>
  <c r="O98" i="48"/>
  <c r="I98" i="48"/>
  <c r="W97" i="48"/>
  <c r="Y97" i="48" s="1"/>
  <c r="O97" i="48"/>
  <c r="I97" i="48"/>
  <c r="W96" i="48"/>
  <c r="O96" i="48"/>
  <c r="I96" i="48"/>
  <c r="W95" i="48"/>
  <c r="O95" i="48"/>
  <c r="I95" i="48"/>
  <c r="W94" i="48"/>
  <c r="O94" i="48"/>
  <c r="I94" i="48"/>
  <c r="W93" i="48"/>
  <c r="O93" i="48"/>
  <c r="I93" i="48"/>
  <c r="W92" i="48"/>
  <c r="O92" i="48"/>
  <c r="I92" i="48"/>
  <c r="W91" i="48"/>
  <c r="O91" i="48"/>
  <c r="I91" i="48"/>
  <c r="W90" i="48"/>
  <c r="O90" i="48"/>
  <c r="I90" i="48"/>
  <c r="W89" i="48"/>
  <c r="O89" i="48"/>
  <c r="I89" i="48"/>
  <c r="W88" i="48"/>
  <c r="O88" i="48"/>
  <c r="I88" i="48"/>
  <c r="W87" i="48"/>
  <c r="O87" i="48"/>
  <c r="I87" i="48"/>
  <c r="W86" i="48"/>
  <c r="O86" i="48"/>
  <c r="I86" i="48"/>
  <c r="W85" i="48"/>
  <c r="O85" i="48"/>
  <c r="I85" i="48"/>
  <c r="W84" i="48"/>
  <c r="O84" i="48"/>
  <c r="I84" i="48"/>
  <c r="W83" i="48"/>
  <c r="O83" i="48"/>
  <c r="I83" i="48"/>
  <c r="W82" i="48"/>
  <c r="O82" i="48"/>
  <c r="I82" i="48"/>
  <c r="W81" i="48"/>
  <c r="O81" i="48"/>
  <c r="I81" i="48"/>
  <c r="W80" i="48"/>
  <c r="O80" i="48"/>
  <c r="I80" i="48"/>
  <c r="W79" i="48"/>
  <c r="O79" i="48"/>
  <c r="I79" i="48"/>
  <c r="W78" i="48"/>
  <c r="O78" i="48"/>
  <c r="I78" i="48"/>
  <c r="W77" i="48"/>
  <c r="O77" i="48"/>
  <c r="I77" i="48"/>
  <c r="W76" i="48"/>
  <c r="O76" i="48"/>
  <c r="I76" i="48"/>
  <c r="W75" i="48"/>
  <c r="O75" i="48"/>
  <c r="I75" i="48"/>
  <c r="W74" i="48"/>
  <c r="O74" i="48"/>
  <c r="I74" i="48"/>
  <c r="W73" i="48"/>
  <c r="O73" i="48"/>
  <c r="I73" i="48"/>
  <c r="W72" i="48"/>
  <c r="O72" i="48"/>
  <c r="I72" i="48"/>
  <c r="W71" i="48"/>
  <c r="O71" i="48"/>
  <c r="I71" i="48"/>
  <c r="W70" i="48"/>
  <c r="O70" i="48"/>
  <c r="I70" i="48"/>
  <c r="W69" i="48"/>
  <c r="O69" i="48"/>
  <c r="I69" i="48"/>
  <c r="W68" i="48"/>
  <c r="O68" i="48"/>
  <c r="I68" i="48"/>
  <c r="W67" i="48"/>
  <c r="O67" i="48"/>
  <c r="I67" i="48"/>
  <c r="W66" i="48"/>
  <c r="O66" i="48"/>
  <c r="I66" i="48"/>
  <c r="W65" i="48"/>
  <c r="O65" i="48"/>
  <c r="I65" i="48"/>
  <c r="W64" i="48"/>
  <c r="O64" i="48"/>
  <c r="I64" i="48"/>
  <c r="W63" i="48"/>
  <c r="O63" i="48"/>
  <c r="I63" i="48"/>
  <c r="W62" i="48"/>
  <c r="O62" i="48"/>
  <c r="I62" i="48"/>
  <c r="W61" i="48"/>
  <c r="O61" i="48"/>
  <c r="I61" i="48"/>
  <c r="W60" i="48"/>
  <c r="O60" i="48"/>
  <c r="I60" i="48"/>
  <c r="W59" i="48"/>
  <c r="O59" i="48"/>
  <c r="I59" i="48"/>
  <c r="W58" i="48"/>
  <c r="O58" i="48"/>
  <c r="I58" i="48"/>
  <c r="W57" i="48"/>
  <c r="O57" i="48"/>
  <c r="I57" i="48"/>
  <c r="W56" i="48"/>
  <c r="O56" i="48"/>
  <c r="I56" i="48"/>
  <c r="W55" i="48"/>
  <c r="O55" i="48"/>
  <c r="I55" i="48"/>
  <c r="W54" i="48"/>
  <c r="O54" i="48"/>
  <c r="I54" i="48"/>
  <c r="W53" i="48"/>
  <c r="O53" i="48"/>
  <c r="I53" i="48"/>
  <c r="W52" i="48"/>
  <c r="O52" i="48"/>
  <c r="I52" i="48"/>
  <c r="W51" i="48"/>
  <c r="O51" i="48"/>
  <c r="I51" i="48"/>
  <c r="W50" i="48"/>
  <c r="O50" i="48"/>
  <c r="I50" i="48"/>
  <c r="W49" i="48"/>
  <c r="O49" i="48"/>
  <c r="I49" i="48"/>
  <c r="W48" i="48"/>
  <c r="O48" i="48"/>
  <c r="I48" i="48"/>
  <c r="W47" i="48"/>
  <c r="O47" i="48"/>
  <c r="I47" i="48"/>
  <c r="W46" i="48"/>
  <c r="O46" i="48"/>
  <c r="I46" i="48"/>
  <c r="W45" i="48"/>
  <c r="O45" i="48"/>
  <c r="I45" i="48"/>
  <c r="W44" i="48"/>
  <c r="O44" i="48"/>
  <c r="I44" i="48"/>
  <c r="W43" i="48"/>
  <c r="O43" i="48"/>
  <c r="I43" i="48"/>
  <c r="W42" i="48"/>
  <c r="O42" i="48"/>
  <c r="I42" i="48"/>
  <c r="W41" i="48"/>
  <c r="O41" i="48"/>
  <c r="I41" i="48"/>
  <c r="W40" i="48"/>
  <c r="O40" i="48"/>
  <c r="I40" i="48"/>
  <c r="W39" i="48"/>
  <c r="O39" i="48"/>
  <c r="I39" i="48"/>
  <c r="W38" i="48"/>
  <c r="O38" i="48"/>
  <c r="I38" i="48"/>
  <c r="W37" i="48"/>
  <c r="O37" i="48"/>
  <c r="I37" i="48"/>
  <c r="W36" i="48"/>
  <c r="O36" i="48"/>
  <c r="I36" i="48"/>
  <c r="W35" i="48"/>
  <c r="O35" i="48"/>
  <c r="I35" i="48"/>
  <c r="W34" i="48"/>
  <c r="O34" i="48"/>
  <c r="I34" i="48"/>
  <c r="W33" i="48"/>
  <c r="O33" i="48"/>
  <c r="I33" i="48"/>
  <c r="W32" i="48"/>
  <c r="O32" i="48"/>
  <c r="I32" i="48"/>
  <c r="W31" i="48"/>
  <c r="O31" i="48"/>
  <c r="I31" i="48"/>
  <c r="W30" i="48"/>
  <c r="O30" i="48"/>
  <c r="I30" i="48"/>
  <c r="W29" i="48"/>
  <c r="O29" i="48"/>
  <c r="I29" i="48"/>
  <c r="W28" i="48"/>
  <c r="O28" i="48"/>
  <c r="I28" i="48"/>
  <c r="W27" i="48"/>
  <c r="I27" i="48"/>
  <c r="W26" i="48"/>
  <c r="O26" i="48"/>
  <c r="I26" i="48"/>
  <c r="W25" i="48"/>
  <c r="O25" i="48"/>
  <c r="I25" i="48"/>
  <c r="W24" i="48"/>
  <c r="O24" i="48"/>
  <c r="I24" i="48"/>
  <c r="W23" i="48"/>
  <c r="O23" i="48"/>
  <c r="I23" i="48"/>
  <c r="W22" i="48"/>
  <c r="O22" i="48"/>
  <c r="I22" i="48"/>
  <c r="W21" i="48"/>
  <c r="O21" i="48"/>
  <c r="I21" i="48"/>
  <c r="W20" i="48"/>
  <c r="O20" i="48"/>
  <c r="I20" i="48"/>
  <c r="W19" i="48"/>
  <c r="O19" i="48"/>
  <c r="I19" i="48"/>
  <c r="W18" i="48"/>
  <c r="O18" i="48"/>
  <c r="I18" i="48"/>
  <c r="W17" i="48"/>
  <c r="O17" i="48"/>
  <c r="I17" i="48"/>
  <c r="W16" i="48"/>
  <c r="O16" i="48"/>
  <c r="I16" i="48"/>
  <c r="W15" i="48"/>
  <c r="O15" i="48"/>
  <c r="I15" i="48"/>
  <c r="W14" i="48"/>
  <c r="O14" i="48"/>
  <c r="I14" i="48"/>
  <c r="W13" i="48"/>
  <c r="O13" i="48"/>
  <c r="I13" i="48"/>
  <c r="W12" i="48"/>
  <c r="O12" i="48"/>
  <c r="I12" i="48"/>
  <c r="W11" i="48"/>
  <c r="I11" i="48"/>
  <c r="W10" i="48"/>
  <c r="O10" i="48"/>
  <c r="I10" i="48"/>
  <c r="W9" i="48"/>
  <c r="O9" i="48"/>
  <c r="I9" i="48"/>
  <c r="W8" i="48"/>
  <c r="O8" i="48"/>
  <c r="I8" i="48"/>
  <c r="W7" i="48"/>
  <c r="O7" i="48"/>
  <c r="I7" i="48"/>
  <c r="D7" i="48"/>
  <c r="AK6" i="48"/>
  <c r="AK7" i="48" s="1"/>
  <c r="AK8" i="48" s="1"/>
  <c r="AK9" i="48" s="1"/>
  <c r="AK10" i="48" s="1"/>
  <c r="AK11" i="48" s="1"/>
  <c r="AK12" i="48" s="1"/>
  <c r="AK13" i="48" s="1"/>
  <c r="AK14" i="48" s="1"/>
  <c r="AK15" i="48" s="1"/>
  <c r="AK16" i="48" s="1"/>
  <c r="AK17" i="48" s="1"/>
  <c r="AK18" i="48" s="1"/>
  <c r="AK19" i="48" s="1"/>
  <c r="AK20" i="48" s="1"/>
  <c r="AK21" i="48" s="1"/>
  <c r="AK22" i="48" s="1"/>
  <c r="AK23" i="48" s="1"/>
  <c r="AK24" i="48" s="1"/>
  <c r="AK25" i="48" s="1"/>
  <c r="AK26" i="48" s="1"/>
  <c r="AK27" i="48" s="1"/>
  <c r="AK28" i="48" s="1"/>
  <c r="AK29" i="48" s="1"/>
  <c r="AK30" i="48" s="1"/>
  <c r="AK31" i="48" s="1"/>
  <c r="AK32" i="48" s="1"/>
  <c r="AK33" i="48" s="1"/>
  <c r="AK34" i="48" s="1"/>
  <c r="AK35" i="48" s="1"/>
  <c r="AK36" i="48" s="1"/>
  <c r="AK37" i="48" s="1"/>
  <c r="AK38" i="48" s="1"/>
  <c r="AK39" i="48" s="1"/>
  <c r="AK40" i="48" s="1"/>
  <c r="AK41" i="48" s="1"/>
  <c r="AK42" i="48" s="1"/>
  <c r="AK43" i="48" s="1"/>
  <c r="AK44" i="48" s="1"/>
  <c r="AK45" i="48" s="1"/>
  <c r="AK46" i="48" s="1"/>
  <c r="AK47" i="48" s="1"/>
  <c r="AK48" i="48" s="1"/>
  <c r="AK49" i="48" s="1"/>
  <c r="AK50" i="48" s="1"/>
  <c r="AK51" i="48" s="1"/>
  <c r="AK52" i="48" s="1"/>
  <c r="AK53" i="48" s="1"/>
  <c r="AK54" i="48" s="1"/>
  <c r="AK55" i="48" s="1"/>
  <c r="AK56" i="48" s="1"/>
  <c r="AK57" i="48" s="1"/>
  <c r="AK58" i="48" s="1"/>
  <c r="AK59" i="48" s="1"/>
  <c r="AK60" i="48" s="1"/>
  <c r="AK61" i="48" s="1"/>
  <c r="AK62" i="48" s="1"/>
  <c r="AK63" i="48" s="1"/>
  <c r="AK64" i="48" s="1"/>
  <c r="AK65" i="48" s="1"/>
  <c r="AK66" i="48" s="1"/>
  <c r="AK67" i="48" s="1"/>
  <c r="AK68" i="48" s="1"/>
  <c r="AK69" i="48" s="1"/>
  <c r="AK70" i="48" s="1"/>
  <c r="AK71" i="48" s="1"/>
  <c r="AK72" i="48" s="1"/>
  <c r="AK73" i="48" s="1"/>
  <c r="AK74" i="48" s="1"/>
  <c r="AK75" i="48" s="1"/>
  <c r="AK76" i="48" s="1"/>
  <c r="AK77" i="48" s="1"/>
  <c r="AK78" i="48" s="1"/>
  <c r="AK79" i="48" s="1"/>
  <c r="AK80" i="48" s="1"/>
  <c r="AK81" i="48" s="1"/>
  <c r="AK82" i="48" s="1"/>
  <c r="AK83" i="48" s="1"/>
  <c r="AK84" i="48" s="1"/>
  <c r="AK85" i="48" s="1"/>
  <c r="AK86" i="48" s="1"/>
  <c r="AK87" i="48" s="1"/>
  <c r="AK88" i="48" s="1"/>
  <c r="AK89" i="48" s="1"/>
  <c r="AK90" i="48" s="1"/>
  <c r="AK91" i="48" s="1"/>
  <c r="AK92" i="48" s="1"/>
  <c r="AK93" i="48" s="1"/>
  <c r="AK94" i="48" s="1"/>
  <c r="AK95" i="48" s="1"/>
  <c r="AK96" i="48" s="1"/>
  <c r="AK97" i="48" s="1"/>
  <c r="AK98" i="48" s="1"/>
  <c r="AK99" i="48" s="1"/>
  <c r="AK100" i="48" s="1"/>
  <c r="AK101" i="48" s="1"/>
  <c r="AK102" i="48" s="1"/>
  <c r="AK103" i="48" s="1"/>
  <c r="AK104" i="48" s="1"/>
  <c r="AK105" i="48" s="1"/>
  <c r="AK106" i="48" s="1"/>
  <c r="AK107" i="48" s="1"/>
  <c r="AK108" i="48" s="1"/>
  <c r="AK109" i="48" s="1"/>
  <c r="AK110" i="48" s="1"/>
  <c r="AK111" i="48" s="1"/>
  <c r="AK112" i="48" s="1"/>
  <c r="AK113" i="48" s="1"/>
  <c r="AK114" i="48" s="1"/>
  <c r="AK115" i="48" s="1"/>
  <c r="AK116" i="48" s="1"/>
  <c r="AK117" i="48" s="1"/>
  <c r="AK118" i="48" s="1"/>
  <c r="AK119" i="48" s="1"/>
  <c r="AK120" i="48" s="1"/>
  <c r="AK121" i="48" s="1"/>
  <c r="AH6" i="48"/>
  <c r="AH7" i="48" s="1"/>
  <c r="AH8" i="48" s="1"/>
  <c r="AH9" i="48" s="1"/>
  <c r="AH10" i="48" s="1"/>
  <c r="AH11" i="48" s="1"/>
  <c r="AH12" i="48" s="1"/>
  <c r="AH13" i="48" s="1"/>
  <c r="AH14" i="48" s="1"/>
  <c r="AH15" i="48" s="1"/>
  <c r="AH16" i="48" s="1"/>
  <c r="AH17" i="48" s="1"/>
  <c r="AH18" i="48" s="1"/>
  <c r="AH19" i="48" s="1"/>
  <c r="AH20" i="48" s="1"/>
  <c r="AH21" i="48" s="1"/>
  <c r="AH22" i="48" s="1"/>
  <c r="AH23" i="48" s="1"/>
  <c r="AH24" i="48" s="1"/>
  <c r="AH25" i="48" s="1"/>
  <c r="AH26" i="48" s="1"/>
  <c r="AH27" i="48" s="1"/>
  <c r="AH28" i="48" s="1"/>
  <c r="AH29" i="48" s="1"/>
  <c r="AH30" i="48" s="1"/>
  <c r="AH31" i="48" s="1"/>
  <c r="AH32" i="48" s="1"/>
  <c r="AH33" i="48" s="1"/>
  <c r="AH34" i="48" s="1"/>
  <c r="AH35" i="48" s="1"/>
  <c r="AH36" i="48" s="1"/>
  <c r="AH37" i="48" s="1"/>
  <c r="AH38" i="48" s="1"/>
  <c r="AH39" i="48" s="1"/>
  <c r="AH40" i="48" s="1"/>
  <c r="AH41" i="48" s="1"/>
  <c r="AH42" i="48" s="1"/>
  <c r="AH43" i="48" s="1"/>
  <c r="AH44" i="48" s="1"/>
  <c r="AH45" i="48" s="1"/>
  <c r="AH46" i="48" s="1"/>
  <c r="AH47" i="48" s="1"/>
  <c r="AH48" i="48" s="1"/>
  <c r="AH49" i="48" s="1"/>
  <c r="AH50" i="48" s="1"/>
  <c r="AH51" i="48" s="1"/>
  <c r="AH52" i="48" s="1"/>
  <c r="AH53" i="48" s="1"/>
  <c r="AH54" i="48" s="1"/>
  <c r="AH55" i="48" s="1"/>
  <c r="AH56" i="48" s="1"/>
  <c r="AH57" i="48" s="1"/>
  <c r="AH58" i="48" s="1"/>
  <c r="AH59" i="48" s="1"/>
  <c r="AH60" i="48" s="1"/>
  <c r="AH61" i="48" s="1"/>
  <c r="AH62" i="48" s="1"/>
  <c r="AH63" i="48" s="1"/>
  <c r="AH64" i="48" s="1"/>
  <c r="AH65" i="48" s="1"/>
  <c r="AH66" i="48" s="1"/>
  <c r="AH67" i="48" s="1"/>
  <c r="AH68" i="48" s="1"/>
  <c r="AH69" i="48" s="1"/>
  <c r="AH70" i="48" s="1"/>
  <c r="AH71" i="48" s="1"/>
  <c r="AH72" i="48" s="1"/>
  <c r="AH73" i="48" s="1"/>
  <c r="AH74" i="48" s="1"/>
  <c r="AH75" i="48" s="1"/>
  <c r="AH76" i="48" s="1"/>
  <c r="AH77" i="48" s="1"/>
  <c r="AH78" i="48" s="1"/>
  <c r="AH79" i="48" s="1"/>
  <c r="AH80" i="48" s="1"/>
  <c r="AH81" i="48" s="1"/>
  <c r="AH82" i="48" s="1"/>
  <c r="AH83" i="48" s="1"/>
  <c r="AH84" i="48" s="1"/>
  <c r="AH85" i="48" s="1"/>
  <c r="AH86" i="48" s="1"/>
  <c r="AH87" i="48" s="1"/>
  <c r="AH88" i="48" s="1"/>
  <c r="AH89" i="48" s="1"/>
  <c r="AH90" i="48" s="1"/>
  <c r="AH91" i="48" s="1"/>
  <c r="AH92" i="48" s="1"/>
  <c r="AH93" i="48" s="1"/>
  <c r="AH94" i="48" s="1"/>
  <c r="AH95" i="48" s="1"/>
  <c r="AH96" i="48" s="1"/>
  <c r="AH97" i="48" s="1"/>
  <c r="AH98" i="48" s="1"/>
  <c r="AH99" i="48" s="1"/>
  <c r="AH100" i="48" s="1"/>
  <c r="AH101" i="48" s="1"/>
  <c r="AH102" i="48" s="1"/>
  <c r="AH103" i="48" s="1"/>
  <c r="AH104" i="48" s="1"/>
  <c r="AH105" i="48" s="1"/>
  <c r="AH106" i="48" s="1"/>
  <c r="AH107" i="48" s="1"/>
  <c r="AH108" i="48" s="1"/>
  <c r="AH109" i="48" s="1"/>
  <c r="AH110" i="48" s="1"/>
  <c r="AH111" i="48" s="1"/>
  <c r="AH112" i="48" s="1"/>
  <c r="AH113" i="48" s="1"/>
  <c r="AH114" i="48" s="1"/>
  <c r="AH115" i="48" s="1"/>
  <c r="AH116" i="48" s="1"/>
  <c r="AH117" i="48" s="1"/>
  <c r="AH118" i="48" s="1"/>
  <c r="AH119" i="48" s="1"/>
  <c r="AH120" i="48" s="1"/>
  <c r="AH121" i="48" s="1"/>
  <c r="AE6" i="48"/>
  <c r="AE7" i="48" s="1"/>
  <c r="AE8" i="48" s="1"/>
  <c r="AE9" i="48" s="1"/>
  <c r="AE10" i="48" s="1"/>
  <c r="AE11" i="48" s="1"/>
  <c r="AE12" i="48" s="1"/>
  <c r="AE13" i="48" s="1"/>
  <c r="AE14" i="48" s="1"/>
  <c r="AE15" i="48" s="1"/>
  <c r="AE16" i="48" s="1"/>
  <c r="AE17" i="48" s="1"/>
  <c r="AE18" i="48" s="1"/>
  <c r="AE19" i="48" s="1"/>
  <c r="AE20" i="48" s="1"/>
  <c r="AE21" i="48" s="1"/>
  <c r="AE22" i="48" s="1"/>
  <c r="AE23" i="48" s="1"/>
  <c r="AE24" i="48" s="1"/>
  <c r="AE25" i="48" s="1"/>
  <c r="AE26" i="48" s="1"/>
  <c r="AE27" i="48" s="1"/>
  <c r="AE28" i="48" s="1"/>
  <c r="AE29" i="48" s="1"/>
  <c r="AE30" i="48" s="1"/>
  <c r="AE31" i="48" s="1"/>
  <c r="AE32" i="48" s="1"/>
  <c r="AE33" i="48" s="1"/>
  <c r="AE34" i="48" s="1"/>
  <c r="AE35" i="48" s="1"/>
  <c r="AE36" i="48" s="1"/>
  <c r="AE37" i="48" s="1"/>
  <c r="AE38" i="48" s="1"/>
  <c r="AE39" i="48" s="1"/>
  <c r="AE40" i="48" s="1"/>
  <c r="AE41" i="48" s="1"/>
  <c r="AE42" i="48" s="1"/>
  <c r="AE43" i="48" s="1"/>
  <c r="AE44" i="48" s="1"/>
  <c r="AE45" i="48" s="1"/>
  <c r="AE46" i="48" s="1"/>
  <c r="AE47" i="48" s="1"/>
  <c r="AE48" i="48" s="1"/>
  <c r="AE49" i="48" s="1"/>
  <c r="AE50" i="48" s="1"/>
  <c r="AE51" i="48" s="1"/>
  <c r="AE52" i="48" s="1"/>
  <c r="AE53" i="48" s="1"/>
  <c r="AE54" i="48" s="1"/>
  <c r="AE55" i="48" s="1"/>
  <c r="AE56" i="48" s="1"/>
  <c r="AE57" i="48" s="1"/>
  <c r="AE58" i="48" s="1"/>
  <c r="AE59" i="48" s="1"/>
  <c r="AE60" i="48" s="1"/>
  <c r="AE61" i="48" s="1"/>
  <c r="AE62" i="48" s="1"/>
  <c r="AE63" i="48" s="1"/>
  <c r="AE64" i="48" s="1"/>
  <c r="AE65" i="48" s="1"/>
  <c r="AE66" i="48" s="1"/>
  <c r="AE67" i="48" s="1"/>
  <c r="AE68" i="48" s="1"/>
  <c r="AE69" i="48" s="1"/>
  <c r="AE70" i="48" s="1"/>
  <c r="AE71" i="48" s="1"/>
  <c r="AE72" i="48" s="1"/>
  <c r="AE73" i="48" s="1"/>
  <c r="AE74" i="48" s="1"/>
  <c r="AE75" i="48" s="1"/>
  <c r="AE76" i="48" s="1"/>
  <c r="AE77" i="48" s="1"/>
  <c r="AE78" i="48" s="1"/>
  <c r="AE79" i="48" s="1"/>
  <c r="AE80" i="48" s="1"/>
  <c r="AE81" i="48" s="1"/>
  <c r="AE82" i="48" s="1"/>
  <c r="AE83" i="48" s="1"/>
  <c r="AE84" i="48" s="1"/>
  <c r="AE85" i="48" s="1"/>
  <c r="AE86" i="48" s="1"/>
  <c r="AE87" i="48" s="1"/>
  <c r="AE88" i="48" s="1"/>
  <c r="AE89" i="48" s="1"/>
  <c r="AE90" i="48" s="1"/>
  <c r="AE91" i="48" s="1"/>
  <c r="AE92" i="48" s="1"/>
  <c r="AE93" i="48" s="1"/>
  <c r="AE94" i="48" s="1"/>
  <c r="AE95" i="48" s="1"/>
  <c r="AE96" i="48" s="1"/>
  <c r="AE97" i="48" s="1"/>
  <c r="AE98" i="48" s="1"/>
  <c r="AE99" i="48" s="1"/>
  <c r="AE100" i="48" s="1"/>
  <c r="AE101" i="48" s="1"/>
  <c r="AE102" i="48" s="1"/>
  <c r="AE103" i="48" s="1"/>
  <c r="AE104" i="48" s="1"/>
  <c r="AE105" i="48" s="1"/>
  <c r="AE106" i="48" s="1"/>
  <c r="AE107" i="48" s="1"/>
  <c r="AE108" i="48" s="1"/>
  <c r="AE109" i="48" s="1"/>
  <c r="AE110" i="48" s="1"/>
  <c r="AE111" i="48" s="1"/>
  <c r="AE112" i="48" s="1"/>
  <c r="AE113" i="48" s="1"/>
  <c r="AE114" i="48" s="1"/>
  <c r="AE115" i="48" s="1"/>
  <c r="AE116" i="48" s="1"/>
  <c r="AE117" i="48" s="1"/>
  <c r="AE118" i="48" s="1"/>
  <c r="AE119" i="48" s="1"/>
  <c r="AE120" i="48" s="1"/>
  <c r="AE121" i="48" s="1"/>
  <c r="AB6" i="48"/>
  <c r="AB7" i="48" s="1"/>
  <c r="AB8" i="48" s="1"/>
  <c r="AB9" i="48" s="1"/>
  <c r="AB10" i="48" s="1"/>
  <c r="AB11" i="48" s="1"/>
  <c r="AB12" i="48" s="1"/>
  <c r="AB13" i="48" s="1"/>
  <c r="AB14" i="48" s="1"/>
  <c r="AB15" i="48" s="1"/>
  <c r="AB16" i="48" s="1"/>
  <c r="AB17" i="48" s="1"/>
  <c r="AB18" i="48" s="1"/>
  <c r="AB19" i="48" s="1"/>
  <c r="AB20" i="48" s="1"/>
  <c r="AB21" i="48" s="1"/>
  <c r="AB22" i="48" s="1"/>
  <c r="AB23" i="48" s="1"/>
  <c r="AB24" i="48" s="1"/>
  <c r="AB25" i="48" s="1"/>
  <c r="AB26" i="48" s="1"/>
  <c r="AB27" i="48" s="1"/>
  <c r="AB28" i="48" s="1"/>
  <c r="AB29" i="48" s="1"/>
  <c r="AB30" i="48" s="1"/>
  <c r="AB31" i="48" s="1"/>
  <c r="AB32" i="48" s="1"/>
  <c r="AB33" i="48" s="1"/>
  <c r="AB34" i="48" s="1"/>
  <c r="AB35" i="48" s="1"/>
  <c r="AB36" i="48" s="1"/>
  <c r="AB37" i="48" s="1"/>
  <c r="AB38" i="48" s="1"/>
  <c r="AB39" i="48" s="1"/>
  <c r="AB40" i="48" s="1"/>
  <c r="AB41" i="48" s="1"/>
  <c r="AB42" i="48" s="1"/>
  <c r="AB43" i="48" s="1"/>
  <c r="AB44" i="48" s="1"/>
  <c r="AB45" i="48" s="1"/>
  <c r="AB46" i="48" s="1"/>
  <c r="AB47" i="48" s="1"/>
  <c r="AB48" i="48" s="1"/>
  <c r="AB49" i="48" s="1"/>
  <c r="AB50" i="48" s="1"/>
  <c r="AB51" i="48" s="1"/>
  <c r="AB52" i="48" s="1"/>
  <c r="AB53" i="48" s="1"/>
  <c r="AB54" i="48" s="1"/>
  <c r="AB55" i="48" s="1"/>
  <c r="AB56" i="48" s="1"/>
  <c r="AB57" i="48" s="1"/>
  <c r="AB58" i="48" s="1"/>
  <c r="AB59" i="48" s="1"/>
  <c r="AB60" i="48" s="1"/>
  <c r="AB61" i="48" s="1"/>
  <c r="AB62" i="48" s="1"/>
  <c r="AB63" i="48" s="1"/>
  <c r="AB64" i="48" s="1"/>
  <c r="AB65" i="48" s="1"/>
  <c r="AB66" i="48" s="1"/>
  <c r="AB67" i="48" s="1"/>
  <c r="AB68" i="48" s="1"/>
  <c r="AB69" i="48" s="1"/>
  <c r="AB70" i="48" s="1"/>
  <c r="AB71" i="48" s="1"/>
  <c r="AB72" i="48" s="1"/>
  <c r="AB73" i="48" s="1"/>
  <c r="AB74" i="48" s="1"/>
  <c r="AB75" i="48" s="1"/>
  <c r="AB76" i="48" s="1"/>
  <c r="AB77" i="48" s="1"/>
  <c r="AB78" i="48" s="1"/>
  <c r="AB79" i="48" s="1"/>
  <c r="AB80" i="48" s="1"/>
  <c r="AB81" i="48" s="1"/>
  <c r="AB82" i="48" s="1"/>
  <c r="AB83" i="48" s="1"/>
  <c r="AB84" i="48" s="1"/>
  <c r="AB85" i="48" s="1"/>
  <c r="AB86" i="48" s="1"/>
  <c r="AB87" i="48" s="1"/>
  <c r="AB88" i="48" s="1"/>
  <c r="AB89" i="48" s="1"/>
  <c r="AB90" i="48" s="1"/>
  <c r="AB91" i="48" s="1"/>
  <c r="AB92" i="48" s="1"/>
  <c r="AB93" i="48" s="1"/>
  <c r="AB94" i="48" s="1"/>
  <c r="AB95" i="48" s="1"/>
  <c r="AB96" i="48" s="1"/>
  <c r="AB97" i="48" s="1"/>
  <c r="AB98" i="48" s="1"/>
  <c r="AB99" i="48" s="1"/>
  <c r="AB100" i="48" s="1"/>
  <c r="AB101" i="48" s="1"/>
  <c r="AB102" i="48" s="1"/>
  <c r="AB103" i="48" s="1"/>
  <c r="AB104" i="48" s="1"/>
  <c r="AB105" i="48" s="1"/>
  <c r="AB106" i="48" s="1"/>
  <c r="AB107" i="48" s="1"/>
  <c r="AB108" i="48" s="1"/>
  <c r="AB109" i="48" s="1"/>
  <c r="AB110" i="48" s="1"/>
  <c r="AB111" i="48" s="1"/>
  <c r="AB112" i="48" s="1"/>
  <c r="AB113" i="48" s="1"/>
  <c r="AB114" i="48" s="1"/>
  <c r="AB115" i="48" s="1"/>
  <c r="AB116" i="48" s="1"/>
  <c r="AB117" i="48" s="1"/>
  <c r="AB118" i="48" s="1"/>
  <c r="AB119" i="48" s="1"/>
  <c r="AB120" i="48" s="1"/>
  <c r="AB121" i="48" s="1"/>
  <c r="W6" i="48"/>
  <c r="Y6" i="48" s="1"/>
  <c r="O6" i="48"/>
  <c r="Q6" i="48" s="1"/>
  <c r="Q7" i="48" s="1"/>
  <c r="I6" i="48"/>
  <c r="H131" i="46"/>
  <c r="H130" i="46"/>
  <c r="H129" i="46"/>
  <c r="H132" i="46"/>
  <c r="H136" i="46"/>
  <c r="H135" i="46"/>
  <c r="H134" i="46"/>
  <c r="H133" i="46"/>
  <c r="D133" i="46"/>
  <c r="D131" i="46"/>
  <c r="O123" i="46"/>
  <c r="S129" i="46"/>
  <c r="Q67" i="49" l="1"/>
  <c r="Q68" i="49" s="1"/>
  <c r="Q69" i="49" s="1"/>
  <c r="Q70" i="49" s="1"/>
  <c r="Q71" i="49" s="1"/>
  <c r="Q72" i="49" s="1"/>
  <c r="Q73" i="49" s="1"/>
  <c r="Q74" i="49" s="1"/>
  <c r="Q77" i="49" s="1"/>
  <c r="Q78" i="49" s="1"/>
  <c r="Q79" i="49" s="1"/>
  <c r="Q80" i="49" s="1"/>
  <c r="Q81" i="49" s="1"/>
  <c r="Q82" i="49" s="1"/>
  <c r="Q83" i="49" s="1"/>
  <c r="Q84" i="49" s="1"/>
  <c r="Q85" i="49" s="1"/>
  <c r="Q86" i="49" s="1"/>
  <c r="Q87" i="49" s="1"/>
  <c r="Q88" i="49" s="1"/>
  <c r="Q89" i="49" s="1"/>
  <c r="Q90" i="49" s="1"/>
  <c r="Q91" i="49" s="1"/>
  <c r="Q92" i="49" s="1"/>
  <c r="Q93" i="49" s="1"/>
  <c r="Q94" i="49" s="1"/>
  <c r="Q95" i="49" s="1"/>
  <c r="Q96" i="49" s="1"/>
  <c r="Q97" i="49" s="1"/>
  <c r="Q98" i="49" s="1"/>
  <c r="D132" i="48"/>
  <c r="F132" i="48" s="1"/>
  <c r="Y66" i="49"/>
  <c r="Y77" i="49"/>
  <c r="Y78" i="49" s="1"/>
  <c r="Y79" i="49" s="1"/>
  <c r="Y80" i="49" s="1"/>
  <c r="Y81" i="49" s="1"/>
  <c r="Y82" i="49" s="1"/>
  <c r="Y83" i="49" s="1"/>
  <c r="Y84" i="49" s="1"/>
  <c r="Y85" i="49" s="1"/>
  <c r="Y86" i="49" s="1"/>
  <c r="Y87" i="49" s="1"/>
  <c r="Y88" i="49" s="1"/>
  <c r="Y89" i="49" s="1"/>
  <c r="Y90" i="49" s="1"/>
  <c r="Y91" i="49" s="1"/>
  <c r="Y92" i="49" s="1"/>
  <c r="Y93" i="49" s="1"/>
  <c r="Y94" i="49" s="1"/>
  <c r="Y95" i="49" s="1"/>
  <c r="Y96" i="49" s="1"/>
  <c r="Y97" i="49" s="1"/>
  <c r="Y98" i="49" s="1"/>
  <c r="Y75" i="49"/>
  <c r="Y76" i="49" s="1"/>
  <c r="D130" i="48"/>
  <c r="I130" i="48" s="1"/>
  <c r="Y7" i="48"/>
  <c r="Y8" i="48" s="1"/>
  <c r="Y9" i="48" s="1"/>
  <c r="Y10" i="48" s="1"/>
  <c r="Y11" i="48" s="1"/>
  <c r="Y12" i="48" s="1"/>
  <c r="Y13" i="48" s="1"/>
  <c r="Y14" i="48" s="1"/>
  <c r="Y15" i="48" s="1"/>
  <c r="Y16" i="48" s="1"/>
  <c r="Y17" i="48" s="1"/>
  <c r="Y18" i="48" s="1"/>
  <c r="Y19" i="48" s="1"/>
  <c r="Y20" i="48" s="1"/>
  <c r="Y21" i="48" s="1"/>
  <c r="Y22" i="48" s="1"/>
  <c r="Y23" i="48" s="1"/>
  <c r="Y24" i="48" s="1"/>
  <c r="Y25" i="48" s="1"/>
  <c r="Y26" i="48" s="1"/>
  <c r="Y27" i="48" s="1"/>
  <c r="Y28" i="48" s="1"/>
  <c r="Y29" i="48" s="1"/>
  <c r="Y30" i="48" s="1"/>
  <c r="Y31" i="48" s="1"/>
  <c r="Y32" i="48" s="1"/>
  <c r="Y33" i="48" s="1"/>
  <c r="Y34" i="48" s="1"/>
  <c r="Y35" i="48" s="1"/>
  <c r="Y36" i="48" s="1"/>
  <c r="Y37" i="48" s="1"/>
  <c r="Y38" i="48" s="1"/>
  <c r="Y39" i="48" s="1"/>
  <c r="Y40" i="48" s="1"/>
  <c r="Y41" i="48" s="1"/>
  <c r="Y42" i="48" s="1"/>
  <c r="Y43" i="48" s="1"/>
  <c r="Y44" i="48" s="1"/>
  <c r="Y45" i="48" s="1"/>
  <c r="Y46" i="48" s="1"/>
  <c r="Y47" i="48" s="1"/>
  <c r="Y48" i="48" s="1"/>
  <c r="Y49" i="48" s="1"/>
  <c r="Y50" i="48" s="1"/>
  <c r="Y51" i="48" s="1"/>
  <c r="Y52" i="48" s="1"/>
  <c r="Y53" i="48" s="1"/>
  <c r="Y54" i="48" s="1"/>
  <c r="Y55" i="48" s="1"/>
  <c r="Y56" i="48" s="1"/>
  <c r="Y57" i="48" s="1"/>
  <c r="Y58" i="48" s="1"/>
  <c r="Y59" i="48" s="1"/>
  <c r="Y60" i="48" s="1"/>
  <c r="Y61" i="48" s="1"/>
  <c r="Y62" i="48" s="1"/>
  <c r="Y63" i="48" s="1"/>
  <c r="Y64" i="48" s="1"/>
  <c r="Y65" i="48" s="1"/>
  <c r="Y66" i="48" s="1"/>
  <c r="Y67" i="48" s="1"/>
  <c r="Y68" i="48" s="1"/>
  <c r="Y69" i="48" s="1"/>
  <c r="Y70" i="48" s="1"/>
  <c r="Y71" i="48" s="1"/>
  <c r="Y72" i="48" s="1"/>
  <c r="Y73" i="48" s="1"/>
  <c r="Y74" i="48" s="1"/>
  <c r="Y75" i="48" s="1"/>
  <c r="Y76" i="48" s="1"/>
  <c r="Y77" i="48" s="1"/>
  <c r="Y78" i="48" s="1"/>
  <c r="Y79" i="48" s="1"/>
  <c r="Y80" i="48" s="1"/>
  <c r="Y81" i="48" s="1"/>
  <c r="Y82" i="48" s="1"/>
  <c r="Y83" i="48" s="1"/>
  <c r="Y84" i="48" s="1"/>
  <c r="Y85" i="48" s="1"/>
  <c r="Y86" i="48" s="1"/>
  <c r="Y87" i="48" s="1"/>
  <c r="Y88" i="48" s="1"/>
  <c r="Y89" i="48" s="1"/>
  <c r="Y90" i="48" s="1"/>
  <c r="Y91" i="48" s="1"/>
  <c r="Y92" i="48" s="1"/>
  <c r="Y93" i="48" s="1"/>
  <c r="Y94" i="48" s="1"/>
  <c r="Y95" i="48" s="1"/>
  <c r="Y96" i="48" s="1"/>
  <c r="Y100" i="48" s="1"/>
  <c r="Y101" i="48" s="1"/>
  <c r="Y102" i="48" s="1"/>
  <c r="Y103" i="48" s="1"/>
  <c r="Y104" i="48" s="1"/>
  <c r="Y105" i="48" s="1"/>
  <c r="Y106" i="48" s="1"/>
  <c r="Y107" i="48" s="1"/>
  <c r="Y108" i="48" s="1"/>
  <c r="Y109" i="48" s="1"/>
  <c r="Y110" i="48" s="1"/>
  <c r="Y111" i="48" s="1"/>
  <c r="Y112" i="48" s="1"/>
  <c r="Y113" i="48" s="1"/>
  <c r="Y114" i="48" s="1"/>
  <c r="Y115" i="48" s="1"/>
  <c r="Y116" i="48" s="1"/>
  <c r="Y117" i="48" s="1"/>
  <c r="Y118" i="48" s="1"/>
  <c r="Y119" i="48" s="1"/>
  <c r="Y120" i="48" s="1"/>
  <c r="Y121" i="48" s="1"/>
  <c r="Q8" i="48"/>
  <c r="Q9" i="48" s="1"/>
  <c r="Q10" i="48" s="1"/>
  <c r="Q11" i="48" s="1"/>
  <c r="Q12" i="48" s="1"/>
  <c r="Q13" i="48" s="1"/>
  <c r="Q14" i="48" s="1"/>
  <c r="Q15" i="48" s="1"/>
  <c r="Q16" i="48" s="1"/>
  <c r="Q17" i="48" s="1"/>
  <c r="Q18" i="48" s="1"/>
  <c r="Q19" i="48" s="1"/>
  <c r="Q20" i="48" s="1"/>
  <c r="Q21" i="48" s="1"/>
  <c r="Q22" i="48" s="1"/>
  <c r="Q23" i="48" s="1"/>
  <c r="Q24" i="48" s="1"/>
  <c r="Q25" i="48" s="1"/>
  <c r="Q26" i="48" s="1"/>
  <c r="Q27" i="48" s="1"/>
  <c r="Q28" i="48" s="1"/>
  <c r="Q29" i="48" s="1"/>
  <c r="Q30" i="48" s="1"/>
  <c r="Q31" i="48" s="1"/>
  <c r="Q32" i="48" s="1"/>
  <c r="Q33" i="48" s="1"/>
  <c r="Q34" i="48" s="1"/>
  <c r="Q35" i="48" s="1"/>
  <c r="Q36" i="48" s="1"/>
  <c r="Q37" i="48" s="1"/>
  <c r="Q38" i="48" s="1"/>
  <c r="Q39" i="48" s="1"/>
  <c r="Q40" i="48" s="1"/>
  <c r="Q41" i="48" s="1"/>
  <c r="Q42" i="48" s="1"/>
  <c r="Q43" i="48" s="1"/>
  <c r="Q44" i="48" s="1"/>
  <c r="Q45" i="48" s="1"/>
  <c r="Q46" i="48" s="1"/>
  <c r="Q47" i="48" s="1"/>
  <c r="Q48" i="48" s="1"/>
  <c r="Q49" i="48" s="1"/>
  <c r="Q50" i="48" s="1"/>
  <c r="Q51" i="48" s="1"/>
  <c r="Q52" i="48" s="1"/>
  <c r="I133" i="48"/>
  <c r="D129" i="48"/>
  <c r="I129" i="48" s="1"/>
  <c r="D136" i="48"/>
  <c r="L136" i="48" s="1"/>
  <c r="M136" i="48" s="1"/>
  <c r="D134" i="48"/>
  <c r="L134" i="48" s="1"/>
  <c r="M134" i="48" s="1"/>
  <c r="I131" i="48"/>
  <c r="D135" i="48"/>
  <c r="L135" i="48" s="1"/>
  <c r="M135" i="48" s="1"/>
  <c r="K132" i="48"/>
  <c r="H138" i="48"/>
  <c r="K131" i="48"/>
  <c r="E138" i="48"/>
  <c r="F131" i="48"/>
  <c r="F138" i="48" s="1"/>
  <c r="F133" i="48"/>
  <c r="K133" i="48"/>
  <c r="S138" i="48"/>
  <c r="H138" i="46"/>
  <c r="Q75" i="49" l="1"/>
  <c r="Q76" i="49" s="1"/>
  <c r="L130" i="48"/>
  <c r="M130" i="48" s="1"/>
  <c r="I132" i="48"/>
  <c r="Q53" i="48"/>
  <c r="Q54" i="48" s="1"/>
  <c r="Q55" i="48" s="1"/>
  <c r="Q56" i="48" s="1"/>
  <c r="Q57" i="48" s="1"/>
  <c r="Q58" i="48" s="1"/>
  <c r="Q59" i="48" s="1"/>
  <c r="Q60" i="48" s="1"/>
  <c r="Q61" i="48" s="1"/>
  <c r="Q62" i="48" s="1"/>
  <c r="Q63" i="48" s="1"/>
  <c r="Q64" i="48" s="1"/>
  <c r="Q65" i="48" s="1"/>
  <c r="Q66" i="48" s="1"/>
  <c r="Q67" i="48" s="1"/>
  <c r="Q68" i="48" s="1"/>
  <c r="Q69" i="48" s="1"/>
  <c r="Q70" i="48" s="1"/>
  <c r="Q71" i="48" s="1"/>
  <c r="Q72" i="48" s="1"/>
  <c r="Q73" i="48" s="1"/>
  <c r="Q74" i="48" s="1"/>
  <c r="Q75" i="48" s="1"/>
  <c r="Q76" i="48" s="1"/>
  <c r="Q77" i="48" s="1"/>
  <c r="Q78" i="48" s="1"/>
  <c r="Q79" i="48" s="1"/>
  <c r="Q80" i="48" s="1"/>
  <c r="Q81" i="48" s="1"/>
  <c r="Q82" i="48" s="1"/>
  <c r="Q83" i="48" s="1"/>
  <c r="Q84" i="48" s="1"/>
  <c r="Q85" i="48" s="1"/>
  <c r="Q86" i="48" s="1"/>
  <c r="Q87" i="48" s="1"/>
  <c r="Q88" i="48" s="1"/>
  <c r="Q89" i="48" s="1"/>
  <c r="Q90" i="48" s="1"/>
  <c r="Q91" i="48" s="1"/>
  <c r="Q92" i="48" s="1"/>
  <c r="Q93" i="48" s="1"/>
  <c r="Q94" i="48" s="1"/>
  <c r="Q95" i="48" s="1"/>
  <c r="Q96" i="48" s="1"/>
  <c r="Q97" i="48" s="1"/>
  <c r="Q98" i="48" s="1"/>
  <c r="Q99" i="48" s="1"/>
  <c r="Q100" i="48" s="1"/>
  <c r="Q101" i="48" s="1"/>
  <c r="Q102" i="48" s="1"/>
  <c r="Q103" i="48" s="1"/>
  <c r="Q104" i="48" s="1"/>
  <c r="Q105" i="48" s="1"/>
  <c r="Q106" i="48" s="1"/>
  <c r="Q107" i="48" s="1"/>
  <c r="Q108" i="48" s="1"/>
  <c r="Q109" i="48" s="1"/>
  <c r="Q110" i="48" s="1"/>
  <c r="Q111" i="48" s="1"/>
  <c r="Q112" i="48" s="1"/>
  <c r="Q113" i="48" s="1"/>
  <c r="Q114" i="48" s="1"/>
  <c r="Q115" i="48" s="1"/>
  <c r="Q116" i="48" s="1"/>
  <c r="Q117" i="48" s="1"/>
  <c r="Q118" i="48" s="1"/>
  <c r="Q119" i="48" s="1"/>
  <c r="Q120" i="48" s="1"/>
  <c r="Q121" i="48" s="1"/>
  <c r="I136" i="48"/>
  <c r="T133" i="48"/>
  <c r="T130" i="48"/>
  <c r="T132" i="48"/>
  <c r="V129" i="48"/>
  <c r="W129" i="48" s="1"/>
  <c r="L129" i="48"/>
  <c r="M129" i="48" s="1"/>
  <c r="T131" i="48"/>
  <c r="T129" i="48"/>
  <c r="I134" i="48"/>
  <c r="I135" i="48"/>
  <c r="N131" i="48"/>
  <c r="L131" i="48"/>
  <c r="M131" i="48" s="1"/>
  <c r="N133" i="48"/>
  <c r="L133" i="48"/>
  <c r="M133" i="48" s="1"/>
  <c r="N132" i="48"/>
  <c r="L132" i="48"/>
  <c r="M132" i="48" s="1"/>
  <c r="D138" i="48"/>
  <c r="T138" i="48" l="1"/>
  <c r="M138" i="48"/>
  <c r="N138" i="48"/>
  <c r="L138" i="48"/>
  <c r="D121" i="46" l="1"/>
  <c r="D119" i="46"/>
  <c r="D120" i="46"/>
  <c r="D118" i="46"/>
  <c r="W118" i="46"/>
  <c r="O118" i="46"/>
  <c r="I118" i="46"/>
  <c r="I120" i="46"/>
  <c r="O120" i="46"/>
  <c r="W120" i="46"/>
  <c r="I119" i="46"/>
  <c r="O119" i="46"/>
  <c r="W119" i="46"/>
  <c r="D115" i="46" l="1"/>
  <c r="D116" i="46"/>
  <c r="D117" i="46"/>
  <c r="I115" i="46"/>
  <c r="O115" i="46"/>
  <c r="W115" i="46"/>
  <c r="I116" i="46"/>
  <c r="O116" i="46"/>
  <c r="W116" i="46"/>
  <c r="I117" i="46"/>
  <c r="O117" i="46"/>
  <c r="W117" i="46"/>
  <c r="D110" i="46" l="1"/>
  <c r="D111" i="46"/>
  <c r="D112" i="46"/>
  <c r="D113" i="46"/>
  <c r="D114" i="46"/>
  <c r="D109" i="46" l="1"/>
  <c r="S133" i="46"/>
  <c r="E133" i="46"/>
  <c r="S132" i="46"/>
  <c r="E132" i="46"/>
  <c r="I109" i="46"/>
  <c r="O109" i="46"/>
  <c r="W109" i="46"/>
  <c r="I110" i="46"/>
  <c r="O110" i="46"/>
  <c r="W110" i="46"/>
  <c r="I111" i="46"/>
  <c r="O111" i="46"/>
  <c r="W111" i="46"/>
  <c r="I112" i="46"/>
  <c r="O112" i="46"/>
  <c r="W112" i="46"/>
  <c r="I113" i="46"/>
  <c r="O113" i="46"/>
  <c r="W113" i="46"/>
  <c r="D103" i="46" l="1"/>
  <c r="D104" i="46"/>
  <c r="D105" i="46"/>
  <c r="D106" i="46"/>
  <c r="D107" i="46"/>
  <c r="D108" i="46"/>
  <c r="I106" i="46"/>
  <c r="O106" i="46"/>
  <c r="W106" i="46"/>
  <c r="I108" i="46"/>
  <c r="O108" i="46"/>
  <c r="W108" i="46"/>
  <c r="I107" i="46"/>
  <c r="O107" i="46"/>
  <c r="W107" i="46"/>
  <c r="I105" i="46"/>
  <c r="O105" i="46"/>
  <c r="W105" i="46"/>
  <c r="I104" i="46"/>
  <c r="O104" i="46"/>
  <c r="W104" i="46"/>
  <c r="I103" i="46"/>
  <c r="O103" i="46"/>
  <c r="W103" i="46"/>
  <c r="D98" i="46" l="1"/>
  <c r="D99" i="46"/>
  <c r="D100" i="46"/>
  <c r="D101" i="46"/>
  <c r="D102" i="46"/>
  <c r="D96" i="46"/>
  <c r="D97" i="46"/>
  <c r="I98" i="46"/>
  <c r="O98" i="46"/>
  <c r="W98" i="46"/>
  <c r="Y98" i="46" s="1"/>
  <c r="I97" i="46"/>
  <c r="O97" i="46"/>
  <c r="W97" i="46"/>
  <c r="Y97" i="46" s="1"/>
  <c r="I99" i="46"/>
  <c r="O99" i="46"/>
  <c r="W99" i="46"/>
  <c r="Y99" i="46" s="1"/>
  <c r="D95" i="46" l="1"/>
  <c r="I95" i="46"/>
  <c r="O95" i="46"/>
  <c r="W95" i="46"/>
  <c r="I96" i="46"/>
  <c r="O96" i="46"/>
  <c r="W96" i="46"/>
  <c r="I100" i="46"/>
  <c r="O100" i="46"/>
  <c r="W100" i="46"/>
  <c r="I101" i="46"/>
  <c r="O101" i="46"/>
  <c r="W101" i="46"/>
  <c r="D94" i="46" l="1"/>
  <c r="O94" i="46" l="1"/>
  <c r="O93" i="46"/>
  <c r="O102" i="46"/>
  <c r="O114" i="46"/>
  <c r="D88" i="46" l="1"/>
  <c r="D89" i="46"/>
  <c r="D90" i="46"/>
  <c r="D91" i="46"/>
  <c r="D92" i="46"/>
  <c r="D93" i="46"/>
  <c r="I91" i="46"/>
  <c r="O91" i="46"/>
  <c r="W91" i="46"/>
  <c r="I89" i="46"/>
  <c r="O89" i="46"/>
  <c r="W89" i="46"/>
  <c r="I88" i="46"/>
  <c r="O88" i="46"/>
  <c r="W88" i="46"/>
  <c r="I90" i="46"/>
  <c r="O90" i="46"/>
  <c r="W90" i="46"/>
  <c r="I92" i="46"/>
  <c r="O92" i="46"/>
  <c r="W92" i="46"/>
  <c r="I93" i="46"/>
  <c r="W93" i="46"/>
  <c r="W45" i="46" l="1"/>
  <c r="O45" i="46"/>
  <c r="I45" i="46"/>
  <c r="D45" i="46"/>
  <c r="W44" i="46"/>
  <c r="O44" i="46"/>
  <c r="I44" i="46"/>
  <c r="D44" i="46"/>
  <c r="D41" i="46" l="1"/>
  <c r="D40" i="46"/>
  <c r="D85" i="45" l="1"/>
  <c r="D87" i="46"/>
  <c r="D129" i="46" s="1"/>
  <c r="L129" i="46" s="1"/>
  <c r="D86" i="46"/>
  <c r="D85" i="46"/>
  <c r="D84" i="46"/>
  <c r="D83" i="46"/>
  <c r="D82" i="46"/>
  <c r="D81" i="46"/>
  <c r="D80" i="46"/>
  <c r="D79" i="46"/>
  <c r="D78" i="46"/>
  <c r="D77" i="46"/>
  <c r="D76" i="46"/>
  <c r="D75" i="46"/>
  <c r="D74" i="46"/>
  <c r="D73" i="46"/>
  <c r="D72" i="46"/>
  <c r="D71" i="46"/>
  <c r="D70" i="46"/>
  <c r="D69" i="46"/>
  <c r="D68" i="46"/>
  <c r="D67" i="46"/>
  <c r="D66" i="46"/>
  <c r="D65" i="46"/>
  <c r="D64" i="46"/>
  <c r="D63" i="46"/>
  <c r="D62" i="46"/>
  <c r="D61" i="46"/>
  <c r="D60" i="46"/>
  <c r="D59" i="46"/>
  <c r="D58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3" i="46"/>
  <c r="D42" i="46"/>
  <c r="D39" i="46"/>
  <c r="D38" i="46"/>
  <c r="D37" i="46"/>
  <c r="D36" i="46"/>
  <c r="D35" i="46"/>
  <c r="D34" i="46"/>
  <c r="D33" i="46"/>
  <c r="D32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90" i="45"/>
  <c r="D89" i="45"/>
  <c r="D88" i="45"/>
  <c r="D87" i="45"/>
  <c r="D86" i="45"/>
  <c r="AK6" i="46"/>
  <c r="AK7" i="46" s="1"/>
  <c r="AK8" i="46" s="1"/>
  <c r="AK9" i="46" s="1"/>
  <c r="AK10" i="46" s="1"/>
  <c r="AK11" i="46" s="1"/>
  <c r="AK12" i="46" s="1"/>
  <c r="AK13" i="46" s="1"/>
  <c r="AK14" i="46" s="1"/>
  <c r="AK15" i="46" s="1"/>
  <c r="AK16" i="46" s="1"/>
  <c r="AK17" i="46" s="1"/>
  <c r="AK18" i="46" s="1"/>
  <c r="AK19" i="46" s="1"/>
  <c r="AK20" i="46" s="1"/>
  <c r="AK21" i="46" s="1"/>
  <c r="AK22" i="46" s="1"/>
  <c r="AK23" i="46" s="1"/>
  <c r="AK24" i="46" s="1"/>
  <c r="AK25" i="46" s="1"/>
  <c r="AK26" i="46" s="1"/>
  <c r="AK27" i="46" s="1"/>
  <c r="AK28" i="46" s="1"/>
  <c r="AK29" i="46" s="1"/>
  <c r="AK30" i="46" s="1"/>
  <c r="AK31" i="46" s="1"/>
  <c r="AK32" i="46" s="1"/>
  <c r="AK33" i="46" s="1"/>
  <c r="AK34" i="46" s="1"/>
  <c r="AK35" i="46" s="1"/>
  <c r="AK36" i="46" s="1"/>
  <c r="AK37" i="46" s="1"/>
  <c r="AK38" i="46" s="1"/>
  <c r="AK39" i="46" s="1"/>
  <c r="AK40" i="46" s="1"/>
  <c r="AK41" i="46" s="1"/>
  <c r="AK42" i="46" s="1"/>
  <c r="AK43" i="46" s="1"/>
  <c r="AH6" i="46"/>
  <c r="AH7" i="46" s="1"/>
  <c r="AH8" i="46" s="1"/>
  <c r="AH9" i="46" s="1"/>
  <c r="AH10" i="46" s="1"/>
  <c r="AH11" i="46" s="1"/>
  <c r="AH12" i="46" s="1"/>
  <c r="AH13" i="46" s="1"/>
  <c r="AH14" i="46" s="1"/>
  <c r="AH15" i="46" s="1"/>
  <c r="AH16" i="46" s="1"/>
  <c r="AH17" i="46" s="1"/>
  <c r="AH18" i="46" s="1"/>
  <c r="AH19" i="46" s="1"/>
  <c r="AH20" i="46" s="1"/>
  <c r="AH21" i="46" s="1"/>
  <c r="AH22" i="46" s="1"/>
  <c r="AH23" i="46" s="1"/>
  <c r="AH24" i="46" s="1"/>
  <c r="AH25" i="46" s="1"/>
  <c r="AH26" i="46" s="1"/>
  <c r="AH27" i="46" s="1"/>
  <c r="AH28" i="46" s="1"/>
  <c r="AH29" i="46" s="1"/>
  <c r="AH30" i="46" s="1"/>
  <c r="AH31" i="46" s="1"/>
  <c r="AH32" i="46" s="1"/>
  <c r="AH33" i="46" s="1"/>
  <c r="AH34" i="46" s="1"/>
  <c r="AH35" i="46" s="1"/>
  <c r="AH36" i="46" s="1"/>
  <c r="AH37" i="46" s="1"/>
  <c r="AH38" i="46" s="1"/>
  <c r="AH39" i="46" s="1"/>
  <c r="AH40" i="46" s="1"/>
  <c r="AH41" i="46" s="1"/>
  <c r="AH42" i="46" s="1"/>
  <c r="AH43" i="46" s="1"/>
  <c r="AE6" i="46"/>
  <c r="AE7" i="46" s="1"/>
  <c r="AE8" i="46" s="1"/>
  <c r="AE9" i="46" s="1"/>
  <c r="AE10" i="46" s="1"/>
  <c r="AE11" i="46" s="1"/>
  <c r="AE12" i="46" s="1"/>
  <c r="AE13" i="46" s="1"/>
  <c r="AE14" i="46" s="1"/>
  <c r="AE15" i="46" s="1"/>
  <c r="AE16" i="46" s="1"/>
  <c r="AE17" i="46" s="1"/>
  <c r="AE18" i="46" s="1"/>
  <c r="AE19" i="46" s="1"/>
  <c r="AE20" i="46" s="1"/>
  <c r="AE21" i="46" s="1"/>
  <c r="AE22" i="46" s="1"/>
  <c r="AE23" i="46" s="1"/>
  <c r="AE24" i="46" s="1"/>
  <c r="AE25" i="46" s="1"/>
  <c r="AE26" i="46" s="1"/>
  <c r="AE27" i="46" s="1"/>
  <c r="AE28" i="46" s="1"/>
  <c r="AE29" i="46" s="1"/>
  <c r="AE30" i="46" s="1"/>
  <c r="AE31" i="46" s="1"/>
  <c r="AE32" i="46" s="1"/>
  <c r="AE33" i="46" s="1"/>
  <c r="AE34" i="46" s="1"/>
  <c r="AE35" i="46" s="1"/>
  <c r="AE36" i="46" s="1"/>
  <c r="AE37" i="46" s="1"/>
  <c r="AE38" i="46" s="1"/>
  <c r="AE39" i="46" s="1"/>
  <c r="AE40" i="46" s="1"/>
  <c r="AE41" i="46" s="1"/>
  <c r="AE42" i="46" s="1"/>
  <c r="AE43" i="46" s="1"/>
  <c r="AB6" i="46"/>
  <c r="AB7" i="46" s="1"/>
  <c r="AB8" i="46" s="1"/>
  <c r="AB9" i="46" s="1"/>
  <c r="AB10" i="46" s="1"/>
  <c r="AB11" i="46" s="1"/>
  <c r="AB12" i="46" s="1"/>
  <c r="AB13" i="46" s="1"/>
  <c r="AB14" i="46" s="1"/>
  <c r="AB15" i="46" s="1"/>
  <c r="AB16" i="46" s="1"/>
  <c r="AB17" i="46" s="1"/>
  <c r="AB18" i="46" s="1"/>
  <c r="AB19" i="46" s="1"/>
  <c r="AB20" i="46" s="1"/>
  <c r="AB21" i="46" s="1"/>
  <c r="AB22" i="46" s="1"/>
  <c r="AB23" i="46" s="1"/>
  <c r="AB24" i="46" s="1"/>
  <c r="AB25" i="46" s="1"/>
  <c r="AB26" i="46" s="1"/>
  <c r="AB27" i="46" s="1"/>
  <c r="AB28" i="46" s="1"/>
  <c r="AB29" i="46" s="1"/>
  <c r="AB30" i="46" s="1"/>
  <c r="AB31" i="46" s="1"/>
  <c r="AB32" i="46" s="1"/>
  <c r="AB33" i="46" s="1"/>
  <c r="AB34" i="46" s="1"/>
  <c r="AB35" i="46" s="1"/>
  <c r="AB36" i="46" s="1"/>
  <c r="AB37" i="46" s="1"/>
  <c r="AB38" i="46" s="1"/>
  <c r="AB39" i="46" s="1"/>
  <c r="AB40" i="46" s="1"/>
  <c r="AB41" i="46" s="1"/>
  <c r="AB42" i="46" s="1"/>
  <c r="AB43" i="46" s="1"/>
  <c r="W8" i="46"/>
  <c r="O8" i="46"/>
  <c r="I8" i="46"/>
  <c r="D8" i="46"/>
  <c r="W7" i="46"/>
  <c r="O7" i="46"/>
  <c r="I7" i="46"/>
  <c r="D7" i="46"/>
  <c r="W6" i="46"/>
  <c r="Y6" i="46" s="1"/>
  <c r="O6" i="46"/>
  <c r="Q6" i="46" s="1"/>
  <c r="I6" i="46"/>
  <c r="K132" i="46"/>
  <c r="S131" i="46"/>
  <c r="E131" i="46"/>
  <c r="S130" i="46"/>
  <c r="W114" i="46"/>
  <c r="I114" i="46"/>
  <c r="W102" i="46"/>
  <c r="I102" i="46"/>
  <c r="W94" i="46"/>
  <c r="I94" i="46"/>
  <c r="W87" i="46"/>
  <c r="O87" i="46"/>
  <c r="I87" i="46"/>
  <c r="W86" i="46"/>
  <c r="O86" i="46"/>
  <c r="I86" i="46"/>
  <c r="W85" i="46"/>
  <c r="O85" i="46"/>
  <c r="I85" i="46"/>
  <c r="W84" i="46"/>
  <c r="O84" i="46"/>
  <c r="I84" i="46"/>
  <c r="W83" i="46"/>
  <c r="O83" i="46"/>
  <c r="I83" i="46"/>
  <c r="W82" i="46"/>
  <c r="O82" i="46"/>
  <c r="I82" i="46"/>
  <c r="W81" i="46"/>
  <c r="O81" i="46"/>
  <c r="I81" i="46"/>
  <c r="W80" i="46"/>
  <c r="O80" i="46"/>
  <c r="I80" i="46"/>
  <c r="W79" i="46"/>
  <c r="O79" i="46"/>
  <c r="I79" i="46"/>
  <c r="W78" i="46"/>
  <c r="O78" i="46"/>
  <c r="I78" i="46"/>
  <c r="W77" i="46"/>
  <c r="O77" i="46"/>
  <c r="I77" i="46"/>
  <c r="W76" i="46"/>
  <c r="O76" i="46"/>
  <c r="I76" i="46"/>
  <c r="W75" i="46"/>
  <c r="O75" i="46"/>
  <c r="I75" i="46"/>
  <c r="W74" i="46"/>
  <c r="O74" i="46"/>
  <c r="I74" i="46"/>
  <c r="W73" i="46"/>
  <c r="O73" i="46"/>
  <c r="I73" i="46"/>
  <c r="W72" i="46"/>
  <c r="O72" i="46"/>
  <c r="I72" i="46"/>
  <c r="W71" i="46"/>
  <c r="O71" i="46"/>
  <c r="I71" i="46"/>
  <c r="W70" i="46"/>
  <c r="O70" i="46"/>
  <c r="I70" i="46"/>
  <c r="W69" i="46"/>
  <c r="O69" i="46"/>
  <c r="I69" i="46"/>
  <c r="W68" i="46"/>
  <c r="O68" i="46"/>
  <c r="I68" i="46"/>
  <c r="W67" i="46"/>
  <c r="O67" i="46"/>
  <c r="I67" i="46"/>
  <c r="W66" i="46"/>
  <c r="O66" i="46"/>
  <c r="I66" i="46"/>
  <c r="W65" i="46"/>
  <c r="O65" i="46"/>
  <c r="I65" i="46"/>
  <c r="W64" i="46"/>
  <c r="O64" i="46"/>
  <c r="I64" i="46"/>
  <c r="W63" i="46"/>
  <c r="O63" i="46"/>
  <c r="I63" i="46"/>
  <c r="W62" i="46"/>
  <c r="O62" i="46"/>
  <c r="I62" i="46"/>
  <c r="W61" i="46"/>
  <c r="O61" i="46"/>
  <c r="I61" i="46"/>
  <c r="W60" i="46"/>
  <c r="O60" i="46"/>
  <c r="I60" i="46"/>
  <c r="W59" i="46"/>
  <c r="O59" i="46"/>
  <c r="I59" i="46"/>
  <c r="W58" i="46"/>
  <c r="O58" i="46"/>
  <c r="I58" i="46"/>
  <c r="W57" i="46"/>
  <c r="O57" i="46"/>
  <c r="I57" i="46"/>
  <c r="W56" i="46"/>
  <c r="O56" i="46"/>
  <c r="I56" i="46"/>
  <c r="W55" i="46"/>
  <c r="O55" i="46"/>
  <c r="I55" i="46"/>
  <c r="W54" i="46"/>
  <c r="O54" i="46"/>
  <c r="I54" i="46"/>
  <c r="W53" i="46"/>
  <c r="O53" i="46"/>
  <c r="I53" i="46"/>
  <c r="W52" i="46"/>
  <c r="O52" i="46"/>
  <c r="I52" i="46"/>
  <c r="W51" i="46"/>
  <c r="O51" i="46"/>
  <c r="I51" i="46"/>
  <c r="W50" i="46"/>
  <c r="O50" i="46"/>
  <c r="I50" i="46"/>
  <c r="W49" i="46"/>
  <c r="O49" i="46"/>
  <c r="I49" i="46"/>
  <c r="W48" i="46"/>
  <c r="O48" i="46"/>
  <c r="I48" i="46"/>
  <c r="W47" i="46"/>
  <c r="O47" i="46"/>
  <c r="I47" i="46"/>
  <c r="W46" i="46"/>
  <c r="O46" i="46"/>
  <c r="I46" i="46"/>
  <c r="W43" i="46"/>
  <c r="O43" i="46"/>
  <c r="I43" i="46"/>
  <c r="W42" i="46"/>
  <c r="O42" i="46"/>
  <c r="I42" i="46"/>
  <c r="W41" i="46"/>
  <c r="O41" i="46"/>
  <c r="I41" i="46"/>
  <c r="W40" i="46"/>
  <c r="O40" i="46"/>
  <c r="I40" i="46"/>
  <c r="W39" i="46"/>
  <c r="O39" i="46"/>
  <c r="I39" i="46"/>
  <c r="W38" i="46"/>
  <c r="O38" i="46"/>
  <c r="I38" i="46"/>
  <c r="W37" i="46"/>
  <c r="O37" i="46"/>
  <c r="I37" i="46"/>
  <c r="W36" i="46"/>
  <c r="O36" i="46"/>
  <c r="I36" i="46"/>
  <c r="W35" i="46"/>
  <c r="O35" i="46"/>
  <c r="I35" i="46"/>
  <c r="W34" i="46"/>
  <c r="O34" i="46"/>
  <c r="I34" i="46"/>
  <c r="W33" i="46"/>
  <c r="O33" i="46"/>
  <c r="I33" i="46"/>
  <c r="W32" i="46"/>
  <c r="O32" i="46"/>
  <c r="I32" i="46"/>
  <c r="W31" i="46"/>
  <c r="O31" i="46"/>
  <c r="I31" i="46"/>
  <c r="W30" i="46"/>
  <c r="O30" i="46"/>
  <c r="I30" i="46"/>
  <c r="W29" i="46"/>
  <c r="O29" i="46"/>
  <c r="I29" i="46"/>
  <c r="W28" i="46"/>
  <c r="O28" i="46"/>
  <c r="I28" i="46"/>
  <c r="W27" i="46"/>
  <c r="O27" i="46"/>
  <c r="I27" i="46"/>
  <c r="W26" i="46"/>
  <c r="O26" i="46"/>
  <c r="I26" i="46"/>
  <c r="W25" i="46"/>
  <c r="O25" i="46"/>
  <c r="I25" i="46"/>
  <c r="W24" i="46"/>
  <c r="O24" i="46"/>
  <c r="I24" i="46"/>
  <c r="W23" i="46"/>
  <c r="O23" i="46"/>
  <c r="I23" i="46"/>
  <c r="W22" i="46"/>
  <c r="O22" i="46"/>
  <c r="I22" i="46"/>
  <c r="W21" i="46"/>
  <c r="O21" i="46"/>
  <c r="I21" i="46"/>
  <c r="W20" i="46"/>
  <c r="O20" i="46"/>
  <c r="I20" i="46"/>
  <c r="W19" i="46"/>
  <c r="O19" i="46"/>
  <c r="I19" i="46"/>
  <c r="W18" i="46"/>
  <c r="O18" i="46"/>
  <c r="I18" i="46"/>
  <c r="W17" i="46"/>
  <c r="O17" i="46"/>
  <c r="I17" i="46"/>
  <c r="W16" i="46"/>
  <c r="O16" i="46"/>
  <c r="I16" i="46"/>
  <c r="W15" i="46"/>
  <c r="O15" i="46"/>
  <c r="I15" i="46"/>
  <c r="W14" i="46"/>
  <c r="O14" i="46"/>
  <c r="I14" i="46"/>
  <c r="W13" i="46"/>
  <c r="O13" i="46"/>
  <c r="I13" i="46"/>
  <c r="W12" i="46"/>
  <c r="O12" i="46"/>
  <c r="I12" i="46"/>
  <c r="W11" i="46"/>
  <c r="O11" i="46"/>
  <c r="I11" i="46"/>
  <c r="W10" i="46"/>
  <c r="O10" i="46"/>
  <c r="I10" i="46"/>
  <c r="W9" i="46"/>
  <c r="O9" i="46"/>
  <c r="I9" i="46"/>
  <c r="D130" i="46" l="1"/>
  <c r="D136" i="46"/>
  <c r="L136" i="46" s="1"/>
  <c r="M136" i="46" s="1"/>
  <c r="D132" i="46"/>
  <c r="N132" i="46" s="1"/>
  <c r="D134" i="46"/>
  <c r="D135" i="46"/>
  <c r="L135" i="46" s="1"/>
  <c r="M135" i="46" s="1"/>
  <c r="Q7" i="46"/>
  <c r="Q8" i="46" s="1"/>
  <c r="Q9" i="46" s="1"/>
  <c r="Q10" i="46" s="1"/>
  <c r="Q11" i="46" s="1"/>
  <c r="Q12" i="46" s="1"/>
  <c r="Q13" i="46" s="1"/>
  <c r="Q14" i="46" s="1"/>
  <c r="Q15" i="46" s="1"/>
  <c r="Q16" i="46" s="1"/>
  <c r="Q17" i="46" s="1"/>
  <c r="Q18" i="46" s="1"/>
  <c r="Q19" i="46" s="1"/>
  <c r="Q20" i="46" s="1"/>
  <c r="Q21" i="46" s="1"/>
  <c r="Q22" i="46" s="1"/>
  <c r="Q23" i="46" s="1"/>
  <c r="Q24" i="46" s="1"/>
  <c r="Q25" i="46" s="1"/>
  <c r="Q26" i="46" s="1"/>
  <c r="Q27" i="46" s="1"/>
  <c r="Q28" i="46" s="1"/>
  <c r="Q29" i="46" s="1"/>
  <c r="Q30" i="46" s="1"/>
  <c r="Q31" i="46" s="1"/>
  <c r="Q32" i="46" s="1"/>
  <c r="Q33" i="46" s="1"/>
  <c r="Q34" i="46" s="1"/>
  <c r="Q35" i="46" s="1"/>
  <c r="Q36" i="46" s="1"/>
  <c r="Q37" i="46" s="1"/>
  <c r="Q38" i="46" s="1"/>
  <c r="Q39" i="46" s="1"/>
  <c r="Q40" i="46" s="1"/>
  <c r="Q41" i="46" s="1"/>
  <c r="Q42" i="46" s="1"/>
  <c r="Q43" i="46" s="1"/>
  <c r="AK44" i="46"/>
  <c r="AK45" i="46" s="1"/>
  <c r="AK46" i="46" s="1"/>
  <c r="AK47" i="46" s="1"/>
  <c r="AK48" i="46" s="1"/>
  <c r="AK49" i="46" s="1"/>
  <c r="AK50" i="46" s="1"/>
  <c r="AK51" i="46" s="1"/>
  <c r="AK52" i="46" s="1"/>
  <c r="AK53" i="46" s="1"/>
  <c r="AK54" i="46" s="1"/>
  <c r="AK55" i="46" s="1"/>
  <c r="AK56" i="46" s="1"/>
  <c r="AK57" i="46" s="1"/>
  <c r="AK58" i="46" s="1"/>
  <c r="AK59" i="46" s="1"/>
  <c r="AK60" i="46" s="1"/>
  <c r="AK61" i="46" s="1"/>
  <c r="AK62" i="46" s="1"/>
  <c r="AK63" i="46" s="1"/>
  <c r="AK64" i="46" s="1"/>
  <c r="AK65" i="46" s="1"/>
  <c r="AK66" i="46" s="1"/>
  <c r="AK67" i="46" s="1"/>
  <c r="AK68" i="46" s="1"/>
  <c r="AK69" i="46" s="1"/>
  <c r="AK70" i="46" s="1"/>
  <c r="AK71" i="46" s="1"/>
  <c r="AK72" i="46" s="1"/>
  <c r="AK73" i="46" s="1"/>
  <c r="AK74" i="46" s="1"/>
  <c r="AK75" i="46" s="1"/>
  <c r="AK76" i="46" s="1"/>
  <c r="AK77" i="46" s="1"/>
  <c r="AK78" i="46" s="1"/>
  <c r="AK79" i="46" s="1"/>
  <c r="AK80" i="46" s="1"/>
  <c r="AK81" i="46" s="1"/>
  <c r="AK82" i="46" s="1"/>
  <c r="AK83" i="46" s="1"/>
  <c r="AK84" i="46" s="1"/>
  <c r="AK85" i="46" s="1"/>
  <c r="AK86" i="46" s="1"/>
  <c r="AK87" i="46" s="1"/>
  <c r="AK88" i="46" s="1"/>
  <c r="AK89" i="46" s="1"/>
  <c r="AK90" i="46" s="1"/>
  <c r="AK91" i="46" s="1"/>
  <c r="AK92" i="46" s="1"/>
  <c r="AK93" i="46" s="1"/>
  <c r="AK94" i="46" s="1"/>
  <c r="AK95" i="46" s="1"/>
  <c r="AK96" i="46" s="1"/>
  <c r="AK97" i="46" s="1"/>
  <c r="AK98" i="46" s="1"/>
  <c r="AK99" i="46" s="1"/>
  <c r="AK100" i="46" s="1"/>
  <c r="AK101" i="46" s="1"/>
  <c r="AK102" i="46" s="1"/>
  <c r="AK103" i="46" s="1"/>
  <c r="AK104" i="46" s="1"/>
  <c r="AK105" i="46" s="1"/>
  <c r="AK106" i="46" s="1"/>
  <c r="AK107" i="46" s="1"/>
  <c r="AK108" i="46" s="1"/>
  <c r="AK109" i="46" s="1"/>
  <c r="AK110" i="46" s="1"/>
  <c r="AK111" i="46" s="1"/>
  <c r="AK112" i="46" s="1"/>
  <c r="AK113" i="46" s="1"/>
  <c r="AK114" i="46" s="1"/>
  <c r="AK115" i="46" s="1"/>
  <c r="AK116" i="46" s="1"/>
  <c r="AK117" i="46" s="1"/>
  <c r="AK118" i="46" s="1"/>
  <c r="AK119" i="46" s="1"/>
  <c r="AK120" i="46" s="1"/>
  <c r="AK121" i="46" s="1"/>
  <c r="AH44" i="46"/>
  <c r="AH45" i="46" s="1"/>
  <c r="AH46" i="46" s="1"/>
  <c r="AH47" i="46" s="1"/>
  <c r="AH48" i="46" s="1"/>
  <c r="AH49" i="46" s="1"/>
  <c r="AH50" i="46" s="1"/>
  <c r="AH51" i="46" s="1"/>
  <c r="AH52" i="46" s="1"/>
  <c r="AH53" i="46" s="1"/>
  <c r="AH54" i="46" s="1"/>
  <c r="AH55" i="46" s="1"/>
  <c r="AH56" i="46" s="1"/>
  <c r="AH57" i="46" s="1"/>
  <c r="AH58" i="46" s="1"/>
  <c r="AH59" i="46" s="1"/>
  <c r="AH60" i="46" s="1"/>
  <c r="AH61" i="46" s="1"/>
  <c r="AH62" i="46" s="1"/>
  <c r="AH63" i="46" s="1"/>
  <c r="AH64" i="46" s="1"/>
  <c r="AH65" i="46" s="1"/>
  <c r="AH66" i="46" s="1"/>
  <c r="AH67" i="46" s="1"/>
  <c r="AH68" i="46" s="1"/>
  <c r="AH69" i="46" s="1"/>
  <c r="AH70" i="46" s="1"/>
  <c r="AH71" i="46" s="1"/>
  <c r="AH72" i="46" s="1"/>
  <c r="AH73" i="46" s="1"/>
  <c r="AH74" i="46" s="1"/>
  <c r="AH75" i="46" s="1"/>
  <c r="AH76" i="46" s="1"/>
  <c r="AH77" i="46" s="1"/>
  <c r="AH78" i="46" s="1"/>
  <c r="AH79" i="46" s="1"/>
  <c r="AH80" i="46" s="1"/>
  <c r="AH81" i="46" s="1"/>
  <c r="AH82" i="46" s="1"/>
  <c r="AH83" i="46" s="1"/>
  <c r="AH84" i="46" s="1"/>
  <c r="AH85" i="46" s="1"/>
  <c r="AH86" i="46" s="1"/>
  <c r="AH87" i="46" s="1"/>
  <c r="AH88" i="46" s="1"/>
  <c r="AH89" i="46" s="1"/>
  <c r="AH90" i="46" s="1"/>
  <c r="AH91" i="46" s="1"/>
  <c r="AH92" i="46" s="1"/>
  <c r="AH93" i="46" s="1"/>
  <c r="AH94" i="46" s="1"/>
  <c r="AH95" i="46" s="1"/>
  <c r="AH96" i="46" s="1"/>
  <c r="AH97" i="46" s="1"/>
  <c r="AH98" i="46" s="1"/>
  <c r="AH99" i="46" s="1"/>
  <c r="AH100" i="46" s="1"/>
  <c r="AH101" i="46" s="1"/>
  <c r="AH102" i="46" s="1"/>
  <c r="AH103" i="46" s="1"/>
  <c r="AH104" i="46" s="1"/>
  <c r="AH105" i="46" s="1"/>
  <c r="AH106" i="46" s="1"/>
  <c r="AH107" i="46" s="1"/>
  <c r="AH108" i="46" s="1"/>
  <c r="AH109" i="46" s="1"/>
  <c r="AH110" i="46" s="1"/>
  <c r="AH111" i="46" s="1"/>
  <c r="AH112" i="46" s="1"/>
  <c r="AH113" i="46" s="1"/>
  <c r="AH114" i="46" s="1"/>
  <c r="AH115" i="46" s="1"/>
  <c r="AH116" i="46" s="1"/>
  <c r="AH117" i="46" s="1"/>
  <c r="AH118" i="46" s="1"/>
  <c r="AH119" i="46" s="1"/>
  <c r="AH120" i="46" s="1"/>
  <c r="AH121" i="46" s="1"/>
  <c r="AB44" i="46"/>
  <c r="AB45" i="46" s="1"/>
  <c r="AB46" i="46" s="1"/>
  <c r="AB47" i="46" s="1"/>
  <c r="AB48" i="46" s="1"/>
  <c r="AB49" i="46" s="1"/>
  <c r="AB50" i="46" s="1"/>
  <c r="AB51" i="46" s="1"/>
  <c r="AB52" i="46" s="1"/>
  <c r="AB53" i="46" s="1"/>
  <c r="AB54" i="46" s="1"/>
  <c r="AB55" i="46" s="1"/>
  <c r="AB56" i="46" s="1"/>
  <c r="AB57" i="46" s="1"/>
  <c r="AB58" i="46" s="1"/>
  <c r="AB59" i="46" s="1"/>
  <c r="AB60" i="46" s="1"/>
  <c r="AB61" i="46" s="1"/>
  <c r="AB62" i="46" s="1"/>
  <c r="AB63" i="46" s="1"/>
  <c r="AB64" i="46" s="1"/>
  <c r="AB65" i="46" s="1"/>
  <c r="AB66" i="46" s="1"/>
  <c r="AB67" i="46" s="1"/>
  <c r="AB68" i="46" s="1"/>
  <c r="AB69" i="46" s="1"/>
  <c r="AB70" i="46" s="1"/>
  <c r="AB71" i="46" s="1"/>
  <c r="AB72" i="46" s="1"/>
  <c r="AB73" i="46" s="1"/>
  <c r="AB74" i="46" s="1"/>
  <c r="AB75" i="46" s="1"/>
  <c r="AB76" i="46" s="1"/>
  <c r="AB77" i="46" s="1"/>
  <c r="AB78" i="46" s="1"/>
  <c r="AB79" i="46" s="1"/>
  <c r="AB80" i="46" s="1"/>
  <c r="AB81" i="46" s="1"/>
  <c r="AB82" i="46" s="1"/>
  <c r="AB83" i="46" s="1"/>
  <c r="AB84" i="46" s="1"/>
  <c r="AB85" i="46" s="1"/>
  <c r="AB86" i="46" s="1"/>
  <c r="AB87" i="46" s="1"/>
  <c r="AB88" i="46" s="1"/>
  <c r="AB89" i="46" s="1"/>
  <c r="AB90" i="46" s="1"/>
  <c r="AB91" i="46" s="1"/>
  <c r="AB92" i="46" s="1"/>
  <c r="AB93" i="46" s="1"/>
  <c r="AB94" i="46" s="1"/>
  <c r="AB95" i="46" s="1"/>
  <c r="AB96" i="46" s="1"/>
  <c r="AB97" i="46" s="1"/>
  <c r="AB98" i="46" s="1"/>
  <c r="AB99" i="46" s="1"/>
  <c r="AB100" i="46" s="1"/>
  <c r="AB101" i="46" s="1"/>
  <c r="AB102" i="46" s="1"/>
  <c r="AB103" i="46" s="1"/>
  <c r="AB104" i="46" s="1"/>
  <c r="AB105" i="46" s="1"/>
  <c r="AB106" i="46" s="1"/>
  <c r="AB107" i="46" s="1"/>
  <c r="AB108" i="46" s="1"/>
  <c r="AB109" i="46" s="1"/>
  <c r="AB110" i="46" s="1"/>
  <c r="AB111" i="46" s="1"/>
  <c r="AB112" i="46" s="1"/>
  <c r="AB113" i="46" s="1"/>
  <c r="AB114" i="46" s="1"/>
  <c r="AB115" i="46" s="1"/>
  <c r="AB116" i="46" s="1"/>
  <c r="AB117" i="46" s="1"/>
  <c r="AB118" i="46" s="1"/>
  <c r="AB119" i="46" s="1"/>
  <c r="AB120" i="46" s="1"/>
  <c r="AB121" i="46" s="1"/>
  <c r="AE44" i="46"/>
  <c r="AE45" i="46" s="1"/>
  <c r="AE46" i="46" s="1"/>
  <c r="AE47" i="46" s="1"/>
  <c r="AE48" i="46" s="1"/>
  <c r="AE49" i="46" s="1"/>
  <c r="AE50" i="46" s="1"/>
  <c r="AE51" i="46" s="1"/>
  <c r="AE52" i="46" s="1"/>
  <c r="AE53" i="46" s="1"/>
  <c r="AE54" i="46" s="1"/>
  <c r="AE55" i="46" s="1"/>
  <c r="AE56" i="46" s="1"/>
  <c r="AE57" i="46" s="1"/>
  <c r="AE58" i="46" s="1"/>
  <c r="AE59" i="46" s="1"/>
  <c r="AE60" i="46" s="1"/>
  <c r="AE61" i="46" s="1"/>
  <c r="AE62" i="46" s="1"/>
  <c r="AE63" i="46" s="1"/>
  <c r="AE64" i="46" s="1"/>
  <c r="AE65" i="46" s="1"/>
  <c r="AE66" i="46" s="1"/>
  <c r="AE67" i="46" s="1"/>
  <c r="AE68" i="46" s="1"/>
  <c r="AE69" i="46" s="1"/>
  <c r="AE70" i="46" s="1"/>
  <c r="AE71" i="46" s="1"/>
  <c r="AE72" i="46" s="1"/>
  <c r="AE73" i="46" s="1"/>
  <c r="AE74" i="46" s="1"/>
  <c r="AE75" i="46" s="1"/>
  <c r="AE76" i="46" s="1"/>
  <c r="AE77" i="46" s="1"/>
  <c r="AE78" i="46" s="1"/>
  <c r="AE79" i="46" s="1"/>
  <c r="AE80" i="46" s="1"/>
  <c r="AE81" i="46" s="1"/>
  <c r="AE82" i="46" s="1"/>
  <c r="AE83" i="46" s="1"/>
  <c r="AE84" i="46" s="1"/>
  <c r="AE85" i="46" s="1"/>
  <c r="AE86" i="46" s="1"/>
  <c r="AE87" i="46" s="1"/>
  <c r="AE88" i="46" s="1"/>
  <c r="AE89" i="46" s="1"/>
  <c r="AE90" i="46" s="1"/>
  <c r="AE91" i="46" s="1"/>
  <c r="AE92" i="46" s="1"/>
  <c r="AE93" i="46" s="1"/>
  <c r="AE94" i="46" s="1"/>
  <c r="AE95" i="46" s="1"/>
  <c r="AE96" i="46" s="1"/>
  <c r="AE97" i="46" s="1"/>
  <c r="AE98" i="46" s="1"/>
  <c r="AE99" i="46" s="1"/>
  <c r="AE100" i="46" s="1"/>
  <c r="AE101" i="46" s="1"/>
  <c r="AE102" i="46" s="1"/>
  <c r="AE103" i="46" s="1"/>
  <c r="AE104" i="46" s="1"/>
  <c r="AE105" i="46" s="1"/>
  <c r="AE106" i="46" s="1"/>
  <c r="AE107" i="46" s="1"/>
  <c r="AE108" i="46" s="1"/>
  <c r="AE109" i="46" s="1"/>
  <c r="AE110" i="46" s="1"/>
  <c r="AE111" i="46" s="1"/>
  <c r="AE112" i="46" s="1"/>
  <c r="AE113" i="46" s="1"/>
  <c r="AE114" i="46" s="1"/>
  <c r="AE115" i="46" s="1"/>
  <c r="AE116" i="46" s="1"/>
  <c r="AE117" i="46" s="1"/>
  <c r="AE118" i="46" s="1"/>
  <c r="AE119" i="46" s="1"/>
  <c r="AE120" i="46" s="1"/>
  <c r="AE121" i="46" s="1"/>
  <c r="S138" i="46"/>
  <c r="Y7" i="46"/>
  <c r="Y8" i="46" s="1"/>
  <c r="Y9" i="46" s="1"/>
  <c r="Y10" i="46" s="1"/>
  <c r="Y11" i="46" s="1"/>
  <c r="Y12" i="46" s="1"/>
  <c r="Y13" i="46" s="1"/>
  <c r="Y14" i="46" s="1"/>
  <c r="Y15" i="46" s="1"/>
  <c r="Y16" i="46" s="1"/>
  <c r="Y17" i="46" s="1"/>
  <c r="Y18" i="46" s="1"/>
  <c r="Y19" i="46" s="1"/>
  <c r="Y20" i="46" s="1"/>
  <c r="Y21" i="46" s="1"/>
  <c r="Y22" i="46" s="1"/>
  <c r="Y23" i="46" s="1"/>
  <c r="Y24" i="46" s="1"/>
  <c r="Y25" i="46" s="1"/>
  <c r="Y26" i="46" s="1"/>
  <c r="Y27" i="46" s="1"/>
  <c r="Y28" i="46" s="1"/>
  <c r="Y29" i="46" s="1"/>
  <c r="Y30" i="46" s="1"/>
  <c r="Y31" i="46" s="1"/>
  <c r="Y32" i="46" s="1"/>
  <c r="Y33" i="46" s="1"/>
  <c r="Y34" i="46" s="1"/>
  <c r="Y35" i="46" s="1"/>
  <c r="Y36" i="46" s="1"/>
  <c r="Y37" i="46" s="1"/>
  <c r="Y38" i="46" s="1"/>
  <c r="Y39" i="46" s="1"/>
  <c r="Y40" i="46" s="1"/>
  <c r="Y41" i="46" s="1"/>
  <c r="Y42" i="46" s="1"/>
  <c r="Y43" i="46" s="1"/>
  <c r="E138" i="46"/>
  <c r="F133" i="46"/>
  <c r="I131" i="46"/>
  <c r="I133" i="46"/>
  <c r="M129" i="46"/>
  <c r="I129" i="46"/>
  <c r="L132" i="46"/>
  <c r="M132" i="46" s="1"/>
  <c r="K131" i="46"/>
  <c r="K133" i="46"/>
  <c r="D102" i="45"/>
  <c r="D100" i="45"/>
  <c r="S98" i="45"/>
  <c r="N91" i="45"/>
  <c r="H101" i="45"/>
  <c r="D138" i="46" l="1"/>
  <c r="I134" i="46"/>
  <c r="L134" i="46"/>
  <c r="M134" i="46" s="1"/>
  <c r="Q44" i="46"/>
  <c r="Q45" i="46" s="1"/>
  <c r="Q46" i="46" s="1"/>
  <c r="Q47" i="46" s="1"/>
  <c r="Q48" i="46" s="1"/>
  <c r="Q49" i="46" s="1"/>
  <c r="Q50" i="46" s="1"/>
  <c r="Q51" i="46" s="1"/>
  <c r="Q52" i="46" s="1"/>
  <c r="Q53" i="46" s="1"/>
  <c r="Q54" i="46" s="1"/>
  <c r="Q55" i="46" s="1"/>
  <c r="Q56" i="46" s="1"/>
  <c r="Q57" i="46" s="1"/>
  <c r="Q58" i="46" s="1"/>
  <c r="Q59" i="46" s="1"/>
  <c r="Q60" i="46" s="1"/>
  <c r="Q61" i="46" s="1"/>
  <c r="Q62" i="46" s="1"/>
  <c r="Q63" i="46" s="1"/>
  <c r="Q64" i="46" s="1"/>
  <c r="Q65" i="46" s="1"/>
  <c r="Q66" i="46" s="1"/>
  <c r="Q67" i="46" s="1"/>
  <c r="Q68" i="46" s="1"/>
  <c r="Q69" i="46" s="1"/>
  <c r="Q70" i="46" s="1"/>
  <c r="Q71" i="46" s="1"/>
  <c r="Q72" i="46" s="1"/>
  <c r="Q73" i="46" s="1"/>
  <c r="Q74" i="46" s="1"/>
  <c r="Q75" i="46" s="1"/>
  <c r="Q76" i="46" s="1"/>
  <c r="Q77" i="46" s="1"/>
  <c r="Q78" i="46" s="1"/>
  <c r="Q79" i="46" s="1"/>
  <c r="Q80" i="46" s="1"/>
  <c r="Q81" i="46" s="1"/>
  <c r="Q82" i="46" s="1"/>
  <c r="Q83" i="46" s="1"/>
  <c r="Q84" i="46" s="1"/>
  <c r="Q85" i="46" s="1"/>
  <c r="Q86" i="46" s="1"/>
  <c r="Q87" i="46" s="1"/>
  <c r="Q88" i="46" s="1"/>
  <c r="Q89" i="46" s="1"/>
  <c r="Q90" i="46" s="1"/>
  <c r="Q91" i="46" s="1"/>
  <c r="Q92" i="46" s="1"/>
  <c r="Q93" i="46" s="1"/>
  <c r="Q94" i="46" s="1"/>
  <c r="Q95" i="46" s="1"/>
  <c r="Q96" i="46" s="1"/>
  <c r="Q97" i="46" s="1"/>
  <c r="Q98" i="46" s="1"/>
  <c r="Q99" i="46" s="1"/>
  <c r="Q100" i="46" s="1"/>
  <c r="Q101" i="46" s="1"/>
  <c r="Q102" i="46" s="1"/>
  <c r="Q103" i="46" s="1"/>
  <c r="Q104" i="46" s="1"/>
  <c r="Q105" i="46" s="1"/>
  <c r="Q106" i="46" s="1"/>
  <c r="Q107" i="46" s="1"/>
  <c r="Q108" i="46" s="1"/>
  <c r="Q109" i="46" s="1"/>
  <c r="Q110" i="46" s="1"/>
  <c r="Q111" i="46" s="1"/>
  <c r="Q112" i="46" s="1"/>
  <c r="Q113" i="46" s="1"/>
  <c r="Q114" i="46" s="1"/>
  <c r="Q115" i="46" s="1"/>
  <c r="Q116" i="46" s="1"/>
  <c r="Q117" i="46" s="1"/>
  <c r="Q118" i="46" s="1"/>
  <c r="Q119" i="46" s="1"/>
  <c r="Q120" i="46" s="1"/>
  <c r="Q121" i="46" s="1"/>
  <c r="I136" i="46"/>
  <c r="I135" i="46"/>
  <c r="I132" i="46"/>
  <c r="F132" i="46"/>
  <c r="F138" i="46" s="1"/>
  <c r="Y44" i="46"/>
  <c r="Y45" i="46" s="1"/>
  <c r="Y46" i="46" s="1"/>
  <c r="Y47" i="46" s="1"/>
  <c r="Y48" i="46" s="1"/>
  <c r="Y49" i="46" s="1"/>
  <c r="Y50" i="46" s="1"/>
  <c r="Y51" i="46" s="1"/>
  <c r="Y52" i="46" s="1"/>
  <c r="Y53" i="46" s="1"/>
  <c r="Y54" i="46" s="1"/>
  <c r="Y55" i="46" s="1"/>
  <c r="Y56" i="46" s="1"/>
  <c r="Y57" i="46" s="1"/>
  <c r="Y58" i="46" s="1"/>
  <c r="Y59" i="46" s="1"/>
  <c r="Y60" i="46" s="1"/>
  <c r="Y61" i="46" s="1"/>
  <c r="Y62" i="46" s="1"/>
  <c r="Y63" i="46" s="1"/>
  <c r="Y64" i="46" s="1"/>
  <c r="Y65" i="46" s="1"/>
  <c r="Y66" i="46" s="1"/>
  <c r="Y67" i="46" s="1"/>
  <c r="Y68" i="46" s="1"/>
  <c r="Y69" i="46" s="1"/>
  <c r="Y70" i="46" s="1"/>
  <c r="Y71" i="46" s="1"/>
  <c r="Y72" i="46" s="1"/>
  <c r="Y73" i="46" s="1"/>
  <c r="Y74" i="46" s="1"/>
  <c r="Y75" i="46" s="1"/>
  <c r="Y76" i="46" s="1"/>
  <c r="Y77" i="46" s="1"/>
  <c r="Y78" i="46" s="1"/>
  <c r="Y79" i="46" s="1"/>
  <c r="Y80" i="46" s="1"/>
  <c r="Y81" i="46" s="1"/>
  <c r="Y82" i="46" s="1"/>
  <c r="Y83" i="46" s="1"/>
  <c r="Y84" i="46" s="1"/>
  <c r="Y85" i="46" s="1"/>
  <c r="Y86" i="46" s="1"/>
  <c r="Y87" i="46" s="1"/>
  <c r="Y88" i="46" s="1"/>
  <c r="Y89" i="46" s="1"/>
  <c r="Y90" i="46" s="1"/>
  <c r="Y91" i="46" s="1"/>
  <c r="Y92" i="46" s="1"/>
  <c r="Y93" i="46" s="1"/>
  <c r="Y94" i="46" s="1"/>
  <c r="Y95" i="46" s="1"/>
  <c r="Y96" i="46" s="1"/>
  <c r="Y100" i="46" s="1"/>
  <c r="Y101" i="46" s="1"/>
  <c r="Y102" i="46" s="1"/>
  <c r="Y103" i="46" s="1"/>
  <c r="Y104" i="46" s="1"/>
  <c r="Y105" i="46" s="1"/>
  <c r="Y106" i="46" s="1"/>
  <c r="Y107" i="46" s="1"/>
  <c r="Y108" i="46" s="1"/>
  <c r="Y109" i="46" s="1"/>
  <c r="Y110" i="46" s="1"/>
  <c r="Y111" i="46" s="1"/>
  <c r="Y112" i="46" s="1"/>
  <c r="Y113" i="46" s="1"/>
  <c r="Y114" i="46" s="1"/>
  <c r="Y115" i="46" s="1"/>
  <c r="Y116" i="46" s="1"/>
  <c r="Y117" i="46" s="1"/>
  <c r="Y118" i="46" s="1"/>
  <c r="Y119" i="46" s="1"/>
  <c r="Y120" i="46" s="1"/>
  <c r="Y121" i="46" s="1"/>
  <c r="L130" i="46"/>
  <c r="T132" i="46"/>
  <c r="T130" i="46"/>
  <c r="V129" i="46"/>
  <c r="W129" i="46" s="1"/>
  <c r="T131" i="46"/>
  <c r="T129" i="46"/>
  <c r="I130" i="46"/>
  <c r="T133" i="46"/>
  <c r="N131" i="46"/>
  <c r="L131" i="46"/>
  <c r="M131" i="46" s="1"/>
  <c r="L133" i="46"/>
  <c r="M133" i="46" s="1"/>
  <c r="N133" i="46"/>
  <c r="O82" i="45"/>
  <c r="T138" i="46" l="1"/>
  <c r="N138" i="46"/>
  <c r="M130" i="46"/>
  <c r="M138" i="46" s="1"/>
  <c r="L138" i="46"/>
  <c r="W55" i="45"/>
  <c r="O90" i="45" l="1"/>
  <c r="O89" i="45"/>
  <c r="O88" i="45"/>
  <c r="O87" i="45"/>
  <c r="O86" i="45"/>
  <c r="O85" i="45"/>
  <c r="O84" i="45"/>
  <c r="O83" i="45"/>
  <c r="O81" i="45"/>
  <c r="O80" i="45"/>
  <c r="O79" i="45"/>
  <c r="O78" i="45"/>
  <c r="O77" i="45"/>
  <c r="O76" i="45"/>
  <c r="D84" i="45"/>
  <c r="D83" i="45"/>
  <c r="D82" i="45"/>
  <c r="D81" i="45"/>
  <c r="D80" i="45"/>
  <c r="D79" i="45"/>
  <c r="D78" i="45"/>
  <c r="D77" i="45"/>
  <c r="D76" i="45"/>
  <c r="D75" i="45"/>
  <c r="I75" i="45"/>
  <c r="O75" i="45"/>
  <c r="W75" i="45"/>
  <c r="I76" i="45"/>
  <c r="W76" i="45"/>
  <c r="I77" i="45"/>
  <c r="W77" i="45"/>
  <c r="I78" i="45"/>
  <c r="W78" i="45"/>
  <c r="I79" i="45"/>
  <c r="W79" i="45"/>
  <c r="I80" i="45"/>
  <c r="W80" i="45"/>
  <c r="I81" i="45"/>
  <c r="W81" i="45"/>
  <c r="I82" i="45"/>
  <c r="W82" i="45"/>
  <c r="I83" i="45"/>
  <c r="W83" i="45"/>
  <c r="I84" i="45"/>
  <c r="W84" i="45"/>
  <c r="I85" i="45"/>
  <c r="W85" i="45"/>
  <c r="I86" i="45"/>
  <c r="W86" i="45"/>
  <c r="I87" i="45"/>
  <c r="W87" i="45"/>
  <c r="I88" i="45"/>
  <c r="W88" i="45"/>
  <c r="I89" i="45"/>
  <c r="W89" i="45"/>
  <c r="I90" i="45"/>
  <c r="W90" i="45"/>
  <c r="M91" i="45" l="1"/>
  <c r="L91" i="45"/>
  <c r="D74" i="45"/>
  <c r="D73" i="45"/>
  <c r="D72" i="45"/>
  <c r="E101" i="45"/>
  <c r="H105" i="45"/>
  <c r="H104" i="45"/>
  <c r="H103" i="45"/>
  <c r="S102" i="45"/>
  <c r="H102" i="45"/>
  <c r="E102" i="45"/>
  <c r="S101" i="45"/>
  <c r="S100" i="45"/>
  <c r="H100" i="45"/>
  <c r="E100" i="45"/>
  <c r="W74" i="45"/>
  <c r="O74" i="45"/>
  <c r="I74" i="45"/>
  <c r="O92" i="45" l="1"/>
  <c r="O58" i="45"/>
  <c r="O17" i="45" l="1"/>
  <c r="O7" i="45" l="1"/>
  <c r="O8" i="45"/>
  <c r="O9" i="45"/>
  <c r="O10" i="45"/>
  <c r="O11" i="45"/>
  <c r="O12" i="45"/>
  <c r="O13" i="45"/>
  <c r="O14" i="45"/>
  <c r="O15" i="45"/>
  <c r="O16" i="45"/>
  <c r="O18" i="45"/>
  <c r="O19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39" i="45"/>
  <c r="O40" i="45"/>
  <c r="O41" i="45"/>
  <c r="O42" i="45"/>
  <c r="O43" i="45"/>
  <c r="O44" i="45"/>
  <c r="O45" i="45"/>
  <c r="O46" i="45"/>
  <c r="O47" i="45"/>
  <c r="O48" i="45"/>
  <c r="O49" i="45"/>
  <c r="O50" i="45"/>
  <c r="O51" i="45"/>
  <c r="O52" i="45"/>
  <c r="O53" i="45"/>
  <c r="O54" i="45"/>
  <c r="O55" i="45"/>
  <c r="O56" i="45"/>
  <c r="O57" i="45"/>
  <c r="O59" i="45"/>
  <c r="O60" i="45"/>
  <c r="O61" i="45"/>
  <c r="O62" i="45"/>
  <c r="O63" i="45"/>
  <c r="O64" i="45"/>
  <c r="O65" i="45"/>
  <c r="O66" i="45"/>
  <c r="O67" i="45"/>
  <c r="O68" i="45"/>
  <c r="O69" i="45"/>
  <c r="O70" i="45"/>
  <c r="O71" i="45"/>
  <c r="O72" i="45"/>
  <c r="O73" i="45"/>
  <c r="O6" i="45"/>
  <c r="Q6" i="45" s="1"/>
  <c r="O6" i="44"/>
  <c r="O7" i="44"/>
  <c r="O8" i="44"/>
  <c r="O9" i="44"/>
  <c r="O10" i="44"/>
  <c r="O11" i="44"/>
  <c r="O12" i="44"/>
  <c r="O13" i="44"/>
  <c r="O14" i="44"/>
  <c r="O15" i="44"/>
  <c r="O16" i="44"/>
  <c r="O17" i="44"/>
  <c r="O18" i="44"/>
  <c r="O19" i="44"/>
  <c r="O20" i="44"/>
  <c r="O21" i="44"/>
  <c r="O22" i="44"/>
  <c r="O23" i="44"/>
  <c r="O24" i="44"/>
  <c r="O25" i="44"/>
  <c r="O26" i="44"/>
  <c r="O27" i="44"/>
  <c r="O28" i="44"/>
  <c r="O29" i="44"/>
  <c r="O30" i="44"/>
  <c r="O31" i="44"/>
  <c r="O32" i="44"/>
  <c r="O33" i="44"/>
  <c r="O34" i="44"/>
  <c r="O35" i="44"/>
  <c r="O36" i="44"/>
  <c r="O37" i="44"/>
  <c r="O38" i="44"/>
  <c r="O39" i="44"/>
  <c r="O40" i="44"/>
  <c r="O41" i="44"/>
  <c r="O42" i="44"/>
  <c r="O43" i="44"/>
  <c r="O44" i="44"/>
  <c r="O45" i="44"/>
  <c r="O46" i="44"/>
  <c r="O47" i="44"/>
  <c r="O48" i="44"/>
  <c r="O49" i="44"/>
  <c r="O50" i="44"/>
  <c r="O51" i="44"/>
  <c r="O52" i="44"/>
  <c r="O53" i="44"/>
  <c r="O54" i="44"/>
  <c r="O55" i="44"/>
  <c r="O56" i="44"/>
  <c r="O57" i="44"/>
  <c r="O58" i="44"/>
  <c r="O59" i="44"/>
  <c r="O60" i="44"/>
  <c r="O61" i="44"/>
  <c r="O62" i="44"/>
  <c r="O63" i="44"/>
  <c r="O64" i="44"/>
  <c r="O65" i="44"/>
  <c r="O66" i="44"/>
  <c r="O67" i="44"/>
  <c r="O68" i="44"/>
  <c r="O69" i="44"/>
  <c r="O70" i="44"/>
  <c r="O71" i="44"/>
  <c r="O72" i="44"/>
  <c r="O73" i="44"/>
  <c r="K101" i="45"/>
  <c r="K100" i="45"/>
  <c r="S99" i="45"/>
  <c r="H99" i="45"/>
  <c r="H98" i="45"/>
  <c r="W73" i="45"/>
  <c r="I73" i="45"/>
  <c r="W72" i="45"/>
  <c r="I72" i="45"/>
  <c r="W71" i="45"/>
  <c r="I71" i="45"/>
  <c r="D71" i="45"/>
  <c r="W70" i="45"/>
  <c r="I70" i="45"/>
  <c r="D70" i="45"/>
  <c r="W69" i="45"/>
  <c r="I69" i="45"/>
  <c r="D69" i="45"/>
  <c r="W68" i="45"/>
  <c r="I68" i="45"/>
  <c r="D68" i="45"/>
  <c r="W67" i="45"/>
  <c r="I67" i="45"/>
  <c r="D67" i="45"/>
  <c r="W66" i="45"/>
  <c r="I66" i="45"/>
  <c r="D66" i="45"/>
  <c r="W65" i="45"/>
  <c r="I65" i="45"/>
  <c r="D65" i="45"/>
  <c r="W64" i="45"/>
  <c r="I64" i="45"/>
  <c r="D64" i="45"/>
  <c r="W63" i="45"/>
  <c r="I63" i="45"/>
  <c r="D63" i="45"/>
  <c r="W62" i="45"/>
  <c r="I62" i="45"/>
  <c r="D62" i="45"/>
  <c r="W61" i="45"/>
  <c r="I61" i="45"/>
  <c r="D61" i="45"/>
  <c r="W60" i="45"/>
  <c r="I60" i="45"/>
  <c r="D60" i="45"/>
  <c r="W59" i="45"/>
  <c r="I59" i="45"/>
  <c r="D59" i="45"/>
  <c r="W58" i="45"/>
  <c r="I58" i="45"/>
  <c r="D58" i="45"/>
  <c r="W57" i="45"/>
  <c r="I57" i="45"/>
  <c r="D57" i="45"/>
  <c r="W56" i="45"/>
  <c r="I56" i="45"/>
  <c r="D56" i="45"/>
  <c r="I55" i="45"/>
  <c r="D55" i="45"/>
  <c r="W54" i="45"/>
  <c r="I54" i="45"/>
  <c r="D54" i="45"/>
  <c r="W53" i="45"/>
  <c r="I53" i="45"/>
  <c r="D53" i="45"/>
  <c r="W52" i="45"/>
  <c r="I52" i="45"/>
  <c r="D52" i="45"/>
  <c r="W51" i="45"/>
  <c r="I51" i="45"/>
  <c r="D51" i="45"/>
  <c r="W50" i="45"/>
  <c r="I50" i="45"/>
  <c r="D50" i="45"/>
  <c r="W49" i="45"/>
  <c r="I49" i="45"/>
  <c r="D49" i="45"/>
  <c r="W48" i="45"/>
  <c r="I48" i="45"/>
  <c r="D48" i="45"/>
  <c r="W47" i="45"/>
  <c r="I47" i="45"/>
  <c r="D47" i="45"/>
  <c r="W46" i="45"/>
  <c r="I46" i="45"/>
  <c r="D46" i="45"/>
  <c r="W45" i="45"/>
  <c r="I45" i="45"/>
  <c r="D45" i="45"/>
  <c r="W44" i="45"/>
  <c r="I44" i="45"/>
  <c r="D44" i="45"/>
  <c r="W43" i="45"/>
  <c r="I43" i="45"/>
  <c r="D43" i="45"/>
  <c r="W42" i="45"/>
  <c r="I42" i="45"/>
  <c r="D42" i="45"/>
  <c r="W41" i="45"/>
  <c r="I41" i="45"/>
  <c r="D41" i="45"/>
  <c r="W40" i="45"/>
  <c r="I40" i="45"/>
  <c r="D40" i="45"/>
  <c r="W39" i="45"/>
  <c r="I39" i="45"/>
  <c r="D39" i="45"/>
  <c r="W38" i="45"/>
  <c r="I38" i="45"/>
  <c r="D38" i="45"/>
  <c r="W37" i="45"/>
  <c r="I37" i="45"/>
  <c r="D37" i="45"/>
  <c r="W36" i="45"/>
  <c r="I36" i="45"/>
  <c r="D36" i="45"/>
  <c r="W35" i="45"/>
  <c r="I35" i="45"/>
  <c r="D35" i="45"/>
  <c r="W34" i="45"/>
  <c r="I34" i="45"/>
  <c r="D34" i="45"/>
  <c r="W33" i="45"/>
  <c r="I33" i="45"/>
  <c r="D33" i="45"/>
  <c r="W32" i="45"/>
  <c r="I32" i="45"/>
  <c r="D32" i="45"/>
  <c r="W31" i="45"/>
  <c r="I31" i="45"/>
  <c r="D31" i="45"/>
  <c r="W30" i="45"/>
  <c r="I30" i="45"/>
  <c r="D30" i="45"/>
  <c r="W29" i="45"/>
  <c r="I29" i="45"/>
  <c r="D29" i="45"/>
  <c r="W28" i="45"/>
  <c r="I28" i="45"/>
  <c r="D28" i="45"/>
  <c r="W27" i="45"/>
  <c r="I27" i="45"/>
  <c r="D27" i="45"/>
  <c r="W26" i="45"/>
  <c r="I26" i="45"/>
  <c r="D26" i="45"/>
  <c r="W25" i="45"/>
  <c r="I25" i="45"/>
  <c r="D25" i="45"/>
  <c r="W24" i="45"/>
  <c r="I24" i="45"/>
  <c r="D24" i="45"/>
  <c r="W23" i="45"/>
  <c r="I23" i="45"/>
  <c r="D23" i="45"/>
  <c r="W22" i="45"/>
  <c r="I22" i="45"/>
  <c r="D22" i="45"/>
  <c r="W21" i="45"/>
  <c r="I21" i="45"/>
  <c r="D21" i="45"/>
  <c r="W20" i="45"/>
  <c r="I20" i="45"/>
  <c r="D20" i="45"/>
  <c r="W19" i="45"/>
  <c r="I19" i="45"/>
  <c r="D19" i="45"/>
  <c r="W18" i="45"/>
  <c r="I18" i="45"/>
  <c r="D18" i="45"/>
  <c r="W17" i="45"/>
  <c r="I17" i="45"/>
  <c r="D17" i="45"/>
  <c r="W16" i="45"/>
  <c r="I16" i="45"/>
  <c r="D16" i="45"/>
  <c r="W15" i="45"/>
  <c r="I15" i="45"/>
  <c r="D15" i="45"/>
  <c r="W14" i="45"/>
  <c r="I14" i="45"/>
  <c r="D14" i="45"/>
  <c r="W13" i="45"/>
  <c r="I13" i="45"/>
  <c r="D13" i="45"/>
  <c r="W12" i="45"/>
  <c r="I12" i="45"/>
  <c r="D12" i="45"/>
  <c r="W11" i="45"/>
  <c r="I11" i="45"/>
  <c r="D11" i="45"/>
  <c r="W10" i="45"/>
  <c r="I10" i="45"/>
  <c r="D10" i="45"/>
  <c r="W9" i="45"/>
  <c r="I9" i="45"/>
  <c r="D9" i="45"/>
  <c r="W8" i="45"/>
  <c r="I8" i="45"/>
  <c r="D8" i="45"/>
  <c r="W7" i="45"/>
  <c r="I7" i="45"/>
  <c r="D7" i="45"/>
  <c r="AK6" i="45"/>
  <c r="AK7" i="45" s="1"/>
  <c r="AK8" i="45" s="1"/>
  <c r="AK9" i="45" s="1"/>
  <c r="AK10" i="45" s="1"/>
  <c r="AK11" i="45" s="1"/>
  <c r="AK12" i="45" s="1"/>
  <c r="AK13" i="45" s="1"/>
  <c r="AK14" i="45" s="1"/>
  <c r="AK15" i="45" s="1"/>
  <c r="AK16" i="45" s="1"/>
  <c r="AK17" i="45" s="1"/>
  <c r="AK18" i="45" s="1"/>
  <c r="AK19" i="45" s="1"/>
  <c r="AK20" i="45" s="1"/>
  <c r="AK21" i="45" s="1"/>
  <c r="AK22" i="45" s="1"/>
  <c r="AK23" i="45" s="1"/>
  <c r="AK24" i="45" s="1"/>
  <c r="AK25" i="45" s="1"/>
  <c r="AK26" i="45" s="1"/>
  <c r="AK27" i="45" s="1"/>
  <c r="AK28" i="45" s="1"/>
  <c r="AK29" i="45" s="1"/>
  <c r="AK30" i="45" s="1"/>
  <c r="AK31" i="45" s="1"/>
  <c r="AK32" i="45" s="1"/>
  <c r="AK33" i="45" s="1"/>
  <c r="AK34" i="45" s="1"/>
  <c r="AK35" i="45" s="1"/>
  <c r="AK36" i="45" s="1"/>
  <c r="AK37" i="45" s="1"/>
  <c r="AK38" i="45" s="1"/>
  <c r="AK39" i="45" s="1"/>
  <c r="AK40" i="45" s="1"/>
  <c r="AK41" i="45" s="1"/>
  <c r="AK42" i="45" s="1"/>
  <c r="AK43" i="45" s="1"/>
  <c r="AK44" i="45" s="1"/>
  <c r="AK45" i="45" s="1"/>
  <c r="AK46" i="45" s="1"/>
  <c r="AK47" i="45" s="1"/>
  <c r="AK48" i="45" s="1"/>
  <c r="AK49" i="45" s="1"/>
  <c r="AK50" i="45" s="1"/>
  <c r="AK51" i="45" s="1"/>
  <c r="AK52" i="45" s="1"/>
  <c r="AK53" i="45" s="1"/>
  <c r="AK54" i="45" s="1"/>
  <c r="AK55" i="45" s="1"/>
  <c r="AK56" i="45" s="1"/>
  <c r="AK57" i="45" s="1"/>
  <c r="AK58" i="45" s="1"/>
  <c r="AK59" i="45" s="1"/>
  <c r="AK60" i="45" s="1"/>
  <c r="AK61" i="45" s="1"/>
  <c r="AK62" i="45" s="1"/>
  <c r="AK63" i="45" s="1"/>
  <c r="AK64" i="45" s="1"/>
  <c r="AK65" i="45" s="1"/>
  <c r="AK66" i="45" s="1"/>
  <c r="AK67" i="45" s="1"/>
  <c r="AK68" i="45" s="1"/>
  <c r="AK69" i="45" s="1"/>
  <c r="AK70" i="45" s="1"/>
  <c r="AK71" i="45" s="1"/>
  <c r="AK72" i="45" s="1"/>
  <c r="AK73" i="45" s="1"/>
  <c r="AK74" i="45" s="1"/>
  <c r="AK75" i="45" s="1"/>
  <c r="AK76" i="45" s="1"/>
  <c r="AK77" i="45" s="1"/>
  <c r="AK78" i="45" s="1"/>
  <c r="AK79" i="45" s="1"/>
  <c r="AK80" i="45" s="1"/>
  <c r="AK81" i="45" s="1"/>
  <c r="AK82" i="45" s="1"/>
  <c r="AK83" i="45" s="1"/>
  <c r="AK84" i="45" s="1"/>
  <c r="AK85" i="45" s="1"/>
  <c r="AK86" i="45" s="1"/>
  <c r="AK87" i="45" s="1"/>
  <c r="AK88" i="45" s="1"/>
  <c r="AK89" i="45" s="1"/>
  <c r="AK90" i="45" s="1"/>
  <c r="AH6" i="45"/>
  <c r="AH7" i="45" s="1"/>
  <c r="AH8" i="45" s="1"/>
  <c r="AH9" i="45" s="1"/>
  <c r="AH10" i="45" s="1"/>
  <c r="AH11" i="45" s="1"/>
  <c r="AH12" i="45" s="1"/>
  <c r="AH13" i="45" s="1"/>
  <c r="AH14" i="45" s="1"/>
  <c r="AH15" i="45" s="1"/>
  <c r="AH16" i="45" s="1"/>
  <c r="AH17" i="45" s="1"/>
  <c r="AH18" i="45" s="1"/>
  <c r="AH19" i="45" s="1"/>
  <c r="AH20" i="45" s="1"/>
  <c r="AH21" i="45" s="1"/>
  <c r="AH22" i="45" s="1"/>
  <c r="AH23" i="45" s="1"/>
  <c r="AH24" i="45" s="1"/>
  <c r="AH25" i="45" s="1"/>
  <c r="AH26" i="45" s="1"/>
  <c r="AH27" i="45" s="1"/>
  <c r="AH28" i="45" s="1"/>
  <c r="AH29" i="45" s="1"/>
  <c r="AH30" i="45" s="1"/>
  <c r="AH31" i="45" s="1"/>
  <c r="AH32" i="45" s="1"/>
  <c r="AH33" i="45" s="1"/>
  <c r="AH34" i="45" s="1"/>
  <c r="AH35" i="45" s="1"/>
  <c r="AH36" i="45" s="1"/>
  <c r="AH37" i="45" s="1"/>
  <c r="AH38" i="45" s="1"/>
  <c r="AH39" i="45" s="1"/>
  <c r="AH40" i="45" s="1"/>
  <c r="AH41" i="45" s="1"/>
  <c r="AH42" i="45" s="1"/>
  <c r="AH43" i="45" s="1"/>
  <c r="AH44" i="45" s="1"/>
  <c r="AH45" i="45" s="1"/>
  <c r="AH46" i="45" s="1"/>
  <c r="AH47" i="45" s="1"/>
  <c r="AH48" i="45" s="1"/>
  <c r="AH49" i="45" s="1"/>
  <c r="AH50" i="45" s="1"/>
  <c r="AH51" i="45" s="1"/>
  <c r="AH52" i="45" s="1"/>
  <c r="AH53" i="45" s="1"/>
  <c r="AH54" i="45" s="1"/>
  <c r="AH55" i="45" s="1"/>
  <c r="AH56" i="45" s="1"/>
  <c r="AH57" i="45" s="1"/>
  <c r="AH58" i="45" s="1"/>
  <c r="AH59" i="45" s="1"/>
  <c r="AH60" i="45" s="1"/>
  <c r="AH61" i="45" s="1"/>
  <c r="AH62" i="45" s="1"/>
  <c r="AH63" i="45" s="1"/>
  <c r="AH64" i="45" s="1"/>
  <c r="AH65" i="45" s="1"/>
  <c r="AH66" i="45" s="1"/>
  <c r="AH67" i="45" s="1"/>
  <c r="AH68" i="45" s="1"/>
  <c r="AH69" i="45" s="1"/>
  <c r="AH70" i="45" s="1"/>
  <c r="AH71" i="45" s="1"/>
  <c r="AH72" i="45" s="1"/>
  <c r="AH73" i="45" s="1"/>
  <c r="AH74" i="45" s="1"/>
  <c r="AH75" i="45" s="1"/>
  <c r="AH76" i="45" s="1"/>
  <c r="AH77" i="45" s="1"/>
  <c r="AH78" i="45" s="1"/>
  <c r="AH79" i="45" s="1"/>
  <c r="AH80" i="45" s="1"/>
  <c r="AH81" i="45" s="1"/>
  <c r="AH82" i="45" s="1"/>
  <c r="AH83" i="45" s="1"/>
  <c r="AH84" i="45" s="1"/>
  <c r="AH85" i="45" s="1"/>
  <c r="AH86" i="45" s="1"/>
  <c r="AH87" i="45" s="1"/>
  <c r="AH88" i="45" s="1"/>
  <c r="AH89" i="45" s="1"/>
  <c r="AH90" i="45" s="1"/>
  <c r="AE6" i="45"/>
  <c r="AE7" i="45" s="1"/>
  <c r="AE8" i="45" s="1"/>
  <c r="AE9" i="45" s="1"/>
  <c r="AE10" i="45" s="1"/>
  <c r="AE11" i="45" s="1"/>
  <c r="AE12" i="45" s="1"/>
  <c r="AE13" i="45" s="1"/>
  <c r="AE14" i="45" s="1"/>
  <c r="AE15" i="45" s="1"/>
  <c r="AE16" i="45" s="1"/>
  <c r="AE17" i="45" s="1"/>
  <c r="AE18" i="45" s="1"/>
  <c r="AE19" i="45" s="1"/>
  <c r="AE20" i="45" s="1"/>
  <c r="AE21" i="45" s="1"/>
  <c r="AE22" i="45" s="1"/>
  <c r="AE23" i="45" s="1"/>
  <c r="AE24" i="45" s="1"/>
  <c r="AE25" i="45" s="1"/>
  <c r="AE26" i="45" s="1"/>
  <c r="AE27" i="45" s="1"/>
  <c r="AE28" i="45" s="1"/>
  <c r="AE29" i="45" s="1"/>
  <c r="AE30" i="45" s="1"/>
  <c r="AE31" i="45" s="1"/>
  <c r="AE32" i="45" s="1"/>
  <c r="AE33" i="45" s="1"/>
  <c r="AE34" i="45" s="1"/>
  <c r="AE35" i="45" s="1"/>
  <c r="AE36" i="45" s="1"/>
  <c r="AE37" i="45" s="1"/>
  <c r="AE38" i="45" s="1"/>
  <c r="AE39" i="45" s="1"/>
  <c r="AE40" i="45" s="1"/>
  <c r="AE41" i="45" s="1"/>
  <c r="AE42" i="45" s="1"/>
  <c r="AE43" i="45" s="1"/>
  <c r="AE44" i="45" s="1"/>
  <c r="AE45" i="45" s="1"/>
  <c r="AE46" i="45" s="1"/>
  <c r="AE47" i="45" s="1"/>
  <c r="AE48" i="45" s="1"/>
  <c r="AE49" i="45" s="1"/>
  <c r="AE50" i="45" s="1"/>
  <c r="AE51" i="45" s="1"/>
  <c r="AE52" i="45" s="1"/>
  <c r="AE53" i="45" s="1"/>
  <c r="AE54" i="45" s="1"/>
  <c r="AE55" i="45" s="1"/>
  <c r="AE56" i="45" s="1"/>
  <c r="AE57" i="45" s="1"/>
  <c r="AE58" i="45" s="1"/>
  <c r="AE59" i="45" s="1"/>
  <c r="AE60" i="45" s="1"/>
  <c r="AE61" i="45" s="1"/>
  <c r="AE62" i="45" s="1"/>
  <c r="AE63" i="45" s="1"/>
  <c r="AE64" i="45" s="1"/>
  <c r="AE65" i="45" s="1"/>
  <c r="AE66" i="45" s="1"/>
  <c r="AE67" i="45" s="1"/>
  <c r="AE68" i="45" s="1"/>
  <c r="AE69" i="45" s="1"/>
  <c r="AE70" i="45" s="1"/>
  <c r="AE71" i="45" s="1"/>
  <c r="AE72" i="45" s="1"/>
  <c r="AE73" i="45" s="1"/>
  <c r="AE74" i="45" s="1"/>
  <c r="AE75" i="45" s="1"/>
  <c r="AE76" i="45" s="1"/>
  <c r="AE77" i="45" s="1"/>
  <c r="AE78" i="45" s="1"/>
  <c r="AE79" i="45" s="1"/>
  <c r="AE80" i="45" s="1"/>
  <c r="AE81" i="45" s="1"/>
  <c r="AE82" i="45" s="1"/>
  <c r="AE83" i="45" s="1"/>
  <c r="AE84" i="45" s="1"/>
  <c r="AE85" i="45" s="1"/>
  <c r="AE86" i="45" s="1"/>
  <c r="AE87" i="45" s="1"/>
  <c r="AE88" i="45" s="1"/>
  <c r="AE89" i="45" s="1"/>
  <c r="AE90" i="45" s="1"/>
  <c r="AB6" i="45"/>
  <c r="AB7" i="45" s="1"/>
  <c r="AB8" i="45" s="1"/>
  <c r="AB9" i="45" s="1"/>
  <c r="AB10" i="45" s="1"/>
  <c r="AB11" i="45" s="1"/>
  <c r="AB12" i="45" s="1"/>
  <c r="AB13" i="45" s="1"/>
  <c r="AB14" i="45" s="1"/>
  <c r="AB15" i="45" s="1"/>
  <c r="AB16" i="45" s="1"/>
  <c r="AB17" i="45" s="1"/>
  <c r="AB18" i="45" s="1"/>
  <c r="AB19" i="45" s="1"/>
  <c r="AB20" i="45" s="1"/>
  <c r="AB21" i="45" s="1"/>
  <c r="AB22" i="45" s="1"/>
  <c r="AB23" i="45" s="1"/>
  <c r="AB24" i="45" s="1"/>
  <c r="AB25" i="45" s="1"/>
  <c r="AB26" i="45" s="1"/>
  <c r="AB27" i="45" s="1"/>
  <c r="AB28" i="45" s="1"/>
  <c r="AB29" i="45" s="1"/>
  <c r="AB30" i="45" s="1"/>
  <c r="AB31" i="45" s="1"/>
  <c r="AB32" i="45" s="1"/>
  <c r="AB33" i="45" s="1"/>
  <c r="AB34" i="45" s="1"/>
  <c r="AB35" i="45" s="1"/>
  <c r="AB36" i="45" s="1"/>
  <c r="AB37" i="45" s="1"/>
  <c r="AB38" i="45" s="1"/>
  <c r="AB39" i="45" s="1"/>
  <c r="AB40" i="45" s="1"/>
  <c r="AB41" i="45" s="1"/>
  <c r="AB42" i="45" s="1"/>
  <c r="AB43" i="45" s="1"/>
  <c r="AB44" i="45" s="1"/>
  <c r="AB45" i="45" s="1"/>
  <c r="AB46" i="45" s="1"/>
  <c r="AB47" i="45" s="1"/>
  <c r="AB48" i="45" s="1"/>
  <c r="AB49" i="45" s="1"/>
  <c r="AB50" i="45" s="1"/>
  <c r="AB51" i="45" s="1"/>
  <c r="AB52" i="45" s="1"/>
  <c r="AB53" i="45" s="1"/>
  <c r="AB54" i="45" s="1"/>
  <c r="AB55" i="45" s="1"/>
  <c r="AB56" i="45" s="1"/>
  <c r="AB57" i="45" s="1"/>
  <c r="AB58" i="45" s="1"/>
  <c r="AB59" i="45" s="1"/>
  <c r="AB60" i="45" s="1"/>
  <c r="AB61" i="45" s="1"/>
  <c r="AB62" i="45" s="1"/>
  <c r="AB63" i="45" s="1"/>
  <c r="AB64" i="45" s="1"/>
  <c r="AB65" i="45" s="1"/>
  <c r="AB66" i="45" s="1"/>
  <c r="AB67" i="45" s="1"/>
  <c r="AB68" i="45" s="1"/>
  <c r="AB69" i="45" s="1"/>
  <c r="AB70" i="45" s="1"/>
  <c r="AB71" i="45" s="1"/>
  <c r="AB72" i="45" s="1"/>
  <c r="AB73" i="45" s="1"/>
  <c r="AB74" i="45" s="1"/>
  <c r="AB75" i="45" s="1"/>
  <c r="AB76" i="45" s="1"/>
  <c r="AB77" i="45" s="1"/>
  <c r="AB78" i="45" s="1"/>
  <c r="AB79" i="45" s="1"/>
  <c r="AB80" i="45" s="1"/>
  <c r="AB81" i="45" s="1"/>
  <c r="AB82" i="45" s="1"/>
  <c r="AB83" i="45" s="1"/>
  <c r="AB84" i="45" s="1"/>
  <c r="AB85" i="45" s="1"/>
  <c r="AB86" i="45" s="1"/>
  <c r="AB87" i="45" s="1"/>
  <c r="AB88" i="45" s="1"/>
  <c r="AB89" i="45" s="1"/>
  <c r="AB90" i="45" s="1"/>
  <c r="W6" i="45"/>
  <c r="Y6" i="45" s="1"/>
  <c r="I6" i="45"/>
  <c r="H107" i="45" l="1"/>
  <c r="D105" i="45"/>
  <c r="L105" i="45" s="1"/>
  <c r="M105" i="45" s="1"/>
  <c r="D104" i="45"/>
  <c r="L104" i="45" s="1"/>
  <c r="M104" i="45" s="1"/>
  <c r="D98" i="45"/>
  <c r="D103" i="45"/>
  <c r="D99" i="45"/>
  <c r="D101" i="45"/>
  <c r="F101" i="45" s="1"/>
  <c r="Q7" i="45"/>
  <c r="Q8" i="45" s="1"/>
  <c r="Q9" i="45" s="1"/>
  <c r="Q10" i="45" s="1"/>
  <c r="Q11" i="45" s="1"/>
  <c r="Q12" i="45" s="1"/>
  <c r="Q13" i="45" s="1"/>
  <c r="Q14" i="45" s="1"/>
  <c r="Q15" i="45" s="1"/>
  <c r="Q16" i="45" s="1"/>
  <c r="Q17" i="45" s="1"/>
  <c r="Q18" i="45" s="1"/>
  <c r="Q19" i="45" s="1"/>
  <c r="Q20" i="45" s="1"/>
  <c r="Q21" i="45" s="1"/>
  <c r="Q22" i="45" s="1"/>
  <c r="Q23" i="45" s="1"/>
  <c r="Q24" i="45" s="1"/>
  <c r="Q25" i="45" s="1"/>
  <c r="Q26" i="45" s="1"/>
  <c r="Q27" i="45" s="1"/>
  <c r="Q28" i="45" s="1"/>
  <c r="Q29" i="45" s="1"/>
  <c r="Q30" i="45" s="1"/>
  <c r="Q31" i="45" s="1"/>
  <c r="Q32" i="45" s="1"/>
  <c r="Q33" i="45" s="1"/>
  <c r="Q34" i="45" s="1"/>
  <c r="Q35" i="45" s="1"/>
  <c r="Q36" i="45" s="1"/>
  <c r="Q37" i="45" s="1"/>
  <c r="Q38" i="45" s="1"/>
  <c r="Q39" i="45" s="1"/>
  <c r="Q40" i="45" s="1"/>
  <c r="Q41" i="45" s="1"/>
  <c r="Q42" i="45" s="1"/>
  <c r="Q43" i="45" s="1"/>
  <c r="Q44" i="45" s="1"/>
  <c r="Q45" i="45" s="1"/>
  <c r="Q46" i="45" s="1"/>
  <c r="Q47" i="45" s="1"/>
  <c r="Q48" i="45" s="1"/>
  <c r="Q49" i="45" s="1"/>
  <c r="Q50" i="45" s="1"/>
  <c r="Q51" i="45" s="1"/>
  <c r="Q52" i="45" s="1"/>
  <c r="Q53" i="45" s="1"/>
  <c r="Q54" i="45" s="1"/>
  <c r="Q55" i="45" s="1"/>
  <c r="Q56" i="45" s="1"/>
  <c r="Q57" i="45" s="1"/>
  <c r="Q58" i="45" s="1"/>
  <c r="Q59" i="45" s="1"/>
  <c r="Q60" i="45" s="1"/>
  <c r="Q61" i="45" s="1"/>
  <c r="Q62" i="45" s="1"/>
  <c r="Q63" i="45" s="1"/>
  <c r="Q64" i="45" s="1"/>
  <c r="Q65" i="45" s="1"/>
  <c r="Q66" i="45" s="1"/>
  <c r="Q67" i="45" s="1"/>
  <c r="Q68" i="45" s="1"/>
  <c r="Q69" i="45" s="1"/>
  <c r="Q70" i="45" s="1"/>
  <c r="Q71" i="45" s="1"/>
  <c r="Q72" i="45" s="1"/>
  <c r="Q73" i="45" s="1"/>
  <c r="Q74" i="45" s="1"/>
  <c r="Q75" i="45" s="1"/>
  <c r="Q76" i="45" s="1"/>
  <c r="Q77" i="45" s="1"/>
  <c r="Q78" i="45" s="1"/>
  <c r="Q79" i="45" s="1"/>
  <c r="Q80" i="45" s="1"/>
  <c r="Q81" i="45" s="1"/>
  <c r="Q82" i="45" s="1"/>
  <c r="Q83" i="45" s="1"/>
  <c r="Q84" i="45" s="1"/>
  <c r="Q85" i="45" s="1"/>
  <c r="Q86" i="45" s="1"/>
  <c r="Q87" i="45" s="1"/>
  <c r="Q88" i="45" s="1"/>
  <c r="Q89" i="45" s="1"/>
  <c r="Q90" i="45" s="1"/>
  <c r="Y7" i="45"/>
  <c r="Y8" i="45" s="1"/>
  <c r="Y9" i="45" s="1"/>
  <c r="Y10" i="45" s="1"/>
  <c r="Y11" i="45" s="1"/>
  <c r="Y12" i="45" s="1"/>
  <c r="Y13" i="45" s="1"/>
  <c r="Y14" i="45" s="1"/>
  <c r="Y15" i="45" s="1"/>
  <c r="Y16" i="45" s="1"/>
  <c r="Y17" i="45" s="1"/>
  <c r="Y18" i="45" s="1"/>
  <c r="Y19" i="45" s="1"/>
  <c r="Y20" i="45" s="1"/>
  <c r="Y21" i="45" s="1"/>
  <c r="Y22" i="45" s="1"/>
  <c r="Y23" i="45" s="1"/>
  <c r="Y24" i="45" s="1"/>
  <c r="Y25" i="45" s="1"/>
  <c r="Y26" i="45" s="1"/>
  <c r="Y27" i="45" s="1"/>
  <c r="Y28" i="45" s="1"/>
  <c r="Y29" i="45" s="1"/>
  <c r="Y30" i="45" s="1"/>
  <c r="Y31" i="45" s="1"/>
  <c r="Y32" i="45" s="1"/>
  <c r="Y33" i="45" s="1"/>
  <c r="Y34" i="45" s="1"/>
  <c r="Y35" i="45" s="1"/>
  <c r="Y36" i="45" s="1"/>
  <c r="Y37" i="45" s="1"/>
  <c r="Y38" i="45" s="1"/>
  <c r="Y39" i="45" s="1"/>
  <c r="Y40" i="45" s="1"/>
  <c r="Y41" i="45" s="1"/>
  <c r="Y42" i="45" s="1"/>
  <c r="Y43" i="45" s="1"/>
  <c r="Y44" i="45" s="1"/>
  <c r="Y45" i="45" s="1"/>
  <c r="Y46" i="45" s="1"/>
  <c r="Y47" i="45" s="1"/>
  <c r="Y48" i="45" s="1"/>
  <c r="Y49" i="45" s="1"/>
  <c r="Y50" i="45" s="1"/>
  <c r="Y51" i="45" s="1"/>
  <c r="Y52" i="45" s="1"/>
  <c r="Y53" i="45" s="1"/>
  <c r="Y54" i="45" s="1"/>
  <c r="Y55" i="45" s="1"/>
  <c r="Y56" i="45" s="1"/>
  <c r="Y57" i="45" s="1"/>
  <c r="Y58" i="45" s="1"/>
  <c r="Y59" i="45" s="1"/>
  <c r="Y60" i="45" s="1"/>
  <c r="Y61" i="45" s="1"/>
  <c r="Y62" i="45" s="1"/>
  <c r="Y63" i="45" s="1"/>
  <c r="Y64" i="45" s="1"/>
  <c r="Y65" i="45" s="1"/>
  <c r="Y66" i="45" s="1"/>
  <c r="Y67" i="45" s="1"/>
  <c r="Y68" i="45" s="1"/>
  <c r="Y69" i="45" s="1"/>
  <c r="Y70" i="45" s="1"/>
  <c r="Y71" i="45" s="1"/>
  <c r="Y72" i="45" s="1"/>
  <c r="Y73" i="45" s="1"/>
  <c r="Y74" i="45" s="1"/>
  <c r="Y75" i="45" s="1"/>
  <c r="Y76" i="45" s="1"/>
  <c r="Y77" i="45" s="1"/>
  <c r="Y78" i="45" s="1"/>
  <c r="Y79" i="45" s="1"/>
  <c r="Y80" i="45" s="1"/>
  <c r="Y81" i="45" s="1"/>
  <c r="Y82" i="45" s="1"/>
  <c r="Y83" i="45" s="1"/>
  <c r="Y84" i="45" s="1"/>
  <c r="Y85" i="45" s="1"/>
  <c r="Y86" i="45" s="1"/>
  <c r="Y87" i="45" s="1"/>
  <c r="Y88" i="45" s="1"/>
  <c r="Y89" i="45" s="1"/>
  <c r="Y90" i="45" s="1"/>
  <c r="I102" i="45"/>
  <c r="F102" i="45"/>
  <c r="N100" i="45"/>
  <c r="I100" i="45"/>
  <c r="S107" i="45"/>
  <c r="L100" i="45"/>
  <c r="M100" i="45" s="1"/>
  <c r="L101" i="45"/>
  <c r="M101" i="45" s="1"/>
  <c r="E107" i="45"/>
  <c r="F100" i="45"/>
  <c r="K102" i="45"/>
  <c r="D41" i="44"/>
  <c r="D107" i="45" l="1"/>
  <c r="I98" i="45"/>
  <c r="F107" i="45"/>
  <c r="L98" i="45"/>
  <c r="M98" i="45" s="1"/>
  <c r="T98" i="45"/>
  <c r="T101" i="45"/>
  <c r="V98" i="45"/>
  <c r="W98" i="45" s="1"/>
  <c r="T102" i="45"/>
  <c r="I105" i="45"/>
  <c r="T99" i="45"/>
  <c r="I99" i="45"/>
  <c r="T100" i="45"/>
  <c r="L99" i="45"/>
  <c r="M99" i="45" s="1"/>
  <c r="N102" i="45"/>
  <c r="L102" i="45"/>
  <c r="M102" i="45" s="1"/>
  <c r="N101" i="45"/>
  <c r="L103" i="45"/>
  <c r="M103" i="45" s="1"/>
  <c r="I103" i="45"/>
  <c r="I101" i="45"/>
  <c r="I104" i="45"/>
  <c r="E82" i="44"/>
  <c r="T107" i="45" l="1"/>
  <c r="L107" i="45"/>
  <c r="M107" i="45"/>
  <c r="N107" i="45"/>
  <c r="D20" i="44" l="1"/>
  <c r="D19" i="44"/>
  <c r="D18" i="44" l="1"/>
  <c r="D16" i="43" l="1"/>
  <c r="D46" i="43"/>
  <c r="D46" i="44"/>
  <c r="D16" i="44"/>
  <c r="H86" i="44" l="1"/>
  <c r="H85" i="44"/>
  <c r="H84" i="44"/>
  <c r="S83" i="44"/>
  <c r="H83" i="44"/>
  <c r="E83" i="44"/>
  <c r="D83" i="44"/>
  <c r="S82" i="44"/>
  <c r="H82" i="44"/>
  <c r="K82" i="44"/>
  <c r="S81" i="44"/>
  <c r="H81" i="44"/>
  <c r="E81" i="44"/>
  <c r="K81" i="44" s="1"/>
  <c r="L81" i="44" s="1"/>
  <c r="S80" i="44"/>
  <c r="H80" i="44"/>
  <c r="S79" i="44"/>
  <c r="N74" i="44"/>
  <c r="M74" i="44"/>
  <c r="W73" i="44"/>
  <c r="I73" i="44"/>
  <c r="D73" i="44"/>
  <c r="W72" i="44"/>
  <c r="I72" i="44"/>
  <c r="D72" i="44"/>
  <c r="W71" i="44"/>
  <c r="I71" i="44"/>
  <c r="D71" i="44"/>
  <c r="W70" i="44"/>
  <c r="I70" i="44"/>
  <c r="W69" i="44"/>
  <c r="I69" i="44"/>
  <c r="D69" i="44"/>
  <c r="W68" i="44"/>
  <c r="I68" i="44"/>
  <c r="W67" i="44"/>
  <c r="I67" i="44"/>
  <c r="D67" i="44"/>
  <c r="W66" i="44"/>
  <c r="I66" i="44"/>
  <c r="D66" i="44"/>
  <c r="W65" i="44"/>
  <c r="I65" i="44"/>
  <c r="D65" i="44"/>
  <c r="W64" i="44"/>
  <c r="I64" i="44"/>
  <c r="D64" i="44"/>
  <c r="W63" i="44"/>
  <c r="I63" i="44"/>
  <c r="D63" i="44"/>
  <c r="W62" i="44"/>
  <c r="I62" i="44"/>
  <c r="D62" i="44"/>
  <c r="W61" i="44"/>
  <c r="I61" i="44"/>
  <c r="D61" i="44"/>
  <c r="W60" i="44"/>
  <c r="I60" i="44"/>
  <c r="D60" i="44"/>
  <c r="W59" i="44"/>
  <c r="I59" i="44"/>
  <c r="D59" i="44"/>
  <c r="W58" i="44"/>
  <c r="I58" i="44"/>
  <c r="D58" i="44"/>
  <c r="W57" i="44"/>
  <c r="I57" i="44"/>
  <c r="D57" i="44"/>
  <c r="W56" i="44"/>
  <c r="I56" i="44"/>
  <c r="D56" i="44"/>
  <c r="W55" i="44"/>
  <c r="I55" i="44"/>
  <c r="D55" i="44"/>
  <c r="W54" i="44"/>
  <c r="I54" i="44"/>
  <c r="D54" i="44"/>
  <c r="W53" i="44"/>
  <c r="I53" i="44"/>
  <c r="D53" i="44"/>
  <c r="W52" i="44"/>
  <c r="I52" i="44"/>
  <c r="D52" i="44"/>
  <c r="W51" i="44"/>
  <c r="I51" i="44"/>
  <c r="D51" i="44"/>
  <c r="W50" i="44"/>
  <c r="I50" i="44"/>
  <c r="D50" i="44"/>
  <c r="W49" i="44"/>
  <c r="I49" i="44"/>
  <c r="D49" i="44"/>
  <c r="W48" i="44"/>
  <c r="I48" i="44"/>
  <c r="D48" i="44"/>
  <c r="W47" i="44"/>
  <c r="I47" i="44"/>
  <c r="D47" i="44"/>
  <c r="W46" i="44"/>
  <c r="I46" i="44"/>
  <c r="W45" i="44"/>
  <c r="I45" i="44"/>
  <c r="D45" i="44"/>
  <c r="W44" i="44"/>
  <c r="I44" i="44"/>
  <c r="D44" i="44"/>
  <c r="W43" i="44"/>
  <c r="I43" i="44"/>
  <c r="D43" i="44"/>
  <c r="W42" i="44"/>
  <c r="I42" i="44"/>
  <c r="D42" i="44"/>
  <c r="W41" i="44"/>
  <c r="I41" i="44"/>
  <c r="W40" i="44"/>
  <c r="I40" i="44"/>
  <c r="D40" i="44"/>
  <c r="W39" i="44"/>
  <c r="I39" i="44"/>
  <c r="D39" i="44"/>
  <c r="W38" i="44"/>
  <c r="I38" i="44"/>
  <c r="D38" i="44"/>
  <c r="W37" i="44"/>
  <c r="I37" i="44"/>
  <c r="D37" i="44"/>
  <c r="W36" i="44"/>
  <c r="I36" i="44"/>
  <c r="D36" i="44"/>
  <c r="W35" i="44"/>
  <c r="I35" i="44"/>
  <c r="D35" i="44"/>
  <c r="W34" i="44"/>
  <c r="I34" i="44"/>
  <c r="D34" i="44"/>
  <c r="W33" i="44"/>
  <c r="I33" i="44"/>
  <c r="D33" i="44"/>
  <c r="W32" i="44"/>
  <c r="I32" i="44"/>
  <c r="D32" i="44"/>
  <c r="W31" i="44"/>
  <c r="I31" i="44"/>
  <c r="D31" i="44"/>
  <c r="W30" i="44"/>
  <c r="I30" i="44"/>
  <c r="D30" i="44"/>
  <c r="W29" i="44"/>
  <c r="I29" i="44"/>
  <c r="D29" i="44"/>
  <c r="W28" i="44"/>
  <c r="I28" i="44"/>
  <c r="D28" i="44"/>
  <c r="W27" i="44"/>
  <c r="I27" i="44"/>
  <c r="D27" i="44"/>
  <c r="W26" i="44"/>
  <c r="I26" i="44"/>
  <c r="D26" i="44"/>
  <c r="W25" i="44"/>
  <c r="I25" i="44"/>
  <c r="D25" i="44"/>
  <c r="W24" i="44"/>
  <c r="I24" i="44"/>
  <c r="D24" i="44"/>
  <c r="W23" i="44"/>
  <c r="I23" i="44"/>
  <c r="D23" i="44"/>
  <c r="W22" i="44"/>
  <c r="I22" i="44"/>
  <c r="D22" i="44"/>
  <c r="W21" i="44"/>
  <c r="I21" i="44"/>
  <c r="D21" i="44"/>
  <c r="W20" i="44"/>
  <c r="I20" i="44"/>
  <c r="W19" i="44"/>
  <c r="I19" i="44"/>
  <c r="W18" i="44"/>
  <c r="I18" i="44"/>
  <c r="W17" i="44"/>
  <c r="I17" i="44"/>
  <c r="D17" i="44"/>
  <c r="W16" i="44"/>
  <c r="I16" i="44"/>
  <c r="W15" i="44"/>
  <c r="I15" i="44"/>
  <c r="D15" i="44"/>
  <c r="W14" i="44"/>
  <c r="I14" i="44"/>
  <c r="D14" i="44"/>
  <c r="W13" i="44"/>
  <c r="I13" i="44"/>
  <c r="D13" i="44"/>
  <c r="W12" i="44"/>
  <c r="I12" i="44"/>
  <c r="D12" i="44"/>
  <c r="W11" i="44"/>
  <c r="I11" i="44"/>
  <c r="D11" i="44"/>
  <c r="W10" i="44"/>
  <c r="I10" i="44"/>
  <c r="D10" i="44"/>
  <c r="W9" i="44"/>
  <c r="I9" i="44"/>
  <c r="D9" i="44"/>
  <c r="W8" i="44"/>
  <c r="I8" i="44"/>
  <c r="D8" i="44"/>
  <c r="W7" i="44"/>
  <c r="I7" i="44"/>
  <c r="D7" i="44"/>
  <c r="AK6" i="44"/>
  <c r="AK7" i="44" s="1"/>
  <c r="AK8" i="44" s="1"/>
  <c r="AK9" i="44" s="1"/>
  <c r="AK10" i="44" s="1"/>
  <c r="AK11" i="44" s="1"/>
  <c r="AK12" i="44" s="1"/>
  <c r="AK13" i="44" s="1"/>
  <c r="AK14" i="44" s="1"/>
  <c r="AK15" i="44" s="1"/>
  <c r="AK16" i="44" s="1"/>
  <c r="AK17" i="44" s="1"/>
  <c r="AK18" i="44" s="1"/>
  <c r="AK19" i="44" s="1"/>
  <c r="AK20" i="44" s="1"/>
  <c r="AK21" i="44" s="1"/>
  <c r="AK22" i="44" s="1"/>
  <c r="AK23" i="44" s="1"/>
  <c r="AK24" i="44" s="1"/>
  <c r="AK25" i="44" s="1"/>
  <c r="AK26" i="44" s="1"/>
  <c r="AK27" i="44" s="1"/>
  <c r="AK28" i="44" s="1"/>
  <c r="AK29" i="44" s="1"/>
  <c r="AK30" i="44" s="1"/>
  <c r="AK31" i="44" s="1"/>
  <c r="AK32" i="44" s="1"/>
  <c r="AK33" i="44" s="1"/>
  <c r="AK34" i="44" s="1"/>
  <c r="AK35" i="44" s="1"/>
  <c r="AK36" i="44" s="1"/>
  <c r="AK37" i="44" s="1"/>
  <c r="AK38" i="44" s="1"/>
  <c r="AK39" i="44" s="1"/>
  <c r="AK40" i="44" s="1"/>
  <c r="AK41" i="44" s="1"/>
  <c r="AK42" i="44" s="1"/>
  <c r="AK43" i="44" s="1"/>
  <c r="AK44" i="44" s="1"/>
  <c r="AK45" i="44" s="1"/>
  <c r="AK46" i="44" s="1"/>
  <c r="AK47" i="44" s="1"/>
  <c r="AK48" i="44" s="1"/>
  <c r="AK49" i="44" s="1"/>
  <c r="AK50" i="44" s="1"/>
  <c r="AK51" i="44" s="1"/>
  <c r="AK52" i="44" s="1"/>
  <c r="AK53" i="44" s="1"/>
  <c r="AK54" i="44" s="1"/>
  <c r="AK55" i="44" s="1"/>
  <c r="AK56" i="44" s="1"/>
  <c r="AK57" i="44" s="1"/>
  <c r="AK58" i="44" s="1"/>
  <c r="AK59" i="44" s="1"/>
  <c r="AK60" i="44" s="1"/>
  <c r="AK61" i="44" s="1"/>
  <c r="AK62" i="44" s="1"/>
  <c r="AK63" i="44" s="1"/>
  <c r="AK64" i="44" s="1"/>
  <c r="AK65" i="44" s="1"/>
  <c r="AK66" i="44" s="1"/>
  <c r="AK67" i="44" s="1"/>
  <c r="AK68" i="44" s="1"/>
  <c r="AK69" i="44" s="1"/>
  <c r="AK70" i="44" s="1"/>
  <c r="AK71" i="44" s="1"/>
  <c r="AK72" i="44" s="1"/>
  <c r="AK73" i="44" s="1"/>
  <c r="AH6" i="44"/>
  <c r="AH7" i="44" s="1"/>
  <c r="AH8" i="44" s="1"/>
  <c r="AH9" i="44" s="1"/>
  <c r="AH10" i="44" s="1"/>
  <c r="AH11" i="44" s="1"/>
  <c r="AH12" i="44" s="1"/>
  <c r="AH13" i="44" s="1"/>
  <c r="AH14" i="44" s="1"/>
  <c r="AH15" i="44" s="1"/>
  <c r="AH16" i="44" s="1"/>
  <c r="AH17" i="44" s="1"/>
  <c r="AH18" i="44" s="1"/>
  <c r="AH19" i="44" s="1"/>
  <c r="AH20" i="44" s="1"/>
  <c r="AH21" i="44" s="1"/>
  <c r="AH22" i="44" s="1"/>
  <c r="AH23" i="44" s="1"/>
  <c r="AH24" i="44" s="1"/>
  <c r="AH25" i="44" s="1"/>
  <c r="AH26" i="44" s="1"/>
  <c r="AH27" i="44" s="1"/>
  <c r="AH28" i="44" s="1"/>
  <c r="AH29" i="44" s="1"/>
  <c r="AH30" i="44" s="1"/>
  <c r="AH31" i="44" s="1"/>
  <c r="AH32" i="44" s="1"/>
  <c r="AH33" i="44" s="1"/>
  <c r="AH34" i="44" s="1"/>
  <c r="AH35" i="44" s="1"/>
  <c r="AH36" i="44" s="1"/>
  <c r="AH37" i="44" s="1"/>
  <c r="AH38" i="44" s="1"/>
  <c r="AH39" i="44" s="1"/>
  <c r="AH40" i="44" s="1"/>
  <c r="AH41" i="44" s="1"/>
  <c r="AH42" i="44" s="1"/>
  <c r="AH43" i="44" s="1"/>
  <c r="AH44" i="44" s="1"/>
  <c r="AH45" i="44" s="1"/>
  <c r="AH46" i="44" s="1"/>
  <c r="AH47" i="44" s="1"/>
  <c r="AH48" i="44" s="1"/>
  <c r="AH49" i="44" s="1"/>
  <c r="AH50" i="44" s="1"/>
  <c r="AH51" i="44" s="1"/>
  <c r="AH52" i="44" s="1"/>
  <c r="AH53" i="44" s="1"/>
  <c r="AH54" i="44" s="1"/>
  <c r="AH55" i="44" s="1"/>
  <c r="AH56" i="44" s="1"/>
  <c r="AH57" i="44" s="1"/>
  <c r="AH58" i="44" s="1"/>
  <c r="AH59" i="44" s="1"/>
  <c r="AH60" i="44" s="1"/>
  <c r="AH61" i="44" s="1"/>
  <c r="AH62" i="44" s="1"/>
  <c r="AH63" i="44" s="1"/>
  <c r="AH64" i="44" s="1"/>
  <c r="AH65" i="44" s="1"/>
  <c r="AH66" i="44" s="1"/>
  <c r="AH67" i="44" s="1"/>
  <c r="AH68" i="44" s="1"/>
  <c r="AH69" i="44" s="1"/>
  <c r="AH70" i="44" s="1"/>
  <c r="AH71" i="44" s="1"/>
  <c r="AH72" i="44" s="1"/>
  <c r="AH73" i="44" s="1"/>
  <c r="AE6" i="44"/>
  <c r="AE7" i="44" s="1"/>
  <c r="AE8" i="44" s="1"/>
  <c r="AE9" i="44" s="1"/>
  <c r="AE10" i="44" s="1"/>
  <c r="AE11" i="44" s="1"/>
  <c r="AE12" i="44" s="1"/>
  <c r="AE13" i="44" s="1"/>
  <c r="AE14" i="44" s="1"/>
  <c r="AE15" i="44" s="1"/>
  <c r="AE16" i="44" s="1"/>
  <c r="AE17" i="44" s="1"/>
  <c r="AE18" i="44" s="1"/>
  <c r="AE19" i="44" s="1"/>
  <c r="AE20" i="44" s="1"/>
  <c r="AE21" i="44" s="1"/>
  <c r="AE22" i="44" s="1"/>
  <c r="AE23" i="44" s="1"/>
  <c r="AE24" i="44" s="1"/>
  <c r="AE25" i="44" s="1"/>
  <c r="AE26" i="44" s="1"/>
  <c r="AE27" i="44" s="1"/>
  <c r="AE28" i="44" s="1"/>
  <c r="AE29" i="44" s="1"/>
  <c r="AE30" i="44" s="1"/>
  <c r="AE31" i="44" s="1"/>
  <c r="AE32" i="44" s="1"/>
  <c r="AE33" i="44" s="1"/>
  <c r="AE34" i="44" s="1"/>
  <c r="AE35" i="44" s="1"/>
  <c r="AE36" i="44" s="1"/>
  <c r="AE37" i="44" s="1"/>
  <c r="AE38" i="44" s="1"/>
  <c r="AE39" i="44" s="1"/>
  <c r="AE40" i="44" s="1"/>
  <c r="AE41" i="44" s="1"/>
  <c r="AE42" i="44" s="1"/>
  <c r="AE43" i="44" s="1"/>
  <c r="AE44" i="44" s="1"/>
  <c r="AE45" i="44" s="1"/>
  <c r="AE46" i="44" s="1"/>
  <c r="AE47" i="44" s="1"/>
  <c r="AE48" i="44" s="1"/>
  <c r="AE49" i="44" s="1"/>
  <c r="AE50" i="44" s="1"/>
  <c r="AE51" i="44" s="1"/>
  <c r="AE52" i="44" s="1"/>
  <c r="AE53" i="44" s="1"/>
  <c r="AE54" i="44" s="1"/>
  <c r="AE55" i="44" s="1"/>
  <c r="AE56" i="44" s="1"/>
  <c r="AE57" i="44" s="1"/>
  <c r="AE58" i="44" s="1"/>
  <c r="AE59" i="44" s="1"/>
  <c r="AE60" i="44" s="1"/>
  <c r="AE61" i="44" s="1"/>
  <c r="AE62" i="44" s="1"/>
  <c r="AE63" i="44" s="1"/>
  <c r="AE64" i="44" s="1"/>
  <c r="AE65" i="44" s="1"/>
  <c r="AE66" i="44" s="1"/>
  <c r="AE67" i="44" s="1"/>
  <c r="AE68" i="44" s="1"/>
  <c r="AE69" i="44" s="1"/>
  <c r="AE70" i="44" s="1"/>
  <c r="AE71" i="44" s="1"/>
  <c r="AE72" i="44" s="1"/>
  <c r="AE73" i="44" s="1"/>
  <c r="AB6" i="44"/>
  <c r="AB7" i="44" s="1"/>
  <c r="AB8" i="44" s="1"/>
  <c r="AB9" i="44" s="1"/>
  <c r="AB10" i="44" s="1"/>
  <c r="AB11" i="44" s="1"/>
  <c r="AB12" i="44" s="1"/>
  <c r="AB13" i="44" s="1"/>
  <c r="AB14" i="44" s="1"/>
  <c r="AB15" i="44" s="1"/>
  <c r="AB16" i="44" s="1"/>
  <c r="AB17" i="44" s="1"/>
  <c r="AB18" i="44" s="1"/>
  <c r="AB19" i="44" s="1"/>
  <c r="AB20" i="44" s="1"/>
  <c r="AB21" i="44" s="1"/>
  <c r="AB22" i="44" s="1"/>
  <c r="AB23" i="44" s="1"/>
  <c r="AB24" i="44" s="1"/>
  <c r="AB25" i="44" s="1"/>
  <c r="AB26" i="44" s="1"/>
  <c r="AB27" i="44" s="1"/>
  <c r="AB28" i="44" s="1"/>
  <c r="AB29" i="44" s="1"/>
  <c r="AB30" i="44" s="1"/>
  <c r="AB31" i="44" s="1"/>
  <c r="AB32" i="44" s="1"/>
  <c r="AB33" i="44" s="1"/>
  <c r="AB34" i="44" s="1"/>
  <c r="AB35" i="44" s="1"/>
  <c r="AB36" i="44" s="1"/>
  <c r="AB37" i="44" s="1"/>
  <c r="AB38" i="44" s="1"/>
  <c r="AB39" i="44" s="1"/>
  <c r="AB40" i="44" s="1"/>
  <c r="AB41" i="44" s="1"/>
  <c r="AB42" i="44" s="1"/>
  <c r="AB43" i="44" s="1"/>
  <c r="AB44" i="44" s="1"/>
  <c r="AB45" i="44" s="1"/>
  <c r="AB46" i="44" s="1"/>
  <c r="AB47" i="44" s="1"/>
  <c r="AB48" i="44" s="1"/>
  <c r="AB49" i="44" s="1"/>
  <c r="AB50" i="44" s="1"/>
  <c r="AB51" i="44" s="1"/>
  <c r="AB52" i="44" s="1"/>
  <c r="AB53" i="44" s="1"/>
  <c r="AB54" i="44" s="1"/>
  <c r="AB55" i="44" s="1"/>
  <c r="AB56" i="44" s="1"/>
  <c r="AB57" i="44" s="1"/>
  <c r="AB58" i="44" s="1"/>
  <c r="AB59" i="44" s="1"/>
  <c r="AB60" i="44" s="1"/>
  <c r="AB61" i="44" s="1"/>
  <c r="AB62" i="44" s="1"/>
  <c r="AB63" i="44" s="1"/>
  <c r="AB64" i="44" s="1"/>
  <c r="AB65" i="44" s="1"/>
  <c r="AB66" i="44" s="1"/>
  <c r="AB67" i="44" s="1"/>
  <c r="AB68" i="44" s="1"/>
  <c r="AB69" i="44" s="1"/>
  <c r="AB70" i="44" s="1"/>
  <c r="AB71" i="44" s="1"/>
  <c r="AB72" i="44" s="1"/>
  <c r="AB73" i="44" s="1"/>
  <c r="W6" i="44"/>
  <c r="Y6" i="44" s="1"/>
  <c r="Q6" i="44"/>
  <c r="Q7" i="44" s="1"/>
  <c r="I6" i="44"/>
  <c r="D82" i="44" l="1"/>
  <c r="F82" i="44" s="1"/>
  <c r="D79" i="44"/>
  <c r="L79" i="44" s="1"/>
  <c r="Q8" i="44"/>
  <c r="Y7" i="44"/>
  <c r="Y8" i="44" s="1"/>
  <c r="Y9" i="44" s="1"/>
  <c r="Y10" i="44" s="1"/>
  <c r="Y11" i="44" s="1"/>
  <c r="Y12" i="44" s="1"/>
  <c r="M81" i="44"/>
  <c r="I83" i="44"/>
  <c r="D85" i="44"/>
  <c r="L85" i="44" s="1"/>
  <c r="M85" i="44" s="1"/>
  <c r="F83" i="44"/>
  <c r="D86" i="44"/>
  <c r="L86" i="44" s="1"/>
  <c r="M86" i="44" s="1"/>
  <c r="D84" i="44"/>
  <c r="L84" i="44" s="1"/>
  <c r="M84" i="44" s="1"/>
  <c r="D80" i="44"/>
  <c r="D81" i="44"/>
  <c r="I81" i="44" s="1"/>
  <c r="S88" i="44"/>
  <c r="L82" i="44"/>
  <c r="M82" i="44" s="1"/>
  <c r="L74" i="44"/>
  <c r="O75" i="44" s="1"/>
  <c r="H79" i="44"/>
  <c r="E88" i="44"/>
  <c r="K83" i="44"/>
  <c r="O57" i="43"/>
  <c r="O58" i="43"/>
  <c r="O37" i="43"/>
  <c r="D88" i="44" l="1"/>
  <c r="Y13" i="44"/>
  <c r="Y14" i="44" s="1"/>
  <c r="Y15" i="44" s="1"/>
  <c r="Y16" i="44" s="1"/>
  <c r="Y17" i="44" s="1"/>
  <c r="Y18" i="44" s="1"/>
  <c r="Y19" i="44" s="1"/>
  <c r="Y20" i="44" s="1"/>
  <c r="Y21" i="44" s="1"/>
  <c r="Y22" i="44" s="1"/>
  <c r="Y23" i="44" s="1"/>
  <c r="Y24" i="44" s="1"/>
  <c r="Y25" i="44" s="1"/>
  <c r="Y26" i="44" s="1"/>
  <c r="Y27" i="44" s="1"/>
  <c r="Y28" i="44" s="1"/>
  <c r="Y29" i="44" s="1"/>
  <c r="Y30" i="44" s="1"/>
  <c r="Y31" i="44" s="1"/>
  <c r="Y32" i="44" s="1"/>
  <c r="Y33" i="44" s="1"/>
  <c r="Y34" i="44" s="1"/>
  <c r="Y35" i="44" s="1"/>
  <c r="Y36" i="44" s="1"/>
  <c r="Y37" i="44" s="1"/>
  <c r="Y38" i="44" s="1"/>
  <c r="Y39" i="44" s="1"/>
  <c r="Y40" i="44" s="1"/>
  <c r="Y41" i="44" s="1"/>
  <c r="Y42" i="44" s="1"/>
  <c r="Y43" i="44" s="1"/>
  <c r="Y44" i="44" s="1"/>
  <c r="Y45" i="44" s="1"/>
  <c r="Y46" i="44" s="1"/>
  <c r="Y47" i="44" s="1"/>
  <c r="Y48" i="44" s="1"/>
  <c r="Y49" i="44" s="1"/>
  <c r="Y50" i="44" s="1"/>
  <c r="Y51" i="44" s="1"/>
  <c r="Y52" i="44" s="1"/>
  <c r="Y53" i="44" s="1"/>
  <c r="Y54" i="44" s="1"/>
  <c r="Y55" i="44" s="1"/>
  <c r="Y56" i="44" s="1"/>
  <c r="Y57" i="44" s="1"/>
  <c r="Y58" i="44" s="1"/>
  <c r="Y59" i="44" s="1"/>
  <c r="Y60" i="44" s="1"/>
  <c r="Y61" i="44" s="1"/>
  <c r="Y62" i="44" s="1"/>
  <c r="Y63" i="44" s="1"/>
  <c r="Y64" i="44" s="1"/>
  <c r="Y65" i="44" s="1"/>
  <c r="Y66" i="44" s="1"/>
  <c r="Y67" i="44" s="1"/>
  <c r="Y68" i="44" s="1"/>
  <c r="Y69" i="44" s="1"/>
  <c r="Y70" i="44" s="1"/>
  <c r="Y71" i="44" s="1"/>
  <c r="Y72" i="44" s="1"/>
  <c r="Y73" i="44" s="1"/>
  <c r="I82" i="44"/>
  <c r="Q9" i="44"/>
  <c r="Q10" i="44" s="1"/>
  <c r="Q11" i="44" s="1"/>
  <c r="Q12" i="44" s="1"/>
  <c r="Q13" i="44" s="1"/>
  <c r="Q14" i="44" s="1"/>
  <c r="Q15" i="44" s="1"/>
  <c r="Q16" i="44" s="1"/>
  <c r="Q17" i="44" s="1"/>
  <c r="Q18" i="44" s="1"/>
  <c r="Q19" i="44" s="1"/>
  <c r="Q20" i="44" s="1"/>
  <c r="Q21" i="44" s="1"/>
  <c r="Q22" i="44" s="1"/>
  <c r="Q23" i="44" s="1"/>
  <c r="Q24" i="44" s="1"/>
  <c r="Q25" i="44" s="1"/>
  <c r="Q26" i="44" s="1"/>
  <c r="Q27" i="44" s="1"/>
  <c r="Q28" i="44" s="1"/>
  <c r="Q29" i="44" s="1"/>
  <c r="Q30" i="44" s="1"/>
  <c r="Q31" i="44" s="1"/>
  <c r="Q32" i="44" s="1"/>
  <c r="Q33" i="44" s="1"/>
  <c r="Q34" i="44" s="1"/>
  <c r="Q35" i="44" s="1"/>
  <c r="Q36" i="44" s="1"/>
  <c r="Q37" i="44" s="1"/>
  <c r="Q38" i="44" s="1"/>
  <c r="Q39" i="44" s="1"/>
  <c r="Q40" i="44" s="1"/>
  <c r="Q41" i="44" s="1"/>
  <c r="Q42" i="44" s="1"/>
  <c r="Q43" i="44" s="1"/>
  <c r="Q44" i="44" s="1"/>
  <c r="Q45" i="44" s="1"/>
  <c r="Q46" i="44" s="1"/>
  <c r="Q47" i="44" s="1"/>
  <c r="Q48" i="44" s="1"/>
  <c r="Q49" i="44" s="1"/>
  <c r="Q50" i="44" s="1"/>
  <c r="Q51" i="44" s="1"/>
  <c r="Q52" i="44" s="1"/>
  <c r="Q53" i="44" s="1"/>
  <c r="Q54" i="44" s="1"/>
  <c r="Q55" i="44" s="1"/>
  <c r="Q56" i="44" s="1"/>
  <c r="Q57" i="44" s="1"/>
  <c r="Q58" i="44" s="1"/>
  <c r="Q59" i="44" s="1"/>
  <c r="Q60" i="44" s="1"/>
  <c r="Q61" i="44" s="1"/>
  <c r="Q62" i="44" s="1"/>
  <c r="Q63" i="44" s="1"/>
  <c r="Q64" i="44" s="1"/>
  <c r="Q65" i="44" s="1"/>
  <c r="Q66" i="44" s="1"/>
  <c r="Q67" i="44" s="1"/>
  <c r="Q68" i="44" s="1"/>
  <c r="Q69" i="44" s="1"/>
  <c r="Q70" i="44" s="1"/>
  <c r="Q71" i="44" s="1"/>
  <c r="Q72" i="44" s="1"/>
  <c r="Q73" i="44" s="1"/>
  <c r="F81" i="44"/>
  <c r="I85" i="44"/>
  <c r="T82" i="44"/>
  <c r="I80" i="44"/>
  <c r="N82" i="44"/>
  <c r="M79" i="44"/>
  <c r="H88" i="44"/>
  <c r="I79" i="44"/>
  <c r="L83" i="44"/>
  <c r="M83" i="44" s="1"/>
  <c r="N83" i="44"/>
  <c r="N81" i="44"/>
  <c r="L80" i="44"/>
  <c r="M80" i="44" s="1"/>
  <c r="T81" i="44"/>
  <c r="V79" i="44"/>
  <c r="W79" i="44" s="1"/>
  <c r="T79" i="44"/>
  <c r="I86" i="44"/>
  <c r="I84" i="44"/>
  <c r="T83" i="44"/>
  <c r="T80" i="44"/>
  <c r="D61" i="43"/>
  <c r="T88" i="44" l="1"/>
  <c r="F88" i="44"/>
  <c r="N88" i="44"/>
  <c r="L88" i="44"/>
  <c r="M88" i="44"/>
  <c r="S80" i="43"/>
  <c r="E82" i="43" l="1"/>
  <c r="O11" i="43" l="1"/>
  <c r="O12" i="43"/>
  <c r="O13" i="43"/>
  <c r="O14" i="43"/>
  <c r="O15" i="43"/>
  <c r="O16" i="43"/>
  <c r="O17" i="43"/>
  <c r="O18" i="43"/>
  <c r="O19" i="43"/>
  <c r="O20" i="43"/>
  <c r="O21" i="43"/>
  <c r="O22" i="43"/>
  <c r="O23" i="43"/>
  <c r="O24" i="43"/>
  <c r="O25" i="43"/>
  <c r="O26" i="43"/>
  <c r="O27" i="43"/>
  <c r="O28" i="43"/>
  <c r="O29" i="43"/>
  <c r="O30" i="43"/>
  <c r="O31" i="43"/>
  <c r="O32" i="43"/>
  <c r="O33" i="43"/>
  <c r="O34" i="43"/>
  <c r="O35" i="43"/>
  <c r="O36" i="43"/>
  <c r="O38" i="43"/>
  <c r="O39" i="43"/>
  <c r="O40" i="43"/>
  <c r="O41" i="43"/>
  <c r="O42" i="43"/>
  <c r="O43" i="43"/>
  <c r="O44" i="43"/>
  <c r="O45" i="43"/>
  <c r="O46" i="43"/>
  <c r="O47" i="43"/>
  <c r="O48" i="43"/>
  <c r="O49" i="43"/>
  <c r="O50" i="43"/>
  <c r="O51" i="43"/>
  <c r="O52" i="43"/>
  <c r="O53" i="43"/>
  <c r="O54" i="43"/>
  <c r="O55" i="43"/>
  <c r="O56" i="43"/>
  <c r="O59" i="43"/>
  <c r="O60" i="43"/>
  <c r="O61" i="43"/>
  <c r="O62" i="43"/>
  <c r="O63" i="43"/>
  <c r="O64" i="43"/>
  <c r="O65" i="43"/>
  <c r="O66" i="43"/>
  <c r="O67" i="43"/>
  <c r="O68" i="43"/>
  <c r="O69" i="43"/>
  <c r="O70" i="43"/>
  <c r="O71" i="43"/>
  <c r="O72" i="43"/>
  <c r="O73" i="43"/>
  <c r="S83" i="43" l="1"/>
  <c r="E83" i="43"/>
  <c r="K83" i="43" s="1"/>
  <c r="S82" i="43"/>
  <c r="S81" i="43"/>
  <c r="N74" i="43"/>
  <c r="M74" i="43"/>
  <c r="W73" i="43"/>
  <c r="I73" i="43"/>
  <c r="D73" i="43"/>
  <c r="W72" i="43"/>
  <c r="I72" i="43"/>
  <c r="D72" i="43"/>
  <c r="W71" i="43"/>
  <c r="I71" i="43"/>
  <c r="D71" i="43"/>
  <c r="W70" i="43"/>
  <c r="I70" i="43"/>
  <c r="D70" i="43"/>
  <c r="W69" i="43"/>
  <c r="I69" i="43"/>
  <c r="D69" i="43"/>
  <c r="W68" i="43"/>
  <c r="I68" i="43"/>
  <c r="D68" i="43"/>
  <c r="W67" i="43"/>
  <c r="I67" i="43"/>
  <c r="D67" i="43"/>
  <c r="W66" i="43"/>
  <c r="I66" i="43"/>
  <c r="D66" i="43"/>
  <c r="W65" i="43"/>
  <c r="I65" i="43"/>
  <c r="D65" i="43"/>
  <c r="W64" i="43"/>
  <c r="I64" i="43"/>
  <c r="D64" i="43"/>
  <c r="W63" i="43"/>
  <c r="I63" i="43"/>
  <c r="D63" i="43"/>
  <c r="W62" i="43"/>
  <c r="I62" i="43"/>
  <c r="D62" i="43"/>
  <c r="W61" i="43"/>
  <c r="I61" i="43"/>
  <c r="W60" i="43"/>
  <c r="I60" i="43"/>
  <c r="D60" i="43"/>
  <c r="W59" i="43"/>
  <c r="I59" i="43"/>
  <c r="D59" i="43"/>
  <c r="W58" i="43"/>
  <c r="I58" i="43"/>
  <c r="D58" i="43"/>
  <c r="W57" i="43"/>
  <c r="I57" i="43"/>
  <c r="W56" i="43"/>
  <c r="I56" i="43"/>
  <c r="D56" i="43"/>
  <c r="W55" i="43"/>
  <c r="I55" i="43"/>
  <c r="D55" i="43"/>
  <c r="W54" i="43"/>
  <c r="I54" i="43"/>
  <c r="D54" i="43"/>
  <c r="W53" i="43"/>
  <c r="I53" i="43"/>
  <c r="D53" i="43"/>
  <c r="W52" i="43"/>
  <c r="I52" i="43"/>
  <c r="D52" i="43"/>
  <c r="W51" i="43"/>
  <c r="I51" i="43"/>
  <c r="D51" i="43"/>
  <c r="W50" i="43"/>
  <c r="I50" i="43"/>
  <c r="D50" i="43"/>
  <c r="W49" i="43"/>
  <c r="I49" i="43"/>
  <c r="D49" i="43"/>
  <c r="W48" i="43"/>
  <c r="I48" i="43"/>
  <c r="D48" i="43"/>
  <c r="W47" i="43"/>
  <c r="I47" i="43"/>
  <c r="D47" i="43"/>
  <c r="W46" i="43"/>
  <c r="I46" i="43"/>
  <c r="W45" i="43"/>
  <c r="I45" i="43"/>
  <c r="D45" i="43"/>
  <c r="W44" i="43"/>
  <c r="I44" i="43"/>
  <c r="D44" i="43"/>
  <c r="W43" i="43"/>
  <c r="I43" i="43"/>
  <c r="D43" i="43"/>
  <c r="W42" i="43"/>
  <c r="I42" i="43"/>
  <c r="D42" i="43"/>
  <c r="W41" i="43"/>
  <c r="I41" i="43"/>
  <c r="D41" i="43"/>
  <c r="W40" i="43"/>
  <c r="I40" i="43"/>
  <c r="D40" i="43"/>
  <c r="W39" i="43"/>
  <c r="I39" i="43"/>
  <c r="D39" i="43"/>
  <c r="W38" i="43"/>
  <c r="I38" i="43"/>
  <c r="D38" i="43"/>
  <c r="W37" i="43"/>
  <c r="I37" i="43"/>
  <c r="D37" i="43"/>
  <c r="W36" i="43"/>
  <c r="I36" i="43"/>
  <c r="D36" i="43"/>
  <c r="W35" i="43"/>
  <c r="I35" i="43"/>
  <c r="D35" i="43"/>
  <c r="W34" i="43"/>
  <c r="I34" i="43"/>
  <c r="D34" i="43"/>
  <c r="W33" i="43"/>
  <c r="I33" i="43"/>
  <c r="D33" i="43"/>
  <c r="W32" i="43"/>
  <c r="I32" i="43"/>
  <c r="D32" i="43"/>
  <c r="W31" i="43"/>
  <c r="I31" i="43"/>
  <c r="D31" i="43"/>
  <c r="W30" i="43"/>
  <c r="I30" i="43"/>
  <c r="D30" i="43"/>
  <c r="W29" i="43"/>
  <c r="I29" i="43"/>
  <c r="D29" i="43"/>
  <c r="W28" i="43"/>
  <c r="I28" i="43"/>
  <c r="D28" i="43"/>
  <c r="W27" i="43"/>
  <c r="I27" i="43"/>
  <c r="D27" i="43"/>
  <c r="W26" i="43"/>
  <c r="I26" i="43"/>
  <c r="D26" i="43"/>
  <c r="W25" i="43"/>
  <c r="I25" i="43"/>
  <c r="D25" i="43"/>
  <c r="W24" i="43"/>
  <c r="I24" i="43"/>
  <c r="D24" i="43"/>
  <c r="W23" i="43"/>
  <c r="I23" i="43"/>
  <c r="D23" i="43"/>
  <c r="W22" i="43"/>
  <c r="I22" i="43"/>
  <c r="D22" i="43"/>
  <c r="W21" i="43"/>
  <c r="I21" i="43"/>
  <c r="D21" i="43"/>
  <c r="W20" i="43"/>
  <c r="I20" i="43"/>
  <c r="D20" i="43"/>
  <c r="W19" i="43"/>
  <c r="I19" i="43"/>
  <c r="D19" i="43"/>
  <c r="W18" i="43"/>
  <c r="I18" i="43"/>
  <c r="D18" i="43"/>
  <c r="W17" i="43"/>
  <c r="I17" i="43"/>
  <c r="D17" i="43"/>
  <c r="W16" i="43"/>
  <c r="I16" i="43"/>
  <c r="W15" i="43"/>
  <c r="I15" i="43"/>
  <c r="D15" i="43"/>
  <c r="W14" i="43"/>
  <c r="I14" i="43"/>
  <c r="D14" i="43"/>
  <c r="W13" i="43"/>
  <c r="I13" i="43"/>
  <c r="D13" i="43"/>
  <c r="W12" i="43"/>
  <c r="I12" i="43"/>
  <c r="D12" i="43"/>
  <c r="W11" i="43"/>
  <c r="I11" i="43"/>
  <c r="D11" i="43"/>
  <c r="W10" i="43"/>
  <c r="O10" i="43"/>
  <c r="I10" i="43"/>
  <c r="D10" i="43"/>
  <c r="W9" i="43"/>
  <c r="I9" i="43"/>
  <c r="L9" i="43" s="1"/>
  <c r="D9" i="43"/>
  <c r="W8" i="43"/>
  <c r="I8" i="43"/>
  <c r="O8" i="43" s="1"/>
  <c r="D8" i="43"/>
  <c r="W7" i="43"/>
  <c r="O7" i="43"/>
  <c r="I7" i="43"/>
  <c r="D7" i="43"/>
  <c r="AK6" i="43"/>
  <c r="AK7" i="43" s="1"/>
  <c r="AK8" i="43" s="1"/>
  <c r="AK9" i="43" s="1"/>
  <c r="AK10" i="43" s="1"/>
  <c r="AK11" i="43" s="1"/>
  <c r="AK12" i="43" s="1"/>
  <c r="AK13" i="43" s="1"/>
  <c r="AK14" i="43" s="1"/>
  <c r="AK15" i="43" s="1"/>
  <c r="AK16" i="43" s="1"/>
  <c r="AK17" i="43" s="1"/>
  <c r="AK18" i="43" s="1"/>
  <c r="AK19" i="43" s="1"/>
  <c r="AK20" i="43" s="1"/>
  <c r="AK21" i="43" s="1"/>
  <c r="AK22" i="43" s="1"/>
  <c r="AK23" i="43" s="1"/>
  <c r="AK24" i="43" s="1"/>
  <c r="AK25" i="43" s="1"/>
  <c r="AK26" i="43" s="1"/>
  <c r="AK27" i="43" s="1"/>
  <c r="AK28" i="43" s="1"/>
  <c r="AK29" i="43" s="1"/>
  <c r="AK30" i="43" s="1"/>
  <c r="AK31" i="43" s="1"/>
  <c r="AK32" i="43" s="1"/>
  <c r="AK33" i="43" s="1"/>
  <c r="AK34" i="43" s="1"/>
  <c r="AK35" i="43" s="1"/>
  <c r="AK36" i="43" s="1"/>
  <c r="AK37" i="43" s="1"/>
  <c r="AK38" i="43" s="1"/>
  <c r="AK39" i="43" s="1"/>
  <c r="AK40" i="43" s="1"/>
  <c r="AK41" i="43" s="1"/>
  <c r="AK42" i="43" s="1"/>
  <c r="AK43" i="43" s="1"/>
  <c r="AK44" i="43" s="1"/>
  <c r="AK45" i="43" s="1"/>
  <c r="AK46" i="43" s="1"/>
  <c r="AK47" i="43" s="1"/>
  <c r="AK48" i="43" s="1"/>
  <c r="AK49" i="43" s="1"/>
  <c r="AK50" i="43" s="1"/>
  <c r="AK51" i="43" s="1"/>
  <c r="AK52" i="43" s="1"/>
  <c r="AK53" i="43" s="1"/>
  <c r="AK54" i="43" s="1"/>
  <c r="AK55" i="43" s="1"/>
  <c r="AK56" i="43" s="1"/>
  <c r="AK57" i="43" s="1"/>
  <c r="AK58" i="43" s="1"/>
  <c r="AK59" i="43" s="1"/>
  <c r="AK60" i="43" s="1"/>
  <c r="AK61" i="43" s="1"/>
  <c r="AK62" i="43" s="1"/>
  <c r="AK63" i="43" s="1"/>
  <c r="AK64" i="43" s="1"/>
  <c r="AK65" i="43" s="1"/>
  <c r="AK66" i="43" s="1"/>
  <c r="AK67" i="43" s="1"/>
  <c r="AK68" i="43" s="1"/>
  <c r="AK69" i="43" s="1"/>
  <c r="AK70" i="43" s="1"/>
  <c r="AK71" i="43" s="1"/>
  <c r="AK72" i="43" s="1"/>
  <c r="AK73" i="43" s="1"/>
  <c r="AH6" i="43"/>
  <c r="AH7" i="43" s="1"/>
  <c r="AH8" i="43" s="1"/>
  <c r="AH9" i="43" s="1"/>
  <c r="AH10" i="43" s="1"/>
  <c r="AH11" i="43" s="1"/>
  <c r="AH12" i="43" s="1"/>
  <c r="AH13" i="43" s="1"/>
  <c r="AH14" i="43" s="1"/>
  <c r="AH15" i="43" s="1"/>
  <c r="AH16" i="43" s="1"/>
  <c r="AH17" i="43" s="1"/>
  <c r="AH18" i="43" s="1"/>
  <c r="AH19" i="43" s="1"/>
  <c r="AH20" i="43" s="1"/>
  <c r="AH21" i="43" s="1"/>
  <c r="AH22" i="43" s="1"/>
  <c r="AH23" i="43" s="1"/>
  <c r="AH24" i="43" s="1"/>
  <c r="AH25" i="43" s="1"/>
  <c r="AH26" i="43" s="1"/>
  <c r="AH27" i="43" s="1"/>
  <c r="AH28" i="43" s="1"/>
  <c r="AH29" i="43" s="1"/>
  <c r="AH30" i="43" s="1"/>
  <c r="AH31" i="43" s="1"/>
  <c r="AH32" i="43" s="1"/>
  <c r="AH33" i="43" s="1"/>
  <c r="AH34" i="43" s="1"/>
  <c r="AH35" i="43" s="1"/>
  <c r="AH36" i="43" s="1"/>
  <c r="AH37" i="43" s="1"/>
  <c r="AH38" i="43" s="1"/>
  <c r="AH39" i="43" s="1"/>
  <c r="AH40" i="43" s="1"/>
  <c r="AH41" i="43" s="1"/>
  <c r="AH42" i="43" s="1"/>
  <c r="AH43" i="43" s="1"/>
  <c r="AH44" i="43" s="1"/>
  <c r="AH45" i="43" s="1"/>
  <c r="AH46" i="43" s="1"/>
  <c r="AH47" i="43" s="1"/>
  <c r="AH48" i="43" s="1"/>
  <c r="AH49" i="43" s="1"/>
  <c r="AH50" i="43" s="1"/>
  <c r="AH51" i="43" s="1"/>
  <c r="AH52" i="43" s="1"/>
  <c r="AH53" i="43" s="1"/>
  <c r="AH54" i="43" s="1"/>
  <c r="AH55" i="43" s="1"/>
  <c r="AH56" i="43" s="1"/>
  <c r="AH57" i="43" s="1"/>
  <c r="AH58" i="43" s="1"/>
  <c r="AH59" i="43" s="1"/>
  <c r="AH60" i="43" s="1"/>
  <c r="AH61" i="43" s="1"/>
  <c r="AH62" i="43" s="1"/>
  <c r="AH63" i="43" s="1"/>
  <c r="AH64" i="43" s="1"/>
  <c r="AH65" i="43" s="1"/>
  <c r="AH66" i="43" s="1"/>
  <c r="AH67" i="43" s="1"/>
  <c r="AH68" i="43" s="1"/>
  <c r="AH69" i="43" s="1"/>
  <c r="AH70" i="43" s="1"/>
  <c r="AH71" i="43" s="1"/>
  <c r="AH72" i="43" s="1"/>
  <c r="AH73" i="43" s="1"/>
  <c r="AE6" i="43"/>
  <c r="AE7" i="43" s="1"/>
  <c r="AE8" i="43" s="1"/>
  <c r="AE9" i="43" s="1"/>
  <c r="AE10" i="43" s="1"/>
  <c r="AE11" i="43" s="1"/>
  <c r="AE12" i="43" s="1"/>
  <c r="AE13" i="43" s="1"/>
  <c r="AE14" i="43" s="1"/>
  <c r="AE15" i="43" s="1"/>
  <c r="AE16" i="43" s="1"/>
  <c r="AE17" i="43" s="1"/>
  <c r="AE18" i="43" s="1"/>
  <c r="AE19" i="43" s="1"/>
  <c r="AE20" i="43" s="1"/>
  <c r="AE21" i="43" s="1"/>
  <c r="AE22" i="43" s="1"/>
  <c r="AE23" i="43" s="1"/>
  <c r="AE24" i="43" s="1"/>
  <c r="AE25" i="43" s="1"/>
  <c r="AE26" i="43" s="1"/>
  <c r="AE27" i="43" s="1"/>
  <c r="AE28" i="43" s="1"/>
  <c r="AE29" i="43" s="1"/>
  <c r="AE30" i="43" s="1"/>
  <c r="AE31" i="43" s="1"/>
  <c r="AE32" i="43" s="1"/>
  <c r="AE33" i="43" s="1"/>
  <c r="AE34" i="43" s="1"/>
  <c r="AE35" i="43" s="1"/>
  <c r="AE36" i="43" s="1"/>
  <c r="AE37" i="43" s="1"/>
  <c r="AE38" i="43" s="1"/>
  <c r="AE39" i="43" s="1"/>
  <c r="AE40" i="43" s="1"/>
  <c r="AE41" i="43" s="1"/>
  <c r="AE42" i="43" s="1"/>
  <c r="AE43" i="43" s="1"/>
  <c r="AE44" i="43" s="1"/>
  <c r="AE45" i="43" s="1"/>
  <c r="AE46" i="43" s="1"/>
  <c r="AE47" i="43" s="1"/>
  <c r="AE48" i="43" s="1"/>
  <c r="AE49" i="43" s="1"/>
  <c r="AE50" i="43" s="1"/>
  <c r="AE51" i="43" s="1"/>
  <c r="AE52" i="43" s="1"/>
  <c r="AE53" i="43" s="1"/>
  <c r="AE54" i="43" s="1"/>
  <c r="AE55" i="43" s="1"/>
  <c r="AE56" i="43" s="1"/>
  <c r="AE57" i="43" s="1"/>
  <c r="AE58" i="43" s="1"/>
  <c r="AE59" i="43" s="1"/>
  <c r="AE60" i="43" s="1"/>
  <c r="AE61" i="43" s="1"/>
  <c r="AE62" i="43" s="1"/>
  <c r="AE63" i="43" s="1"/>
  <c r="AE64" i="43" s="1"/>
  <c r="AE65" i="43" s="1"/>
  <c r="AE66" i="43" s="1"/>
  <c r="AE67" i="43" s="1"/>
  <c r="AE68" i="43" s="1"/>
  <c r="AE69" i="43" s="1"/>
  <c r="AE70" i="43" s="1"/>
  <c r="AE71" i="43" s="1"/>
  <c r="AE72" i="43" s="1"/>
  <c r="AE73" i="43" s="1"/>
  <c r="AB6" i="43"/>
  <c r="AB7" i="43" s="1"/>
  <c r="AB8" i="43" s="1"/>
  <c r="AB9" i="43" s="1"/>
  <c r="AB10" i="43" s="1"/>
  <c r="AB11" i="43" s="1"/>
  <c r="AB12" i="43" s="1"/>
  <c r="AB13" i="43" s="1"/>
  <c r="AB14" i="43" s="1"/>
  <c r="AB15" i="43" s="1"/>
  <c r="AB16" i="43" s="1"/>
  <c r="AB17" i="43" s="1"/>
  <c r="AB18" i="43" s="1"/>
  <c r="AB19" i="43" s="1"/>
  <c r="AB20" i="43" s="1"/>
  <c r="AB21" i="43" s="1"/>
  <c r="AB22" i="43" s="1"/>
  <c r="AB23" i="43" s="1"/>
  <c r="AB24" i="43" s="1"/>
  <c r="AB25" i="43" s="1"/>
  <c r="AB26" i="43" s="1"/>
  <c r="AB27" i="43" s="1"/>
  <c r="AB28" i="43" s="1"/>
  <c r="AB29" i="43" s="1"/>
  <c r="AB30" i="43" s="1"/>
  <c r="AB31" i="43" s="1"/>
  <c r="AB32" i="43" s="1"/>
  <c r="AB33" i="43" s="1"/>
  <c r="AB34" i="43" s="1"/>
  <c r="AB35" i="43" s="1"/>
  <c r="AB36" i="43" s="1"/>
  <c r="AB37" i="43" s="1"/>
  <c r="AB38" i="43" s="1"/>
  <c r="AB39" i="43" s="1"/>
  <c r="AB40" i="43" s="1"/>
  <c r="AB41" i="43" s="1"/>
  <c r="AB42" i="43" s="1"/>
  <c r="AB43" i="43" s="1"/>
  <c r="AB44" i="43" s="1"/>
  <c r="AB45" i="43" s="1"/>
  <c r="AB46" i="43" s="1"/>
  <c r="AB47" i="43" s="1"/>
  <c r="AB48" i="43" s="1"/>
  <c r="AB49" i="43" s="1"/>
  <c r="AB50" i="43" s="1"/>
  <c r="AB51" i="43" s="1"/>
  <c r="AB52" i="43" s="1"/>
  <c r="AB53" i="43" s="1"/>
  <c r="AB54" i="43" s="1"/>
  <c r="AB55" i="43" s="1"/>
  <c r="AB56" i="43" s="1"/>
  <c r="AB57" i="43" s="1"/>
  <c r="AB58" i="43" s="1"/>
  <c r="AB59" i="43" s="1"/>
  <c r="AB60" i="43" s="1"/>
  <c r="AB61" i="43" s="1"/>
  <c r="AB62" i="43" s="1"/>
  <c r="AB63" i="43" s="1"/>
  <c r="AB64" i="43" s="1"/>
  <c r="AB65" i="43" s="1"/>
  <c r="AB66" i="43" s="1"/>
  <c r="AB67" i="43" s="1"/>
  <c r="AB68" i="43" s="1"/>
  <c r="AB69" i="43" s="1"/>
  <c r="AB70" i="43" s="1"/>
  <c r="AB71" i="43" s="1"/>
  <c r="AB72" i="43" s="1"/>
  <c r="AB73" i="43" s="1"/>
  <c r="W6" i="43"/>
  <c r="Y6" i="43" s="1"/>
  <c r="Y7" i="43" s="1"/>
  <c r="O6" i="43"/>
  <c r="Q6" i="43" s="1"/>
  <c r="I6" i="43"/>
  <c r="D82" i="43" l="1"/>
  <c r="D79" i="43"/>
  <c r="L79" i="43" s="1"/>
  <c r="D84" i="43"/>
  <c r="L84" i="43" s="1"/>
  <c r="D86" i="43"/>
  <c r="I86" i="43" s="1"/>
  <c r="H79" i="43"/>
  <c r="I79" i="43" s="1"/>
  <c r="H81" i="43"/>
  <c r="I81" i="43" s="1"/>
  <c r="D85" i="43"/>
  <c r="D80" i="43"/>
  <c r="L80" i="43" s="1"/>
  <c r="M80" i="43" s="1"/>
  <c r="F82" i="43"/>
  <c r="O9" i="43"/>
  <c r="D74" i="43"/>
  <c r="I83" i="43"/>
  <c r="F83" i="43"/>
  <c r="N83" i="43"/>
  <c r="Q7" i="43"/>
  <c r="Q8" i="43" s="1"/>
  <c r="Y8" i="43"/>
  <c r="Y9" i="43" s="1"/>
  <c r="Y10" i="43" s="1"/>
  <c r="Y11" i="43" s="1"/>
  <c r="Y12" i="43" s="1"/>
  <c r="Y13" i="43" s="1"/>
  <c r="Y14" i="43" s="1"/>
  <c r="Y15" i="43" s="1"/>
  <c r="Y16" i="43" s="1"/>
  <c r="Y17" i="43" s="1"/>
  <c r="Y18" i="43" s="1"/>
  <c r="Y19" i="43" s="1"/>
  <c r="Y20" i="43" s="1"/>
  <c r="Y21" i="43" s="1"/>
  <c r="Y22" i="43" s="1"/>
  <c r="Y23" i="43" s="1"/>
  <c r="Y24" i="43" s="1"/>
  <c r="Y25" i="43" s="1"/>
  <c r="Y26" i="43" s="1"/>
  <c r="Y27" i="43" s="1"/>
  <c r="Y28" i="43" s="1"/>
  <c r="Y29" i="43" s="1"/>
  <c r="Y30" i="43" s="1"/>
  <c r="Y31" i="43" s="1"/>
  <c r="Y32" i="43" s="1"/>
  <c r="Y33" i="43" s="1"/>
  <c r="Y34" i="43" s="1"/>
  <c r="Y35" i="43" s="1"/>
  <c r="Y36" i="43" s="1"/>
  <c r="Y37" i="43" s="1"/>
  <c r="Y38" i="43" s="1"/>
  <c r="Y39" i="43" s="1"/>
  <c r="Y40" i="43" s="1"/>
  <c r="Y41" i="43" s="1"/>
  <c r="Y42" i="43" s="1"/>
  <c r="Y43" i="43" s="1"/>
  <c r="Y44" i="43" s="1"/>
  <c r="Y45" i="43" s="1"/>
  <c r="Y46" i="43" s="1"/>
  <c r="Y47" i="43" s="1"/>
  <c r="Y48" i="43" s="1"/>
  <c r="Y49" i="43" s="1"/>
  <c r="Y50" i="43" s="1"/>
  <c r="Y51" i="43" s="1"/>
  <c r="Y52" i="43" s="1"/>
  <c r="Y53" i="43" s="1"/>
  <c r="Y54" i="43" s="1"/>
  <c r="Y55" i="43" s="1"/>
  <c r="Y56" i="43" s="1"/>
  <c r="Y57" i="43" s="1"/>
  <c r="Y58" i="43" s="1"/>
  <c r="Y59" i="43" s="1"/>
  <c r="Y60" i="43" s="1"/>
  <c r="Y61" i="43" s="1"/>
  <c r="Y62" i="43" s="1"/>
  <c r="Y63" i="43" s="1"/>
  <c r="Y64" i="43" s="1"/>
  <c r="Y65" i="43" s="1"/>
  <c r="Y66" i="43" s="1"/>
  <c r="Y67" i="43" s="1"/>
  <c r="Y68" i="43" s="1"/>
  <c r="Y69" i="43" s="1"/>
  <c r="Y70" i="43" s="1"/>
  <c r="Y71" i="43" s="1"/>
  <c r="Y72" i="43" s="1"/>
  <c r="Y73" i="43" s="1"/>
  <c r="L74" i="43"/>
  <c r="O75" i="43" s="1"/>
  <c r="L83" i="43"/>
  <c r="M83" i="43" s="1"/>
  <c r="S88" i="43"/>
  <c r="K82" i="43"/>
  <c r="K81" i="43"/>
  <c r="E88" i="43"/>
  <c r="D60" i="42"/>
  <c r="D58" i="42"/>
  <c r="F88" i="43" l="1"/>
  <c r="I80" i="43"/>
  <c r="I82" i="43"/>
  <c r="Q9" i="43"/>
  <c r="Q10" i="43" s="1"/>
  <c r="Q11" i="43" s="1"/>
  <c r="Q12" i="43" s="1"/>
  <c r="Q13" i="43" s="1"/>
  <c r="Q14" i="43" s="1"/>
  <c r="Q15" i="43" s="1"/>
  <c r="Q16" i="43" s="1"/>
  <c r="Q17" i="43" s="1"/>
  <c r="Q18" i="43" s="1"/>
  <c r="Q19" i="43" s="1"/>
  <c r="Q20" i="43" s="1"/>
  <c r="Q21" i="43" s="1"/>
  <c r="Q22" i="43" s="1"/>
  <c r="Q23" i="43" s="1"/>
  <c r="Q24" i="43" s="1"/>
  <c r="Q25" i="43" s="1"/>
  <c r="Q26" i="43" s="1"/>
  <c r="Q27" i="43" s="1"/>
  <c r="Q28" i="43" s="1"/>
  <c r="Q29" i="43" s="1"/>
  <c r="Q30" i="43" s="1"/>
  <c r="Q31" i="43" s="1"/>
  <c r="Q32" i="43" s="1"/>
  <c r="Q33" i="43" s="1"/>
  <c r="Q34" i="43" s="1"/>
  <c r="Q35" i="43" s="1"/>
  <c r="Q36" i="43" s="1"/>
  <c r="Q37" i="43" s="1"/>
  <c r="Q38" i="43" s="1"/>
  <c r="Q39" i="43" s="1"/>
  <c r="Q40" i="43" s="1"/>
  <c r="Q41" i="43" s="1"/>
  <c r="Q42" i="43" s="1"/>
  <c r="Q43" i="43" s="1"/>
  <c r="Q44" i="43" s="1"/>
  <c r="Q45" i="43" s="1"/>
  <c r="Q46" i="43" s="1"/>
  <c r="Q47" i="43" s="1"/>
  <c r="Q48" i="43" s="1"/>
  <c r="Q49" i="43" s="1"/>
  <c r="Q50" i="43" s="1"/>
  <c r="Q51" i="43" s="1"/>
  <c r="Q52" i="43" s="1"/>
  <c r="Q53" i="43" s="1"/>
  <c r="Q54" i="43" s="1"/>
  <c r="Q55" i="43" s="1"/>
  <c r="Q56" i="43" s="1"/>
  <c r="Q57" i="43" s="1"/>
  <c r="Q58" i="43" s="1"/>
  <c r="Q59" i="43" s="1"/>
  <c r="Q60" i="43" s="1"/>
  <c r="Q61" i="43" s="1"/>
  <c r="Q62" i="43" s="1"/>
  <c r="Q63" i="43" s="1"/>
  <c r="Q64" i="43" s="1"/>
  <c r="Q65" i="43" s="1"/>
  <c r="Q66" i="43" s="1"/>
  <c r="Q67" i="43" s="1"/>
  <c r="Q68" i="43" s="1"/>
  <c r="Q69" i="43" s="1"/>
  <c r="Q70" i="43" s="1"/>
  <c r="Q71" i="43" s="1"/>
  <c r="Q72" i="43" s="1"/>
  <c r="Q73" i="43" s="1"/>
  <c r="T79" i="43"/>
  <c r="V79" i="43"/>
  <c r="W79" i="43" s="1"/>
  <c r="I84" i="43"/>
  <c r="L85" i="43"/>
  <c r="M85" i="43" s="1"/>
  <c r="I85" i="43"/>
  <c r="H88" i="43"/>
  <c r="D88" i="43"/>
  <c r="N82" i="43"/>
  <c r="L82" i="43"/>
  <c r="M82" i="43" s="1"/>
  <c r="T80" i="43"/>
  <c r="L86" i="43"/>
  <c r="M86" i="43" s="1"/>
  <c r="T83" i="43"/>
  <c r="T82" i="43"/>
  <c r="L81" i="43"/>
  <c r="M81" i="43" s="1"/>
  <c r="N81" i="43"/>
  <c r="T81" i="43"/>
  <c r="M79" i="43"/>
  <c r="M84" i="43"/>
  <c r="N88" i="43" l="1"/>
  <c r="L88" i="43"/>
  <c r="T88" i="43"/>
  <c r="M88" i="43"/>
  <c r="I44" i="42"/>
  <c r="O6" i="42" l="1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8" i="41"/>
  <c r="D22" i="42" l="1"/>
  <c r="W59" i="42" l="1"/>
  <c r="W58" i="42"/>
  <c r="W57" i="42"/>
  <c r="W56" i="42"/>
  <c r="W55" i="42"/>
  <c r="W54" i="42"/>
  <c r="W53" i="42"/>
  <c r="W52" i="42"/>
  <c r="W51" i="42"/>
  <c r="W50" i="42"/>
  <c r="W49" i="42"/>
  <c r="W48" i="42"/>
  <c r="W47" i="42"/>
  <c r="W46" i="42"/>
  <c r="W45" i="42"/>
  <c r="W44" i="42"/>
  <c r="W43" i="42"/>
  <c r="W42" i="42"/>
  <c r="W41" i="42"/>
  <c r="W40" i="42"/>
  <c r="W39" i="42"/>
  <c r="W38" i="42"/>
  <c r="W37" i="42"/>
  <c r="W36" i="42"/>
  <c r="W35" i="42"/>
  <c r="W34" i="42"/>
  <c r="W33" i="42"/>
  <c r="W32" i="42"/>
  <c r="W31" i="42"/>
  <c r="W30" i="42"/>
  <c r="W29" i="42"/>
  <c r="W28" i="42"/>
  <c r="W27" i="42"/>
  <c r="W26" i="42"/>
  <c r="W25" i="42"/>
  <c r="W24" i="42"/>
  <c r="W23" i="42"/>
  <c r="W22" i="42"/>
  <c r="W21" i="42"/>
  <c r="W20" i="42"/>
  <c r="W19" i="42"/>
  <c r="W18" i="42"/>
  <c r="W17" i="42"/>
  <c r="W16" i="42"/>
  <c r="W15" i="42"/>
  <c r="W14" i="42"/>
  <c r="W13" i="42"/>
  <c r="W12" i="42"/>
  <c r="W11" i="42"/>
  <c r="W10" i="42"/>
  <c r="I53" i="42"/>
  <c r="I52" i="42"/>
  <c r="I51" i="42"/>
  <c r="I50" i="42"/>
  <c r="I49" i="42"/>
  <c r="I48" i="42"/>
  <c r="I47" i="42"/>
  <c r="I46" i="42"/>
  <c r="I45" i="42"/>
  <c r="I43" i="42"/>
  <c r="I42" i="42"/>
  <c r="I41" i="42"/>
  <c r="I40" i="42"/>
  <c r="I39" i="42"/>
  <c r="I38" i="42"/>
  <c r="I37" i="42"/>
  <c r="I36" i="42"/>
  <c r="I35" i="42"/>
  <c r="I34" i="42"/>
  <c r="I33" i="42"/>
  <c r="I32" i="42"/>
  <c r="I31" i="42"/>
  <c r="I30" i="42"/>
  <c r="I29" i="42"/>
  <c r="I28" i="42"/>
  <c r="I27" i="42"/>
  <c r="I26" i="42"/>
  <c r="I25" i="42"/>
  <c r="I24" i="42"/>
  <c r="I23" i="42"/>
  <c r="I22" i="42"/>
  <c r="I21" i="42"/>
  <c r="I20" i="42"/>
  <c r="I19" i="42"/>
  <c r="I18" i="42"/>
  <c r="I17" i="42"/>
  <c r="I16" i="42"/>
  <c r="I15" i="42"/>
  <c r="I14" i="42"/>
  <c r="I13" i="42"/>
  <c r="I12" i="42"/>
  <c r="I11" i="42"/>
  <c r="I10" i="42"/>
  <c r="D65" i="42"/>
  <c r="D64" i="42"/>
  <c r="D63" i="42"/>
  <c r="D62" i="42"/>
  <c r="D61" i="42"/>
  <c r="D59" i="42"/>
  <c r="D57" i="42"/>
  <c r="D56" i="42"/>
  <c r="D55" i="42"/>
  <c r="D54" i="42"/>
  <c r="D53" i="42"/>
  <c r="D52" i="42"/>
  <c r="D51" i="42"/>
  <c r="D50" i="42"/>
  <c r="D49" i="42"/>
  <c r="D48" i="42"/>
  <c r="D47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1" i="42"/>
  <c r="D20" i="42"/>
  <c r="D19" i="42"/>
  <c r="D18" i="42"/>
  <c r="D17" i="42"/>
  <c r="D15" i="42"/>
  <c r="D14" i="42"/>
  <c r="D13" i="42"/>
  <c r="D12" i="42"/>
  <c r="D11" i="42"/>
  <c r="D10" i="42"/>
  <c r="D69" i="42"/>
  <c r="I69" i="42"/>
  <c r="W69" i="42"/>
  <c r="AK6" i="42"/>
  <c r="AK7" i="42" s="1"/>
  <c r="AK8" i="42" s="1"/>
  <c r="AK9" i="42" s="1"/>
  <c r="AK10" i="42" s="1"/>
  <c r="AK11" i="42" s="1"/>
  <c r="AK12" i="42" s="1"/>
  <c r="AK13" i="42" s="1"/>
  <c r="AK14" i="42" s="1"/>
  <c r="AK15" i="42" s="1"/>
  <c r="AK16" i="42" s="1"/>
  <c r="AK17" i="42" s="1"/>
  <c r="AK18" i="42" s="1"/>
  <c r="AK19" i="42" s="1"/>
  <c r="AK20" i="42" s="1"/>
  <c r="AK21" i="42" s="1"/>
  <c r="AK22" i="42" s="1"/>
  <c r="AK23" i="42" s="1"/>
  <c r="AK24" i="42" s="1"/>
  <c r="AK25" i="42" s="1"/>
  <c r="AK26" i="42" s="1"/>
  <c r="AK27" i="42" s="1"/>
  <c r="AK28" i="42" s="1"/>
  <c r="AK29" i="42" s="1"/>
  <c r="AK30" i="42" s="1"/>
  <c r="AK31" i="42" s="1"/>
  <c r="AK32" i="42" s="1"/>
  <c r="AK33" i="42" s="1"/>
  <c r="AK34" i="42" s="1"/>
  <c r="AK35" i="42" s="1"/>
  <c r="AK36" i="42" s="1"/>
  <c r="AK37" i="42" s="1"/>
  <c r="AK38" i="42" s="1"/>
  <c r="AK39" i="42" s="1"/>
  <c r="AK40" i="42" s="1"/>
  <c r="AK41" i="42" s="1"/>
  <c r="AK42" i="42" s="1"/>
  <c r="AK43" i="42" s="1"/>
  <c r="AK44" i="42" s="1"/>
  <c r="AK45" i="42" s="1"/>
  <c r="AK46" i="42" s="1"/>
  <c r="AK47" i="42" s="1"/>
  <c r="AK48" i="42" s="1"/>
  <c r="AK49" i="42" s="1"/>
  <c r="AK50" i="42" s="1"/>
  <c r="AK51" i="42" s="1"/>
  <c r="AK52" i="42" s="1"/>
  <c r="AK53" i="42" s="1"/>
  <c r="AK54" i="42" s="1"/>
  <c r="AK55" i="42" s="1"/>
  <c r="AK56" i="42" s="1"/>
  <c r="AK57" i="42" s="1"/>
  <c r="AK58" i="42" s="1"/>
  <c r="AK59" i="42" s="1"/>
  <c r="AK60" i="42" s="1"/>
  <c r="AK61" i="42" s="1"/>
  <c r="AK62" i="42" s="1"/>
  <c r="AK63" i="42" s="1"/>
  <c r="AK64" i="42" s="1"/>
  <c r="AK65" i="42" s="1"/>
  <c r="AK66" i="42" s="1"/>
  <c r="AK67" i="42" s="1"/>
  <c r="AK68" i="42" s="1"/>
  <c r="AK69" i="42" s="1"/>
  <c r="AH6" i="42"/>
  <c r="AH7" i="42" s="1"/>
  <c r="AH8" i="42" s="1"/>
  <c r="AH9" i="42" s="1"/>
  <c r="AH10" i="42" s="1"/>
  <c r="AH11" i="42" s="1"/>
  <c r="AH12" i="42" s="1"/>
  <c r="AH13" i="42" s="1"/>
  <c r="AH14" i="42" s="1"/>
  <c r="AH15" i="42" s="1"/>
  <c r="AH16" i="42" s="1"/>
  <c r="AH17" i="42" s="1"/>
  <c r="AH18" i="42" s="1"/>
  <c r="AH19" i="42" s="1"/>
  <c r="AH20" i="42" s="1"/>
  <c r="AH21" i="42" s="1"/>
  <c r="AH22" i="42" s="1"/>
  <c r="AH23" i="42" s="1"/>
  <c r="AH24" i="42" s="1"/>
  <c r="AH25" i="42" s="1"/>
  <c r="AH26" i="42" s="1"/>
  <c r="AH27" i="42" s="1"/>
  <c r="AH28" i="42" s="1"/>
  <c r="AH29" i="42" s="1"/>
  <c r="AH30" i="42" s="1"/>
  <c r="AH31" i="42" s="1"/>
  <c r="AH32" i="42" s="1"/>
  <c r="AH33" i="42" s="1"/>
  <c r="AH34" i="42" s="1"/>
  <c r="AH35" i="42" s="1"/>
  <c r="AH36" i="42" s="1"/>
  <c r="AH37" i="42" s="1"/>
  <c r="AH38" i="42" s="1"/>
  <c r="AH39" i="42" s="1"/>
  <c r="AH40" i="42" s="1"/>
  <c r="AH41" i="42" s="1"/>
  <c r="AH42" i="42" s="1"/>
  <c r="AH43" i="42" s="1"/>
  <c r="AH44" i="42" s="1"/>
  <c r="AH45" i="42" s="1"/>
  <c r="AH46" i="42" s="1"/>
  <c r="AH47" i="42" s="1"/>
  <c r="AH48" i="42" s="1"/>
  <c r="AH49" i="42" s="1"/>
  <c r="AH50" i="42" s="1"/>
  <c r="AH51" i="42" s="1"/>
  <c r="AH52" i="42" s="1"/>
  <c r="AH53" i="42" s="1"/>
  <c r="AH54" i="42" s="1"/>
  <c r="AH55" i="42" s="1"/>
  <c r="AH56" i="42" s="1"/>
  <c r="AH57" i="42" s="1"/>
  <c r="AH58" i="42" s="1"/>
  <c r="AH59" i="42" s="1"/>
  <c r="AH60" i="42" s="1"/>
  <c r="AH61" i="42" s="1"/>
  <c r="AH62" i="42" s="1"/>
  <c r="AH63" i="42" s="1"/>
  <c r="AH64" i="42" s="1"/>
  <c r="AH65" i="42" s="1"/>
  <c r="AH66" i="42" s="1"/>
  <c r="AH67" i="42" s="1"/>
  <c r="AH68" i="42" s="1"/>
  <c r="AH69" i="42" s="1"/>
  <c r="AE6" i="42"/>
  <c r="AE7" i="42" s="1"/>
  <c r="AE8" i="42" s="1"/>
  <c r="AE9" i="42" s="1"/>
  <c r="AE10" i="42" s="1"/>
  <c r="AE11" i="42" s="1"/>
  <c r="AE12" i="42" s="1"/>
  <c r="AE13" i="42" s="1"/>
  <c r="AE14" i="42" s="1"/>
  <c r="AE15" i="42" s="1"/>
  <c r="AE16" i="42" s="1"/>
  <c r="AE17" i="42" s="1"/>
  <c r="AE18" i="42" s="1"/>
  <c r="AE19" i="42" s="1"/>
  <c r="AE20" i="42" s="1"/>
  <c r="AE21" i="42" s="1"/>
  <c r="AE22" i="42" s="1"/>
  <c r="AE23" i="42" s="1"/>
  <c r="AE24" i="42" s="1"/>
  <c r="AE25" i="42" s="1"/>
  <c r="AE26" i="42" s="1"/>
  <c r="AE27" i="42" s="1"/>
  <c r="AE28" i="42" s="1"/>
  <c r="AE29" i="42" s="1"/>
  <c r="AE30" i="42" s="1"/>
  <c r="AE31" i="42" s="1"/>
  <c r="AE32" i="42" s="1"/>
  <c r="AE33" i="42" s="1"/>
  <c r="AE34" i="42" s="1"/>
  <c r="AE35" i="42" s="1"/>
  <c r="AE36" i="42" s="1"/>
  <c r="AE37" i="42" s="1"/>
  <c r="AE38" i="42" s="1"/>
  <c r="AE39" i="42" s="1"/>
  <c r="AE40" i="42" s="1"/>
  <c r="AE41" i="42" s="1"/>
  <c r="AE42" i="42" s="1"/>
  <c r="AE43" i="42" s="1"/>
  <c r="AE44" i="42" s="1"/>
  <c r="AE45" i="42" s="1"/>
  <c r="AE46" i="42" s="1"/>
  <c r="AE47" i="42" s="1"/>
  <c r="AE48" i="42" s="1"/>
  <c r="AE49" i="42" s="1"/>
  <c r="AE50" i="42" s="1"/>
  <c r="AE51" i="42" s="1"/>
  <c r="AE52" i="42" s="1"/>
  <c r="AE53" i="42" s="1"/>
  <c r="AE54" i="42" s="1"/>
  <c r="AE55" i="42" s="1"/>
  <c r="AE56" i="42" s="1"/>
  <c r="AE57" i="42" s="1"/>
  <c r="AE58" i="42" s="1"/>
  <c r="AE59" i="42" s="1"/>
  <c r="AE60" i="42" s="1"/>
  <c r="AE61" i="42" s="1"/>
  <c r="AE62" i="42" s="1"/>
  <c r="AE63" i="42" s="1"/>
  <c r="AE64" i="42" s="1"/>
  <c r="AE65" i="42" s="1"/>
  <c r="AE66" i="42" s="1"/>
  <c r="AE67" i="42" s="1"/>
  <c r="AE68" i="42" s="1"/>
  <c r="AE69" i="42" s="1"/>
  <c r="AB6" i="42"/>
  <c r="AB7" i="42" s="1"/>
  <c r="AB8" i="42" s="1"/>
  <c r="AB9" i="42" s="1"/>
  <c r="AB10" i="42" s="1"/>
  <c r="AB11" i="42" s="1"/>
  <c r="AB12" i="42" s="1"/>
  <c r="AB13" i="42" s="1"/>
  <c r="AB14" i="42" s="1"/>
  <c r="AB15" i="42" s="1"/>
  <c r="AB16" i="42" s="1"/>
  <c r="AB17" i="42" s="1"/>
  <c r="AB18" i="42" s="1"/>
  <c r="AB19" i="42" s="1"/>
  <c r="AB20" i="42" s="1"/>
  <c r="AB21" i="42" s="1"/>
  <c r="AB22" i="42" s="1"/>
  <c r="AB23" i="42" s="1"/>
  <c r="AB24" i="42" s="1"/>
  <c r="AB25" i="42" s="1"/>
  <c r="AB26" i="42" s="1"/>
  <c r="AB27" i="42" s="1"/>
  <c r="AB28" i="42" s="1"/>
  <c r="AB29" i="42" s="1"/>
  <c r="AB30" i="42" s="1"/>
  <c r="AB31" i="42" s="1"/>
  <c r="AB32" i="42" s="1"/>
  <c r="AB33" i="42" s="1"/>
  <c r="AB34" i="42" s="1"/>
  <c r="AB35" i="42" s="1"/>
  <c r="AB36" i="42" s="1"/>
  <c r="AB37" i="42" s="1"/>
  <c r="AB38" i="42" s="1"/>
  <c r="AB39" i="42" s="1"/>
  <c r="AB40" i="42" s="1"/>
  <c r="AB41" i="42" s="1"/>
  <c r="AB42" i="42" s="1"/>
  <c r="AB43" i="42" s="1"/>
  <c r="AB44" i="42" s="1"/>
  <c r="AB45" i="42" s="1"/>
  <c r="AB46" i="42" s="1"/>
  <c r="AB47" i="42" s="1"/>
  <c r="AB48" i="42" s="1"/>
  <c r="AB49" i="42" s="1"/>
  <c r="AB50" i="42" s="1"/>
  <c r="AB51" i="42" s="1"/>
  <c r="AB52" i="42" s="1"/>
  <c r="AB53" i="42" s="1"/>
  <c r="D6" i="42"/>
  <c r="W9" i="42"/>
  <c r="I9" i="42"/>
  <c r="L9" i="42" s="1"/>
  <c r="O9" i="42" s="1"/>
  <c r="D9" i="42"/>
  <c r="W8" i="42"/>
  <c r="I8" i="42"/>
  <c r="L8" i="42" s="1"/>
  <c r="O8" i="42" s="1"/>
  <c r="D8" i="42"/>
  <c r="W7" i="42"/>
  <c r="I7" i="42"/>
  <c r="L7" i="42" s="1"/>
  <c r="O7" i="42" s="1"/>
  <c r="D7" i="42"/>
  <c r="W6" i="42"/>
  <c r="Q6" i="42"/>
  <c r="I6" i="42"/>
  <c r="H85" i="42"/>
  <c r="S83" i="42"/>
  <c r="H83" i="42"/>
  <c r="E83" i="42"/>
  <c r="D83" i="42"/>
  <c r="S82" i="42"/>
  <c r="H82" i="42"/>
  <c r="E82" i="42"/>
  <c r="K82" i="42" s="1"/>
  <c r="L82" i="42" s="1"/>
  <c r="S81" i="42"/>
  <c r="H81" i="42"/>
  <c r="E81" i="42"/>
  <c r="K81" i="42" s="1"/>
  <c r="S80" i="42"/>
  <c r="S79" i="42"/>
  <c r="H79" i="42"/>
  <c r="N74" i="42"/>
  <c r="M74" i="42"/>
  <c r="W73" i="42"/>
  <c r="I73" i="42"/>
  <c r="D73" i="42"/>
  <c r="W72" i="42"/>
  <c r="I72" i="42"/>
  <c r="D72" i="42"/>
  <c r="W71" i="42"/>
  <c r="I71" i="42"/>
  <c r="D71" i="42"/>
  <c r="W70" i="42"/>
  <c r="I70" i="42"/>
  <c r="D70" i="42"/>
  <c r="W68" i="42"/>
  <c r="I68" i="42"/>
  <c r="W67" i="42"/>
  <c r="I67" i="42"/>
  <c r="D67" i="42"/>
  <c r="W66" i="42"/>
  <c r="I66" i="42"/>
  <c r="D66" i="42"/>
  <c r="W65" i="42"/>
  <c r="I65" i="42"/>
  <c r="W64" i="42"/>
  <c r="I64" i="42"/>
  <c r="W63" i="42"/>
  <c r="I63" i="42"/>
  <c r="W62" i="42"/>
  <c r="I62" i="42"/>
  <c r="W61" i="42"/>
  <c r="I61" i="42"/>
  <c r="W60" i="42"/>
  <c r="I60" i="42"/>
  <c r="I59" i="42"/>
  <c r="I58" i="42"/>
  <c r="I57" i="42"/>
  <c r="I56" i="42"/>
  <c r="I55" i="42"/>
  <c r="I54" i="42"/>
  <c r="H80" i="42"/>
  <c r="D82" i="42"/>
  <c r="D80" i="42"/>
  <c r="D74" i="42" l="1"/>
  <c r="AB54" i="42"/>
  <c r="AB55" i="42" s="1"/>
  <c r="AB56" i="42" s="1"/>
  <c r="AB57" i="42" s="1"/>
  <c r="AB58" i="42" s="1"/>
  <c r="AB59" i="42" s="1"/>
  <c r="AB60" i="42" s="1"/>
  <c r="AB61" i="42" s="1"/>
  <c r="AB62" i="42" s="1"/>
  <c r="AB63" i="42" s="1"/>
  <c r="AB64" i="42" s="1"/>
  <c r="AB65" i="42" s="1"/>
  <c r="AB66" i="42" s="1"/>
  <c r="AB67" i="42" s="1"/>
  <c r="AB68" i="42" s="1"/>
  <c r="AB69" i="42" s="1"/>
  <c r="AB70" i="42" s="1"/>
  <c r="AB71" i="42" s="1"/>
  <c r="AB72" i="42" s="1"/>
  <c r="AB73" i="42" s="1"/>
  <c r="D86" i="42"/>
  <c r="L86" i="42" s="1"/>
  <c r="D81" i="42"/>
  <c r="I81" i="42" s="1"/>
  <c r="AH70" i="42"/>
  <c r="AH71" i="42" s="1"/>
  <c r="AH72" i="42" s="1"/>
  <c r="AH73" i="42" s="1"/>
  <c r="AK70" i="42"/>
  <c r="AK71" i="42" s="1"/>
  <c r="AK72" i="42" s="1"/>
  <c r="AK73" i="42" s="1"/>
  <c r="AE70" i="42"/>
  <c r="AE71" i="42" s="1"/>
  <c r="AE72" i="42" s="1"/>
  <c r="AE73" i="42" s="1"/>
  <c r="Y6" i="42"/>
  <c r="Y7" i="42" s="1"/>
  <c r="Y8" i="42" s="1"/>
  <c r="Y9" i="42" s="1"/>
  <c r="Y10" i="42" s="1"/>
  <c r="Y11" i="42" s="1"/>
  <c r="Y12" i="42" s="1"/>
  <c r="Y13" i="42" s="1"/>
  <c r="Y14" i="42" s="1"/>
  <c r="Y15" i="42" s="1"/>
  <c r="Y16" i="42" s="1"/>
  <c r="Y17" i="42" s="1"/>
  <c r="Y18" i="42" s="1"/>
  <c r="Y19" i="42" s="1"/>
  <c r="Y20" i="42" s="1"/>
  <c r="Y21" i="42" s="1"/>
  <c r="Y22" i="42" s="1"/>
  <c r="Y23" i="42" s="1"/>
  <c r="Y24" i="42" s="1"/>
  <c r="Y25" i="42" s="1"/>
  <c r="Y26" i="42" s="1"/>
  <c r="Y27" i="42" s="1"/>
  <c r="Y28" i="42" s="1"/>
  <c r="Y29" i="42" s="1"/>
  <c r="Y30" i="42" s="1"/>
  <c r="Y31" i="42" s="1"/>
  <c r="Y32" i="42" s="1"/>
  <c r="Y33" i="42" s="1"/>
  <c r="Y34" i="42" s="1"/>
  <c r="Y35" i="42" s="1"/>
  <c r="Y36" i="42" s="1"/>
  <c r="Y37" i="42" s="1"/>
  <c r="Y38" i="42" s="1"/>
  <c r="Y39" i="42" s="1"/>
  <c r="Y40" i="42" s="1"/>
  <c r="Y41" i="42" s="1"/>
  <c r="Y42" i="42" s="1"/>
  <c r="Y43" i="42" s="1"/>
  <c r="Y44" i="42" s="1"/>
  <c r="Y45" i="42" s="1"/>
  <c r="Y46" i="42" s="1"/>
  <c r="Y47" i="42" s="1"/>
  <c r="Y48" i="42" s="1"/>
  <c r="Y49" i="42" s="1"/>
  <c r="Y50" i="42" s="1"/>
  <c r="Y51" i="42" s="1"/>
  <c r="Y52" i="42" s="1"/>
  <c r="Y53" i="42" s="1"/>
  <c r="Y54" i="42" s="1"/>
  <c r="Y55" i="42" s="1"/>
  <c r="Y56" i="42" s="1"/>
  <c r="Y57" i="42" s="1"/>
  <c r="Y58" i="42" s="1"/>
  <c r="Y59" i="42" s="1"/>
  <c r="Y60" i="42" s="1"/>
  <c r="Y61" i="42" s="1"/>
  <c r="Y62" i="42" s="1"/>
  <c r="Y63" i="42" s="1"/>
  <c r="Y64" i="42" s="1"/>
  <c r="Y65" i="42" s="1"/>
  <c r="Y66" i="42" s="1"/>
  <c r="Y67" i="42" s="1"/>
  <c r="Y68" i="42" s="1"/>
  <c r="Q7" i="42"/>
  <c r="Q8" i="42" s="1"/>
  <c r="Q9" i="42" s="1"/>
  <c r="Q10" i="42" s="1"/>
  <c r="Q11" i="42" s="1"/>
  <c r="Q12" i="42" s="1"/>
  <c r="Q13" i="42" s="1"/>
  <c r="Q14" i="42" s="1"/>
  <c r="Q15" i="42" s="1"/>
  <c r="Q16" i="42" s="1"/>
  <c r="Q17" i="42" s="1"/>
  <c r="Q18" i="42" s="1"/>
  <c r="Q19" i="42" s="1"/>
  <c r="Q20" i="42" s="1"/>
  <c r="Q21" i="42" s="1"/>
  <c r="Q22" i="42" s="1"/>
  <c r="Q23" i="42" s="1"/>
  <c r="Q24" i="42" s="1"/>
  <c r="Q25" i="42" s="1"/>
  <c r="Q26" i="42" s="1"/>
  <c r="Q27" i="42" s="1"/>
  <c r="Q28" i="42" s="1"/>
  <c r="Q29" i="42" s="1"/>
  <c r="Q30" i="42" s="1"/>
  <c r="Q31" i="42" s="1"/>
  <c r="Q32" i="42" s="1"/>
  <c r="Q33" i="42" s="1"/>
  <c r="Q34" i="42" s="1"/>
  <c r="Q35" i="42" s="1"/>
  <c r="Q36" i="42" s="1"/>
  <c r="Q37" i="42" s="1"/>
  <c r="Q38" i="42" s="1"/>
  <c r="Q39" i="42" s="1"/>
  <c r="Q40" i="42" s="1"/>
  <c r="Q41" i="42" s="1"/>
  <c r="Q42" i="42" s="1"/>
  <c r="Q43" i="42" s="1"/>
  <c r="Q44" i="42" s="1"/>
  <c r="Q45" i="42" s="1"/>
  <c r="Q46" i="42" s="1"/>
  <c r="Q47" i="42" s="1"/>
  <c r="Q48" i="42" s="1"/>
  <c r="Q49" i="42" s="1"/>
  <c r="Q50" i="42" s="1"/>
  <c r="Q51" i="42" s="1"/>
  <c r="Q52" i="42" s="1"/>
  <c r="Q53" i="42" s="1"/>
  <c r="Q54" i="42" s="1"/>
  <c r="Q55" i="42" s="1"/>
  <c r="Q56" i="42" s="1"/>
  <c r="Q57" i="42" s="1"/>
  <c r="M82" i="42"/>
  <c r="F83" i="42"/>
  <c r="F82" i="42"/>
  <c r="I80" i="42"/>
  <c r="I82" i="42"/>
  <c r="I83" i="42"/>
  <c r="D84" i="42"/>
  <c r="L84" i="42" s="1"/>
  <c r="H86" i="42"/>
  <c r="L74" i="42"/>
  <c r="O75" i="42" s="1"/>
  <c r="L81" i="42"/>
  <c r="M81" i="42" s="1"/>
  <c r="H84" i="42"/>
  <c r="L80" i="42"/>
  <c r="M80" i="42" s="1"/>
  <c r="D85" i="42"/>
  <c r="L85" i="42" s="1"/>
  <c r="M85" i="42" s="1"/>
  <c r="N82" i="42"/>
  <c r="E88" i="42"/>
  <c r="D79" i="42"/>
  <c r="S88" i="42"/>
  <c r="K83" i="42"/>
  <c r="I79" i="42" l="1"/>
  <c r="D88" i="42"/>
  <c r="T83" i="42"/>
  <c r="T80" i="42"/>
  <c r="V79" i="42"/>
  <c r="W79" i="42" s="1"/>
  <c r="T82" i="42"/>
  <c r="T79" i="42"/>
  <c r="T81" i="42"/>
  <c r="I86" i="42"/>
  <c r="N81" i="42"/>
  <c r="F81" i="42"/>
  <c r="F88" i="42" s="1"/>
  <c r="Y69" i="42"/>
  <c r="Y70" i="42" s="1"/>
  <c r="Y71" i="42" s="1"/>
  <c r="Y72" i="42" s="1"/>
  <c r="Y73" i="42" s="1"/>
  <c r="I85" i="42"/>
  <c r="M84" i="42"/>
  <c r="Q58" i="42"/>
  <c r="Q59" i="42" s="1"/>
  <c r="Q60" i="42" s="1"/>
  <c r="Q61" i="42" s="1"/>
  <c r="Q62" i="42" s="1"/>
  <c r="Q63" i="42" s="1"/>
  <c r="Q64" i="42" s="1"/>
  <c r="Q65" i="42" s="1"/>
  <c r="Q66" i="42" s="1"/>
  <c r="Q67" i="42" s="1"/>
  <c r="Q68" i="42" s="1"/>
  <c r="L79" i="42"/>
  <c r="I84" i="42"/>
  <c r="M86" i="42"/>
  <c r="L83" i="42"/>
  <c r="M83" i="42" s="1"/>
  <c r="N83" i="42"/>
  <c r="H88" i="42"/>
  <c r="N88" i="42" l="1"/>
  <c r="T88" i="42"/>
  <c r="Q69" i="42"/>
  <c r="Q70" i="42" s="1"/>
  <c r="Q71" i="42" s="1"/>
  <c r="Q72" i="42" s="1"/>
  <c r="Q73" i="42" s="1"/>
  <c r="L88" i="42"/>
  <c r="M79" i="42"/>
  <c r="M88" i="42" s="1"/>
  <c r="D10" i="41"/>
  <c r="I19" i="40" l="1"/>
  <c r="I20" i="40"/>
  <c r="I30" i="40"/>
  <c r="D21" i="40" l="1"/>
  <c r="D18" i="40" l="1"/>
  <c r="H46" i="41" l="1"/>
  <c r="S44" i="41"/>
  <c r="H44" i="41"/>
  <c r="E44" i="41"/>
  <c r="D44" i="41"/>
  <c r="S43" i="41"/>
  <c r="H43" i="41"/>
  <c r="E43" i="41"/>
  <c r="K43" i="41" s="1"/>
  <c r="S42" i="41"/>
  <c r="H42" i="41"/>
  <c r="E42" i="41"/>
  <c r="S41" i="41"/>
  <c r="S40" i="41"/>
  <c r="H40" i="41"/>
  <c r="N35" i="41"/>
  <c r="M35" i="41"/>
  <c r="W34" i="41"/>
  <c r="O34" i="41"/>
  <c r="I34" i="41"/>
  <c r="D34" i="41"/>
  <c r="D42" i="41" s="1"/>
  <c r="W33" i="41"/>
  <c r="O33" i="41"/>
  <c r="I33" i="41"/>
  <c r="D33" i="41"/>
  <c r="W32" i="41"/>
  <c r="I32" i="41"/>
  <c r="L32" i="41" s="1"/>
  <c r="O32" i="41" s="1"/>
  <c r="D32" i="41"/>
  <c r="W31" i="41"/>
  <c r="I31" i="41"/>
  <c r="L31" i="41" s="1"/>
  <c r="H41" i="41" s="1"/>
  <c r="D31" i="41"/>
  <c r="W30" i="41"/>
  <c r="O30" i="41"/>
  <c r="I30" i="41"/>
  <c r="D30" i="41"/>
  <c r="W29" i="41"/>
  <c r="I29" i="41"/>
  <c r="L29" i="41" s="1"/>
  <c r="O29" i="41" s="1"/>
  <c r="D29" i="41"/>
  <c r="W28" i="41"/>
  <c r="O28" i="41"/>
  <c r="I28" i="41"/>
  <c r="D28" i="41"/>
  <c r="W27" i="41"/>
  <c r="I27" i="41"/>
  <c r="L27" i="41" s="1"/>
  <c r="H45" i="41" s="1"/>
  <c r="D27" i="41"/>
  <c r="W26" i="41"/>
  <c r="O26" i="41"/>
  <c r="I26" i="41"/>
  <c r="D26" i="41"/>
  <c r="W25" i="41"/>
  <c r="O25" i="41"/>
  <c r="I25" i="41"/>
  <c r="D25" i="41"/>
  <c r="D43" i="41" s="1"/>
  <c r="W24" i="41"/>
  <c r="O24" i="41"/>
  <c r="I24" i="41"/>
  <c r="D24" i="41"/>
  <c r="W23" i="41"/>
  <c r="I23" i="41"/>
  <c r="L23" i="41" s="1"/>
  <c r="D23" i="41"/>
  <c r="W22" i="41"/>
  <c r="O22" i="41"/>
  <c r="I22" i="41"/>
  <c r="D22" i="41"/>
  <c r="O21" i="41"/>
  <c r="I21" i="41"/>
  <c r="D21" i="41"/>
  <c r="W20" i="41"/>
  <c r="O20" i="41"/>
  <c r="I20" i="41"/>
  <c r="D20" i="41"/>
  <c r="W19" i="41"/>
  <c r="O19" i="41"/>
  <c r="I19" i="41"/>
  <c r="D19" i="41"/>
  <c r="W18" i="41"/>
  <c r="O18" i="41"/>
  <c r="I18" i="41"/>
  <c r="D18" i="41"/>
  <c r="W17" i="41"/>
  <c r="O17" i="41"/>
  <c r="I17" i="41"/>
  <c r="D17" i="41"/>
  <c r="W16" i="41"/>
  <c r="O16" i="41"/>
  <c r="I16" i="41"/>
  <c r="D16" i="41"/>
  <c r="W15" i="41"/>
  <c r="O15" i="41"/>
  <c r="I15" i="41"/>
  <c r="D15" i="41"/>
  <c r="W14" i="41"/>
  <c r="O14" i="41"/>
  <c r="I14" i="41"/>
  <c r="D14" i="41"/>
  <c r="W13" i="41"/>
  <c r="O13" i="41"/>
  <c r="I13" i="41"/>
  <c r="D13" i="41"/>
  <c r="D40" i="41" s="1"/>
  <c r="L40" i="41" s="1"/>
  <c r="W12" i="41"/>
  <c r="O12" i="41"/>
  <c r="I12" i="41"/>
  <c r="D12" i="41"/>
  <c r="W11" i="41"/>
  <c r="O11" i="41"/>
  <c r="I11" i="41"/>
  <c r="D11" i="41"/>
  <c r="W10" i="41"/>
  <c r="O10" i="41"/>
  <c r="I10" i="41"/>
  <c r="W9" i="41"/>
  <c r="O9" i="41"/>
  <c r="I9" i="41"/>
  <c r="D9" i="41"/>
  <c r="W8" i="41"/>
  <c r="I8" i="41"/>
  <c r="D8" i="41"/>
  <c r="W7" i="41"/>
  <c r="O7" i="41"/>
  <c r="I7" i="41"/>
  <c r="D7" i="41"/>
  <c r="AK6" i="41"/>
  <c r="AK7" i="41" s="1"/>
  <c r="AK8" i="41" s="1"/>
  <c r="AK9" i="41" s="1"/>
  <c r="AK10" i="41" s="1"/>
  <c r="AK11" i="41" s="1"/>
  <c r="AK12" i="41" s="1"/>
  <c r="AK13" i="41" s="1"/>
  <c r="AK14" i="41" s="1"/>
  <c r="AK15" i="41" s="1"/>
  <c r="AK16" i="41" s="1"/>
  <c r="AK17" i="41" s="1"/>
  <c r="AK18" i="41" s="1"/>
  <c r="AK19" i="41" s="1"/>
  <c r="AK20" i="41" s="1"/>
  <c r="AK21" i="41" s="1"/>
  <c r="AK22" i="41" s="1"/>
  <c r="AK23" i="41" s="1"/>
  <c r="AK24" i="41" s="1"/>
  <c r="AK25" i="41" s="1"/>
  <c r="AK26" i="41" s="1"/>
  <c r="AK27" i="41" s="1"/>
  <c r="AK28" i="41" s="1"/>
  <c r="AK29" i="41" s="1"/>
  <c r="AK30" i="41" s="1"/>
  <c r="AK31" i="41" s="1"/>
  <c r="AK32" i="41" s="1"/>
  <c r="AK33" i="41" s="1"/>
  <c r="AK34" i="41" s="1"/>
  <c r="AH6" i="41"/>
  <c r="AH7" i="41" s="1"/>
  <c r="AH8" i="41" s="1"/>
  <c r="AH9" i="41" s="1"/>
  <c r="AH10" i="41" s="1"/>
  <c r="AH11" i="41" s="1"/>
  <c r="AH12" i="41" s="1"/>
  <c r="AH13" i="41" s="1"/>
  <c r="AH14" i="41" s="1"/>
  <c r="AH15" i="41" s="1"/>
  <c r="AH16" i="41" s="1"/>
  <c r="AH17" i="41" s="1"/>
  <c r="AH18" i="41" s="1"/>
  <c r="AH19" i="41" s="1"/>
  <c r="AH20" i="41" s="1"/>
  <c r="AH21" i="41" s="1"/>
  <c r="AH22" i="41" s="1"/>
  <c r="AH23" i="41" s="1"/>
  <c r="AH24" i="41" s="1"/>
  <c r="AH25" i="41" s="1"/>
  <c r="AH26" i="41" s="1"/>
  <c r="AH27" i="41" s="1"/>
  <c r="AH28" i="41" s="1"/>
  <c r="AH29" i="41" s="1"/>
  <c r="AH30" i="41" s="1"/>
  <c r="AH31" i="41" s="1"/>
  <c r="AH32" i="41" s="1"/>
  <c r="AH33" i="41" s="1"/>
  <c r="AH34" i="41" s="1"/>
  <c r="AE6" i="41"/>
  <c r="AE7" i="41" s="1"/>
  <c r="AE8" i="41" s="1"/>
  <c r="AE9" i="41" s="1"/>
  <c r="AE10" i="41" s="1"/>
  <c r="AE11" i="41" s="1"/>
  <c r="AE12" i="41" s="1"/>
  <c r="AE13" i="41" s="1"/>
  <c r="AE14" i="41" s="1"/>
  <c r="AE15" i="41" s="1"/>
  <c r="AE16" i="41" s="1"/>
  <c r="AE17" i="41" s="1"/>
  <c r="AE18" i="41" s="1"/>
  <c r="AE19" i="41" s="1"/>
  <c r="AE20" i="41" s="1"/>
  <c r="AE21" i="41" s="1"/>
  <c r="AE22" i="41" s="1"/>
  <c r="AE23" i="41" s="1"/>
  <c r="AE24" i="41" s="1"/>
  <c r="AE25" i="41" s="1"/>
  <c r="AE26" i="41" s="1"/>
  <c r="AE27" i="41" s="1"/>
  <c r="AE28" i="41" s="1"/>
  <c r="AE29" i="41" s="1"/>
  <c r="AE30" i="41" s="1"/>
  <c r="AE31" i="41" s="1"/>
  <c r="AE32" i="41" s="1"/>
  <c r="AE33" i="41" s="1"/>
  <c r="AE34" i="41" s="1"/>
  <c r="AB6" i="41"/>
  <c r="AB7" i="41" s="1"/>
  <c r="AB8" i="41" s="1"/>
  <c r="AB9" i="41" s="1"/>
  <c r="AB10" i="41" s="1"/>
  <c r="AB11" i="41" s="1"/>
  <c r="AB12" i="41" s="1"/>
  <c r="AB13" i="41" s="1"/>
  <c r="AB14" i="41" s="1"/>
  <c r="AB15" i="41" s="1"/>
  <c r="AB16" i="41" s="1"/>
  <c r="AB17" i="41" s="1"/>
  <c r="AB18" i="41" s="1"/>
  <c r="AB19" i="41" s="1"/>
  <c r="AB20" i="41" s="1"/>
  <c r="AB21" i="41" s="1"/>
  <c r="AB22" i="41" s="1"/>
  <c r="AB23" i="41" s="1"/>
  <c r="AB24" i="41" s="1"/>
  <c r="AB25" i="41" s="1"/>
  <c r="AB26" i="41" s="1"/>
  <c r="AB27" i="41" s="1"/>
  <c r="AB28" i="41" s="1"/>
  <c r="AB29" i="41" s="1"/>
  <c r="AB30" i="41" s="1"/>
  <c r="AB31" i="41" s="1"/>
  <c r="AB32" i="41" s="1"/>
  <c r="AB33" i="41" s="1"/>
  <c r="AB34" i="41" s="1"/>
  <c r="W6" i="41"/>
  <c r="Y6" i="41" s="1"/>
  <c r="Q6" i="41"/>
  <c r="Q7" i="41" s="1"/>
  <c r="I6" i="41"/>
  <c r="D6" i="41"/>
  <c r="O6" i="38"/>
  <c r="Q6" i="38" s="1"/>
  <c r="O6" i="37"/>
  <c r="Q6" i="37" s="1"/>
  <c r="O8" i="36"/>
  <c r="O6" i="36"/>
  <c r="Q6" i="36" s="1"/>
  <c r="O7" i="36"/>
  <c r="O10" i="36"/>
  <c r="O12" i="36"/>
  <c r="O16" i="36"/>
  <c r="D46" i="41" l="1"/>
  <c r="L46" i="41" s="1"/>
  <c r="M46" i="41" s="1"/>
  <c r="D35" i="41"/>
  <c r="D47" i="41"/>
  <c r="L47" i="41" s="1"/>
  <c r="H47" i="41"/>
  <c r="M47" i="41" s="1"/>
  <c r="D41" i="41"/>
  <c r="D45" i="41"/>
  <c r="L45" i="41" s="1"/>
  <c r="M45" i="41" s="1"/>
  <c r="O23" i="41"/>
  <c r="O27" i="41"/>
  <c r="O31" i="41"/>
  <c r="L35" i="41"/>
  <c r="O36" i="41" s="1"/>
  <c r="Y7" i="41"/>
  <c r="Y8" i="41" s="1"/>
  <c r="Y9" i="41" s="1"/>
  <c r="Y10" i="41" s="1"/>
  <c r="Y11" i="41" s="1"/>
  <c r="Y12" i="41" s="1"/>
  <c r="Y13" i="41" s="1"/>
  <c r="Y14" i="41" s="1"/>
  <c r="Y15" i="41" s="1"/>
  <c r="Y16" i="41" s="1"/>
  <c r="Y17" i="41" s="1"/>
  <c r="Y18" i="41" s="1"/>
  <c r="Y19" i="41" s="1"/>
  <c r="Y20" i="41" s="1"/>
  <c r="Y21" i="41" s="1"/>
  <c r="Y22" i="41" s="1"/>
  <c r="Y23" i="41" s="1"/>
  <c r="Y24" i="41" s="1"/>
  <c r="Y25" i="41" s="1"/>
  <c r="Y26" i="41" s="1"/>
  <c r="Y27" i="41" s="1"/>
  <c r="Y28" i="41" s="1"/>
  <c r="Y29" i="41" s="1"/>
  <c r="Y30" i="41" s="1"/>
  <c r="Y31" i="41" s="1"/>
  <c r="Y32" i="41" s="1"/>
  <c r="Y33" i="41" s="1"/>
  <c r="Y34" i="41" s="1"/>
  <c r="F43" i="41"/>
  <c r="F42" i="41"/>
  <c r="N43" i="41"/>
  <c r="I42" i="41"/>
  <c r="F44" i="41"/>
  <c r="I43" i="41"/>
  <c r="I44" i="41"/>
  <c r="Q8" i="41"/>
  <c r="Q9" i="41" s="1"/>
  <c r="Q10" i="41" s="1"/>
  <c r="Q11" i="41" s="1"/>
  <c r="Q12" i="41" s="1"/>
  <c r="Q13" i="41" s="1"/>
  <c r="Q14" i="41" s="1"/>
  <c r="Q15" i="41" s="1"/>
  <c r="Q16" i="41" s="1"/>
  <c r="Q17" i="41" s="1"/>
  <c r="Q18" i="41" s="1"/>
  <c r="Q19" i="41" s="1"/>
  <c r="Q20" i="41" s="1"/>
  <c r="Q21" i="41" s="1"/>
  <c r="Q22" i="41" s="1"/>
  <c r="I40" i="41"/>
  <c r="L43" i="41"/>
  <c r="M43" i="41" s="1"/>
  <c r="E49" i="41"/>
  <c r="S49" i="41"/>
  <c r="K42" i="41"/>
  <c r="K44" i="41"/>
  <c r="M40" i="41"/>
  <c r="Q7" i="36"/>
  <c r="Q8" i="36" s="1"/>
  <c r="Q23" i="41" l="1"/>
  <c r="Q24" i="41" s="1"/>
  <c r="Q25" i="41" s="1"/>
  <c r="Q26" i="41" s="1"/>
  <c r="Q27" i="41" s="1"/>
  <c r="Q28" i="41" s="1"/>
  <c r="Q29" i="41" s="1"/>
  <c r="Q30" i="41" s="1"/>
  <c r="Q31" i="41" s="1"/>
  <c r="Q32" i="41" s="1"/>
  <c r="Q33" i="41" s="1"/>
  <c r="Q34" i="41" s="1"/>
  <c r="I46" i="41"/>
  <c r="T41" i="41"/>
  <c r="H49" i="41"/>
  <c r="I47" i="41"/>
  <c r="I45" i="41"/>
  <c r="T40" i="41"/>
  <c r="T44" i="41"/>
  <c r="V40" i="41"/>
  <c r="W40" i="41" s="1"/>
  <c r="T43" i="41"/>
  <c r="D49" i="41"/>
  <c r="L41" i="41"/>
  <c r="M41" i="41" s="1"/>
  <c r="I41" i="41"/>
  <c r="T42" i="41"/>
  <c r="F49" i="41"/>
  <c r="L44" i="41"/>
  <c r="M44" i="41" s="1"/>
  <c r="N44" i="41"/>
  <c r="N42" i="41"/>
  <c r="L42" i="41"/>
  <c r="T49" i="41" l="1"/>
  <c r="N49" i="41"/>
  <c r="M42" i="41"/>
  <c r="M49" i="41" s="1"/>
  <c r="L49" i="41"/>
  <c r="O70" i="7" l="1"/>
  <c r="O6" i="7"/>
  <c r="Q6" i="7" s="1"/>
  <c r="O10" i="5"/>
  <c r="O6" i="5"/>
  <c r="Q6" i="5" s="1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9" i="5"/>
  <c r="O8" i="5"/>
  <c r="O7" i="5"/>
  <c r="D353" i="16"/>
  <c r="O50" i="4"/>
  <c r="O6" i="4"/>
  <c r="Q6" i="4" s="1"/>
  <c r="O51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W9" i="1"/>
  <c r="W6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W11" i="1"/>
  <c r="W10" i="1"/>
  <c r="W8" i="1"/>
  <c r="W7" i="1"/>
  <c r="O6" i="1"/>
  <c r="Q6" i="1" s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AK6" i="3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H6" i="3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AH19" i="3" s="1"/>
  <c r="AH20" i="3" s="1"/>
  <c r="AH21" i="3" s="1"/>
  <c r="AH22" i="3" s="1"/>
  <c r="AH23" i="3" s="1"/>
  <c r="AH24" i="3" s="1"/>
  <c r="AH25" i="3" s="1"/>
  <c r="AH26" i="3" s="1"/>
  <c r="AH27" i="3" s="1"/>
  <c r="AH28" i="3" s="1"/>
  <c r="AH29" i="3" s="1"/>
  <c r="AH30" i="3" s="1"/>
  <c r="AH31" i="3" s="1"/>
  <c r="AH32" i="3" s="1"/>
  <c r="AH33" i="3" s="1"/>
  <c r="AH34" i="3" s="1"/>
  <c r="AH35" i="3" s="1"/>
  <c r="AH36" i="3" s="1"/>
  <c r="AH37" i="3" s="1"/>
  <c r="AH38" i="3" s="1"/>
  <c r="AH39" i="3" s="1"/>
  <c r="AH40" i="3" s="1"/>
  <c r="AH41" i="3" s="1"/>
  <c r="AH42" i="3" s="1"/>
  <c r="AH43" i="3" s="1"/>
  <c r="AH44" i="3" s="1"/>
  <c r="AH45" i="3" s="1"/>
  <c r="AE6" i="3"/>
  <c r="AE7" i="3" s="1"/>
  <c r="AE8" i="3" s="1"/>
  <c r="AE9" i="3" s="1"/>
  <c r="AE10" i="3" s="1"/>
  <c r="AE11" i="3" s="1"/>
  <c r="AE12" i="3" s="1"/>
  <c r="AE13" i="3" s="1"/>
  <c r="AE14" i="3" s="1"/>
  <c r="AE15" i="3" s="1"/>
  <c r="AE16" i="3" s="1"/>
  <c r="AE17" i="3" s="1"/>
  <c r="AE18" i="3" s="1"/>
  <c r="AE19" i="3" s="1"/>
  <c r="AE20" i="3" s="1"/>
  <c r="AE21" i="3" s="1"/>
  <c r="AB6" i="3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6" i="6"/>
  <c r="W37" i="3"/>
  <c r="W36" i="3"/>
  <c r="W35" i="3"/>
  <c r="W34" i="3"/>
  <c r="W33" i="3"/>
  <c r="W32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W13" i="3"/>
  <c r="W12" i="3"/>
  <c r="W11" i="3"/>
  <c r="W10" i="3"/>
  <c r="W9" i="3"/>
  <c r="W8" i="3"/>
  <c r="W7" i="3"/>
  <c r="W6" i="3"/>
  <c r="Y6" i="3" s="1"/>
  <c r="W76" i="3"/>
  <c r="W75" i="3"/>
  <c r="W74" i="3"/>
  <c r="W73" i="3"/>
  <c r="W72" i="3"/>
  <c r="W71" i="3"/>
  <c r="W70" i="3"/>
  <c r="W69" i="3"/>
  <c r="W68" i="3"/>
  <c r="W67" i="3"/>
  <c r="W66" i="3"/>
  <c r="W65" i="3"/>
  <c r="W64" i="3"/>
  <c r="W63" i="3"/>
  <c r="W62" i="3"/>
  <c r="W61" i="3"/>
  <c r="W60" i="3"/>
  <c r="W59" i="3"/>
  <c r="W58" i="3"/>
  <c r="W57" i="3"/>
  <c r="W56" i="3"/>
  <c r="W55" i="3"/>
  <c r="W54" i="3"/>
  <c r="W53" i="3"/>
  <c r="W52" i="3"/>
  <c r="W51" i="3"/>
  <c r="W50" i="3"/>
  <c r="W49" i="3"/>
  <c r="W48" i="3"/>
  <c r="W47" i="3"/>
  <c r="W46" i="3"/>
  <c r="W45" i="3"/>
  <c r="W44" i="3"/>
  <c r="W43" i="3"/>
  <c r="W42" i="3"/>
  <c r="W41" i="3"/>
  <c r="W40" i="3"/>
  <c r="W39" i="3"/>
  <c r="W38" i="3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Q7" i="5" l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AE22" i="3"/>
  <c r="AE23" i="3" s="1"/>
  <c r="AE24" i="3" s="1"/>
  <c r="AE25" i="3" s="1"/>
  <c r="AE26" i="3" s="1"/>
  <c r="AE27" i="3" s="1"/>
  <c r="AE28" i="3" s="1"/>
  <c r="AE29" i="3" s="1"/>
  <c r="AE30" i="3" s="1"/>
  <c r="AE31" i="3" s="1"/>
  <c r="AE32" i="3" s="1"/>
  <c r="AE33" i="3" s="1"/>
  <c r="AE34" i="3" s="1"/>
  <c r="AE35" i="3" s="1"/>
  <c r="AE36" i="3" s="1"/>
  <c r="AE37" i="3" s="1"/>
  <c r="AE38" i="3" s="1"/>
  <c r="AE39" i="3" s="1"/>
  <c r="AE40" i="3" s="1"/>
  <c r="AE41" i="3" s="1"/>
  <c r="AE42" i="3" s="1"/>
  <c r="AE43" i="3" s="1"/>
  <c r="AE44" i="3" s="1"/>
  <c r="AE45" i="3" s="1"/>
  <c r="AE46" i="3" s="1"/>
  <c r="AE47" i="3" s="1"/>
  <c r="AE48" i="3" s="1"/>
  <c r="AE49" i="3" s="1"/>
  <c r="AE50" i="3" s="1"/>
  <c r="AE51" i="3" s="1"/>
  <c r="AE52" i="3" s="1"/>
  <c r="AE53" i="3" s="1"/>
  <c r="AE54" i="3" s="1"/>
  <c r="AE55" i="3" s="1"/>
  <c r="AE56" i="3" s="1"/>
  <c r="AE57" i="3" s="1"/>
  <c r="AE58" i="3" s="1"/>
  <c r="AE59" i="3" s="1"/>
  <c r="AE60" i="3" s="1"/>
  <c r="AE61" i="3" s="1"/>
  <c r="AE62" i="3" s="1"/>
  <c r="AE63" i="3" s="1"/>
  <c r="AE64" i="3" s="1"/>
  <c r="AE65" i="3" s="1"/>
  <c r="AE66" i="3" s="1"/>
  <c r="AE67" i="3" s="1"/>
  <c r="AE68" i="3" s="1"/>
  <c r="AE69" i="3" s="1"/>
  <c r="AE70" i="3" s="1"/>
  <c r="AE71" i="3" s="1"/>
  <c r="AE72" i="3" s="1"/>
  <c r="AE73" i="3" s="1"/>
  <c r="AE74" i="3" s="1"/>
  <c r="AE75" i="3" s="1"/>
  <c r="AE76" i="3" s="1"/>
  <c r="Y7" i="3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Q6" i="3" s="1"/>
  <c r="AK48" i="3"/>
  <c r="AK49" i="3" s="1"/>
  <c r="AK50" i="3" s="1"/>
  <c r="AK51" i="3" s="1"/>
  <c r="AK52" i="3" s="1"/>
  <c r="AK53" i="3" s="1"/>
  <c r="AK54" i="3" s="1"/>
  <c r="AK55" i="3" s="1"/>
  <c r="AK56" i="3" s="1"/>
  <c r="AK57" i="3" s="1"/>
  <c r="Q7" i="3" l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Q24" i="3" s="1"/>
  <c r="Q25" i="3" s="1"/>
  <c r="Q26" i="3" s="1"/>
  <c r="Q27" i="3" s="1"/>
  <c r="Q28" i="3" s="1"/>
  <c r="Q29" i="3" s="1"/>
  <c r="Q30" i="3" s="1"/>
  <c r="Q31" i="3" s="1"/>
  <c r="Q32" i="3" s="1"/>
  <c r="Q33" i="3" s="1"/>
  <c r="Q34" i="3" s="1"/>
  <c r="Q35" i="3" s="1"/>
  <c r="Q36" i="3" s="1"/>
  <c r="Q37" i="3" s="1"/>
  <c r="Q38" i="3" s="1"/>
  <c r="Q39" i="3" s="1"/>
  <c r="Q40" i="3" s="1"/>
  <c r="Q41" i="3" s="1"/>
  <c r="Q42" i="3" s="1"/>
  <c r="Q43" i="3" s="1"/>
  <c r="Q44" i="3" s="1"/>
  <c r="Q45" i="3" s="1"/>
  <c r="Q46" i="3" s="1"/>
  <c r="Q47" i="3" s="1"/>
  <c r="Q48" i="3" s="1"/>
  <c r="Q49" i="3" s="1"/>
  <c r="Q50" i="3" s="1"/>
  <c r="Q51" i="3" s="1"/>
  <c r="Q52" i="3" s="1"/>
  <c r="Q53" i="3" s="1"/>
  <c r="Q54" i="3" s="1"/>
  <c r="Q55" i="3" s="1"/>
  <c r="Q56" i="3" s="1"/>
  <c r="Q57" i="3" s="1"/>
  <c r="Q58" i="3" s="1"/>
  <c r="Q59" i="3" s="1"/>
  <c r="Q60" i="3" s="1"/>
  <c r="Q61" i="3" s="1"/>
  <c r="Q62" i="3" s="1"/>
  <c r="Q63" i="3" s="1"/>
  <c r="Q64" i="3" s="1"/>
  <c r="Q65" i="3" s="1"/>
  <c r="Q66" i="3" s="1"/>
  <c r="Q67" i="3" s="1"/>
  <c r="Q68" i="3" s="1"/>
  <c r="Q69" i="3" s="1"/>
  <c r="Q70" i="3" s="1"/>
  <c r="Q71" i="3" s="1"/>
  <c r="Q72" i="3" s="1"/>
  <c r="Q73" i="3" s="1"/>
  <c r="Q74" i="3" s="1"/>
  <c r="Q75" i="3" s="1"/>
  <c r="Q76" i="3" s="1"/>
  <c r="O40" i="39"/>
  <c r="D13" i="3" l="1"/>
  <c r="AK58" i="3"/>
  <c r="AK59" i="3" s="1"/>
  <c r="AK60" i="3" s="1"/>
  <c r="AK61" i="3" s="1"/>
  <c r="D6" i="39" l="1"/>
  <c r="D58" i="39"/>
  <c r="D57" i="39"/>
  <c r="D56" i="39"/>
  <c r="D55" i="39"/>
  <c r="D54" i="39"/>
  <c r="D53" i="39"/>
  <c r="D52" i="39"/>
  <c r="D51" i="39"/>
  <c r="D50" i="39"/>
  <c r="D49" i="39"/>
  <c r="D48" i="39"/>
  <c r="D47" i="39"/>
  <c r="D46" i="39"/>
  <c r="D45" i="39"/>
  <c r="D44" i="39"/>
  <c r="D43" i="39"/>
  <c r="D42" i="39"/>
  <c r="D41" i="39"/>
  <c r="D40" i="39"/>
  <c r="D39" i="39"/>
  <c r="D38" i="39"/>
  <c r="D37" i="39"/>
  <c r="D36" i="39"/>
  <c r="D35" i="39"/>
  <c r="D34" i="39"/>
  <c r="D33" i="39"/>
  <c r="D32" i="39"/>
  <c r="D31" i="39"/>
  <c r="D30" i="39"/>
  <c r="D29" i="39"/>
  <c r="D28" i="39"/>
  <c r="D27" i="39"/>
  <c r="D26" i="39"/>
  <c r="D25" i="39"/>
  <c r="D24" i="39"/>
  <c r="D23" i="39"/>
  <c r="D22" i="39"/>
  <c r="D21" i="39"/>
  <c r="D20" i="39"/>
  <c r="D19" i="39"/>
  <c r="D18" i="39"/>
  <c r="D17" i="39"/>
  <c r="D16" i="39"/>
  <c r="D15" i="39"/>
  <c r="D14" i="39"/>
  <c r="D13" i="39"/>
  <c r="D12" i="39"/>
  <c r="D11" i="39"/>
  <c r="D10" i="39"/>
  <c r="D9" i="39"/>
  <c r="D8" i="39"/>
  <c r="D7" i="39"/>
  <c r="D6" i="38"/>
  <c r="D73" i="38"/>
  <c r="D72" i="38"/>
  <c r="D71" i="38"/>
  <c r="D70" i="38"/>
  <c r="D69" i="38"/>
  <c r="D68" i="38"/>
  <c r="D67" i="38"/>
  <c r="D66" i="38"/>
  <c r="D65" i="38"/>
  <c r="D64" i="38"/>
  <c r="D63" i="38"/>
  <c r="D62" i="38"/>
  <c r="D61" i="38"/>
  <c r="D60" i="38"/>
  <c r="D59" i="38"/>
  <c r="D58" i="38"/>
  <c r="D57" i="38"/>
  <c r="D56" i="38"/>
  <c r="D55" i="38"/>
  <c r="D54" i="38"/>
  <c r="D53" i="38"/>
  <c r="D52" i="38"/>
  <c r="D51" i="38"/>
  <c r="D50" i="38"/>
  <c r="D49" i="38"/>
  <c r="D48" i="38"/>
  <c r="D47" i="38"/>
  <c r="D46" i="38"/>
  <c r="D45" i="38"/>
  <c r="D44" i="38"/>
  <c r="D43" i="38"/>
  <c r="D42" i="38"/>
  <c r="D41" i="38"/>
  <c r="D40" i="38"/>
  <c r="D39" i="38"/>
  <c r="D38" i="38"/>
  <c r="D37" i="38"/>
  <c r="D36" i="38"/>
  <c r="D35" i="38"/>
  <c r="D34" i="38"/>
  <c r="D33" i="38"/>
  <c r="D32" i="38"/>
  <c r="D31" i="38"/>
  <c r="D30" i="38"/>
  <c r="D29" i="38"/>
  <c r="D28" i="38"/>
  <c r="D27" i="38"/>
  <c r="D26" i="38"/>
  <c r="D25" i="38"/>
  <c r="D24" i="38"/>
  <c r="D23" i="38"/>
  <c r="D22" i="38"/>
  <c r="D21" i="38"/>
  <c r="D20" i="38"/>
  <c r="D19" i="38"/>
  <c r="D18" i="38"/>
  <c r="D17" i="38"/>
  <c r="D16" i="38"/>
  <c r="D15" i="38"/>
  <c r="D14" i="38"/>
  <c r="D13" i="38"/>
  <c r="D12" i="38"/>
  <c r="D11" i="38"/>
  <c r="D10" i="38"/>
  <c r="D9" i="38"/>
  <c r="D8" i="38"/>
  <c r="D7" i="38"/>
  <c r="D6" i="37"/>
  <c r="D7" i="37"/>
  <c r="D52" i="37"/>
  <c r="D51" i="37"/>
  <c r="D50" i="37"/>
  <c r="D49" i="37"/>
  <c r="D48" i="37"/>
  <c r="D47" i="37"/>
  <c r="D46" i="37"/>
  <c r="D45" i="37"/>
  <c r="D44" i="37"/>
  <c r="D43" i="37"/>
  <c r="D42" i="37"/>
  <c r="D41" i="37"/>
  <c r="D40" i="37"/>
  <c r="D39" i="37"/>
  <c r="D38" i="37"/>
  <c r="D37" i="37"/>
  <c r="D36" i="37"/>
  <c r="D35" i="37"/>
  <c r="D34" i="37"/>
  <c r="D33" i="37"/>
  <c r="D32" i="37"/>
  <c r="D31" i="37"/>
  <c r="D30" i="37"/>
  <c r="D29" i="37"/>
  <c r="D28" i="37"/>
  <c r="D27" i="37"/>
  <c r="D26" i="37"/>
  <c r="D25" i="37"/>
  <c r="D24" i="37"/>
  <c r="D23" i="37"/>
  <c r="D22" i="37"/>
  <c r="D21" i="37"/>
  <c r="D20" i="37"/>
  <c r="D19" i="37"/>
  <c r="D18" i="37"/>
  <c r="D17" i="37"/>
  <c r="D16" i="37"/>
  <c r="D15" i="37"/>
  <c r="D14" i="37"/>
  <c r="D13" i="37"/>
  <c r="D12" i="37"/>
  <c r="D11" i="37"/>
  <c r="D10" i="37"/>
  <c r="D9" i="37"/>
  <c r="D8" i="37"/>
  <c r="D6" i="36"/>
  <c r="D44" i="36"/>
  <c r="D43" i="36"/>
  <c r="D42" i="36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D9" i="36"/>
  <c r="D8" i="36"/>
  <c r="D7" i="36"/>
  <c r="D6" i="7"/>
  <c r="D6" i="6"/>
  <c r="D6" i="5"/>
  <c r="D6" i="4"/>
  <c r="D6" i="1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2" i="3"/>
  <c r="D11" i="3"/>
  <c r="D10" i="3"/>
  <c r="D9" i="3"/>
  <c r="D8" i="3"/>
  <c r="D7" i="3"/>
  <c r="D6" i="3"/>
  <c r="I7" i="3" l="1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D82" i="3"/>
  <c r="H89" i="3"/>
  <c r="H88" i="3"/>
  <c r="H87" i="3"/>
  <c r="S86" i="3"/>
  <c r="H86" i="3"/>
  <c r="E86" i="3"/>
  <c r="D86" i="3"/>
  <c r="S85" i="3"/>
  <c r="H85" i="3"/>
  <c r="E85" i="3"/>
  <c r="S84" i="3"/>
  <c r="H84" i="3"/>
  <c r="E84" i="3"/>
  <c r="S83" i="3"/>
  <c r="H83" i="3"/>
  <c r="S82" i="3"/>
  <c r="H82" i="3"/>
  <c r="D6" i="40" l="1"/>
  <c r="D8" i="40" l="1"/>
  <c r="D9" i="40"/>
  <c r="D10" i="40"/>
  <c r="D11" i="40"/>
  <c r="D12" i="40"/>
  <c r="D13" i="40"/>
  <c r="D14" i="40"/>
  <c r="D15" i="40"/>
  <c r="D16" i="40"/>
  <c r="D17" i="40"/>
  <c r="D19" i="40"/>
  <c r="D20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7" i="40"/>
  <c r="H53" i="40"/>
  <c r="H52" i="40"/>
  <c r="H51" i="40"/>
  <c r="S50" i="40"/>
  <c r="H50" i="40"/>
  <c r="E50" i="40"/>
  <c r="D50" i="40"/>
  <c r="S49" i="40"/>
  <c r="H49" i="40"/>
  <c r="E49" i="40"/>
  <c r="K49" i="40" s="1"/>
  <c r="S48" i="40"/>
  <c r="H48" i="40"/>
  <c r="E48" i="40"/>
  <c r="K48" i="40" s="1"/>
  <c r="L48" i="40" s="1"/>
  <c r="S47" i="40"/>
  <c r="H47" i="40"/>
  <c r="S46" i="40"/>
  <c r="H46" i="40"/>
  <c r="N41" i="40"/>
  <c r="M41" i="40"/>
  <c r="L41" i="40"/>
  <c r="D48" i="40"/>
  <c r="W40" i="40"/>
  <c r="O40" i="40"/>
  <c r="I40" i="40"/>
  <c r="W39" i="40"/>
  <c r="O39" i="40"/>
  <c r="I39" i="40"/>
  <c r="W38" i="40"/>
  <c r="O38" i="40"/>
  <c r="I38" i="40"/>
  <c r="W37" i="40"/>
  <c r="O37" i="40"/>
  <c r="I37" i="40"/>
  <c r="W36" i="40"/>
  <c r="O36" i="40"/>
  <c r="I36" i="40"/>
  <c r="W35" i="40"/>
  <c r="O35" i="40"/>
  <c r="I35" i="40"/>
  <c r="W34" i="40"/>
  <c r="O34" i="40"/>
  <c r="I34" i="40"/>
  <c r="W33" i="40"/>
  <c r="O33" i="40"/>
  <c r="I33" i="40"/>
  <c r="W32" i="40"/>
  <c r="O32" i="40"/>
  <c r="I32" i="40"/>
  <c r="W31" i="40"/>
  <c r="O31" i="40"/>
  <c r="I31" i="40"/>
  <c r="W30" i="40"/>
  <c r="O30" i="40"/>
  <c r="W29" i="40"/>
  <c r="O29" i="40"/>
  <c r="I29" i="40"/>
  <c r="W28" i="40"/>
  <c r="O28" i="40"/>
  <c r="I28" i="40"/>
  <c r="W27" i="40"/>
  <c r="O27" i="40"/>
  <c r="I27" i="40"/>
  <c r="W26" i="40"/>
  <c r="O26" i="40"/>
  <c r="I26" i="40"/>
  <c r="W25" i="40"/>
  <c r="O25" i="40"/>
  <c r="I25" i="40"/>
  <c r="W24" i="40"/>
  <c r="O24" i="40"/>
  <c r="I24" i="40"/>
  <c r="W23" i="40"/>
  <c r="O23" i="40"/>
  <c r="I23" i="40"/>
  <c r="W22" i="40"/>
  <c r="O22" i="40"/>
  <c r="I22" i="40"/>
  <c r="W21" i="40"/>
  <c r="O21" i="40"/>
  <c r="I21" i="40"/>
  <c r="W20" i="40"/>
  <c r="O20" i="40"/>
  <c r="W19" i="40"/>
  <c r="O19" i="40"/>
  <c r="W18" i="40"/>
  <c r="O18" i="40"/>
  <c r="I18" i="40"/>
  <c r="W17" i="40"/>
  <c r="O17" i="40"/>
  <c r="I17" i="40"/>
  <c r="W16" i="40"/>
  <c r="O16" i="40"/>
  <c r="I16" i="40"/>
  <c r="W15" i="40"/>
  <c r="O15" i="40"/>
  <c r="I15" i="40"/>
  <c r="W14" i="40"/>
  <c r="O14" i="40"/>
  <c r="I14" i="40"/>
  <c r="W13" i="40"/>
  <c r="O13" i="40"/>
  <c r="I13" i="40"/>
  <c r="W12" i="40"/>
  <c r="O12" i="40"/>
  <c r="I12" i="40"/>
  <c r="W11" i="40"/>
  <c r="O11" i="40"/>
  <c r="I11" i="40"/>
  <c r="W10" i="40"/>
  <c r="O10" i="40"/>
  <c r="I10" i="40"/>
  <c r="W9" i="40"/>
  <c r="O9" i="40"/>
  <c r="I9" i="40"/>
  <c r="W8" i="40"/>
  <c r="O8" i="40"/>
  <c r="I8" i="40"/>
  <c r="W7" i="40"/>
  <c r="O7" i="40"/>
  <c r="I7" i="40"/>
  <c r="AK6" i="40"/>
  <c r="AK7" i="40" s="1"/>
  <c r="AK8" i="40" s="1"/>
  <c r="AK9" i="40" s="1"/>
  <c r="AK10" i="40" s="1"/>
  <c r="AK11" i="40" s="1"/>
  <c r="AK12" i="40" s="1"/>
  <c r="AK13" i="40" s="1"/>
  <c r="AK14" i="40" s="1"/>
  <c r="AK15" i="40" s="1"/>
  <c r="AK16" i="40" s="1"/>
  <c r="AK17" i="40" s="1"/>
  <c r="AK18" i="40" s="1"/>
  <c r="AK19" i="40" s="1"/>
  <c r="AK20" i="40" s="1"/>
  <c r="AK21" i="40" s="1"/>
  <c r="AK22" i="40" s="1"/>
  <c r="AK23" i="40" s="1"/>
  <c r="AK24" i="40" s="1"/>
  <c r="AK25" i="40" s="1"/>
  <c r="AK26" i="40" s="1"/>
  <c r="AK27" i="40" s="1"/>
  <c r="AK28" i="40" s="1"/>
  <c r="AK29" i="40" s="1"/>
  <c r="AK30" i="40" s="1"/>
  <c r="AK31" i="40" s="1"/>
  <c r="AK32" i="40" s="1"/>
  <c r="AK33" i="40" s="1"/>
  <c r="AK34" i="40" s="1"/>
  <c r="AK35" i="40" s="1"/>
  <c r="AK36" i="40" s="1"/>
  <c r="AK37" i="40" s="1"/>
  <c r="AK38" i="40" s="1"/>
  <c r="AK39" i="40" s="1"/>
  <c r="AK40" i="40" s="1"/>
  <c r="AH6" i="40"/>
  <c r="AH7" i="40" s="1"/>
  <c r="AH8" i="40" s="1"/>
  <c r="AH9" i="40" s="1"/>
  <c r="AH10" i="40" s="1"/>
  <c r="AH11" i="40" s="1"/>
  <c r="AH12" i="40" s="1"/>
  <c r="AH13" i="40" s="1"/>
  <c r="AH14" i="40" s="1"/>
  <c r="AH15" i="40" s="1"/>
  <c r="AH16" i="40" s="1"/>
  <c r="AH17" i="40" s="1"/>
  <c r="AH18" i="40" s="1"/>
  <c r="AH19" i="40" s="1"/>
  <c r="AH20" i="40" s="1"/>
  <c r="AH21" i="40" s="1"/>
  <c r="AH22" i="40" s="1"/>
  <c r="AH23" i="40" s="1"/>
  <c r="AH24" i="40" s="1"/>
  <c r="AH25" i="40" s="1"/>
  <c r="AH26" i="40" s="1"/>
  <c r="AH27" i="40" s="1"/>
  <c r="AH28" i="40" s="1"/>
  <c r="AH29" i="40" s="1"/>
  <c r="AH30" i="40" s="1"/>
  <c r="AH31" i="40" s="1"/>
  <c r="AH32" i="40" s="1"/>
  <c r="AH33" i="40" s="1"/>
  <c r="AH34" i="40" s="1"/>
  <c r="AH35" i="40" s="1"/>
  <c r="AH36" i="40" s="1"/>
  <c r="AH37" i="40" s="1"/>
  <c r="AH38" i="40" s="1"/>
  <c r="AH39" i="40" s="1"/>
  <c r="AH40" i="40" s="1"/>
  <c r="AE6" i="40"/>
  <c r="AE7" i="40" s="1"/>
  <c r="AE8" i="40" s="1"/>
  <c r="AE9" i="40" s="1"/>
  <c r="AE10" i="40" s="1"/>
  <c r="AE11" i="40" s="1"/>
  <c r="AE12" i="40" s="1"/>
  <c r="AE13" i="40" s="1"/>
  <c r="AE14" i="40" s="1"/>
  <c r="AE15" i="40" s="1"/>
  <c r="AE16" i="40" s="1"/>
  <c r="AE17" i="40" s="1"/>
  <c r="AE18" i="40" s="1"/>
  <c r="AE19" i="40" s="1"/>
  <c r="AE20" i="40" s="1"/>
  <c r="AE21" i="40" s="1"/>
  <c r="AE22" i="40" s="1"/>
  <c r="AE23" i="40" s="1"/>
  <c r="AE24" i="40" s="1"/>
  <c r="AE25" i="40" s="1"/>
  <c r="AE26" i="40" s="1"/>
  <c r="AE27" i="40" s="1"/>
  <c r="AE28" i="40" s="1"/>
  <c r="AE29" i="40" s="1"/>
  <c r="AE30" i="40" s="1"/>
  <c r="AE31" i="40" s="1"/>
  <c r="AE32" i="40" s="1"/>
  <c r="AE33" i="40" s="1"/>
  <c r="AE34" i="40" s="1"/>
  <c r="AE35" i="40" s="1"/>
  <c r="AE36" i="40" s="1"/>
  <c r="AE37" i="40" s="1"/>
  <c r="AE38" i="40" s="1"/>
  <c r="AE39" i="40" s="1"/>
  <c r="AE40" i="40" s="1"/>
  <c r="AB6" i="40"/>
  <c r="AB7" i="40" s="1"/>
  <c r="AB8" i="40" s="1"/>
  <c r="AB9" i="40" s="1"/>
  <c r="AB10" i="40" s="1"/>
  <c r="AB11" i="40" s="1"/>
  <c r="AB12" i="40" s="1"/>
  <c r="AB13" i="40" s="1"/>
  <c r="AB14" i="40" s="1"/>
  <c r="AB15" i="40" s="1"/>
  <c r="AB16" i="40" s="1"/>
  <c r="AB17" i="40" s="1"/>
  <c r="AB18" i="40" s="1"/>
  <c r="AB19" i="40" s="1"/>
  <c r="AB20" i="40" s="1"/>
  <c r="AB21" i="40" s="1"/>
  <c r="AB22" i="40" s="1"/>
  <c r="AB23" i="40" s="1"/>
  <c r="AB24" i="40" s="1"/>
  <c r="AB25" i="40" s="1"/>
  <c r="AB26" i="40" s="1"/>
  <c r="AB27" i="40" s="1"/>
  <c r="AB28" i="40" s="1"/>
  <c r="AB29" i="40" s="1"/>
  <c r="AB30" i="40" s="1"/>
  <c r="AB31" i="40" s="1"/>
  <c r="AB32" i="40" s="1"/>
  <c r="AB33" i="40" s="1"/>
  <c r="AB34" i="40" s="1"/>
  <c r="AB35" i="40" s="1"/>
  <c r="AB36" i="40" s="1"/>
  <c r="AB37" i="40" s="1"/>
  <c r="AB38" i="40" s="1"/>
  <c r="AB39" i="40" s="1"/>
  <c r="AB40" i="40" s="1"/>
  <c r="W6" i="40"/>
  <c r="Y6" i="40" s="1"/>
  <c r="O6" i="40"/>
  <c r="Q6" i="40" s="1"/>
  <c r="I6" i="40"/>
  <c r="I11" i="39"/>
  <c r="D47" i="40" l="1"/>
  <c r="I47" i="40" s="1"/>
  <c r="D46" i="40"/>
  <c r="L46" i="40" s="1"/>
  <c r="O42" i="40"/>
  <c r="I50" i="40"/>
  <c r="Q7" i="40"/>
  <c r="Q8" i="40" s="1"/>
  <c r="Q9" i="40" s="1"/>
  <c r="Q10" i="40" s="1"/>
  <c r="Q11" i="40" s="1"/>
  <c r="Q12" i="40" s="1"/>
  <c r="Q13" i="40" s="1"/>
  <c r="Q14" i="40" s="1"/>
  <c r="Q15" i="40" s="1"/>
  <c r="Q16" i="40" s="1"/>
  <c r="Q17" i="40" s="1"/>
  <c r="Q18" i="40" s="1"/>
  <c r="Q19" i="40" s="1"/>
  <c r="Q20" i="40" s="1"/>
  <c r="Q21" i="40" s="1"/>
  <c r="Q22" i="40" s="1"/>
  <c r="Q23" i="40" s="1"/>
  <c r="Q24" i="40" s="1"/>
  <c r="Q25" i="40" s="1"/>
  <c r="Q26" i="40" s="1"/>
  <c r="Q27" i="40" s="1"/>
  <c r="Q28" i="40" s="1"/>
  <c r="Q29" i="40" s="1"/>
  <c r="Q30" i="40" s="1"/>
  <c r="Q31" i="40" s="1"/>
  <c r="Q32" i="40" s="1"/>
  <c r="Q33" i="40" s="1"/>
  <c r="Q34" i="40" s="1"/>
  <c r="Q35" i="40" s="1"/>
  <c r="Q36" i="40" s="1"/>
  <c r="Q37" i="40" s="1"/>
  <c r="Q38" i="40" s="1"/>
  <c r="Q39" i="40" s="1"/>
  <c r="Q40" i="40" s="1"/>
  <c r="Y7" i="40"/>
  <c r="Y8" i="40" s="1"/>
  <c r="Y9" i="40" s="1"/>
  <c r="Y10" i="40" s="1"/>
  <c r="Y11" i="40" s="1"/>
  <c r="Y12" i="40" s="1"/>
  <c r="Y13" i="40" s="1"/>
  <c r="Y14" i="40" s="1"/>
  <c r="Y15" i="40" s="1"/>
  <c r="Y16" i="40" s="1"/>
  <c r="Y17" i="40" s="1"/>
  <c r="Y18" i="40" s="1"/>
  <c r="Y19" i="40" s="1"/>
  <c r="Y20" i="40" s="1"/>
  <c r="Y21" i="40" s="1"/>
  <c r="Y22" i="40" s="1"/>
  <c r="Y23" i="40" s="1"/>
  <c r="Y24" i="40" s="1"/>
  <c r="Y25" i="40" s="1"/>
  <c r="Y26" i="40" s="1"/>
  <c r="Y27" i="40" s="1"/>
  <c r="Y28" i="40" s="1"/>
  <c r="Y29" i="40" s="1"/>
  <c r="Y30" i="40" s="1"/>
  <c r="Y31" i="40" s="1"/>
  <c r="Y32" i="40" s="1"/>
  <c r="Y33" i="40" s="1"/>
  <c r="Y34" i="40" s="1"/>
  <c r="Y35" i="40" s="1"/>
  <c r="Y36" i="40" s="1"/>
  <c r="Y37" i="40" s="1"/>
  <c r="Y38" i="40" s="1"/>
  <c r="Y39" i="40" s="1"/>
  <c r="Y40" i="40" s="1"/>
  <c r="D52" i="40"/>
  <c r="L52" i="40" s="1"/>
  <c r="M52" i="40" s="1"/>
  <c r="M48" i="40"/>
  <c r="D49" i="40"/>
  <c r="H55" i="40"/>
  <c r="D41" i="40"/>
  <c r="D51" i="40"/>
  <c r="L51" i="40" s="1"/>
  <c r="M51" i="40" s="1"/>
  <c r="N48" i="40"/>
  <c r="S55" i="40"/>
  <c r="I48" i="40"/>
  <c r="D53" i="40"/>
  <c r="L53" i="40" s="1"/>
  <c r="M53" i="40" s="1"/>
  <c r="F50" i="40"/>
  <c r="K50" i="40"/>
  <c r="L49" i="40"/>
  <c r="M49" i="40" s="1"/>
  <c r="E55" i="40"/>
  <c r="F48" i="40"/>
  <c r="W6" i="39"/>
  <c r="Y6" i="39" s="1"/>
  <c r="W7" i="39"/>
  <c r="W8" i="39"/>
  <c r="W9" i="39"/>
  <c r="W10" i="39"/>
  <c r="W11" i="39"/>
  <c r="W12" i="39"/>
  <c r="W13" i="39"/>
  <c r="W14" i="39"/>
  <c r="W15" i="39"/>
  <c r="W16" i="39"/>
  <c r="W17" i="39"/>
  <c r="L47" i="40" l="1"/>
  <c r="M47" i="40" s="1"/>
  <c r="I46" i="40"/>
  <c r="I52" i="40"/>
  <c r="D55" i="40"/>
  <c r="I53" i="40"/>
  <c r="T49" i="40"/>
  <c r="I51" i="40"/>
  <c r="T46" i="40"/>
  <c r="T48" i="40"/>
  <c r="I49" i="40"/>
  <c r="L50" i="40"/>
  <c r="M50" i="40" s="1"/>
  <c r="N50" i="40"/>
  <c r="T47" i="40"/>
  <c r="V46" i="40"/>
  <c r="W46" i="40" s="1"/>
  <c r="T50" i="40"/>
  <c r="M46" i="40"/>
  <c r="N49" i="40"/>
  <c r="F49" i="40"/>
  <c r="F55" i="40" s="1"/>
  <c r="Y7" i="39"/>
  <c r="Y8" i="39" s="1"/>
  <c r="Y9" i="39" s="1"/>
  <c r="Y10" i="39" s="1"/>
  <c r="Y11" i="39" s="1"/>
  <c r="Y12" i="39" s="1"/>
  <c r="Y13" i="39" s="1"/>
  <c r="Y14" i="39" s="1"/>
  <c r="Y15" i="39" s="1"/>
  <c r="Y16" i="39" s="1"/>
  <c r="Y17" i="39" s="1"/>
  <c r="N55" i="40" l="1"/>
  <c r="M55" i="40"/>
  <c r="L55" i="40"/>
  <c r="T55" i="40"/>
  <c r="O9" i="39"/>
  <c r="O6" i="39"/>
  <c r="Q6" i="39" s="1"/>
  <c r="H71" i="39" l="1"/>
  <c r="H70" i="39"/>
  <c r="H69" i="39"/>
  <c r="S68" i="39"/>
  <c r="H68" i="39"/>
  <c r="E68" i="39"/>
  <c r="D68" i="39"/>
  <c r="S67" i="39"/>
  <c r="H67" i="39"/>
  <c r="S66" i="39"/>
  <c r="H66" i="39"/>
  <c r="E66" i="39"/>
  <c r="S65" i="39"/>
  <c r="H65" i="39"/>
  <c r="S64" i="39"/>
  <c r="H64" i="39"/>
  <c r="N59" i="39"/>
  <c r="M59" i="39"/>
  <c r="L59" i="39"/>
  <c r="W58" i="39"/>
  <c r="O58" i="39"/>
  <c r="I58" i="39"/>
  <c r="W57" i="39"/>
  <c r="O57" i="39"/>
  <c r="I57" i="39"/>
  <c r="W56" i="39"/>
  <c r="O56" i="39"/>
  <c r="I56" i="39"/>
  <c r="W55" i="39"/>
  <c r="O55" i="39"/>
  <c r="I55" i="39"/>
  <c r="W54" i="39"/>
  <c r="O54" i="39"/>
  <c r="I54" i="39"/>
  <c r="W53" i="39"/>
  <c r="O53" i="39"/>
  <c r="I53" i="39"/>
  <c r="W52" i="39"/>
  <c r="O52" i="39"/>
  <c r="I52" i="39"/>
  <c r="W51" i="39"/>
  <c r="O51" i="39"/>
  <c r="I51" i="39"/>
  <c r="W50" i="39"/>
  <c r="O50" i="39"/>
  <c r="I50" i="39"/>
  <c r="W49" i="39"/>
  <c r="O49" i="39"/>
  <c r="I49" i="39"/>
  <c r="W48" i="39"/>
  <c r="O48" i="39"/>
  <c r="I48" i="39"/>
  <c r="W47" i="39"/>
  <c r="O47" i="39"/>
  <c r="I47" i="39"/>
  <c r="W46" i="39"/>
  <c r="O46" i="39"/>
  <c r="I46" i="39"/>
  <c r="W45" i="39"/>
  <c r="O45" i="39"/>
  <c r="I45" i="39"/>
  <c r="W44" i="39"/>
  <c r="O44" i="39"/>
  <c r="I44" i="39"/>
  <c r="O43" i="39"/>
  <c r="I43" i="39"/>
  <c r="W42" i="39"/>
  <c r="O42" i="39"/>
  <c r="I42" i="39"/>
  <c r="W41" i="39"/>
  <c r="O41" i="39"/>
  <c r="I41" i="39"/>
  <c r="W40" i="39"/>
  <c r="I40" i="39"/>
  <c r="W39" i="39"/>
  <c r="O39" i="39"/>
  <c r="I39" i="39"/>
  <c r="W38" i="39"/>
  <c r="O38" i="39"/>
  <c r="I38" i="39"/>
  <c r="W37" i="39"/>
  <c r="O37" i="39"/>
  <c r="I37" i="39"/>
  <c r="W36" i="39"/>
  <c r="O36" i="39"/>
  <c r="I36" i="39"/>
  <c r="W35" i="39"/>
  <c r="O35" i="39"/>
  <c r="I35" i="39"/>
  <c r="W34" i="39"/>
  <c r="O34" i="39"/>
  <c r="I34" i="39"/>
  <c r="W33" i="39"/>
  <c r="O33" i="39"/>
  <c r="I33" i="39"/>
  <c r="W32" i="39"/>
  <c r="O32" i="39"/>
  <c r="I32" i="39"/>
  <c r="W31" i="39"/>
  <c r="O31" i="39"/>
  <c r="I31" i="39"/>
  <c r="W30" i="39"/>
  <c r="O30" i="39"/>
  <c r="I30" i="39"/>
  <c r="W29" i="39"/>
  <c r="O29" i="39"/>
  <c r="I29" i="39"/>
  <c r="W28" i="39"/>
  <c r="O28" i="39"/>
  <c r="I28" i="39"/>
  <c r="W27" i="39"/>
  <c r="O27" i="39"/>
  <c r="I27" i="39"/>
  <c r="W26" i="39"/>
  <c r="O26" i="39"/>
  <c r="W25" i="39"/>
  <c r="O25" i="39"/>
  <c r="I25" i="39"/>
  <c r="W24" i="39"/>
  <c r="O24" i="39"/>
  <c r="I24" i="39"/>
  <c r="W23" i="39"/>
  <c r="O23" i="39"/>
  <c r="I23" i="39"/>
  <c r="W22" i="39"/>
  <c r="O22" i="39"/>
  <c r="I22" i="39"/>
  <c r="W21" i="39"/>
  <c r="O21" i="39"/>
  <c r="I21" i="39"/>
  <c r="W20" i="39"/>
  <c r="O20" i="39"/>
  <c r="I20" i="39"/>
  <c r="W19" i="39"/>
  <c r="O19" i="39"/>
  <c r="I19" i="39"/>
  <c r="W18" i="39"/>
  <c r="O18" i="39"/>
  <c r="I18" i="39"/>
  <c r="O17" i="39"/>
  <c r="I17" i="39"/>
  <c r="O16" i="39"/>
  <c r="I16" i="39"/>
  <c r="O15" i="39"/>
  <c r="I15" i="39"/>
  <c r="O14" i="39"/>
  <c r="I14" i="39"/>
  <c r="O13" i="39"/>
  <c r="I13" i="39"/>
  <c r="D64" i="39"/>
  <c r="O12" i="39"/>
  <c r="I12" i="39"/>
  <c r="O11" i="39"/>
  <c r="O10" i="39"/>
  <c r="I10" i="39"/>
  <c r="I9" i="39"/>
  <c r="O8" i="39"/>
  <c r="I8" i="39"/>
  <c r="O7" i="39"/>
  <c r="Q7" i="39" s="1"/>
  <c r="I7" i="39"/>
  <c r="AK6" i="39"/>
  <c r="AK7" i="39" s="1"/>
  <c r="AK8" i="39" s="1"/>
  <c r="AK9" i="39" s="1"/>
  <c r="AK10" i="39" s="1"/>
  <c r="AK11" i="39" s="1"/>
  <c r="AK12" i="39" s="1"/>
  <c r="AK13" i="39" s="1"/>
  <c r="AK14" i="39" s="1"/>
  <c r="AK15" i="39" s="1"/>
  <c r="AK16" i="39" s="1"/>
  <c r="AK17" i="39" s="1"/>
  <c r="AK18" i="39" s="1"/>
  <c r="AK19" i="39" s="1"/>
  <c r="AK20" i="39" s="1"/>
  <c r="AK21" i="39" s="1"/>
  <c r="AK22" i="39" s="1"/>
  <c r="AK23" i="39" s="1"/>
  <c r="AK24" i="39" s="1"/>
  <c r="AK25" i="39" s="1"/>
  <c r="AK26" i="39" s="1"/>
  <c r="AK27" i="39" s="1"/>
  <c r="AK28" i="39" s="1"/>
  <c r="AK29" i="39" s="1"/>
  <c r="AK30" i="39" s="1"/>
  <c r="AK31" i="39" s="1"/>
  <c r="AK32" i="39" s="1"/>
  <c r="AK33" i="39" s="1"/>
  <c r="AK34" i="39" s="1"/>
  <c r="AK35" i="39" s="1"/>
  <c r="AK36" i="39" s="1"/>
  <c r="AK37" i="39" s="1"/>
  <c r="AK38" i="39" s="1"/>
  <c r="AK39" i="39" s="1"/>
  <c r="AK40" i="39" s="1"/>
  <c r="AK41" i="39" s="1"/>
  <c r="AK42" i="39" s="1"/>
  <c r="AK43" i="39" s="1"/>
  <c r="AK44" i="39" s="1"/>
  <c r="AK45" i="39" s="1"/>
  <c r="AK46" i="39" s="1"/>
  <c r="AK47" i="39" s="1"/>
  <c r="AK48" i="39" s="1"/>
  <c r="AK49" i="39" s="1"/>
  <c r="AK50" i="39" s="1"/>
  <c r="AK51" i="39" s="1"/>
  <c r="AK52" i="39" s="1"/>
  <c r="AK53" i="39" s="1"/>
  <c r="AK54" i="39" s="1"/>
  <c r="AK55" i="39" s="1"/>
  <c r="AK56" i="39" s="1"/>
  <c r="AK57" i="39" s="1"/>
  <c r="AK58" i="39" s="1"/>
  <c r="AH6" i="39"/>
  <c r="AH7" i="39" s="1"/>
  <c r="AH8" i="39" s="1"/>
  <c r="AH9" i="39" s="1"/>
  <c r="AH10" i="39" s="1"/>
  <c r="AH11" i="39" s="1"/>
  <c r="AH12" i="39" s="1"/>
  <c r="AH13" i="39" s="1"/>
  <c r="AH14" i="39" s="1"/>
  <c r="AH15" i="39" s="1"/>
  <c r="AH16" i="39" s="1"/>
  <c r="AH17" i="39" s="1"/>
  <c r="AH18" i="39" s="1"/>
  <c r="AH19" i="39" s="1"/>
  <c r="AH20" i="39" s="1"/>
  <c r="AH21" i="39" s="1"/>
  <c r="AH22" i="39" s="1"/>
  <c r="AH23" i="39" s="1"/>
  <c r="AH24" i="39" s="1"/>
  <c r="AH25" i="39" s="1"/>
  <c r="AH26" i="39" s="1"/>
  <c r="AH27" i="39" s="1"/>
  <c r="AH28" i="39" s="1"/>
  <c r="AH29" i="39" s="1"/>
  <c r="AH30" i="39" s="1"/>
  <c r="AH31" i="39" s="1"/>
  <c r="AH32" i="39" s="1"/>
  <c r="AH33" i="39" s="1"/>
  <c r="AH34" i="39" s="1"/>
  <c r="AH35" i="39" s="1"/>
  <c r="AH36" i="39" s="1"/>
  <c r="AH37" i="39" s="1"/>
  <c r="AH38" i="39" s="1"/>
  <c r="AH39" i="39" s="1"/>
  <c r="AH40" i="39" s="1"/>
  <c r="AH41" i="39" s="1"/>
  <c r="AH42" i="39" s="1"/>
  <c r="AH43" i="39" s="1"/>
  <c r="AH44" i="39" s="1"/>
  <c r="AH45" i="39" s="1"/>
  <c r="AH46" i="39" s="1"/>
  <c r="AH47" i="39" s="1"/>
  <c r="AH48" i="39" s="1"/>
  <c r="AH49" i="39" s="1"/>
  <c r="AH50" i="39" s="1"/>
  <c r="AH51" i="39" s="1"/>
  <c r="AH52" i="39" s="1"/>
  <c r="AH53" i="39" s="1"/>
  <c r="AH54" i="39" s="1"/>
  <c r="AH55" i="39" s="1"/>
  <c r="AH56" i="39" s="1"/>
  <c r="AH57" i="39" s="1"/>
  <c r="AH58" i="39" s="1"/>
  <c r="AE6" i="39"/>
  <c r="AE7" i="39" s="1"/>
  <c r="AE8" i="39" s="1"/>
  <c r="AE9" i="39" s="1"/>
  <c r="AE10" i="39" s="1"/>
  <c r="AE11" i="39" s="1"/>
  <c r="AE12" i="39" s="1"/>
  <c r="AE13" i="39" s="1"/>
  <c r="AE14" i="39" s="1"/>
  <c r="AE15" i="39" s="1"/>
  <c r="AE16" i="39" s="1"/>
  <c r="AE17" i="39" s="1"/>
  <c r="AE18" i="39" s="1"/>
  <c r="AE19" i="39" s="1"/>
  <c r="AE20" i="39" s="1"/>
  <c r="AE21" i="39" s="1"/>
  <c r="AE22" i="39" s="1"/>
  <c r="AE23" i="39" s="1"/>
  <c r="AE24" i="39" s="1"/>
  <c r="AE25" i="39" s="1"/>
  <c r="AE26" i="39" s="1"/>
  <c r="AE27" i="39" s="1"/>
  <c r="AE28" i="39" s="1"/>
  <c r="AE29" i="39" s="1"/>
  <c r="AE30" i="39" s="1"/>
  <c r="AE31" i="39" s="1"/>
  <c r="AE32" i="39" s="1"/>
  <c r="AE33" i="39" s="1"/>
  <c r="AE34" i="39" s="1"/>
  <c r="AE35" i="39" s="1"/>
  <c r="AE36" i="39" s="1"/>
  <c r="AE37" i="39" s="1"/>
  <c r="AE38" i="39" s="1"/>
  <c r="AE39" i="39" s="1"/>
  <c r="AE40" i="39" s="1"/>
  <c r="AE41" i="39" s="1"/>
  <c r="AE42" i="39" s="1"/>
  <c r="AE43" i="39" s="1"/>
  <c r="AE44" i="39" s="1"/>
  <c r="AE45" i="39" s="1"/>
  <c r="AE46" i="39" s="1"/>
  <c r="AE47" i="39" s="1"/>
  <c r="AE48" i="39" s="1"/>
  <c r="AE49" i="39" s="1"/>
  <c r="AE50" i="39" s="1"/>
  <c r="AE51" i="39" s="1"/>
  <c r="AE52" i="39" s="1"/>
  <c r="AE53" i="39" s="1"/>
  <c r="AE54" i="39" s="1"/>
  <c r="AE55" i="39" s="1"/>
  <c r="AE56" i="39" s="1"/>
  <c r="AE57" i="39" s="1"/>
  <c r="AE58" i="39" s="1"/>
  <c r="AB6" i="39"/>
  <c r="AB7" i="39" s="1"/>
  <c r="AB8" i="39" s="1"/>
  <c r="AB9" i="39" s="1"/>
  <c r="AB10" i="39" s="1"/>
  <c r="AB11" i="39" s="1"/>
  <c r="AB12" i="39" s="1"/>
  <c r="AB13" i="39" s="1"/>
  <c r="AB14" i="39" s="1"/>
  <c r="AB15" i="39" s="1"/>
  <c r="AB16" i="39" s="1"/>
  <c r="AB17" i="39" s="1"/>
  <c r="AB18" i="39" s="1"/>
  <c r="AB19" i="39" s="1"/>
  <c r="AB20" i="39" s="1"/>
  <c r="AB21" i="39" s="1"/>
  <c r="AB22" i="39" s="1"/>
  <c r="AB23" i="39" s="1"/>
  <c r="AB24" i="39" s="1"/>
  <c r="AB25" i="39" s="1"/>
  <c r="AB26" i="39" s="1"/>
  <c r="AB27" i="39" s="1"/>
  <c r="AB28" i="39" s="1"/>
  <c r="AB29" i="39" s="1"/>
  <c r="AB30" i="39" s="1"/>
  <c r="AB31" i="39" s="1"/>
  <c r="AB32" i="39" s="1"/>
  <c r="AB33" i="39" s="1"/>
  <c r="AB34" i="39" s="1"/>
  <c r="AB35" i="39" s="1"/>
  <c r="AB36" i="39" s="1"/>
  <c r="AB37" i="39" s="1"/>
  <c r="AB38" i="39" s="1"/>
  <c r="AB39" i="39" s="1"/>
  <c r="AB40" i="39" s="1"/>
  <c r="AB41" i="39" s="1"/>
  <c r="AB42" i="39" s="1"/>
  <c r="AB43" i="39" s="1"/>
  <c r="AB44" i="39" s="1"/>
  <c r="AB45" i="39" s="1"/>
  <c r="AB46" i="39" s="1"/>
  <c r="AB47" i="39" s="1"/>
  <c r="AB48" i="39" s="1"/>
  <c r="AB49" i="39" s="1"/>
  <c r="AB50" i="39" s="1"/>
  <c r="AB51" i="39" s="1"/>
  <c r="AB52" i="39" s="1"/>
  <c r="AB53" i="39" s="1"/>
  <c r="AB54" i="39" s="1"/>
  <c r="AB55" i="39" s="1"/>
  <c r="AB56" i="39" s="1"/>
  <c r="AB57" i="39" s="1"/>
  <c r="AB58" i="39" s="1"/>
  <c r="I6" i="39"/>
  <c r="Q8" i="39" l="1"/>
  <c r="Q9" i="39" s="1"/>
  <c r="Q10" i="39" s="1"/>
  <c r="Q11" i="39" s="1"/>
  <c r="Q12" i="39" s="1"/>
  <c r="Q13" i="39" s="1"/>
  <c r="Q14" i="39" s="1"/>
  <c r="Q15" i="39" s="1"/>
  <c r="Q16" i="39" s="1"/>
  <c r="Q17" i="39" s="1"/>
  <c r="Q18" i="39" s="1"/>
  <c r="Q19" i="39" s="1"/>
  <c r="Q20" i="39" s="1"/>
  <c r="Q21" i="39" s="1"/>
  <c r="Q22" i="39" s="1"/>
  <c r="Q23" i="39" s="1"/>
  <c r="Q24" i="39" s="1"/>
  <c r="Q25" i="39" s="1"/>
  <c r="Q26" i="39" s="1"/>
  <c r="Q27" i="39" s="1"/>
  <c r="Q28" i="39" s="1"/>
  <c r="Q29" i="39" s="1"/>
  <c r="Q30" i="39" s="1"/>
  <c r="Q31" i="39" s="1"/>
  <c r="Q32" i="39" s="1"/>
  <c r="Q33" i="39" s="1"/>
  <c r="Q34" i="39" s="1"/>
  <c r="Q35" i="39" s="1"/>
  <c r="Q36" i="39" s="1"/>
  <c r="Q37" i="39" s="1"/>
  <c r="Q38" i="39" s="1"/>
  <c r="Q39" i="39" s="1"/>
  <c r="Q40" i="39" s="1"/>
  <c r="Q41" i="39" s="1"/>
  <c r="Q42" i="39" s="1"/>
  <c r="Q43" i="39" s="1"/>
  <c r="Q44" i="39" s="1"/>
  <c r="Q45" i="39" s="1"/>
  <c r="Q46" i="39" s="1"/>
  <c r="Q47" i="39" s="1"/>
  <c r="Q48" i="39" s="1"/>
  <c r="Q49" i="39" s="1"/>
  <c r="Q50" i="39" s="1"/>
  <c r="Q51" i="39" s="1"/>
  <c r="Q52" i="39" s="1"/>
  <c r="Q53" i="39" s="1"/>
  <c r="Q54" i="39" s="1"/>
  <c r="Q55" i="39" s="1"/>
  <c r="Q56" i="39" s="1"/>
  <c r="Q57" i="39" s="1"/>
  <c r="Q58" i="39" s="1"/>
  <c r="O60" i="39"/>
  <c r="K66" i="39"/>
  <c r="L66" i="39" s="1"/>
  <c r="M66" i="39" s="1"/>
  <c r="Y18" i="39"/>
  <c r="Y19" i="39" s="1"/>
  <c r="Y20" i="39" s="1"/>
  <c r="Y21" i="39" s="1"/>
  <c r="Y22" i="39" s="1"/>
  <c r="Y23" i="39" s="1"/>
  <c r="Y24" i="39" s="1"/>
  <c r="Y25" i="39" s="1"/>
  <c r="Y26" i="39" s="1"/>
  <c r="Y27" i="39" s="1"/>
  <c r="Y28" i="39" s="1"/>
  <c r="Y29" i="39" s="1"/>
  <c r="Y30" i="39" s="1"/>
  <c r="Y31" i="39" s="1"/>
  <c r="Y32" i="39" s="1"/>
  <c r="Y33" i="39" s="1"/>
  <c r="Y34" i="39" s="1"/>
  <c r="Y35" i="39" s="1"/>
  <c r="Y36" i="39" s="1"/>
  <c r="Y37" i="39" s="1"/>
  <c r="Y38" i="39" s="1"/>
  <c r="Y39" i="39" s="1"/>
  <c r="Y40" i="39" s="1"/>
  <c r="Y41" i="39" s="1"/>
  <c r="Y42" i="39" s="1"/>
  <c r="Y43" i="39" s="1"/>
  <c r="Y44" i="39" s="1"/>
  <c r="Y45" i="39" s="1"/>
  <c r="Y46" i="39" s="1"/>
  <c r="Y47" i="39" s="1"/>
  <c r="Y48" i="39" s="1"/>
  <c r="Y49" i="39" s="1"/>
  <c r="Y50" i="39" s="1"/>
  <c r="Y51" i="39" s="1"/>
  <c r="Y52" i="39" s="1"/>
  <c r="Y53" i="39" s="1"/>
  <c r="Y54" i="39" s="1"/>
  <c r="Y55" i="39" s="1"/>
  <c r="Y56" i="39" s="1"/>
  <c r="Y57" i="39" s="1"/>
  <c r="Y58" i="39" s="1"/>
  <c r="F68" i="39"/>
  <c r="I68" i="39"/>
  <c r="D59" i="39"/>
  <c r="D67" i="39"/>
  <c r="D71" i="39"/>
  <c r="D69" i="39"/>
  <c r="D66" i="39"/>
  <c r="D65" i="39"/>
  <c r="S73" i="39"/>
  <c r="H73" i="39"/>
  <c r="I64" i="39"/>
  <c r="D70" i="39"/>
  <c r="L70" i="39" s="1"/>
  <c r="M70" i="39" s="1"/>
  <c r="L64" i="39"/>
  <c r="K68" i="39"/>
  <c r="O42" i="38"/>
  <c r="N66" i="39" l="1"/>
  <c r="T64" i="39"/>
  <c r="I67" i="39"/>
  <c r="L68" i="39"/>
  <c r="M68" i="39" s="1"/>
  <c r="N68" i="39"/>
  <c r="I70" i="39"/>
  <c r="L69" i="39"/>
  <c r="M69" i="39" s="1"/>
  <c r="I69" i="39"/>
  <c r="L71" i="39"/>
  <c r="M71" i="39" s="1"/>
  <c r="I71" i="39"/>
  <c r="I66" i="39"/>
  <c r="T68" i="39"/>
  <c r="D73" i="39"/>
  <c r="M64" i="39"/>
  <c r="F66" i="39"/>
  <c r="L65" i="39"/>
  <c r="M65" i="39" s="1"/>
  <c r="T66" i="39"/>
  <c r="V64" i="39"/>
  <c r="W64" i="39" s="1"/>
  <c r="T67" i="39"/>
  <c r="T65" i="39"/>
  <c r="I65" i="39"/>
  <c r="I7" i="38"/>
  <c r="I8" i="38"/>
  <c r="I9" i="38"/>
  <c r="I10" i="38"/>
  <c r="I11" i="38"/>
  <c r="I12" i="38"/>
  <c r="I13" i="38"/>
  <c r="I14" i="38"/>
  <c r="I15" i="38"/>
  <c r="I16" i="38"/>
  <c r="I17" i="38"/>
  <c r="I18" i="38"/>
  <c r="I19" i="38"/>
  <c r="I20" i="38"/>
  <c r="I21" i="38"/>
  <c r="I22" i="38"/>
  <c r="I23" i="38"/>
  <c r="I24" i="38"/>
  <c r="I25" i="38"/>
  <c r="I26" i="38"/>
  <c r="I27" i="38"/>
  <c r="I28" i="38"/>
  <c r="I29" i="38"/>
  <c r="I30" i="38"/>
  <c r="I31" i="38"/>
  <c r="I32" i="38"/>
  <c r="I33" i="38"/>
  <c r="I34" i="38"/>
  <c r="I35" i="38"/>
  <c r="I36" i="38"/>
  <c r="I37" i="38"/>
  <c r="I38" i="38"/>
  <c r="I39" i="38"/>
  <c r="I40" i="38"/>
  <c r="I41" i="38"/>
  <c r="I42" i="38"/>
  <c r="I43" i="38"/>
  <c r="I44" i="38"/>
  <c r="I45" i="38"/>
  <c r="I46" i="38"/>
  <c r="I47" i="38"/>
  <c r="I48" i="38"/>
  <c r="I49" i="38"/>
  <c r="I50" i="38"/>
  <c r="I51" i="38"/>
  <c r="I52" i="38"/>
  <c r="I53" i="38"/>
  <c r="I54" i="38"/>
  <c r="I55" i="38"/>
  <c r="I56" i="38"/>
  <c r="I57" i="38"/>
  <c r="I58" i="38"/>
  <c r="I59" i="38"/>
  <c r="I60" i="38"/>
  <c r="I61" i="38"/>
  <c r="I62" i="38"/>
  <c r="I63" i="38"/>
  <c r="I64" i="38"/>
  <c r="I65" i="38"/>
  <c r="I66" i="38"/>
  <c r="I67" i="38"/>
  <c r="I68" i="38"/>
  <c r="I69" i="38"/>
  <c r="I70" i="38"/>
  <c r="I71" i="38"/>
  <c r="I72" i="38"/>
  <c r="I73" i="38"/>
  <c r="I6" i="38"/>
  <c r="I7" i="37"/>
  <c r="I8" i="37"/>
  <c r="I9" i="37"/>
  <c r="I10" i="37"/>
  <c r="I11" i="37"/>
  <c r="I12" i="37"/>
  <c r="I13" i="37"/>
  <c r="I14" i="37"/>
  <c r="I15" i="37"/>
  <c r="I16" i="37"/>
  <c r="I17" i="37"/>
  <c r="I18" i="37"/>
  <c r="I19" i="37"/>
  <c r="I20" i="37"/>
  <c r="I21" i="37"/>
  <c r="I22" i="37"/>
  <c r="I23" i="37"/>
  <c r="I24" i="37"/>
  <c r="I25" i="37"/>
  <c r="I26" i="37"/>
  <c r="I27" i="37"/>
  <c r="I28" i="37"/>
  <c r="I29" i="37"/>
  <c r="I30" i="37"/>
  <c r="I31" i="37"/>
  <c r="I32" i="37"/>
  <c r="I33" i="37"/>
  <c r="I34" i="37"/>
  <c r="I35" i="37"/>
  <c r="I36" i="37"/>
  <c r="I37" i="37"/>
  <c r="I38" i="37"/>
  <c r="I39" i="37"/>
  <c r="I40" i="37"/>
  <c r="I41" i="37"/>
  <c r="I42" i="37"/>
  <c r="I43" i="37"/>
  <c r="I44" i="37"/>
  <c r="I45" i="37"/>
  <c r="I46" i="37"/>
  <c r="I47" i="37"/>
  <c r="I48" i="37"/>
  <c r="I49" i="37"/>
  <c r="I50" i="37"/>
  <c r="I51" i="37"/>
  <c r="I52" i="37"/>
  <c r="I6" i="37"/>
  <c r="I23" i="36"/>
  <c r="I24" i="36"/>
  <c r="I25" i="36"/>
  <c r="I26" i="36"/>
  <c r="I27" i="36"/>
  <c r="I28" i="36"/>
  <c r="I29" i="36"/>
  <c r="I30" i="36"/>
  <c r="I31" i="36"/>
  <c r="I32" i="36"/>
  <c r="I33" i="36"/>
  <c r="I34" i="36"/>
  <c r="I35" i="36"/>
  <c r="I36" i="36"/>
  <c r="I37" i="36"/>
  <c r="I38" i="36"/>
  <c r="I39" i="36"/>
  <c r="I40" i="36"/>
  <c r="I41" i="36"/>
  <c r="I42" i="36"/>
  <c r="I43" i="36"/>
  <c r="I44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6" i="36"/>
  <c r="I28" i="6"/>
  <c r="T73" i="39" l="1"/>
  <c r="J55" i="14"/>
  <c r="J56" i="14"/>
  <c r="K55" i="14"/>
  <c r="L55" i="14"/>
  <c r="K56" i="14"/>
  <c r="L56" i="14"/>
  <c r="J25" i="14"/>
  <c r="J26" i="14"/>
  <c r="O42" i="36" l="1"/>
  <c r="D80" i="38"/>
  <c r="D85" i="38"/>
  <c r="L85" i="38" s="1"/>
  <c r="H86" i="38"/>
  <c r="H85" i="38"/>
  <c r="H84" i="38"/>
  <c r="S83" i="38"/>
  <c r="H83" i="38"/>
  <c r="E83" i="38"/>
  <c r="D83" i="38"/>
  <c r="S82" i="38"/>
  <c r="H82" i="38"/>
  <c r="E82" i="38"/>
  <c r="K82" i="38" s="1"/>
  <c r="S81" i="38"/>
  <c r="H81" i="38"/>
  <c r="E81" i="38"/>
  <c r="S80" i="38"/>
  <c r="H80" i="38"/>
  <c r="S79" i="38"/>
  <c r="H79" i="38"/>
  <c r="N74" i="38"/>
  <c r="M74" i="38"/>
  <c r="L74" i="38"/>
  <c r="W73" i="38"/>
  <c r="O73" i="38"/>
  <c r="D81" i="38"/>
  <c r="W72" i="38"/>
  <c r="O72" i="38"/>
  <c r="W71" i="38"/>
  <c r="O71" i="38"/>
  <c r="W70" i="38"/>
  <c r="O70" i="38"/>
  <c r="W69" i="38"/>
  <c r="O69" i="38"/>
  <c r="W68" i="38"/>
  <c r="O68" i="38"/>
  <c r="W67" i="38"/>
  <c r="O67" i="38"/>
  <c r="W66" i="38"/>
  <c r="O66" i="38"/>
  <c r="W65" i="38"/>
  <c r="O65" i="38"/>
  <c r="W64" i="38"/>
  <c r="O64" i="38"/>
  <c r="W63" i="38"/>
  <c r="O63" i="38"/>
  <c r="W62" i="38"/>
  <c r="O62" i="38"/>
  <c r="W61" i="38"/>
  <c r="O61" i="38"/>
  <c r="W60" i="38"/>
  <c r="O60" i="38"/>
  <c r="W59" i="38"/>
  <c r="O59" i="38"/>
  <c r="W58" i="38"/>
  <c r="O58" i="38"/>
  <c r="W57" i="38"/>
  <c r="O57" i="38"/>
  <c r="W56" i="38"/>
  <c r="O56" i="38"/>
  <c r="W55" i="38"/>
  <c r="O55" i="38"/>
  <c r="W54" i="38"/>
  <c r="O54" i="38"/>
  <c r="W53" i="38"/>
  <c r="O53" i="38"/>
  <c r="W52" i="38"/>
  <c r="O52" i="38"/>
  <c r="W51" i="38"/>
  <c r="O51" i="38"/>
  <c r="W50" i="38"/>
  <c r="O50" i="38"/>
  <c r="W49" i="38"/>
  <c r="O49" i="38"/>
  <c r="W48" i="38"/>
  <c r="O48" i="38"/>
  <c r="W47" i="38"/>
  <c r="O47" i="38"/>
  <c r="W46" i="38"/>
  <c r="O46" i="38"/>
  <c r="W45" i="38"/>
  <c r="O45" i="38"/>
  <c r="W44" i="38"/>
  <c r="O44" i="38"/>
  <c r="W43" i="38"/>
  <c r="O43" i="38"/>
  <c r="W42" i="38"/>
  <c r="W41" i="38"/>
  <c r="O41" i="38"/>
  <c r="W40" i="38"/>
  <c r="O40" i="38"/>
  <c r="W39" i="38"/>
  <c r="O39" i="38"/>
  <c r="W38" i="38"/>
  <c r="O38" i="38"/>
  <c r="W37" i="38"/>
  <c r="O37" i="38"/>
  <c r="W36" i="38"/>
  <c r="O36" i="38"/>
  <c r="W35" i="38"/>
  <c r="O35" i="38"/>
  <c r="W34" i="38"/>
  <c r="O34" i="38"/>
  <c r="W33" i="38"/>
  <c r="O33" i="38"/>
  <c r="W32" i="38"/>
  <c r="O32" i="38"/>
  <c r="W31" i="38"/>
  <c r="O31" i="38"/>
  <c r="W30" i="38"/>
  <c r="O30" i="38"/>
  <c r="W29" i="38"/>
  <c r="O29" i="38"/>
  <c r="W28" i="38"/>
  <c r="O28" i="38"/>
  <c r="W27" i="38"/>
  <c r="O27" i="38"/>
  <c r="W26" i="38"/>
  <c r="O26" i="38"/>
  <c r="W25" i="38"/>
  <c r="O25" i="38"/>
  <c r="W24" i="38"/>
  <c r="O24" i="38"/>
  <c r="W23" i="38"/>
  <c r="O23" i="38"/>
  <c r="W22" i="38"/>
  <c r="O22" i="38"/>
  <c r="W21" i="38"/>
  <c r="O21" i="38"/>
  <c r="W20" i="38"/>
  <c r="O20" i="38"/>
  <c r="W19" i="38"/>
  <c r="O19" i="38"/>
  <c r="W18" i="38"/>
  <c r="O18" i="38"/>
  <c r="W17" i="38"/>
  <c r="O17" i="38"/>
  <c r="W16" i="38"/>
  <c r="O16" i="38"/>
  <c r="W15" i="38"/>
  <c r="O15" i="38"/>
  <c r="W14" i="38"/>
  <c r="O14" i="38"/>
  <c r="W13" i="38"/>
  <c r="O13" i="38"/>
  <c r="W12" i="38"/>
  <c r="O12" i="38"/>
  <c r="W11" i="38"/>
  <c r="O11" i="38"/>
  <c r="W10" i="38"/>
  <c r="O10" i="38"/>
  <c r="W9" i="38"/>
  <c r="O9" i="38"/>
  <c r="W8" i="38"/>
  <c r="O8" i="38"/>
  <c r="W7" i="38"/>
  <c r="O7" i="38"/>
  <c r="Q7" i="38" s="1"/>
  <c r="AK6" i="38"/>
  <c r="AK7" i="38" s="1"/>
  <c r="AK8" i="38" s="1"/>
  <c r="AK9" i="38" s="1"/>
  <c r="AK10" i="38" s="1"/>
  <c r="AK11" i="38" s="1"/>
  <c r="AK12" i="38" s="1"/>
  <c r="AK13" i="38" s="1"/>
  <c r="AK14" i="38" s="1"/>
  <c r="AK15" i="38" s="1"/>
  <c r="AK16" i="38" s="1"/>
  <c r="AK17" i="38" s="1"/>
  <c r="AK18" i="38" s="1"/>
  <c r="AK19" i="38" s="1"/>
  <c r="AK20" i="38" s="1"/>
  <c r="AK21" i="38" s="1"/>
  <c r="AK22" i="38" s="1"/>
  <c r="AK23" i="38" s="1"/>
  <c r="AK24" i="38" s="1"/>
  <c r="AK25" i="38" s="1"/>
  <c r="AK26" i="38" s="1"/>
  <c r="AK27" i="38" s="1"/>
  <c r="AK28" i="38" s="1"/>
  <c r="AK29" i="38" s="1"/>
  <c r="AK30" i="38" s="1"/>
  <c r="AK31" i="38" s="1"/>
  <c r="AK32" i="38" s="1"/>
  <c r="AK33" i="38" s="1"/>
  <c r="AK34" i="38" s="1"/>
  <c r="AK35" i="38" s="1"/>
  <c r="AK36" i="38" s="1"/>
  <c r="AK37" i="38" s="1"/>
  <c r="AK38" i="38" s="1"/>
  <c r="AK39" i="38" s="1"/>
  <c r="AK40" i="38" s="1"/>
  <c r="AK41" i="38" s="1"/>
  <c r="AK42" i="38" s="1"/>
  <c r="AK43" i="38" s="1"/>
  <c r="AK44" i="38" s="1"/>
  <c r="AK45" i="38" s="1"/>
  <c r="AK46" i="38" s="1"/>
  <c r="AK47" i="38" s="1"/>
  <c r="AK48" i="38" s="1"/>
  <c r="AK49" i="38" s="1"/>
  <c r="AK50" i="38" s="1"/>
  <c r="AK51" i="38" s="1"/>
  <c r="AK52" i="38" s="1"/>
  <c r="AK53" i="38" s="1"/>
  <c r="AK54" i="38" s="1"/>
  <c r="AK55" i="38" s="1"/>
  <c r="AK56" i="38" s="1"/>
  <c r="AK57" i="38" s="1"/>
  <c r="AK58" i="38" s="1"/>
  <c r="AK59" i="38" s="1"/>
  <c r="AK60" i="38" s="1"/>
  <c r="AK61" i="38" s="1"/>
  <c r="AK62" i="38" s="1"/>
  <c r="AK63" i="38" s="1"/>
  <c r="AK64" i="38" s="1"/>
  <c r="AK65" i="38" s="1"/>
  <c r="AK66" i="38" s="1"/>
  <c r="AK67" i="38" s="1"/>
  <c r="AK68" i="38" s="1"/>
  <c r="AK69" i="38" s="1"/>
  <c r="AK70" i="38" s="1"/>
  <c r="AK71" i="38" s="1"/>
  <c r="AK72" i="38" s="1"/>
  <c r="AK73" i="38" s="1"/>
  <c r="AH6" i="38"/>
  <c r="AH7" i="38" s="1"/>
  <c r="AH8" i="38" s="1"/>
  <c r="AH9" i="38" s="1"/>
  <c r="AH10" i="38" s="1"/>
  <c r="AH11" i="38" s="1"/>
  <c r="AH12" i="38" s="1"/>
  <c r="AH13" i="38" s="1"/>
  <c r="AH14" i="38" s="1"/>
  <c r="AH15" i="38" s="1"/>
  <c r="AH16" i="38" s="1"/>
  <c r="AH17" i="38" s="1"/>
  <c r="AH18" i="38" s="1"/>
  <c r="AH19" i="38" s="1"/>
  <c r="AH20" i="38" s="1"/>
  <c r="AH21" i="38" s="1"/>
  <c r="AH22" i="38" s="1"/>
  <c r="AH23" i="38" s="1"/>
  <c r="AH24" i="38" s="1"/>
  <c r="AH25" i="38" s="1"/>
  <c r="AH26" i="38" s="1"/>
  <c r="AH27" i="38" s="1"/>
  <c r="AH28" i="38" s="1"/>
  <c r="AH29" i="38" s="1"/>
  <c r="AH30" i="38" s="1"/>
  <c r="AH31" i="38" s="1"/>
  <c r="AH32" i="38" s="1"/>
  <c r="AH33" i="38" s="1"/>
  <c r="AH34" i="38" s="1"/>
  <c r="AH35" i="38" s="1"/>
  <c r="AH36" i="38" s="1"/>
  <c r="AH37" i="38" s="1"/>
  <c r="AH38" i="38" s="1"/>
  <c r="AH39" i="38" s="1"/>
  <c r="AH40" i="38" s="1"/>
  <c r="AH41" i="38" s="1"/>
  <c r="AH42" i="38" s="1"/>
  <c r="AH43" i="38" s="1"/>
  <c r="AH44" i="38" s="1"/>
  <c r="AH45" i="38" s="1"/>
  <c r="AH46" i="38" s="1"/>
  <c r="AH47" i="38" s="1"/>
  <c r="AH48" i="38" s="1"/>
  <c r="AH49" i="38" s="1"/>
  <c r="AH50" i="38" s="1"/>
  <c r="AH51" i="38" s="1"/>
  <c r="AH52" i="38" s="1"/>
  <c r="AH53" i="38" s="1"/>
  <c r="AH54" i="38" s="1"/>
  <c r="AH55" i="38" s="1"/>
  <c r="AH56" i="38" s="1"/>
  <c r="AH57" i="38" s="1"/>
  <c r="AH58" i="38" s="1"/>
  <c r="AH59" i="38" s="1"/>
  <c r="AH60" i="38" s="1"/>
  <c r="AH61" i="38" s="1"/>
  <c r="AH62" i="38" s="1"/>
  <c r="AH63" i="38" s="1"/>
  <c r="AH64" i="38" s="1"/>
  <c r="AH65" i="38" s="1"/>
  <c r="AH66" i="38" s="1"/>
  <c r="AH67" i="38" s="1"/>
  <c r="AH68" i="38" s="1"/>
  <c r="AH69" i="38" s="1"/>
  <c r="AH70" i="38" s="1"/>
  <c r="AH71" i="38" s="1"/>
  <c r="AH72" i="38" s="1"/>
  <c r="AH73" i="38" s="1"/>
  <c r="AE6" i="38"/>
  <c r="AE7" i="38" s="1"/>
  <c r="AE8" i="38" s="1"/>
  <c r="AE9" i="38" s="1"/>
  <c r="AE10" i="38" s="1"/>
  <c r="AE11" i="38" s="1"/>
  <c r="AE12" i="38" s="1"/>
  <c r="AE13" i="38" s="1"/>
  <c r="AE14" i="38" s="1"/>
  <c r="AE15" i="38" s="1"/>
  <c r="AE16" i="38" s="1"/>
  <c r="AE17" i="38" s="1"/>
  <c r="AE18" i="38" s="1"/>
  <c r="AE19" i="38" s="1"/>
  <c r="AE20" i="38" s="1"/>
  <c r="AE21" i="38" s="1"/>
  <c r="AE22" i="38" s="1"/>
  <c r="AE23" i="38" s="1"/>
  <c r="AE24" i="38" s="1"/>
  <c r="AE25" i="38" s="1"/>
  <c r="AE26" i="38" s="1"/>
  <c r="AE27" i="38" s="1"/>
  <c r="AE28" i="38" s="1"/>
  <c r="AE29" i="38" s="1"/>
  <c r="AE30" i="38" s="1"/>
  <c r="AE31" i="38" s="1"/>
  <c r="AE32" i="38" s="1"/>
  <c r="AE33" i="38" s="1"/>
  <c r="AE34" i="38" s="1"/>
  <c r="AE35" i="38" s="1"/>
  <c r="AE36" i="38" s="1"/>
  <c r="AE37" i="38" s="1"/>
  <c r="AE38" i="38" s="1"/>
  <c r="AE39" i="38" s="1"/>
  <c r="AE40" i="38" s="1"/>
  <c r="AE41" i="38" s="1"/>
  <c r="AE42" i="38" s="1"/>
  <c r="AE43" i="38" s="1"/>
  <c r="AE44" i="38" s="1"/>
  <c r="AE45" i="38" s="1"/>
  <c r="AE46" i="38" s="1"/>
  <c r="AE47" i="38" s="1"/>
  <c r="AE48" i="38" s="1"/>
  <c r="AE49" i="38" s="1"/>
  <c r="AE50" i="38" s="1"/>
  <c r="AE51" i="38" s="1"/>
  <c r="AE52" i="38" s="1"/>
  <c r="AE53" i="38" s="1"/>
  <c r="AE54" i="38" s="1"/>
  <c r="AE55" i="38" s="1"/>
  <c r="AE56" i="38" s="1"/>
  <c r="AE57" i="38" s="1"/>
  <c r="AE58" i="38" s="1"/>
  <c r="AE59" i="38" s="1"/>
  <c r="AE60" i="38" s="1"/>
  <c r="AE61" i="38" s="1"/>
  <c r="AE62" i="38" s="1"/>
  <c r="AE63" i="38" s="1"/>
  <c r="AE64" i="38" s="1"/>
  <c r="AE65" i="38" s="1"/>
  <c r="AE66" i="38" s="1"/>
  <c r="AE67" i="38" s="1"/>
  <c r="AE68" i="38" s="1"/>
  <c r="AE69" i="38" s="1"/>
  <c r="AE70" i="38" s="1"/>
  <c r="AE71" i="38" s="1"/>
  <c r="AE72" i="38" s="1"/>
  <c r="AE73" i="38" s="1"/>
  <c r="AB6" i="38"/>
  <c r="AB7" i="38" s="1"/>
  <c r="AB8" i="38" s="1"/>
  <c r="AB9" i="38" s="1"/>
  <c r="AB10" i="38" s="1"/>
  <c r="AB11" i="38" s="1"/>
  <c r="AB12" i="38" s="1"/>
  <c r="AB13" i="38" s="1"/>
  <c r="AB14" i="38" s="1"/>
  <c r="AB15" i="38" s="1"/>
  <c r="AB16" i="38" s="1"/>
  <c r="AB17" i="38" s="1"/>
  <c r="AB18" i="38" s="1"/>
  <c r="AB19" i="38" s="1"/>
  <c r="AB20" i="38" s="1"/>
  <c r="AB21" i="38" s="1"/>
  <c r="AB22" i="38" s="1"/>
  <c r="AB23" i="38" s="1"/>
  <c r="AB24" i="38" s="1"/>
  <c r="AB25" i="38" s="1"/>
  <c r="AB26" i="38" s="1"/>
  <c r="AB27" i="38" s="1"/>
  <c r="AB28" i="38" s="1"/>
  <c r="AB29" i="38" s="1"/>
  <c r="AB30" i="38" s="1"/>
  <c r="AB31" i="38" s="1"/>
  <c r="AB32" i="38" s="1"/>
  <c r="AB33" i="38" s="1"/>
  <c r="AB34" i="38" s="1"/>
  <c r="AB35" i="38" s="1"/>
  <c r="AB36" i="38" s="1"/>
  <c r="AB37" i="38" s="1"/>
  <c r="AB38" i="38" s="1"/>
  <c r="AB39" i="38" s="1"/>
  <c r="AB40" i="38" s="1"/>
  <c r="AB41" i="38" s="1"/>
  <c r="AB42" i="38" s="1"/>
  <c r="AB43" i="38" s="1"/>
  <c r="AB44" i="38" s="1"/>
  <c r="AB45" i="38" s="1"/>
  <c r="AB46" i="38" s="1"/>
  <c r="AB47" i="38" s="1"/>
  <c r="AB48" i="38" s="1"/>
  <c r="AB49" i="38" s="1"/>
  <c r="AB50" i="38" s="1"/>
  <c r="AB51" i="38" s="1"/>
  <c r="AB52" i="38" s="1"/>
  <c r="AB53" i="38" s="1"/>
  <c r="AB54" i="38" s="1"/>
  <c r="AB55" i="38" s="1"/>
  <c r="AB56" i="38" s="1"/>
  <c r="AB57" i="38" s="1"/>
  <c r="AB58" i="38" s="1"/>
  <c r="AB59" i="38" s="1"/>
  <c r="AB60" i="38" s="1"/>
  <c r="AB61" i="38" s="1"/>
  <c r="AB62" i="38" s="1"/>
  <c r="AB63" i="38" s="1"/>
  <c r="AB64" i="38" s="1"/>
  <c r="AB65" i="38" s="1"/>
  <c r="AB66" i="38" s="1"/>
  <c r="AB67" i="38" s="1"/>
  <c r="AB68" i="38" s="1"/>
  <c r="AB69" i="38" s="1"/>
  <c r="AB70" i="38" s="1"/>
  <c r="AB71" i="38" s="1"/>
  <c r="AB72" i="38" s="1"/>
  <c r="AB73" i="38" s="1"/>
  <c r="W6" i="38"/>
  <c r="Y6" i="38" s="1"/>
  <c r="H65" i="37"/>
  <c r="H64" i="37"/>
  <c r="H63" i="37"/>
  <c r="S62" i="37"/>
  <c r="H62" i="37"/>
  <c r="E62" i="37"/>
  <c r="D62" i="37"/>
  <c r="S61" i="37"/>
  <c r="H61" i="37"/>
  <c r="E61" i="37"/>
  <c r="K61" i="37" s="1"/>
  <c r="S60" i="37"/>
  <c r="H60" i="37"/>
  <c r="E60" i="37"/>
  <c r="K60" i="37" s="1"/>
  <c r="S59" i="37"/>
  <c r="H59" i="37"/>
  <c r="S58" i="37"/>
  <c r="H58" i="37"/>
  <c r="N53" i="37"/>
  <c r="M53" i="37"/>
  <c r="L53" i="37"/>
  <c r="W52" i="37"/>
  <c r="O52" i="37"/>
  <c r="D60" i="37"/>
  <c r="W51" i="37"/>
  <c r="O51" i="37"/>
  <c r="W50" i="37"/>
  <c r="O50" i="37"/>
  <c r="O49" i="37"/>
  <c r="O48" i="37"/>
  <c r="W47" i="37"/>
  <c r="O47" i="37"/>
  <c r="W46" i="37"/>
  <c r="O46" i="37"/>
  <c r="W45" i="37"/>
  <c r="O45" i="37"/>
  <c r="W44" i="37"/>
  <c r="O44" i="37"/>
  <c r="W43" i="37"/>
  <c r="O43" i="37"/>
  <c r="W42" i="37"/>
  <c r="O42" i="37"/>
  <c r="W41" i="37"/>
  <c r="O41" i="37"/>
  <c r="W40" i="37"/>
  <c r="O40" i="37"/>
  <c r="W39" i="37"/>
  <c r="O39" i="37"/>
  <c r="W38" i="37"/>
  <c r="O38" i="37"/>
  <c r="W37" i="37"/>
  <c r="O37" i="37"/>
  <c r="W36" i="37"/>
  <c r="O36" i="37"/>
  <c r="W35" i="37"/>
  <c r="O35" i="37"/>
  <c r="W34" i="37"/>
  <c r="O34" i="37"/>
  <c r="W33" i="37"/>
  <c r="O33" i="37"/>
  <c r="W32" i="37"/>
  <c r="O32" i="37"/>
  <c r="W31" i="37"/>
  <c r="O31" i="37"/>
  <c r="W30" i="37"/>
  <c r="O30" i="37"/>
  <c r="W29" i="37"/>
  <c r="O29" i="37"/>
  <c r="W28" i="37"/>
  <c r="O28" i="37"/>
  <c r="W27" i="37"/>
  <c r="O27" i="37"/>
  <c r="W26" i="37"/>
  <c r="O26" i="37"/>
  <c r="W25" i="37"/>
  <c r="O25" i="37"/>
  <c r="W24" i="37"/>
  <c r="O24" i="37"/>
  <c r="W23" i="37"/>
  <c r="O23" i="37"/>
  <c r="W22" i="37"/>
  <c r="O22" i="37"/>
  <c r="W21" i="37"/>
  <c r="O21" i="37"/>
  <c r="W20" i="37"/>
  <c r="O20" i="37"/>
  <c r="W19" i="37"/>
  <c r="O19" i="37"/>
  <c r="W18" i="37"/>
  <c r="O18" i="37"/>
  <c r="W17" i="37"/>
  <c r="O17" i="37"/>
  <c r="W16" i="37"/>
  <c r="O16" i="37"/>
  <c r="W15" i="37"/>
  <c r="O15" i="37"/>
  <c r="W14" i="37"/>
  <c r="O14" i="37"/>
  <c r="W13" i="37"/>
  <c r="O13" i="37"/>
  <c r="W12" i="37"/>
  <c r="O12" i="37"/>
  <c r="W11" i="37"/>
  <c r="O11" i="37"/>
  <c r="W10" i="37"/>
  <c r="O10" i="37"/>
  <c r="W9" i="37"/>
  <c r="O9" i="37"/>
  <c r="W8" i="37"/>
  <c r="O8" i="37"/>
  <c r="W7" i="37"/>
  <c r="O7" i="37"/>
  <c r="Q7" i="37" s="1"/>
  <c r="AK6" i="37"/>
  <c r="AK7" i="37" s="1"/>
  <c r="AK8" i="37" s="1"/>
  <c r="AK9" i="37" s="1"/>
  <c r="AK10" i="37" s="1"/>
  <c r="AK11" i="37" s="1"/>
  <c r="AK12" i="37" s="1"/>
  <c r="AK13" i="37" s="1"/>
  <c r="AK14" i="37" s="1"/>
  <c r="AK15" i="37" s="1"/>
  <c r="AK16" i="37" s="1"/>
  <c r="AK17" i="37" s="1"/>
  <c r="AK18" i="37" s="1"/>
  <c r="AK19" i="37" s="1"/>
  <c r="AK20" i="37" s="1"/>
  <c r="AK21" i="37" s="1"/>
  <c r="AK22" i="37" s="1"/>
  <c r="AK23" i="37" s="1"/>
  <c r="AK24" i="37" s="1"/>
  <c r="AK25" i="37" s="1"/>
  <c r="AK26" i="37" s="1"/>
  <c r="AK27" i="37" s="1"/>
  <c r="AK28" i="37" s="1"/>
  <c r="AK29" i="37" s="1"/>
  <c r="AK30" i="37" s="1"/>
  <c r="AK31" i="37" s="1"/>
  <c r="AK32" i="37" s="1"/>
  <c r="AK33" i="37" s="1"/>
  <c r="AK34" i="37" s="1"/>
  <c r="AK35" i="37" s="1"/>
  <c r="AK36" i="37" s="1"/>
  <c r="AK37" i="37" s="1"/>
  <c r="AK38" i="37" s="1"/>
  <c r="AK39" i="37" s="1"/>
  <c r="AK40" i="37" s="1"/>
  <c r="AK41" i="37" s="1"/>
  <c r="AK42" i="37" s="1"/>
  <c r="AK43" i="37" s="1"/>
  <c r="AK44" i="37" s="1"/>
  <c r="AK45" i="37" s="1"/>
  <c r="AK46" i="37" s="1"/>
  <c r="AK47" i="37" s="1"/>
  <c r="AK48" i="37" s="1"/>
  <c r="AK49" i="37" s="1"/>
  <c r="AK50" i="37" s="1"/>
  <c r="AK51" i="37" s="1"/>
  <c r="AK52" i="37" s="1"/>
  <c r="AH6" i="37"/>
  <c r="AH7" i="37" s="1"/>
  <c r="AH8" i="37" s="1"/>
  <c r="AH9" i="37" s="1"/>
  <c r="AH10" i="37" s="1"/>
  <c r="AH11" i="37" s="1"/>
  <c r="AH12" i="37" s="1"/>
  <c r="AH13" i="37" s="1"/>
  <c r="AH14" i="37" s="1"/>
  <c r="AH15" i="37" s="1"/>
  <c r="AH16" i="37" s="1"/>
  <c r="AH17" i="37" s="1"/>
  <c r="AH18" i="37" s="1"/>
  <c r="AH19" i="37" s="1"/>
  <c r="AH20" i="37" s="1"/>
  <c r="AH21" i="37" s="1"/>
  <c r="AH22" i="37" s="1"/>
  <c r="AH23" i="37" s="1"/>
  <c r="AH24" i="37" s="1"/>
  <c r="AH25" i="37" s="1"/>
  <c r="AH26" i="37" s="1"/>
  <c r="AH27" i="37" s="1"/>
  <c r="AH28" i="37" s="1"/>
  <c r="AH29" i="37" s="1"/>
  <c r="AH30" i="37" s="1"/>
  <c r="AH31" i="37" s="1"/>
  <c r="AH32" i="37" s="1"/>
  <c r="AH33" i="37" s="1"/>
  <c r="AH34" i="37" s="1"/>
  <c r="AH35" i="37" s="1"/>
  <c r="AH36" i="37" s="1"/>
  <c r="AH37" i="37" s="1"/>
  <c r="AH38" i="37" s="1"/>
  <c r="AH39" i="37" s="1"/>
  <c r="AH40" i="37" s="1"/>
  <c r="AH41" i="37" s="1"/>
  <c r="AH42" i="37" s="1"/>
  <c r="AH43" i="37" s="1"/>
  <c r="AH44" i="37" s="1"/>
  <c r="AH45" i="37" s="1"/>
  <c r="AH46" i="37" s="1"/>
  <c r="AH47" i="37" s="1"/>
  <c r="AH48" i="37" s="1"/>
  <c r="AH49" i="37" s="1"/>
  <c r="AH50" i="37" s="1"/>
  <c r="AH51" i="37" s="1"/>
  <c r="AH52" i="37" s="1"/>
  <c r="AE6" i="37"/>
  <c r="AE7" i="37" s="1"/>
  <c r="AE8" i="37" s="1"/>
  <c r="AE9" i="37" s="1"/>
  <c r="AE10" i="37" s="1"/>
  <c r="AE11" i="37" s="1"/>
  <c r="AE12" i="37" s="1"/>
  <c r="AE13" i="37" s="1"/>
  <c r="AE14" i="37" s="1"/>
  <c r="AE15" i="37" s="1"/>
  <c r="AE16" i="37" s="1"/>
  <c r="AE17" i="37" s="1"/>
  <c r="AE18" i="37" s="1"/>
  <c r="AE19" i="37" s="1"/>
  <c r="AE20" i="37" s="1"/>
  <c r="AE21" i="37" s="1"/>
  <c r="AE22" i="37" s="1"/>
  <c r="AE23" i="37" s="1"/>
  <c r="AE24" i="37" s="1"/>
  <c r="AE25" i="37" s="1"/>
  <c r="AE26" i="37" s="1"/>
  <c r="AE27" i="37" s="1"/>
  <c r="AE28" i="37" s="1"/>
  <c r="AE29" i="37" s="1"/>
  <c r="AE30" i="37" s="1"/>
  <c r="AE31" i="37" s="1"/>
  <c r="AE32" i="37" s="1"/>
  <c r="AE33" i="37" s="1"/>
  <c r="AE34" i="37" s="1"/>
  <c r="AE35" i="37" s="1"/>
  <c r="AE36" i="37" s="1"/>
  <c r="AE37" i="37" s="1"/>
  <c r="AE38" i="37" s="1"/>
  <c r="AE39" i="37" s="1"/>
  <c r="AE40" i="37" s="1"/>
  <c r="AE41" i="37" s="1"/>
  <c r="AE42" i="37" s="1"/>
  <c r="AE43" i="37" s="1"/>
  <c r="AE44" i="37" s="1"/>
  <c r="AE45" i="37" s="1"/>
  <c r="AE46" i="37" s="1"/>
  <c r="AE47" i="37" s="1"/>
  <c r="AE48" i="37" s="1"/>
  <c r="AE49" i="37" s="1"/>
  <c r="AE50" i="37" s="1"/>
  <c r="AE51" i="37" s="1"/>
  <c r="AE52" i="37" s="1"/>
  <c r="AB6" i="37"/>
  <c r="AB7" i="37" s="1"/>
  <c r="AB8" i="37" s="1"/>
  <c r="AB9" i="37" s="1"/>
  <c r="AB10" i="37" s="1"/>
  <c r="AB11" i="37" s="1"/>
  <c r="AB12" i="37" s="1"/>
  <c r="AB13" i="37" s="1"/>
  <c r="AB14" i="37" s="1"/>
  <c r="AB15" i="37" s="1"/>
  <c r="AB16" i="37" s="1"/>
  <c r="AB17" i="37" s="1"/>
  <c r="AB18" i="37" s="1"/>
  <c r="AB19" i="37" s="1"/>
  <c r="AB20" i="37" s="1"/>
  <c r="AB21" i="37" s="1"/>
  <c r="AB22" i="37" s="1"/>
  <c r="AB23" i="37" s="1"/>
  <c r="AB24" i="37" s="1"/>
  <c r="AB25" i="37" s="1"/>
  <c r="AB26" i="37" s="1"/>
  <c r="AB27" i="37" s="1"/>
  <c r="AB28" i="37" s="1"/>
  <c r="AB29" i="37" s="1"/>
  <c r="AB30" i="37" s="1"/>
  <c r="AB31" i="37" s="1"/>
  <c r="AB32" i="37" s="1"/>
  <c r="AB33" i="37" s="1"/>
  <c r="AB34" i="37" s="1"/>
  <c r="AB35" i="37" s="1"/>
  <c r="AB36" i="37" s="1"/>
  <c r="AB37" i="37" s="1"/>
  <c r="AB38" i="37" s="1"/>
  <c r="AB39" i="37" s="1"/>
  <c r="AB40" i="37" s="1"/>
  <c r="AB41" i="37" s="1"/>
  <c r="AB42" i="37" s="1"/>
  <c r="AB43" i="37" s="1"/>
  <c r="AB44" i="37" s="1"/>
  <c r="AB45" i="37" s="1"/>
  <c r="AB46" i="37" s="1"/>
  <c r="AB47" i="37" s="1"/>
  <c r="AB48" i="37" s="1"/>
  <c r="AB49" i="37" s="1"/>
  <c r="AB50" i="37" s="1"/>
  <c r="AB51" i="37" s="1"/>
  <c r="AB52" i="37" s="1"/>
  <c r="W6" i="37"/>
  <c r="Y6" i="37" s="1"/>
  <c r="H55" i="36"/>
  <c r="O11" i="36"/>
  <c r="N45" i="36"/>
  <c r="H56" i="36"/>
  <c r="D52" i="36"/>
  <c r="D51" i="36"/>
  <c r="H57" i="36"/>
  <c r="S54" i="36"/>
  <c r="H54" i="36"/>
  <c r="E54" i="36"/>
  <c r="D54" i="36"/>
  <c r="S53" i="36"/>
  <c r="H53" i="36"/>
  <c r="E53" i="36"/>
  <c r="K53" i="36" s="1"/>
  <c r="S52" i="36"/>
  <c r="H52" i="36"/>
  <c r="E52" i="36"/>
  <c r="S51" i="36"/>
  <c r="H51" i="36"/>
  <c r="S50" i="36"/>
  <c r="H50" i="36"/>
  <c r="W44" i="36"/>
  <c r="O44" i="36"/>
  <c r="W43" i="36"/>
  <c r="O43" i="36"/>
  <c r="W42" i="36"/>
  <c r="W41" i="36"/>
  <c r="O41" i="36"/>
  <c r="W40" i="36"/>
  <c r="O40" i="36"/>
  <c r="W39" i="36"/>
  <c r="O39" i="36"/>
  <c r="W38" i="36"/>
  <c r="O38" i="36"/>
  <c r="W37" i="36"/>
  <c r="O37" i="36"/>
  <c r="W36" i="36"/>
  <c r="O36" i="36"/>
  <c r="W35" i="36"/>
  <c r="O35" i="36"/>
  <c r="W34" i="36"/>
  <c r="O34" i="36"/>
  <c r="W33" i="36"/>
  <c r="O33" i="36"/>
  <c r="O32" i="36"/>
  <c r="W31" i="36"/>
  <c r="O31" i="36"/>
  <c r="W30" i="36"/>
  <c r="O30" i="36"/>
  <c r="W29" i="36"/>
  <c r="O29" i="36"/>
  <c r="W28" i="36"/>
  <c r="O28" i="36"/>
  <c r="W27" i="36"/>
  <c r="O27" i="36"/>
  <c r="W26" i="36"/>
  <c r="O26" i="36"/>
  <c r="W25" i="36"/>
  <c r="O25" i="36"/>
  <c r="W24" i="36"/>
  <c r="O24" i="36"/>
  <c r="W23" i="36"/>
  <c r="O23" i="36"/>
  <c r="W22" i="36"/>
  <c r="O22" i="36"/>
  <c r="W21" i="36"/>
  <c r="O21" i="36"/>
  <c r="W20" i="36"/>
  <c r="O20" i="36"/>
  <c r="W19" i="36"/>
  <c r="O19" i="36"/>
  <c r="W18" i="36"/>
  <c r="O18" i="36"/>
  <c r="W17" i="36"/>
  <c r="O17" i="36"/>
  <c r="W16" i="36"/>
  <c r="W15" i="36"/>
  <c r="O15" i="36"/>
  <c r="W14" i="36"/>
  <c r="O14" i="36"/>
  <c r="W13" i="36"/>
  <c r="O13" i="36"/>
  <c r="W12" i="36"/>
  <c r="W11" i="36"/>
  <c r="W10" i="36"/>
  <c r="W9" i="36"/>
  <c r="W8" i="36"/>
  <c r="W7" i="36"/>
  <c r="AK6" i="36"/>
  <c r="AK7" i="36" s="1"/>
  <c r="AK8" i="36" s="1"/>
  <c r="AK9" i="36" s="1"/>
  <c r="AK10" i="36" s="1"/>
  <c r="AK11" i="36" s="1"/>
  <c r="AK12" i="36" s="1"/>
  <c r="AK13" i="36" s="1"/>
  <c r="AK14" i="36" s="1"/>
  <c r="AK15" i="36" s="1"/>
  <c r="AK16" i="36" s="1"/>
  <c r="AK17" i="36" s="1"/>
  <c r="AK18" i="36" s="1"/>
  <c r="AK19" i="36" s="1"/>
  <c r="AK20" i="36" s="1"/>
  <c r="AK21" i="36" s="1"/>
  <c r="AK22" i="36" s="1"/>
  <c r="AK23" i="36" s="1"/>
  <c r="AK24" i="36" s="1"/>
  <c r="AK25" i="36" s="1"/>
  <c r="AK26" i="36" s="1"/>
  <c r="AK27" i="36" s="1"/>
  <c r="AK28" i="36" s="1"/>
  <c r="AK29" i="36" s="1"/>
  <c r="AK30" i="36" s="1"/>
  <c r="AK31" i="36" s="1"/>
  <c r="AK32" i="36" s="1"/>
  <c r="AK33" i="36" s="1"/>
  <c r="AK34" i="36" s="1"/>
  <c r="AK35" i="36" s="1"/>
  <c r="AK36" i="36" s="1"/>
  <c r="AK37" i="36" s="1"/>
  <c r="AK38" i="36" s="1"/>
  <c r="AK39" i="36" s="1"/>
  <c r="AK40" i="36" s="1"/>
  <c r="AK41" i="36" s="1"/>
  <c r="AK42" i="36" s="1"/>
  <c r="AK43" i="36" s="1"/>
  <c r="AK44" i="36" s="1"/>
  <c r="AH6" i="36"/>
  <c r="AH7" i="36" s="1"/>
  <c r="AH8" i="36" s="1"/>
  <c r="AH9" i="36" s="1"/>
  <c r="AH10" i="36" s="1"/>
  <c r="AH11" i="36" s="1"/>
  <c r="AH12" i="36" s="1"/>
  <c r="AH13" i="36" s="1"/>
  <c r="AH14" i="36" s="1"/>
  <c r="AH15" i="36" s="1"/>
  <c r="AH16" i="36" s="1"/>
  <c r="AH17" i="36" s="1"/>
  <c r="AH18" i="36" s="1"/>
  <c r="AH19" i="36" s="1"/>
  <c r="AH20" i="36" s="1"/>
  <c r="AH21" i="36" s="1"/>
  <c r="AH22" i="36" s="1"/>
  <c r="AH23" i="36" s="1"/>
  <c r="AH24" i="36" s="1"/>
  <c r="AH25" i="36" s="1"/>
  <c r="AH26" i="36" s="1"/>
  <c r="AH27" i="36" s="1"/>
  <c r="AH28" i="36" s="1"/>
  <c r="AH29" i="36" s="1"/>
  <c r="AH30" i="36" s="1"/>
  <c r="AH31" i="36" s="1"/>
  <c r="AH32" i="36" s="1"/>
  <c r="AH33" i="36" s="1"/>
  <c r="AH34" i="36" s="1"/>
  <c r="AH35" i="36" s="1"/>
  <c r="AH36" i="36" s="1"/>
  <c r="AH37" i="36" s="1"/>
  <c r="AH38" i="36" s="1"/>
  <c r="AH39" i="36" s="1"/>
  <c r="AH40" i="36" s="1"/>
  <c r="AH41" i="36" s="1"/>
  <c r="AH42" i="36" s="1"/>
  <c r="AH43" i="36" s="1"/>
  <c r="AH44" i="36" s="1"/>
  <c r="AE6" i="36"/>
  <c r="AE7" i="36" s="1"/>
  <c r="AE8" i="36" s="1"/>
  <c r="AE9" i="36" s="1"/>
  <c r="AE10" i="36" s="1"/>
  <c r="AE11" i="36" s="1"/>
  <c r="AE12" i="36" s="1"/>
  <c r="AE13" i="36" s="1"/>
  <c r="AE14" i="36" s="1"/>
  <c r="AE15" i="36" s="1"/>
  <c r="AE16" i="36" s="1"/>
  <c r="AE17" i="36" s="1"/>
  <c r="AE18" i="36" s="1"/>
  <c r="AE19" i="36" s="1"/>
  <c r="AE20" i="36" s="1"/>
  <c r="AE21" i="36" s="1"/>
  <c r="AE22" i="36" s="1"/>
  <c r="AE23" i="36" s="1"/>
  <c r="AE24" i="36" s="1"/>
  <c r="AE25" i="36" s="1"/>
  <c r="AE26" i="36" s="1"/>
  <c r="AE27" i="36" s="1"/>
  <c r="AE28" i="36" s="1"/>
  <c r="AE29" i="36" s="1"/>
  <c r="AE30" i="36" s="1"/>
  <c r="AE31" i="36" s="1"/>
  <c r="AE32" i="36" s="1"/>
  <c r="AE33" i="36" s="1"/>
  <c r="AE34" i="36" s="1"/>
  <c r="AE35" i="36" s="1"/>
  <c r="AE36" i="36" s="1"/>
  <c r="AE37" i="36" s="1"/>
  <c r="AE38" i="36" s="1"/>
  <c r="AE39" i="36" s="1"/>
  <c r="AE40" i="36" s="1"/>
  <c r="AE41" i="36" s="1"/>
  <c r="AE42" i="36" s="1"/>
  <c r="AE43" i="36" s="1"/>
  <c r="AE44" i="36" s="1"/>
  <c r="AB6" i="36"/>
  <c r="AB7" i="36" s="1"/>
  <c r="AB8" i="36" s="1"/>
  <c r="AB9" i="36" s="1"/>
  <c r="AB10" i="36" s="1"/>
  <c r="AB11" i="36" s="1"/>
  <c r="AB12" i="36" s="1"/>
  <c r="AB13" i="36" s="1"/>
  <c r="AB14" i="36" s="1"/>
  <c r="AB15" i="36" s="1"/>
  <c r="AB16" i="36" s="1"/>
  <c r="AB17" i="36" s="1"/>
  <c r="AB18" i="36" s="1"/>
  <c r="AB19" i="36" s="1"/>
  <c r="AB20" i="36" s="1"/>
  <c r="AB21" i="36" s="1"/>
  <c r="AB22" i="36" s="1"/>
  <c r="AB23" i="36" s="1"/>
  <c r="AB24" i="36" s="1"/>
  <c r="AB25" i="36" s="1"/>
  <c r="AB26" i="36" s="1"/>
  <c r="AB27" i="36" s="1"/>
  <c r="AB28" i="36" s="1"/>
  <c r="AB29" i="36" s="1"/>
  <c r="AB30" i="36" s="1"/>
  <c r="AB31" i="36" s="1"/>
  <c r="AB32" i="36" s="1"/>
  <c r="AB33" i="36" s="1"/>
  <c r="AB34" i="36" s="1"/>
  <c r="AB35" i="36" s="1"/>
  <c r="AB36" i="36" s="1"/>
  <c r="AB37" i="36" s="1"/>
  <c r="AB38" i="36" s="1"/>
  <c r="AB39" i="36" s="1"/>
  <c r="AB40" i="36" s="1"/>
  <c r="AB41" i="36" s="1"/>
  <c r="AB42" i="36" s="1"/>
  <c r="AB43" i="36" s="1"/>
  <c r="AB44" i="36" s="1"/>
  <c r="W6" i="36"/>
  <c r="Y6" i="36" s="1"/>
  <c r="Q8" i="38" l="1"/>
  <c r="Q9" i="38" s="1"/>
  <c r="Q10" i="38" s="1"/>
  <c r="Q11" i="38" s="1"/>
  <c r="Q12" i="38" s="1"/>
  <c r="Q13" i="38" s="1"/>
  <c r="Q14" i="38" s="1"/>
  <c r="Q15" i="38" s="1"/>
  <c r="Q16" i="38" s="1"/>
  <c r="Q17" i="38" s="1"/>
  <c r="Q18" i="38" s="1"/>
  <c r="Q19" i="38" s="1"/>
  <c r="Q20" i="38" s="1"/>
  <c r="Q21" i="38" s="1"/>
  <c r="Q22" i="38" s="1"/>
  <c r="Q23" i="38" s="1"/>
  <c r="Q24" i="38" s="1"/>
  <c r="Q25" i="38" s="1"/>
  <c r="Q26" i="38" s="1"/>
  <c r="Q27" i="38" s="1"/>
  <c r="Q28" i="38" s="1"/>
  <c r="Q29" i="38" s="1"/>
  <c r="Q30" i="38" s="1"/>
  <c r="Q31" i="38" s="1"/>
  <c r="Q32" i="38" s="1"/>
  <c r="Q33" i="38" s="1"/>
  <c r="Q34" i="38" s="1"/>
  <c r="Q35" i="38" s="1"/>
  <c r="Q36" i="38" s="1"/>
  <c r="Q37" i="38" s="1"/>
  <c r="Q38" i="38" s="1"/>
  <c r="Q39" i="38" s="1"/>
  <c r="Q40" i="38" s="1"/>
  <c r="Q41" i="38" s="1"/>
  <c r="Q42" i="38" s="1"/>
  <c r="Q43" i="38" s="1"/>
  <c r="Q44" i="38" s="1"/>
  <c r="Q45" i="38" s="1"/>
  <c r="Q46" i="38" s="1"/>
  <c r="Q47" i="38" s="1"/>
  <c r="Q48" i="38" s="1"/>
  <c r="Q49" i="38" s="1"/>
  <c r="Q50" i="38" s="1"/>
  <c r="Q51" i="38" s="1"/>
  <c r="Q52" i="38" s="1"/>
  <c r="Q53" i="38" s="1"/>
  <c r="Q54" i="38" s="1"/>
  <c r="Q55" i="38" s="1"/>
  <c r="Q56" i="38" s="1"/>
  <c r="Q57" i="38" s="1"/>
  <c r="Q58" i="38" s="1"/>
  <c r="Q59" i="38" s="1"/>
  <c r="Q60" i="38" s="1"/>
  <c r="Q61" i="38" s="1"/>
  <c r="Q62" i="38" s="1"/>
  <c r="Q63" i="38" s="1"/>
  <c r="Q64" i="38" s="1"/>
  <c r="Q65" i="38" s="1"/>
  <c r="Q66" i="38" s="1"/>
  <c r="Q67" i="38" s="1"/>
  <c r="Q68" i="38" s="1"/>
  <c r="Q69" i="38" s="1"/>
  <c r="Q70" i="38" s="1"/>
  <c r="Q71" i="38" s="1"/>
  <c r="Q72" i="38" s="1"/>
  <c r="Q73" i="38" s="1"/>
  <c r="Q8" i="37"/>
  <c r="Q9" i="37" s="1"/>
  <c r="Q10" i="37" s="1"/>
  <c r="Q11" i="37" s="1"/>
  <c r="Q12" i="37" s="1"/>
  <c r="Q13" i="37" s="1"/>
  <c r="Q14" i="37" s="1"/>
  <c r="Q15" i="37" s="1"/>
  <c r="Q16" i="37" s="1"/>
  <c r="Q17" i="37" s="1"/>
  <c r="Q18" i="37" s="1"/>
  <c r="Q19" i="37" s="1"/>
  <c r="Q20" i="37" s="1"/>
  <c r="Q21" i="37" s="1"/>
  <c r="Q22" i="37" s="1"/>
  <c r="Q23" i="37" s="1"/>
  <c r="Q24" i="37" s="1"/>
  <c r="Q25" i="37" s="1"/>
  <c r="Q26" i="37" s="1"/>
  <c r="Q27" i="37" s="1"/>
  <c r="Q28" i="37" s="1"/>
  <c r="Q29" i="37" s="1"/>
  <c r="Q30" i="37" s="1"/>
  <c r="Q31" i="37" s="1"/>
  <c r="Q32" i="37" s="1"/>
  <c r="Q33" i="37" s="1"/>
  <c r="Q34" i="37" s="1"/>
  <c r="Q35" i="37" s="1"/>
  <c r="Q36" i="37" s="1"/>
  <c r="Q37" i="37" s="1"/>
  <c r="Q38" i="37" s="1"/>
  <c r="Q39" i="37" s="1"/>
  <c r="Q40" i="37" s="1"/>
  <c r="Q41" i="37" s="1"/>
  <c r="Q42" i="37" s="1"/>
  <c r="Q43" i="37" s="1"/>
  <c r="Q44" i="37" s="1"/>
  <c r="Q45" i="37" s="1"/>
  <c r="Q46" i="37" s="1"/>
  <c r="Q47" i="37" s="1"/>
  <c r="Q48" i="37" s="1"/>
  <c r="Q49" i="37" s="1"/>
  <c r="Q50" i="37" s="1"/>
  <c r="Q51" i="37" s="1"/>
  <c r="Q52" i="37" s="1"/>
  <c r="D65" i="37"/>
  <c r="L65" i="37" s="1"/>
  <c r="M65" i="37" s="1"/>
  <c r="S88" i="38"/>
  <c r="O75" i="38"/>
  <c r="M85" i="38"/>
  <c r="Y7" i="38"/>
  <c r="Y8" i="38" s="1"/>
  <c r="Y9" i="38" s="1"/>
  <c r="Y10" i="38" s="1"/>
  <c r="Y11" i="38" s="1"/>
  <c r="Y12" i="38" s="1"/>
  <c r="Y13" i="38" s="1"/>
  <c r="Y14" i="38" s="1"/>
  <c r="Y15" i="38" s="1"/>
  <c r="Y16" i="38" s="1"/>
  <c r="Y17" i="38" s="1"/>
  <c r="Y18" i="38" s="1"/>
  <c r="Y19" i="38" s="1"/>
  <c r="Y20" i="38" s="1"/>
  <c r="Y21" i="38" s="1"/>
  <c r="Y22" i="38" s="1"/>
  <c r="Y23" i="38" s="1"/>
  <c r="Y24" i="38" s="1"/>
  <c r="Y25" i="38" s="1"/>
  <c r="Y26" i="38" s="1"/>
  <c r="Y27" i="38" s="1"/>
  <c r="Y28" i="38" s="1"/>
  <c r="Y29" i="38" s="1"/>
  <c r="Y30" i="38" s="1"/>
  <c r="Y31" i="38" s="1"/>
  <c r="Y32" i="38" s="1"/>
  <c r="Y33" i="38" s="1"/>
  <c r="Y34" i="38" s="1"/>
  <c r="Y35" i="38" s="1"/>
  <c r="Y36" i="38" s="1"/>
  <c r="Y37" i="38" s="1"/>
  <c r="Y38" i="38" s="1"/>
  <c r="Y39" i="38" s="1"/>
  <c r="Y40" i="38" s="1"/>
  <c r="Y41" i="38" s="1"/>
  <c r="Y42" i="38" s="1"/>
  <c r="Y43" i="38" s="1"/>
  <c r="Y44" i="38" s="1"/>
  <c r="Y45" i="38" s="1"/>
  <c r="Y46" i="38" s="1"/>
  <c r="Y47" i="38" s="1"/>
  <c r="Y48" i="38" s="1"/>
  <c r="Y49" i="38" s="1"/>
  <c r="Y50" i="38" s="1"/>
  <c r="Y51" i="38" s="1"/>
  <c r="Y52" i="38" s="1"/>
  <c r="Y53" i="38" s="1"/>
  <c r="Y54" i="38" s="1"/>
  <c r="Y55" i="38" s="1"/>
  <c r="Y56" i="38" s="1"/>
  <c r="Y57" i="38" s="1"/>
  <c r="Y58" i="38" s="1"/>
  <c r="Y59" i="38" s="1"/>
  <c r="Y60" i="38" s="1"/>
  <c r="Y61" i="38" s="1"/>
  <c r="Y62" i="38" s="1"/>
  <c r="Y63" i="38" s="1"/>
  <c r="Y64" i="38" s="1"/>
  <c r="Y65" i="38" s="1"/>
  <c r="Y66" i="38" s="1"/>
  <c r="Y67" i="38" s="1"/>
  <c r="Y68" i="38" s="1"/>
  <c r="Y69" i="38" s="1"/>
  <c r="Y70" i="38" s="1"/>
  <c r="Y71" i="38" s="1"/>
  <c r="Y72" i="38" s="1"/>
  <c r="Y73" i="38" s="1"/>
  <c r="F83" i="38"/>
  <c r="I83" i="38"/>
  <c r="L80" i="38"/>
  <c r="M80" i="38" s="1"/>
  <c r="I80" i="38"/>
  <c r="D84" i="38"/>
  <c r="D74" i="38"/>
  <c r="D86" i="38"/>
  <c r="T80" i="38" s="1"/>
  <c r="H88" i="38"/>
  <c r="D79" i="38"/>
  <c r="L82" i="38"/>
  <c r="M82" i="38" s="1"/>
  <c r="F81" i="38"/>
  <c r="E88" i="38"/>
  <c r="K81" i="38"/>
  <c r="I81" i="38"/>
  <c r="D82" i="38"/>
  <c r="F82" i="38" s="1"/>
  <c r="I85" i="38"/>
  <c r="K83" i="38"/>
  <c r="E67" i="37"/>
  <c r="O54" i="37"/>
  <c r="Y7" i="37"/>
  <c r="Y8" i="37" s="1"/>
  <c r="Y9" i="37" s="1"/>
  <c r="Y10" i="37" s="1"/>
  <c r="Y11" i="37" s="1"/>
  <c r="Y12" i="37" s="1"/>
  <c r="Y13" i="37" s="1"/>
  <c r="Y14" i="37" s="1"/>
  <c r="Y15" i="37" s="1"/>
  <c r="Y16" i="37" s="1"/>
  <c r="Y17" i="37" s="1"/>
  <c r="Y18" i="37" s="1"/>
  <c r="Y19" i="37" s="1"/>
  <c r="Y20" i="37" s="1"/>
  <c r="Y21" i="37" s="1"/>
  <c r="Y22" i="37" s="1"/>
  <c r="Y23" i="37" s="1"/>
  <c r="Y24" i="37" s="1"/>
  <c r="Y25" i="37" s="1"/>
  <c r="Y26" i="37" s="1"/>
  <c r="Y27" i="37" s="1"/>
  <c r="Y28" i="37" s="1"/>
  <c r="Y29" i="37" s="1"/>
  <c r="Y30" i="37" s="1"/>
  <c r="Y31" i="37" s="1"/>
  <c r="Y32" i="37" s="1"/>
  <c r="Y33" i="37" s="1"/>
  <c r="Y34" i="37" s="1"/>
  <c r="Y35" i="37" s="1"/>
  <c r="Y36" i="37" s="1"/>
  <c r="Y37" i="37" s="1"/>
  <c r="Y38" i="37" s="1"/>
  <c r="Y39" i="37" s="1"/>
  <c r="Y40" i="37" s="1"/>
  <c r="Y41" i="37" s="1"/>
  <c r="Y42" i="37" s="1"/>
  <c r="Y43" i="37" s="1"/>
  <c r="Y44" i="37" s="1"/>
  <c r="Y45" i="37" s="1"/>
  <c r="Y46" i="37" s="1"/>
  <c r="Y47" i="37" s="1"/>
  <c r="Y48" i="37" s="1"/>
  <c r="Y49" i="37" s="1"/>
  <c r="Y50" i="37" s="1"/>
  <c r="Y51" i="37" s="1"/>
  <c r="Y52" i="37" s="1"/>
  <c r="D58" i="37"/>
  <c r="I58" i="37" s="1"/>
  <c r="D53" i="37"/>
  <c r="I62" i="37"/>
  <c r="F62" i="37"/>
  <c r="D64" i="37"/>
  <c r="L64" i="37" s="1"/>
  <c r="M64" i="37" s="1"/>
  <c r="H67" i="37"/>
  <c r="N60" i="37"/>
  <c r="L60" i="37"/>
  <c r="M60" i="37" s="1"/>
  <c r="D63" i="37"/>
  <c r="L63" i="37" s="1"/>
  <c r="M63" i="37" s="1"/>
  <c r="D59" i="37"/>
  <c r="D61" i="37"/>
  <c r="F61" i="37" s="1"/>
  <c r="S67" i="37"/>
  <c r="L61" i="37"/>
  <c r="M61" i="37" s="1"/>
  <c r="F60" i="37"/>
  <c r="I60" i="37"/>
  <c r="K62" i="37"/>
  <c r="D50" i="36"/>
  <c r="L50" i="36" s="1"/>
  <c r="E59" i="36"/>
  <c r="K52" i="36"/>
  <c r="N52" i="36" s="1"/>
  <c r="L45" i="36"/>
  <c r="O9" i="36"/>
  <c r="Q9" i="36" s="1"/>
  <c r="Q10" i="36" s="1"/>
  <c r="Q11" i="36" s="1"/>
  <c r="Q12" i="36" s="1"/>
  <c r="Q13" i="36" s="1"/>
  <c r="Q14" i="36" s="1"/>
  <c r="Q15" i="36" s="1"/>
  <c r="Q16" i="36" s="1"/>
  <c r="Q17" i="36" s="1"/>
  <c r="Q18" i="36" s="1"/>
  <c r="Q19" i="36" s="1"/>
  <c r="Q20" i="36" s="1"/>
  <c r="Q21" i="36" s="1"/>
  <c r="Q22" i="36" s="1"/>
  <c r="Q23" i="36" s="1"/>
  <c r="Q24" i="36" s="1"/>
  <c r="Q25" i="36" s="1"/>
  <c r="Q26" i="36" s="1"/>
  <c r="Q27" i="36" s="1"/>
  <c r="Q28" i="36" s="1"/>
  <c r="Q29" i="36" s="1"/>
  <c r="Q30" i="36" s="1"/>
  <c r="Q31" i="36" s="1"/>
  <c r="Q32" i="36" s="1"/>
  <c r="Q33" i="36" s="1"/>
  <c r="Q34" i="36" s="1"/>
  <c r="Q35" i="36" s="1"/>
  <c r="Q36" i="36" s="1"/>
  <c r="Q37" i="36" s="1"/>
  <c r="Q38" i="36" s="1"/>
  <c r="Q39" i="36" s="1"/>
  <c r="Q40" i="36" s="1"/>
  <c r="Q41" i="36" s="1"/>
  <c r="Q42" i="36" s="1"/>
  <c r="Q43" i="36" s="1"/>
  <c r="Q44" i="36" s="1"/>
  <c r="M45" i="36"/>
  <c r="Y7" i="36"/>
  <c r="Y8" i="36" s="1"/>
  <c r="Y9" i="36" s="1"/>
  <c r="Y10" i="36" s="1"/>
  <c r="Y11" i="36" s="1"/>
  <c r="Y12" i="36" s="1"/>
  <c r="Y13" i="36" s="1"/>
  <c r="Y14" i="36" s="1"/>
  <c r="Y15" i="36" s="1"/>
  <c r="Y16" i="36" s="1"/>
  <c r="Y17" i="36" s="1"/>
  <c r="Y18" i="36" s="1"/>
  <c r="Y19" i="36" s="1"/>
  <c r="Y20" i="36" s="1"/>
  <c r="Y21" i="36" s="1"/>
  <c r="Y22" i="36" s="1"/>
  <c r="Y23" i="36" s="1"/>
  <c r="Y24" i="36" s="1"/>
  <c r="Y25" i="36" s="1"/>
  <c r="Y26" i="36" s="1"/>
  <c r="Y27" i="36" s="1"/>
  <c r="Y28" i="36" s="1"/>
  <c r="Y29" i="36" s="1"/>
  <c r="Y30" i="36" s="1"/>
  <c r="Y31" i="36" s="1"/>
  <c r="Y32" i="36" s="1"/>
  <c r="Y33" i="36" s="1"/>
  <c r="Y34" i="36" s="1"/>
  <c r="Y35" i="36" s="1"/>
  <c r="Y36" i="36" s="1"/>
  <c r="Y37" i="36" s="1"/>
  <c r="Y38" i="36" s="1"/>
  <c r="Y39" i="36" s="1"/>
  <c r="Y40" i="36" s="1"/>
  <c r="Y41" i="36" s="1"/>
  <c r="Y42" i="36" s="1"/>
  <c r="Y43" i="36" s="1"/>
  <c r="Y44" i="36" s="1"/>
  <c r="F54" i="36"/>
  <c r="I54" i="36"/>
  <c r="D57" i="36"/>
  <c r="T51" i="36" s="1"/>
  <c r="D53" i="36"/>
  <c r="F53" i="36" s="1"/>
  <c r="D55" i="36"/>
  <c r="L55" i="36" s="1"/>
  <c r="M55" i="36" s="1"/>
  <c r="L53" i="36"/>
  <c r="M53" i="36" s="1"/>
  <c r="L51" i="36"/>
  <c r="M51" i="36" s="1"/>
  <c r="D45" i="36"/>
  <c r="H59" i="36"/>
  <c r="D56" i="36"/>
  <c r="L56" i="36" s="1"/>
  <c r="M56" i="36" s="1"/>
  <c r="I51" i="36"/>
  <c r="F52" i="36"/>
  <c r="S59" i="36"/>
  <c r="I52" i="36"/>
  <c r="K54" i="36"/>
  <c r="L58" i="37" l="1"/>
  <c r="M58" i="37" s="1"/>
  <c r="I65" i="37"/>
  <c r="L52" i="36"/>
  <c r="M52" i="36" s="1"/>
  <c r="T81" i="38"/>
  <c r="T83" i="38"/>
  <c r="I82" i="38"/>
  <c r="V79" i="38"/>
  <c r="W79" i="38" s="1"/>
  <c r="D88" i="38"/>
  <c r="L79" i="38"/>
  <c r="L84" i="38"/>
  <c r="M84" i="38" s="1"/>
  <c r="I84" i="38"/>
  <c r="T82" i="38"/>
  <c r="L83" i="38"/>
  <c r="M83" i="38" s="1"/>
  <c r="N83" i="38"/>
  <c r="F88" i="38"/>
  <c r="I79" i="38"/>
  <c r="N81" i="38"/>
  <c r="L81" i="38"/>
  <c r="M81" i="38" s="1"/>
  <c r="N82" i="38"/>
  <c r="L86" i="38"/>
  <c r="M86" i="38" s="1"/>
  <c r="I86" i="38"/>
  <c r="T79" i="38"/>
  <c r="I61" i="37"/>
  <c r="F67" i="37"/>
  <c r="L59" i="37"/>
  <c r="M59" i="37" s="1"/>
  <c r="T60" i="37"/>
  <c r="V58" i="37"/>
  <c r="W58" i="37" s="1"/>
  <c r="T61" i="37"/>
  <c r="T59" i="37"/>
  <c r="D67" i="37"/>
  <c r="T58" i="37"/>
  <c r="L62" i="37"/>
  <c r="M62" i="37" s="1"/>
  <c r="N62" i="37"/>
  <c r="I64" i="37"/>
  <c r="T62" i="37"/>
  <c r="I59" i="37"/>
  <c r="N61" i="37"/>
  <c r="I63" i="37"/>
  <c r="I50" i="36"/>
  <c r="O46" i="36"/>
  <c r="T53" i="36"/>
  <c r="T54" i="36"/>
  <c r="T50" i="36"/>
  <c r="I53" i="36"/>
  <c r="T52" i="36"/>
  <c r="N53" i="36"/>
  <c r="F59" i="36"/>
  <c r="V50" i="36"/>
  <c r="W50" i="36" s="1"/>
  <c r="I55" i="36"/>
  <c r="L54" i="36"/>
  <c r="M54" i="36" s="1"/>
  <c r="N54" i="36"/>
  <c r="I56" i="36"/>
  <c r="M50" i="36"/>
  <c r="D59" i="36"/>
  <c r="L57" i="36"/>
  <c r="M57" i="36" s="1"/>
  <c r="I57" i="36"/>
  <c r="I49" i="3"/>
  <c r="I63" i="3"/>
  <c r="T88" i="38" l="1"/>
  <c r="N88" i="38"/>
  <c r="L88" i="38"/>
  <c r="M79" i="38"/>
  <c r="M88" i="38" s="1"/>
  <c r="N67" i="37"/>
  <c r="M67" i="37"/>
  <c r="T67" i="37"/>
  <c r="L67" i="37"/>
  <c r="M59" i="36"/>
  <c r="T59" i="36"/>
  <c r="N59" i="36"/>
  <c r="L59" i="36"/>
  <c r="AK6" i="7"/>
  <c r="AK7" i="7" s="1"/>
  <c r="AK8" i="7" s="1"/>
  <c r="AK9" i="7" s="1"/>
  <c r="AK10" i="7" s="1"/>
  <c r="AK11" i="7" s="1"/>
  <c r="AK12" i="7" s="1"/>
  <c r="AK13" i="7" s="1"/>
  <c r="AK14" i="7" s="1"/>
  <c r="AK15" i="7" s="1"/>
  <c r="AK16" i="7" s="1"/>
  <c r="AK17" i="7" s="1"/>
  <c r="AK18" i="7" s="1"/>
  <c r="AK19" i="7" s="1"/>
  <c r="AK20" i="7" s="1"/>
  <c r="AK21" i="7" s="1"/>
  <c r="AK22" i="7" s="1"/>
  <c r="AK23" i="7" s="1"/>
  <c r="AK24" i="7" s="1"/>
  <c r="AK25" i="7" s="1"/>
  <c r="AK26" i="7" s="1"/>
  <c r="AK27" i="7" s="1"/>
  <c r="AK28" i="7" s="1"/>
  <c r="AK29" i="7" s="1"/>
  <c r="AK30" i="7" s="1"/>
  <c r="AK31" i="7" s="1"/>
  <c r="AK32" i="7" s="1"/>
  <c r="AK33" i="7" s="1"/>
  <c r="AK34" i="7" s="1"/>
  <c r="AK35" i="7" s="1"/>
  <c r="AK36" i="7" s="1"/>
  <c r="AK37" i="7" s="1"/>
  <c r="AK38" i="7" s="1"/>
  <c r="AK39" i="7" s="1"/>
  <c r="AK40" i="7" s="1"/>
  <c r="AK41" i="7" s="1"/>
  <c r="AK42" i="7" s="1"/>
  <c r="AK43" i="7" s="1"/>
  <c r="AK44" i="7" s="1"/>
  <c r="AK45" i="7" s="1"/>
  <c r="AK46" i="7" s="1"/>
  <c r="AK47" i="7" s="1"/>
  <c r="AK48" i="7" s="1"/>
  <c r="AK49" i="7" s="1"/>
  <c r="AK50" i="7" s="1"/>
  <c r="AK51" i="7" s="1"/>
  <c r="AK52" i="7" s="1"/>
  <c r="AK53" i="7" s="1"/>
  <c r="AK54" i="7" s="1"/>
  <c r="AK55" i="7" s="1"/>
  <c r="AK56" i="7" s="1"/>
  <c r="AK57" i="7" s="1"/>
  <c r="AK58" i="7" s="1"/>
  <c r="AK59" i="7" s="1"/>
  <c r="AK60" i="7" s="1"/>
  <c r="AK61" i="7" s="1"/>
  <c r="AK62" i="7" s="1"/>
  <c r="AK63" i="7" s="1"/>
  <c r="AK64" i="7" s="1"/>
  <c r="AK65" i="7" s="1"/>
  <c r="AK66" i="7" s="1"/>
  <c r="AK67" i="7" s="1"/>
  <c r="AK68" i="7" s="1"/>
  <c r="AK69" i="7" s="1"/>
  <c r="AK70" i="7" s="1"/>
  <c r="AK71" i="7" s="1"/>
  <c r="AK72" i="7" s="1"/>
  <c r="AK73" i="7" s="1"/>
  <c r="AK74" i="7" s="1"/>
  <c r="AK75" i="7" s="1"/>
  <c r="AK76" i="7" s="1"/>
  <c r="AH6" i="7"/>
  <c r="AH7" i="7" s="1"/>
  <c r="AH8" i="7" s="1"/>
  <c r="AH9" i="7" s="1"/>
  <c r="AH10" i="7" s="1"/>
  <c r="AH11" i="7" s="1"/>
  <c r="AH12" i="7" s="1"/>
  <c r="AH13" i="7" s="1"/>
  <c r="AH14" i="7" s="1"/>
  <c r="AH15" i="7" s="1"/>
  <c r="AH16" i="7" s="1"/>
  <c r="AH17" i="7" s="1"/>
  <c r="AH18" i="7" s="1"/>
  <c r="AH19" i="7" s="1"/>
  <c r="AH20" i="7" s="1"/>
  <c r="AH21" i="7" s="1"/>
  <c r="AH22" i="7" s="1"/>
  <c r="AH23" i="7" s="1"/>
  <c r="AH24" i="7" s="1"/>
  <c r="AH25" i="7" s="1"/>
  <c r="AH26" i="7" s="1"/>
  <c r="AH27" i="7" s="1"/>
  <c r="AH28" i="7" s="1"/>
  <c r="AH29" i="7" s="1"/>
  <c r="AH30" i="7" s="1"/>
  <c r="AH31" i="7" s="1"/>
  <c r="AH32" i="7" s="1"/>
  <c r="AH33" i="7" s="1"/>
  <c r="AH34" i="7" s="1"/>
  <c r="AH35" i="7" s="1"/>
  <c r="AH36" i="7" s="1"/>
  <c r="AH37" i="7" s="1"/>
  <c r="AH38" i="7" s="1"/>
  <c r="AH39" i="7" s="1"/>
  <c r="AH40" i="7" s="1"/>
  <c r="AH41" i="7" s="1"/>
  <c r="AH42" i="7" s="1"/>
  <c r="AH43" i="7" s="1"/>
  <c r="AH44" i="7" s="1"/>
  <c r="AH45" i="7" s="1"/>
  <c r="AH46" i="7" s="1"/>
  <c r="AH47" i="7" s="1"/>
  <c r="AH48" i="7" s="1"/>
  <c r="AH49" i="7" s="1"/>
  <c r="AH50" i="7" s="1"/>
  <c r="AH51" i="7" s="1"/>
  <c r="AH52" i="7" s="1"/>
  <c r="AH53" i="7" s="1"/>
  <c r="AH54" i="7" s="1"/>
  <c r="AH55" i="7" s="1"/>
  <c r="AH56" i="7" s="1"/>
  <c r="AH57" i="7" s="1"/>
  <c r="AH58" i="7" s="1"/>
  <c r="AH59" i="7" s="1"/>
  <c r="AH60" i="7" s="1"/>
  <c r="AH61" i="7" s="1"/>
  <c r="AH62" i="7" s="1"/>
  <c r="AH63" i="7" s="1"/>
  <c r="AH64" i="7" s="1"/>
  <c r="AH65" i="7" s="1"/>
  <c r="AH66" i="7" s="1"/>
  <c r="AH67" i="7" s="1"/>
  <c r="AH68" i="7" s="1"/>
  <c r="AH69" i="7" s="1"/>
  <c r="AH70" i="7" s="1"/>
  <c r="AH71" i="7" s="1"/>
  <c r="AH72" i="7" s="1"/>
  <c r="AH73" i="7" s="1"/>
  <c r="AH74" i="7" s="1"/>
  <c r="AH75" i="7" s="1"/>
  <c r="AH76" i="7" s="1"/>
  <c r="AE6" i="7"/>
  <c r="AE7" i="7" s="1"/>
  <c r="AE8" i="7" s="1"/>
  <c r="AE9" i="7" s="1"/>
  <c r="AE10" i="7" s="1"/>
  <c r="AE11" i="7" s="1"/>
  <c r="AE12" i="7" s="1"/>
  <c r="AE13" i="7" s="1"/>
  <c r="AE14" i="7" s="1"/>
  <c r="AE15" i="7" s="1"/>
  <c r="AE16" i="7" s="1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E39" i="7" s="1"/>
  <c r="AE40" i="7" s="1"/>
  <c r="AE41" i="7" s="1"/>
  <c r="AE42" i="7" s="1"/>
  <c r="AE43" i="7" s="1"/>
  <c r="AE44" i="7" s="1"/>
  <c r="AE45" i="7" s="1"/>
  <c r="AE46" i="7" s="1"/>
  <c r="AE47" i="7" s="1"/>
  <c r="AE48" i="7" s="1"/>
  <c r="AE49" i="7" s="1"/>
  <c r="AE50" i="7" s="1"/>
  <c r="AE51" i="7" s="1"/>
  <c r="AE52" i="7" s="1"/>
  <c r="AE53" i="7" s="1"/>
  <c r="AE54" i="7" s="1"/>
  <c r="AE55" i="7" s="1"/>
  <c r="AE56" i="7" s="1"/>
  <c r="AE57" i="7" s="1"/>
  <c r="AE58" i="7" s="1"/>
  <c r="AE59" i="7" s="1"/>
  <c r="AE60" i="7" s="1"/>
  <c r="AE61" i="7" s="1"/>
  <c r="AE62" i="7" s="1"/>
  <c r="AE63" i="7" s="1"/>
  <c r="AE64" i="7" s="1"/>
  <c r="AE65" i="7" s="1"/>
  <c r="AE66" i="7" s="1"/>
  <c r="AE67" i="7" s="1"/>
  <c r="AE68" i="7" s="1"/>
  <c r="AE69" i="7" s="1"/>
  <c r="AE70" i="7" s="1"/>
  <c r="AE71" i="7" s="1"/>
  <c r="AE72" i="7" s="1"/>
  <c r="AE73" i="7" s="1"/>
  <c r="AE74" i="7" s="1"/>
  <c r="AE75" i="7" s="1"/>
  <c r="AE76" i="7" s="1"/>
  <c r="AB6" i="7"/>
  <c r="AB7" i="7" s="1"/>
  <c r="AB8" i="7" s="1"/>
  <c r="AB9" i="7" s="1"/>
  <c r="AB10" i="7" s="1"/>
  <c r="AB11" i="7" s="1"/>
  <c r="AB12" i="7" s="1"/>
  <c r="AB13" i="7" s="1"/>
  <c r="AB14" i="7" s="1"/>
  <c r="AB15" i="7" s="1"/>
  <c r="AB16" i="7" s="1"/>
  <c r="AB17" i="7" s="1"/>
  <c r="AB18" i="7" s="1"/>
  <c r="AB19" i="7" s="1"/>
  <c r="AB20" i="7" s="1"/>
  <c r="AB21" i="7" s="1"/>
  <c r="AB22" i="7" s="1"/>
  <c r="AB23" i="7" s="1"/>
  <c r="AB24" i="7" s="1"/>
  <c r="AB25" i="7" s="1"/>
  <c r="AB26" i="7" s="1"/>
  <c r="AB27" i="7" s="1"/>
  <c r="AB28" i="7" s="1"/>
  <c r="AB29" i="7" s="1"/>
  <c r="AB30" i="7" s="1"/>
  <c r="AB31" i="7" s="1"/>
  <c r="AB32" i="7" s="1"/>
  <c r="AB33" i="7" s="1"/>
  <c r="AB34" i="7" s="1"/>
  <c r="AB35" i="7" s="1"/>
  <c r="AB36" i="7" s="1"/>
  <c r="AB37" i="7" s="1"/>
  <c r="AB38" i="7" s="1"/>
  <c r="AB39" i="7" s="1"/>
  <c r="AB40" i="7" s="1"/>
  <c r="AB41" i="7" s="1"/>
  <c r="AB42" i="7" s="1"/>
  <c r="AB43" i="7" s="1"/>
  <c r="AB44" i="7" s="1"/>
  <c r="AB45" i="7" s="1"/>
  <c r="AB46" i="7" s="1"/>
  <c r="AB47" i="7" s="1"/>
  <c r="AB48" i="7" s="1"/>
  <c r="AB49" i="7" s="1"/>
  <c r="AB50" i="7" s="1"/>
  <c r="AB51" i="7" s="1"/>
  <c r="AB52" i="7" s="1"/>
  <c r="AB53" i="7" s="1"/>
  <c r="AB54" i="7" s="1"/>
  <c r="AB55" i="7" s="1"/>
  <c r="AB56" i="7" s="1"/>
  <c r="AB57" i="7" s="1"/>
  <c r="AB58" i="7" s="1"/>
  <c r="AB59" i="7" s="1"/>
  <c r="AB60" i="7" s="1"/>
  <c r="AB61" i="7" s="1"/>
  <c r="AB62" i="7" s="1"/>
  <c r="AB63" i="7" s="1"/>
  <c r="AB64" i="7" s="1"/>
  <c r="AB65" i="7" s="1"/>
  <c r="AB66" i="7" s="1"/>
  <c r="AB67" i="7" s="1"/>
  <c r="AB68" i="7" s="1"/>
  <c r="AB69" i="7" s="1"/>
  <c r="AB70" i="7" s="1"/>
  <c r="AB71" i="7" s="1"/>
  <c r="AB72" i="7" s="1"/>
  <c r="AB73" i="7" s="1"/>
  <c r="AB74" i="7" s="1"/>
  <c r="AB75" i="7" s="1"/>
  <c r="AB76" i="7" s="1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6" i="7"/>
  <c r="Y6" i="7" s="1"/>
  <c r="S86" i="7"/>
  <c r="S85" i="7"/>
  <c r="S84" i="7"/>
  <c r="S83" i="7"/>
  <c r="S82" i="7"/>
  <c r="H83" i="7"/>
  <c r="H84" i="7"/>
  <c r="H85" i="7"/>
  <c r="H86" i="7"/>
  <c r="H87" i="7"/>
  <c r="H88" i="7"/>
  <c r="H89" i="7"/>
  <c r="D86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" i="7"/>
  <c r="O7" i="7"/>
  <c r="Q7" i="7" s="1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1" i="7"/>
  <c r="O72" i="7"/>
  <c r="O73" i="7"/>
  <c r="O74" i="7"/>
  <c r="O75" i="7"/>
  <c r="O76" i="7"/>
  <c r="AH6" i="6"/>
  <c r="AH7" i="6" s="1"/>
  <c r="AH8" i="6" s="1"/>
  <c r="AH9" i="6" s="1"/>
  <c r="AH10" i="6" s="1"/>
  <c r="AH11" i="6" s="1"/>
  <c r="AH12" i="6" s="1"/>
  <c r="AH13" i="6" s="1"/>
  <c r="AH14" i="6" s="1"/>
  <c r="AH15" i="6" s="1"/>
  <c r="AH16" i="6" s="1"/>
  <c r="AH17" i="6" s="1"/>
  <c r="AH18" i="6" s="1"/>
  <c r="AH19" i="6" s="1"/>
  <c r="AH20" i="6" s="1"/>
  <c r="AH21" i="6" s="1"/>
  <c r="AH22" i="6" s="1"/>
  <c r="AH23" i="6" s="1"/>
  <c r="AH24" i="6" s="1"/>
  <c r="AH25" i="6" s="1"/>
  <c r="AH26" i="6" s="1"/>
  <c r="AH27" i="6" s="1"/>
  <c r="AH28" i="6" s="1"/>
  <c r="AH29" i="6" s="1"/>
  <c r="AH30" i="6" s="1"/>
  <c r="AH31" i="6" s="1"/>
  <c r="AH32" i="6" s="1"/>
  <c r="AH33" i="6" s="1"/>
  <c r="AH34" i="6" s="1"/>
  <c r="AH35" i="6" s="1"/>
  <c r="AH36" i="6" s="1"/>
  <c r="AH37" i="6" s="1"/>
  <c r="AH38" i="6" s="1"/>
  <c r="AH39" i="6" s="1"/>
  <c r="AH40" i="6" s="1"/>
  <c r="AH41" i="6" s="1"/>
  <c r="AH42" i="6" s="1"/>
  <c r="AH43" i="6" s="1"/>
  <c r="AH44" i="6" s="1"/>
  <c r="AH45" i="6" s="1"/>
  <c r="AH46" i="6" s="1"/>
  <c r="AH47" i="6" s="1"/>
  <c r="AH48" i="6" s="1"/>
  <c r="AH49" i="6" s="1"/>
  <c r="AH50" i="6" s="1"/>
  <c r="AH51" i="6" s="1"/>
  <c r="AH52" i="6" s="1"/>
  <c r="AH53" i="6" s="1"/>
  <c r="AH54" i="6" s="1"/>
  <c r="AH55" i="6" s="1"/>
  <c r="AH56" i="6" s="1"/>
  <c r="AH57" i="6" s="1"/>
  <c r="AK6" i="6"/>
  <c r="AK7" i="6" s="1"/>
  <c r="AK8" i="6" s="1"/>
  <c r="AK9" i="6" s="1"/>
  <c r="AK10" i="6" s="1"/>
  <c r="AK11" i="6" s="1"/>
  <c r="AK12" i="6" s="1"/>
  <c r="AK13" i="6" s="1"/>
  <c r="AK14" i="6" s="1"/>
  <c r="AK15" i="6" s="1"/>
  <c r="AK16" i="6" s="1"/>
  <c r="AK17" i="6" s="1"/>
  <c r="AK18" i="6" s="1"/>
  <c r="AK19" i="6" s="1"/>
  <c r="AK20" i="6" s="1"/>
  <c r="AK21" i="6" s="1"/>
  <c r="AK22" i="6" s="1"/>
  <c r="AK23" i="6" s="1"/>
  <c r="AK24" i="6" s="1"/>
  <c r="AK25" i="6" s="1"/>
  <c r="AK26" i="6" s="1"/>
  <c r="AK27" i="6" s="1"/>
  <c r="AK28" i="6" s="1"/>
  <c r="AK29" i="6" s="1"/>
  <c r="AK30" i="6" s="1"/>
  <c r="AK31" i="6" s="1"/>
  <c r="AK32" i="6" s="1"/>
  <c r="AK33" i="6" s="1"/>
  <c r="AK34" i="6" s="1"/>
  <c r="AK35" i="6" s="1"/>
  <c r="AK36" i="6" s="1"/>
  <c r="AK37" i="6" s="1"/>
  <c r="AK38" i="6" s="1"/>
  <c r="AK39" i="6" s="1"/>
  <c r="AK40" i="6" s="1"/>
  <c r="AK41" i="6" s="1"/>
  <c r="AK42" i="6" s="1"/>
  <c r="AK43" i="6" s="1"/>
  <c r="AK44" i="6" s="1"/>
  <c r="AK45" i="6" s="1"/>
  <c r="AK46" i="6" s="1"/>
  <c r="AK47" i="6" s="1"/>
  <c r="AK48" i="6" s="1"/>
  <c r="AK49" i="6" s="1"/>
  <c r="AK50" i="6" s="1"/>
  <c r="AK51" i="6" s="1"/>
  <c r="AK52" i="6" s="1"/>
  <c r="AK53" i="6" s="1"/>
  <c r="AK54" i="6" s="1"/>
  <c r="AK55" i="6" s="1"/>
  <c r="AK56" i="6" s="1"/>
  <c r="AK57" i="6" s="1"/>
  <c r="AE6" i="6"/>
  <c r="AE7" i="6" s="1"/>
  <c r="AE8" i="6" s="1"/>
  <c r="AE9" i="6" s="1"/>
  <c r="AE10" i="6" s="1"/>
  <c r="AE11" i="6" s="1"/>
  <c r="AE12" i="6" s="1"/>
  <c r="AE13" i="6" s="1"/>
  <c r="AE14" i="6" s="1"/>
  <c r="AE15" i="6" s="1"/>
  <c r="AE16" i="6" s="1"/>
  <c r="AE17" i="6" s="1"/>
  <c r="AE18" i="6" s="1"/>
  <c r="AE19" i="6" s="1"/>
  <c r="AE20" i="6" s="1"/>
  <c r="AE21" i="6" s="1"/>
  <c r="AE22" i="6" s="1"/>
  <c r="AE23" i="6" s="1"/>
  <c r="AE24" i="6" s="1"/>
  <c r="AE25" i="6" s="1"/>
  <c r="AE26" i="6" s="1"/>
  <c r="AE27" i="6" s="1"/>
  <c r="AE28" i="6" s="1"/>
  <c r="AE29" i="6" s="1"/>
  <c r="AE30" i="6" s="1"/>
  <c r="AE31" i="6" s="1"/>
  <c r="AE32" i="6" s="1"/>
  <c r="AE33" i="6" s="1"/>
  <c r="AE34" i="6" s="1"/>
  <c r="AE35" i="6" s="1"/>
  <c r="AE36" i="6" s="1"/>
  <c r="AE37" i="6" s="1"/>
  <c r="AE38" i="6" s="1"/>
  <c r="AE39" i="6" s="1"/>
  <c r="AE40" i="6" s="1"/>
  <c r="AE41" i="6" s="1"/>
  <c r="AE42" i="6" s="1"/>
  <c r="AE43" i="6" s="1"/>
  <c r="AE44" i="6" s="1"/>
  <c r="AE45" i="6" s="1"/>
  <c r="AE46" i="6" s="1"/>
  <c r="AE47" i="6" s="1"/>
  <c r="AE48" i="6" s="1"/>
  <c r="AE49" i="6" s="1"/>
  <c r="AE50" i="6" s="1"/>
  <c r="AE51" i="6" s="1"/>
  <c r="AE52" i="6" s="1"/>
  <c r="AE53" i="6" s="1"/>
  <c r="AE54" i="6" s="1"/>
  <c r="AE55" i="6" s="1"/>
  <c r="AE56" i="6" s="1"/>
  <c r="AE57" i="6" s="1"/>
  <c r="AB7" i="6"/>
  <c r="AB8" i="6" s="1"/>
  <c r="AB9" i="6" s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Y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6" i="6"/>
  <c r="Q6" i="6" s="1"/>
  <c r="S66" i="6"/>
  <c r="S65" i="6"/>
  <c r="S64" i="6"/>
  <c r="S67" i="6"/>
  <c r="S63" i="6"/>
  <c r="H64" i="6"/>
  <c r="H65" i="6"/>
  <c r="H66" i="6"/>
  <c r="H67" i="6"/>
  <c r="H68" i="6"/>
  <c r="H69" i="6"/>
  <c r="H70" i="6"/>
  <c r="D6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7" i="6"/>
  <c r="AK6" i="5"/>
  <c r="AK7" i="5" s="1"/>
  <c r="AK8" i="5" s="1"/>
  <c r="AK9" i="5" s="1"/>
  <c r="AK10" i="5" s="1"/>
  <c r="AK11" i="5" s="1"/>
  <c r="AK12" i="5" s="1"/>
  <c r="AK13" i="5" s="1"/>
  <c r="AK14" i="5" s="1"/>
  <c r="AK15" i="5" s="1"/>
  <c r="AK16" i="5" s="1"/>
  <c r="AK17" i="5" s="1"/>
  <c r="AK18" i="5" s="1"/>
  <c r="AK19" i="5" s="1"/>
  <c r="AK20" i="5" s="1"/>
  <c r="AK21" i="5" s="1"/>
  <c r="AK22" i="5" s="1"/>
  <c r="AK23" i="5" s="1"/>
  <c r="AK24" i="5" s="1"/>
  <c r="AK25" i="5" s="1"/>
  <c r="AK26" i="5" s="1"/>
  <c r="AK27" i="5" s="1"/>
  <c r="AK28" i="5" s="1"/>
  <c r="AK29" i="5" s="1"/>
  <c r="AK30" i="5" s="1"/>
  <c r="AK31" i="5" s="1"/>
  <c r="AK32" i="5" s="1"/>
  <c r="AK33" i="5" s="1"/>
  <c r="AK34" i="5" s="1"/>
  <c r="AK35" i="5" s="1"/>
  <c r="AK36" i="5" s="1"/>
  <c r="AK37" i="5" s="1"/>
  <c r="AK38" i="5" s="1"/>
  <c r="AK39" i="5" s="1"/>
  <c r="AK40" i="5" s="1"/>
  <c r="AK41" i="5" s="1"/>
  <c r="AK42" i="5" s="1"/>
  <c r="AK43" i="5" s="1"/>
  <c r="AK44" i="5" s="1"/>
  <c r="AK45" i="5" s="1"/>
  <c r="AK46" i="5" s="1"/>
  <c r="AK47" i="5" s="1"/>
  <c r="AK48" i="5" s="1"/>
  <c r="AH6" i="5"/>
  <c r="AH7" i="5" s="1"/>
  <c r="AH8" i="5" s="1"/>
  <c r="AH9" i="5" s="1"/>
  <c r="AH10" i="5" s="1"/>
  <c r="AH11" i="5" s="1"/>
  <c r="AH12" i="5" s="1"/>
  <c r="AH13" i="5" s="1"/>
  <c r="AH14" i="5" s="1"/>
  <c r="AH15" i="5" s="1"/>
  <c r="AH16" i="5" s="1"/>
  <c r="AH17" i="5" s="1"/>
  <c r="AH18" i="5" s="1"/>
  <c r="AH19" i="5" s="1"/>
  <c r="AH20" i="5" s="1"/>
  <c r="AH21" i="5" s="1"/>
  <c r="AH22" i="5" s="1"/>
  <c r="AH23" i="5" s="1"/>
  <c r="AH24" i="5" s="1"/>
  <c r="AH25" i="5" s="1"/>
  <c r="AH26" i="5" s="1"/>
  <c r="AH27" i="5" s="1"/>
  <c r="AH28" i="5" s="1"/>
  <c r="AH29" i="5" s="1"/>
  <c r="AH30" i="5" s="1"/>
  <c r="AH31" i="5" s="1"/>
  <c r="AH32" i="5" s="1"/>
  <c r="AH33" i="5" s="1"/>
  <c r="AH34" i="5" s="1"/>
  <c r="AH35" i="5" s="1"/>
  <c r="AH36" i="5" s="1"/>
  <c r="AH37" i="5" s="1"/>
  <c r="AH38" i="5" s="1"/>
  <c r="AH39" i="5" s="1"/>
  <c r="AH40" i="5" s="1"/>
  <c r="AH41" i="5" s="1"/>
  <c r="AH42" i="5" s="1"/>
  <c r="AH43" i="5" s="1"/>
  <c r="AH44" i="5" s="1"/>
  <c r="AH45" i="5" s="1"/>
  <c r="AH46" i="5" s="1"/>
  <c r="AH47" i="5" s="1"/>
  <c r="AH48" i="5" s="1"/>
  <c r="AE6" i="5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B6" i="5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K6" i="4"/>
  <c r="AK7" i="4" s="1"/>
  <c r="AK8" i="4" s="1"/>
  <c r="AK9" i="4" s="1"/>
  <c r="AK10" i="4" s="1"/>
  <c r="AK11" i="4" s="1"/>
  <c r="AK12" i="4" s="1"/>
  <c r="AK13" i="4" s="1"/>
  <c r="AK14" i="4" s="1"/>
  <c r="AK15" i="4" s="1"/>
  <c r="AK16" i="4" s="1"/>
  <c r="AK17" i="4" s="1"/>
  <c r="AK18" i="4" s="1"/>
  <c r="AK19" i="4" s="1"/>
  <c r="AK20" i="4" s="1"/>
  <c r="AK21" i="4" s="1"/>
  <c r="AK22" i="4" s="1"/>
  <c r="AK23" i="4" s="1"/>
  <c r="AK24" i="4" s="1"/>
  <c r="AK25" i="4" s="1"/>
  <c r="AK26" i="4" s="1"/>
  <c r="AK27" i="4" s="1"/>
  <c r="AK28" i="4" s="1"/>
  <c r="AK29" i="4" s="1"/>
  <c r="AK30" i="4" s="1"/>
  <c r="AK31" i="4" s="1"/>
  <c r="AK32" i="4" s="1"/>
  <c r="AK33" i="4" s="1"/>
  <c r="AK34" i="4" s="1"/>
  <c r="AK35" i="4" s="1"/>
  <c r="AK36" i="4" s="1"/>
  <c r="AK37" i="4" s="1"/>
  <c r="AK38" i="4" s="1"/>
  <c r="AK39" i="4" s="1"/>
  <c r="AK40" i="4" s="1"/>
  <c r="AK41" i="4" s="1"/>
  <c r="AK42" i="4" s="1"/>
  <c r="AK43" i="4" s="1"/>
  <c r="AK44" i="4" s="1"/>
  <c r="AK45" i="4" s="1"/>
  <c r="AK46" i="4" s="1"/>
  <c r="AK47" i="4" s="1"/>
  <c r="AK48" i="4" s="1"/>
  <c r="AK49" i="4" s="1"/>
  <c r="AK50" i="4" s="1"/>
  <c r="AK51" i="4" s="1"/>
  <c r="AH6" i="4"/>
  <c r="AH7" i="4" s="1"/>
  <c r="AH8" i="4" s="1"/>
  <c r="AH9" i="4" s="1"/>
  <c r="AH10" i="4" s="1"/>
  <c r="AH11" i="4" s="1"/>
  <c r="AH12" i="4" s="1"/>
  <c r="AH13" i="4" s="1"/>
  <c r="AH14" i="4" s="1"/>
  <c r="AH15" i="4" s="1"/>
  <c r="AH16" i="4" s="1"/>
  <c r="AH17" i="4" s="1"/>
  <c r="AH18" i="4" s="1"/>
  <c r="AH19" i="4" s="1"/>
  <c r="AH20" i="4" s="1"/>
  <c r="AH21" i="4" s="1"/>
  <c r="AH22" i="4" s="1"/>
  <c r="AH23" i="4" s="1"/>
  <c r="AH24" i="4" s="1"/>
  <c r="AH25" i="4" s="1"/>
  <c r="AH26" i="4" s="1"/>
  <c r="AH27" i="4" s="1"/>
  <c r="AH28" i="4" s="1"/>
  <c r="AH29" i="4" s="1"/>
  <c r="AH30" i="4" s="1"/>
  <c r="AH31" i="4" s="1"/>
  <c r="AH32" i="4" s="1"/>
  <c r="AH33" i="4" s="1"/>
  <c r="AH34" i="4" s="1"/>
  <c r="AH35" i="4" s="1"/>
  <c r="AH36" i="4" s="1"/>
  <c r="AH37" i="4" s="1"/>
  <c r="AH38" i="4" s="1"/>
  <c r="AH39" i="4" s="1"/>
  <c r="AH40" i="4" s="1"/>
  <c r="AH41" i="4" s="1"/>
  <c r="AH42" i="4" s="1"/>
  <c r="AH43" i="4" s="1"/>
  <c r="AH44" i="4" s="1"/>
  <c r="AH45" i="4" s="1"/>
  <c r="AH46" i="4" s="1"/>
  <c r="AH47" i="4" s="1"/>
  <c r="AH48" i="4" s="1"/>
  <c r="AH49" i="4" s="1"/>
  <c r="AH50" i="4" s="1"/>
  <c r="AH51" i="4" s="1"/>
  <c r="AE6" i="4"/>
  <c r="AE7" i="4" s="1"/>
  <c r="AE8" i="4" s="1"/>
  <c r="AE9" i="4" s="1"/>
  <c r="AE10" i="4" s="1"/>
  <c r="AE11" i="4" s="1"/>
  <c r="AE12" i="4" s="1"/>
  <c r="AE13" i="4" s="1"/>
  <c r="AE14" i="4" s="1"/>
  <c r="AE15" i="4" s="1"/>
  <c r="AE16" i="4" s="1"/>
  <c r="AE17" i="4" s="1"/>
  <c r="AE18" i="4" s="1"/>
  <c r="AE19" i="4" s="1"/>
  <c r="AE20" i="4" s="1"/>
  <c r="AE21" i="4" s="1"/>
  <c r="AE22" i="4" s="1"/>
  <c r="AE23" i="4" s="1"/>
  <c r="AE24" i="4" s="1"/>
  <c r="AE25" i="4" s="1"/>
  <c r="AE26" i="4" s="1"/>
  <c r="AE27" i="4" s="1"/>
  <c r="AE28" i="4" s="1"/>
  <c r="AE29" i="4" s="1"/>
  <c r="AE30" i="4" s="1"/>
  <c r="AE31" i="4" s="1"/>
  <c r="AE32" i="4" s="1"/>
  <c r="AE33" i="4" s="1"/>
  <c r="AE34" i="4" s="1"/>
  <c r="AE35" i="4" s="1"/>
  <c r="AE36" i="4" s="1"/>
  <c r="AE37" i="4" s="1"/>
  <c r="AE38" i="4" s="1"/>
  <c r="AE39" i="4" s="1"/>
  <c r="AE40" i="4" s="1"/>
  <c r="AE41" i="4" s="1"/>
  <c r="AE42" i="4" s="1"/>
  <c r="AE43" i="4" s="1"/>
  <c r="AE44" i="4" s="1"/>
  <c r="AE45" i="4" s="1"/>
  <c r="AE46" i="4" s="1"/>
  <c r="AE47" i="4" s="1"/>
  <c r="AE48" i="4" s="1"/>
  <c r="AE49" i="4" s="1"/>
  <c r="AE50" i="4" s="1"/>
  <c r="AE51" i="4" s="1"/>
  <c r="AB6" i="4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Y6" i="1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6" i="4"/>
  <c r="Y6" i="4" s="1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8" i="5"/>
  <c r="W9" i="5"/>
  <c r="W7" i="5"/>
  <c r="W6" i="5"/>
  <c r="Y6" i="5" s="1"/>
  <c r="E56" i="5"/>
  <c r="D58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8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7" i="5"/>
  <c r="H58" i="4"/>
  <c r="H59" i="4"/>
  <c r="H60" i="4"/>
  <c r="H61" i="4"/>
  <c r="H62" i="4"/>
  <c r="H63" i="4"/>
  <c r="H64" i="4"/>
  <c r="H57" i="4"/>
  <c r="E60" i="4"/>
  <c r="E59" i="4"/>
  <c r="S61" i="4"/>
  <c r="S60" i="4"/>
  <c r="S59" i="4"/>
  <c r="S58" i="4"/>
  <c r="S57" i="4"/>
  <c r="D61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7" i="4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7" i="1"/>
  <c r="D7" i="4"/>
  <c r="M52" i="4"/>
  <c r="N52" i="4"/>
  <c r="O346" i="16"/>
  <c r="AE6" i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K6" i="1"/>
  <c r="AK7" i="1" s="1"/>
  <c r="AK8" i="1" s="1"/>
  <c r="AK9" i="1" s="1"/>
  <c r="AK10" i="1" s="1"/>
  <c r="AK11" i="1" s="1"/>
  <c r="AK12" i="1" s="1"/>
  <c r="AK13" i="1" s="1"/>
  <c r="AK14" i="1" s="1"/>
  <c r="AK15" i="1" s="1"/>
  <c r="AK16" i="1" s="1"/>
  <c r="AK17" i="1" s="1"/>
  <c r="AK18" i="1" s="1"/>
  <c r="AK19" i="1" s="1"/>
  <c r="AK20" i="1" s="1"/>
  <c r="AK21" i="1" s="1"/>
  <c r="AK22" i="1" s="1"/>
  <c r="AK23" i="1" s="1"/>
  <c r="AK24" i="1" s="1"/>
  <c r="AK25" i="1" s="1"/>
  <c r="AK26" i="1" s="1"/>
  <c r="AK27" i="1" s="1"/>
  <c r="AK28" i="1" s="1"/>
  <c r="AK29" i="1" s="1"/>
  <c r="AK30" i="1" s="1"/>
  <c r="AK31" i="1" s="1"/>
  <c r="AK32" i="1" s="1"/>
  <c r="AK33" i="1" s="1"/>
  <c r="AK34" i="1" s="1"/>
  <c r="AK35" i="1" s="1"/>
  <c r="AK36" i="1" s="1"/>
  <c r="AK37" i="1" s="1"/>
  <c r="AK38" i="1" s="1"/>
  <c r="AK39" i="1" s="1"/>
  <c r="AK40" i="1" s="1"/>
  <c r="AK41" i="1" s="1"/>
  <c r="AK42" i="1" s="1"/>
  <c r="AK43" i="1" s="1"/>
  <c r="AK44" i="1" s="1"/>
  <c r="AK45" i="1" s="1"/>
  <c r="AK46" i="1" s="1"/>
  <c r="AK47" i="1" s="1"/>
  <c r="AK48" i="1" s="1"/>
  <c r="AK49" i="1" s="1"/>
  <c r="AK50" i="1" s="1"/>
  <c r="AK51" i="1" s="1"/>
  <c r="AK52" i="1" s="1"/>
  <c r="AK53" i="1" s="1"/>
  <c r="AK54" i="1" s="1"/>
  <c r="AK55" i="1" s="1"/>
  <c r="AK56" i="1" s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AH55" i="1" s="1"/>
  <c r="AH56" i="1" s="1"/>
  <c r="AB6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R66" i="1"/>
  <c r="R65" i="1"/>
  <c r="R64" i="1"/>
  <c r="R63" i="1"/>
  <c r="R62" i="1"/>
  <c r="H63" i="1"/>
  <c r="H64" i="1"/>
  <c r="H65" i="1"/>
  <c r="H66" i="1"/>
  <c r="H67" i="1"/>
  <c r="H68" i="1"/>
  <c r="H69" i="1"/>
  <c r="H62" i="1"/>
  <c r="E65" i="1"/>
  <c r="K65" i="1" s="1"/>
  <c r="E66" i="1"/>
  <c r="E64" i="1"/>
  <c r="K64" i="1" s="1"/>
  <c r="D6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64" i="1" l="1"/>
  <c r="D59" i="4"/>
  <c r="I59" i="4" s="1"/>
  <c r="D63" i="1"/>
  <c r="D63" i="6"/>
  <c r="L63" i="6" s="1"/>
  <c r="D56" i="5"/>
  <c r="D65" i="6"/>
  <c r="I65" i="6" s="1"/>
  <c r="D69" i="6"/>
  <c r="L69" i="6" s="1"/>
  <c r="D62" i="1"/>
  <c r="D82" i="7"/>
  <c r="L82" i="7" s="1"/>
  <c r="D89" i="7"/>
  <c r="L89" i="7" s="1"/>
  <c r="Q8" i="7"/>
  <c r="Q9" i="7" s="1"/>
  <c r="Q10" i="7" s="1"/>
  <c r="Q11" i="7" s="1"/>
  <c r="Q12" i="7" s="1"/>
  <c r="Q13" i="7" s="1"/>
  <c r="Q14" i="7" s="1"/>
  <c r="Q15" i="7" s="1"/>
  <c r="Q16" i="7" s="1"/>
  <c r="Q17" i="7" s="1"/>
  <c r="Q18" i="7" s="1"/>
  <c r="Q19" i="7" s="1"/>
  <c r="Q20" i="7" s="1"/>
  <c r="Q21" i="7" s="1"/>
  <c r="Q22" i="7" s="1"/>
  <c r="Q23" i="7" s="1"/>
  <c r="Q24" i="7" s="1"/>
  <c r="Q25" i="7" s="1"/>
  <c r="Q26" i="7" s="1"/>
  <c r="Q27" i="7" s="1"/>
  <c r="Q28" i="7" s="1"/>
  <c r="Q29" i="7" s="1"/>
  <c r="Q30" i="7" s="1"/>
  <c r="Q31" i="7" s="1"/>
  <c r="Q32" i="7" s="1"/>
  <c r="Q33" i="7" s="1"/>
  <c r="Q34" i="7" s="1"/>
  <c r="Q35" i="7" s="1"/>
  <c r="Q36" i="7" s="1"/>
  <c r="Q37" i="7" s="1"/>
  <c r="Q38" i="7" s="1"/>
  <c r="Q39" i="7" s="1"/>
  <c r="Q40" i="7" s="1"/>
  <c r="Q41" i="7" s="1"/>
  <c r="Q42" i="7" s="1"/>
  <c r="Q43" i="7" s="1"/>
  <c r="Q44" i="7" s="1"/>
  <c r="Q45" i="7" s="1"/>
  <c r="Q46" i="7" s="1"/>
  <c r="Q47" i="7" s="1"/>
  <c r="Q48" i="7" s="1"/>
  <c r="Q49" i="7" s="1"/>
  <c r="Q50" i="7" s="1"/>
  <c r="Q51" i="7" s="1"/>
  <c r="Q52" i="7" s="1"/>
  <c r="Q53" i="7" s="1"/>
  <c r="Q54" i="7" s="1"/>
  <c r="Q55" i="7" s="1"/>
  <c r="Q56" i="7" s="1"/>
  <c r="Q57" i="7" s="1"/>
  <c r="Q58" i="7" s="1"/>
  <c r="Q59" i="7" s="1"/>
  <c r="Q60" i="7" s="1"/>
  <c r="Q61" i="7" s="1"/>
  <c r="Q62" i="7" s="1"/>
  <c r="Q63" i="7" s="1"/>
  <c r="Q64" i="7" s="1"/>
  <c r="Q65" i="7" s="1"/>
  <c r="Q66" i="7" s="1"/>
  <c r="Q67" i="7" s="1"/>
  <c r="Q68" i="7" s="1"/>
  <c r="Q69" i="7" s="1"/>
  <c r="Q70" i="7" s="1"/>
  <c r="Q71" i="7" s="1"/>
  <c r="Q72" i="7" s="1"/>
  <c r="Q73" i="7" s="1"/>
  <c r="Q74" i="7" s="1"/>
  <c r="Q75" i="7" s="1"/>
  <c r="Q76" i="7" s="1"/>
  <c r="D87" i="7"/>
  <c r="L87" i="7" s="1"/>
  <c r="D64" i="6"/>
  <c r="L64" i="6" s="1"/>
  <c r="M64" i="6" s="1"/>
  <c r="D84" i="7"/>
  <c r="I84" i="7" s="1"/>
  <c r="D88" i="7"/>
  <c r="L88" i="7" s="1"/>
  <c r="D68" i="6"/>
  <c r="L68" i="6" s="1"/>
  <c r="D70" i="6"/>
  <c r="L70" i="6" s="1"/>
  <c r="M70" i="6" s="1"/>
  <c r="D85" i="7"/>
  <c r="I85" i="7" s="1"/>
  <c r="D61" i="5"/>
  <c r="L61" i="5" s="1"/>
  <c r="D68" i="1"/>
  <c r="D59" i="5"/>
  <c r="L59" i="5" s="1"/>
  <c r="D67" i="1"/>
  <c r="D55" i="5"/>
  <c r="L55" i="5" s="1"/>
  <c r="D60" i="5"/>
  <c r="L60" i="5" s="1"/>
  <c r="D83" i="7"/>
  <c r="D77" i="7"/>
  <c r="I66" i="1"/>
  <c r="D57" i="5"/>
  <c r="D66" i="6"/>
  <c r="D69" i="1"/>
  <c r="D62" i="4"/>
  <c r="I62" i="4" s="1"/>
  <c r="I61" i="4"/>
  <c r="I86" i="7"/>
  <c r="I67" i="6"/>
  <c r="D65" i="1"/>
  <c r="Y7" i="7"/>
  <c r="Y8" i="7" s="1"/>
  <c r="Y9" i="7" s="1"/>
  <c r="Y10" i="7" s="1"/>
  <c r="Y11" i="7" s="1"/>
  <c r="Y12" i="7" s="1"/>
  <c r="Y13" i="7" s="1"/>
  <c r="Y14" i="7" s="1"/>
  <c r="Y15" i="7" s="1"/>
  <c r="Y16" i="7" s="1"/>
  <c r="Y17" i="7" s="1"/>
  <c r="Y18" i="7" s="1"/>
  <c r="Y19" i="7" s="1"/>
  <c r="Y20" i="7" s="1"/>
  <c r="Y21" i="7" s="1"/>
  <c r="Y22" i="7" s="1"/>
  <c r="Y23" i="7" s="1"/>
  <c r="Y24" i="7" s="1"/>
  <c r="Y25" i="7" s="1"/>
  <c r="Y26" i="7" s="1"/>
  <c r="Y27" i="7" s="1"/>
  <c r="Y28" i="7" s="1"/>
  <c r="Y29" i="7" s="1"/>
  <c r="Y30" i="7" s="1"/>
  <c r="Y31" i="7" s="1"/>
  <c r="Y32" i="7" s="1"/>
  <c r="Y33" i="7" s="1"/>
  <c r="Y34" i="7" s="1"/>
  <c r="Y35" i="7" s="1"/>
  <c r="Y36" i="7" s="1"/>
  <c r="Y37" i="7" s="1"/>
  <c r="Y38" i="7" s="1"/>
  <c r="Y39" i="7" s="1"/>
  <c r="Y40" i="7" s="1"/>
  <c r="Y41" i="7" s="1"/>
  <c r="Y42" i="7" s="1"/>
  <c r="Y43" i="7" s="1"/>
  <c r="Y44" i="7" s="1"/>
  <c r="Y45" i="7" s="1"/>
  <c r="Y46" i="7" s="1"/>
  <c r="Y47" i="7" s="1"/>
  <c r="Y48" i="7" s="1"/>
  <c r="Y49" i="7" s="1"/>
  <c r="Y50" i="7" s="1"/>
  <c r="Y51" i="7" s="1"/>
  <c r="Y52" i="7" s="1"/>
  <c r="Y53" i="7" s="1"/>
  <c r="Y54" i="7" s="1"/>
  <c r="Y55" i="7" s="1"/>
  <c r="Y56" i="7" s="1"/>
  <c r="Y57" i="7" s="1"/>
  <c r="Y58" i="7" s="1"/>
  <c r="Y59" i="7" s="1"/>
  <c r="Y60" i="7" s="1"/>
  <c r="Y61" i="7" s="1"/>
  <c r="Y62" i="7" s="1"/>
  <c r="Y63" i="7" s="1"/>
  <c r="Y64" i="7" s="1"/>
  <c r="Y65" i="7" s="1"/>
  <c r="Y66" i="7" s="1"/>
  <c r="Y67" i="7" s="1"/>
  <c r="Y68" i="7" s="1"/>
  <c r="Y69" i="7" s="1"/>
  <c r="Y70" i="7" s="1"/>
  <c r="Y71" i="7" s="1"/>
  <c r="Y72" i="7" s="1"/>
  <c r="Y73" i="7" s="1"/>
  <c r="Y74" i="7" s="1"/>
  <c r="Y75" i="7" s="1"/>
  <c r="Y76" i="7" s="1"/>
  <c r="D64" i="4"/>
  <c r="I64" i="4" s="1"/>
  <c r="D63" i="4"/>
  <c r="I63" i="4" s="1"/>
  <c r="Y7" i="6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Q7" i="6"/>
  <c r="Q8" i="6" s="1"/>
  <c r="Q9" i="6" s="1"/>
  <c r="Q10" i="6" s="1"/>
  <c r="Q11" i="6" s="1"/>
  <c r="Q12" i="6" s="1"/>
  <c r="D58" i="4"/>
  <c r="I58" i="4" s="1"/>
  <c r="D60" i="4"/>
  <c r="I60" i="4" s="1"/>
  <c r="D57" i="4"/>
  <c r="I57" i="4" s="1"/>
  <c r="Y7" i="5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7" i="4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D52" i="4"/>
  <c r="T84" i="7" l="1"/>
  <c r="S63" i="1"/>
  <c r="I88" i="7"/>
  <c r="I69" i="6"/>
  <c r="I87" i="7"/>
  <c r="I83" i="7"/>
  <c r="D72" i="6"/>
  <c r="I89" i="7"/>
  <c r="Q13" i="6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D91" i="7"/>
  <c r="I68" i="6"/>
  <c r="T66" i="6"/>
  <c r="T67" i="6"/>
  <c r="I64" i="6"/>
  <c r="I66" i="6"/>
  <c r="T63" i="6"/>
  <c r="L83" i="7"/>
  <c r="T85" i="7"/>
  <c r="T64" i="6"/>
  <c r="T65" i="6"/>
  <c r="T83" i="7"/>
  <c r="T82" i="7"/>
  <c r="T86" i="7"/>
  <c r="V82" i="7"/>
  <c r="S65" i="1"/>
  <c r="I70" i="6"/>
  <c r="S66" i="1"/>
  <c r="S64" i="1"/>
  <c r="Y45" i="5"/>
  <c r="Y46" i="5" s="1"/>
  <c r="Y47" i="5" s="1"/>
  <c r="Y48" i="5" s="1"/>
  <c r="E61" i="4" l="1"/>
  <c r="Y7" i="1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Y8" i="1" l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Y25" i="1" s="1"/>
  <c r="Y26" i="1" s="1"/>
  <c r="Y27" i="1" s="1"/>
  <c r="Y28" i="1" s="1"/>
  <c r="Y29" i="1" s="1"/>
  <c r="Y30" i="1" s="1"/>
  <c r="Y31" i="1" s="1"/>
  <c r="Y32" i="1" s="1"/>
  <c r="Y33" i="1" s="1"/>
  <c r="Y34" i="1" s="1"/>
  <c r="Y35" i="1" s="1"/>
  <c r="Y36" i="1" s="1"/>
  <c r="Y37" i="1" s="1"/>
  <c r="Y38" i="1" s="1"/>
  <c r="Y39" i="1" s="1"/>
  <c r="Y40" i="1" s="1"/>
  <c r="Y41" i="1" s="1"/>
  <c r="Y42" i="1" s="1"/>
  <c r="Y43" i="1" s="1"/>
  <c r="Y44" i="1" s="1"/>
  <c r="Y45" i="1" s="1"/>
  <c r="Y46" i="1" s="1"/>
  <c r="Y47" i="1" s="1"/>
  <c r="Y48" i="1" s="1"/>
  <c r="Y49" i="1" s="1"/>
  <c r="Y50" i="1" s="1"/>
  <c r="Y51" i="1" s="1"/>
  <c r="Y52" i="1" s="1"/>
  <c r="Y53" i="1" s="1"/>
  <c r="Y54" i="1" s="1"/>
  <c r="Y55" i="1" s="1"/>
  <c r="Y56" i="1" s="1"/>
  <c r="S356" i="16"/>
  <c r="S355" i="16"/>
  <c r="S354" i="16"/>
  <c r="S353" i="16"/>
  <c r="O55" i="14" l="1"/>
  <c r="N55" i="14"/>
  <c r="M55" i="14"/>
  <c r="I55" i="14"/>
  <c r="H55" i="14"/>
  <c r="G55" i="14"/>
  <c r="F55" i="14"/>
  <c r="E55" i="14"/>
  <c r="D55" i="14"/>
  <c r="L25" i="14"/>
  <c r="M25" i="14"/>
  <c r="N25" i="14"/>
  <c r="O25" i="14"/>
  <c r="K25" i="14"/>
  <c r="I25" i="14"/>
  <c r="H25" i="14"/>
  <c r="G25" i="14"/>
  <c r="F25" i="14"/>
  <c r="E25" i="14"/>
  <c r="D25" i="14"/>
  <c r="E356" i="16" l="1"/>
  <c r="E357" i="16"/>
  <c r="E355" i="16"/>
  <c r="S357" i="16" s="1"/>
  <c r="S346" i="16" l="1"/>
  <c r="H353" i="16"/>
  <c r="H354" i="16"/>
  <c r="H355" i="16"/>
  <c r="H356" i="16"/>
  <c r="H357" i="16"/>
  <c r="H358" i="16"/>
  <c r="H359" i="16"/>
  <c r="H360" i="16"/>
  <c r="N346" i="16"/>
  <c r="M346" i="16"/>
  <c r="L346" i="16"/>
  <c r="L353" i="16"/>
  <c r="D354" i="16"/>
  <c r="L354" i="16" s="1"/>
  <c r="D355" i="16"/>
  <c r="D356" i="16"/>
  <c r="D357" i="16"/>
  <c r="D358" i="16"/>
  <c r="D359" i="16"/>
  <c r="D360" i="16"/>
  <c r="L360" i="16" s="1"/>
  <c r="G346" i="16"/>
  <c r="D346" i="16"/>
  <c r="V353" i="16" l="1"/>
  <c r="T354" i="16"/>
  <c r="T355" i="16"/>
  <c r="T356" i="16"/>
  <c r="T357" i="16"/>
  <c r="I356" i="16"/>
  <c r="I360" i="16"/>
  <c r="I358" i="16"/>
  <c r="I357" i="16"/>
  <c r="I359" i="16"/>
  <c r="I355" i="16"/>
  <c r="F357" i="16"/>
  <c r="T353" i="16"/>
  <c r="I353" i="16"/>
  <c r="H362" i="16"/>
  <c r="I354" i="16"/>
  <c r="K355" i="16"/>
  <c r="I6" i="3"/>
  <c r="I45" i="3"/>
  <c r="I46" i="3"/>
  <c r="I48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AE12" i="14"/>
  <c r="N56" i="14"/>
  <c r="N26" i="14"/>
  <c r="M26" i="14"/>
  <c r="E86" i="7"/>
  <c r="F86" i="7" s="1"/>
  <c r="E85" i="7"/>
  <c r="K85" i="7" s="1"/>
  <c r="L85" i="7" s="1"/>
  <c r="E84" i="7"/>
  <c r="H82" i="7"/>
  <c r="N77" i="7"/>
  <c r="M77" i="7"/>
  <c r="L77" i="7"/>
  <c r="E67" i="6"/>
  <c r="F67" i="6" s="1"/>
  <c r="E66" i="6"/>
  <c r="K66" i="6" s="1"/>
  <c r="L66" i="6" s="1"/>
  <c r="M66" i="6" s="1"/>
  <c r="E65" i="6"/>
  <c r="H63" i="6"/>
  <c r="N58" i="6"/>
  <c r="M58" i="6"/>
  <c r="L58" i="6"/>
  <c r="H61" i="5"/>
  <c r="I61" i="5" s="1"/>
  <c r="H60" i="5"/>
  <c r="I60" i="5" s="1"/>
  <c r="H59" i="5"/>
  <c r="I59" i="5" s="1"/>
  <c r="S58" i="5"/>
  <c r="T58" i="5" s="1"/>
  <c r="H58" i="5"/>
  <c r="I58" i="5" s="1"/>
  <c r="E58" i="5"/>
  <c r="F58" i="5" s="1"/>
  <c r="S57" i="5"/>
  <c r="T57" i="5" s="1"/>
  <c r="H57" i="5"/>
  <c r="I57" i="5" s="1"/>
  <c r="E57" i="5"/>
  <c r="K57" i="5" s="1"/>
  <c r="L57" i="5" s="1"/>
  <c r="S56" i="5"/>
  <c r="T56" i="5" s="1"/>
  <c r="H56" i="5"/>
  <c r="I56" i="5" s="1"/>
  <c r="S55" i="5"/>
  <c r="T55" i="5" s="1"/>
  <c r="H55" i="5"/>
  <c r="I55" i="5" s="1"/>
  <c r="S54" i="5"/>
  <c r="H54" i="5"/>
  <c r="D54" i="5"/>
  <c r="L54" i="5" s="1"/>
  <c r="N49" i="5"/>
  <c r="M49" i="5"/>
  <c r="L49" i="5"/>
  <c r="L52" i="4"/>
  <c r="I82" i="3"/>
  <c r="N77" i="3"/>
  <c r="M77" i="3"/>
  <c r="L77" i="3"/>
  <c r="L82" i="3"/>
  <c r="AK62" i="3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H46" i="3"/>
  <c r="AH47" i="3" s="1"/>
  <c r="AH48" i="3" s="1"/>
  <c r="AH49" i="3" s="1"/>
  <c r="AH50" i="3" s="1"/>
  <c r="AH51" i="3" s="1"/>
  <c r="AH52" i="3" s="1"/>
  <c r="AH53" i="3" s="1"/>
  <c r="AH54" i="3" s="1"/>
  <c r="AH55" i="3" s="1"/>
  <c r="AH56" i="3" s="1"/>
  <c r="AH57" i="3" s="1"/>
  <c r="AH58" i="3" s="1"/>
  <c r="AH59" i="3" s="1"/>
  <c r="AH60" i="3" s="1"/>
  <c r="AH61" i="3" s="1"/>
  <c r="AH62" i="3" s="1"/>
  <c r="AH63" i="3" s="1"/>
  <c r="AH64" i="3" s="1"/>
  <c r="AH65" i="3" s="1"/>
  <c r="AH66" i="3" s="1"/>
  <c r="AH67" i="3" s="1"/>
  <c r="AH68" i="3" s="1"/>
  <c r="AH69" i="3" s="1"/>
  <c r="AH70" i="3" s="1"/>
  <c r="AH71" i="3" s="1"/>
  <c r="AH72" i="3" s="1"/>
  <c r="AH73" i="3" s="1"/>
  <c r="AH74" i="3" s="1"/>
  <c r="AH75" i="3" s="1"/>
  <c r="AH76" i="3" s="1"/>
  <c r="N57" i="1"/>
  <c r="M57" i="1"/>
  <c r="L57" i="1"/>
  <c r="D83" i="3" l="1"/>
  <c r="D87" i="3"/>
  <c r="L87" i="3" s="1"/>
  <c r="M87" i="3" s="1"/>
  <c r="M56" i="14"/>
  <c r="L26" i="14"/>
  <c r="K26" i="14"/>
  <c r="I63" i="6"/>
  <c r="H72" i="6"/>
  <c r="I54" i="5"/>
  <c r="I82" i="7"/>
  <c r="H91" i="7"/>
  <c r="D88" i="3"/>
  <c r="L88" i="3" s="1"/>
  <c r="M88" i="3" s="1"/>
  <c r="O78" i="3"/>
  <c r="M88" i="7"/>
  <c r="F86" i="3"/>
  <c r="W82" i="7"/>
  <c r="N85" i="7"/>
  <c r="M89" i="7"/>
  <c r="O78" i="7"/>
  <c r="M87" i="7"/>
  <c r="M85" i="7"/>
  <c r="V63" i="6"/>
  <c r="W63" i="6" s="1"/>
  <c r="F66" i="1"/>
  <c r="K66" i="1" s="1"/>
  <c r="M69" i="6"/>
  <c r="N59" i="6"/>
  <c r="N66" i="6"/>
  <c r="M68" i="6"/>
  <c r="L67" i="1"/>
  <c r="M67" i="1" s="1"/>
  <c r="I62" i="1"/>
  <c r="I65" i="1"/>
  <c r="O58" i="1"/>
  <c r="I86" i="3"/>
  <c r="V54" i="5"/>
  <c r="W54" i="5" s="1"/>
  <c r="S62" i="5"/>
  <c r="O50" i="5"/>
  <c r="M61" i="5"/>
  <c r="M57" i="5"/>
  <c r="M59" i="5"/>
  <c r="M60" i="5"/>
  <c r="L62" i="4"/>
  <c r="M62" i="4" s="1"/>
  <c r="L63" i="4"/>
  <c r="M63" i="4" s="1"/>
  <c r="O53" i="4"/>
  <c r="N57" i="5"/>
  <c r="T360" i="16"/>
  <c r="F356" i="16"/>
  <c r="M360" i="16"/>
  <c r="M353" i="16"/>
  <c r="M354" i="16"/>
  <c r="S360" i="16"/>
  <c r="W353" i="16"/>
  <c r="N355" i="16"/>
  <c r="L355" i="16"/>
  <c r="M355" i="16" s="1"/>
  <c r="F355" i="16"/>
  <c r="K84" i="7"/>
  <c r="F84" i="7"/>
  <c r="M83" i="7"/>
  <c r="E91" i="7"/>
  <c r="K86" i="7"/>
  <c r="M82" i="7"/>
  <c r="F85" i="7"/>
  <c r="H66" i="4"/>
  <c r="K65" i="6"/>
  <c r="F65" i="6"/>
  <c r="D58" i="6"/>
  <c r="E72" i="6"/>
  <c r="K67" i="6"/>
  <c r="M63" i="6"/>
  <c r="F66" i="6"/>
  <c r="D63" i="5"/>
  <c r="K56" i="5"/>
  <c r="E63" i="5"/>
  <c r="F56" i="5"/>
  <c r="G56" i="14" s="1"/>
  <c r="H63" i="5"/>
  <c r="D49" i="5"/>
  <c r="T54" i="5"/>
  <c r="M55" i="5"/>
  <c r="K58" i="5"/>
  <c r="M54" i="5"/>
  <c r="F57" i="5"/>
  <c r="S65" i="4"/>
  <c r="F61" i="4"/>
  <c r="K61" i="4"/>
  <c r="K59" i="4"/>
  <c r="E66" i="4"/>
  <c r="K60" i="4"/>
  <c r="L64" i="4"/>
  <c r="M64" i="4" s="1"/>
  <c r="H92" i="3"/>
  <c r="D26" i="14"/>
  <c r="M82" i="3"/>
  <c r="D85" i="3"/>
  <c r="I85" i="3" s="1"/>
  <c r="D89" i="3"/>
  <c r="L89" i="3" s="1"/>
  <c r="M89" i="3" s="1"/>
  <c r="D77" i="3"/>
  <c r="S89" i="3"/>
  <c r="K86" i="3"/>
  <c r="K84" i="3"/>
  <c r="E92" i="3"/>
  <c r="K85" i="3"/>
  <c r="D84" i="3"/>
  <c r="I84" i="3" s="1"/>
  <c r="L62" i="1"/>
  <c r="L68" i="1"/>
  <c r="M68" i="1" s="1"/>
  <c r="I64" i="1"/>
  <c r="D57" i="1"/>
  <c r="L69" i="1"/>
  <c r="M69" i="1" s="1"/>
  <c r="R69" i="1"/>
  <c r="E71" i="1"/>
  <c r="H71" i="1"/>
  <c r="N86" i="7" l="1"/>
  <c r="L86" i="7"/>
  <c r="M86" i="7" s="1"/>
  <c r="N58" i="5"/>
  <c r="L58" i="5"/>
  <c r="M58" i="5" s="1"/>
  <c r="N56" i="5"/>
  <c r="L56" i="5"/>
  <c r="M56" i="5" s="1"/>
  <c r="N65" i="6"/>
  <c r="L65" i="6"/>
  <c r="N84" i="7"/>
  <c r="L84" i="7"/>
  <c r="N67" i="6"/>
  <c r="L67" i="6"/>
  <c r="M67" i="6" s="1"/>
  <c r="T83" i="3"/>
  <c r="T82" i="3"/>
  <c r="T84" i="3"/>
  <c r="T85" i="3"/>
  <c r="T86" i="3"/>
  <c r="I83" i="3"/>
  <c r="O56" i="14"/>
  <c r="O26" i="14"/>
  <c r="L83" i="3"/>
  <c r="M83" i="3" s="1"/>
  <c r="I88" i="3"/>
  <c r="F91" i="7"/>
  <c r="I56" i="14"/>
  <c r="T91" i="7"/>
  <c r="I26" i="14"/>
  <c r="S91" i="7"/>
  <c r="L58" i="4"/>
  <c r="M58" i="4" s="1"/>
  <c r="V57" i="4"/>
  <c r="W57" i="4" s="1"/>
  <c r="H26" i="14"/>
  <c r="F72" i="6"/>
  <c r="H56" i="14"/>
  <c r="I67" i="1"/>
  <c r="U62" i="1"/>
  <c r="V62" i="1" s="1"/>
  <c r="F65" i="1"/>
  <c r="N65" i="1" s="1"/>
  <c r="I63" i="1"/>
  <c r="L63" i="1"/>
  <c r="M63" i="1" s="1"/>
  <c r="V82" i="3"/>
  <c r="W82" i="3" s="1"/>
  <c r="F63" i="5"/>
  <c r="T62" i="5"/>
  <c r="G26" i="14"/>
  <c r="F59" i="4"/>
  <c r="L358" i="16"/>
  <c r="M358" i="16" s="1"/>
  <c r="K357" i="16"/>
  <c r="L357" i="16" s="1"/>
  <c r="M357" i="16" s="1"/>
  <c r="K356" i="16"/>
  <c r="E362" i="16"/>
  <c r="N61" i="4"/>
  <c r="L61" i="4"/>
  <c r="M61" i="4" s="1"/>
  <c r="T58" i="4"/>
  <c r="T59" i="4"/>
  <c r="T57" i="4"/>
  <c r="F26" i="14" s="1"/>
  <c r="F60" i="4"/>
  <c r="N60" i="4"/>
  <c r="L60" i="4"/>
  <c r="M60" i="4" s="1"/>
  <c r="T60" i="4"/>
  <c r="D66" i="4"/>
  <c r="L57" i="4"/>
  <c r="N59" i="4"/>
  <c r="L59" i="4"/>
  <c r="M59" i="4" s="1"/>
  <c r="T61" i="4"/>
  <c r="N84" i="3"/>
  <c r="L84" i="3"/>
  <c r="I87" i="3"/>
  <c r="N86" i="3"/>
  <c r="L86" i="3"/>
  <c r="M86" i="3" s="1"/>
  <c r="I89" i="3"/>
  <c r="F84" i="3"/>
  <c r="F85" i="3"/>
  <c r="D92" i="3"/>
  <c r="N85" i="3"/>
  <c r="L85" i="3"/>
  <c r="M85" i="3" s="1"/>
  <c r="F64" i="1"/>
  <c r="E56" i="14" s="1"/>
  <c r="I68" i="1"/>
  <c r="D71" i="1"/>
  <c r="M62" i="1"/>
  <c r="N66" i="1"/>
  <c r="L66" i="1"/>
  <c r="M66" i="1" s="1"/>
  <c r="S62" i="1"/>
  <c r="E26" i="14" s="1"/>
  <c r="I69" i="1"/>
  <c r="N72" i="6" l="1"/>
  <c r="N63" i="5"/>
  <c r="M63" i="5"/>
  <c r="L63" i="5"/>
  <c r="L91" i="7"/>
  <c r="M84" i="7"/>
  <c r="M91" i="7" s="1"/>
  <c r="N91" i="7"/>
  <c r="L72" i="6"/>
  <c r="M65" i="6"/>
  <c r="M72" i="6" s="1"/>
  <c r="F66" i="4"/>
  <c r="F56" i="14"/>
  <c r="L65" i="1"/>
  <c r="M65" i="1" s="1"/>
  <c r="F92" i="3"/>
  <c r="D56" i="14"/>
  <c r="N66" i="4"/>
  <c r="N92" i="3"/>
  <c r="D362" i="16"/>
  <c r="N357" i="16"/>
  <c r="L359" i="16"/>
  <c r="M359" i="16" s="1"/>
  <c r="F362" i="16"/>
  <c r="L356" i="16"/>
  <c r="M356" i="16" s="1"/>
  <c r="N356" i="16"/>
  <c r="L66" i="4"/>
  <c r="M57" i="4"/>
  <c r="M66" i="4" s="1"/>
  <c r="T65" i="4"/>
  <c r="T89" i="3"/>
  <c r="M84" i="3"/>
  <c r="M92" i="3" s="1"/>
  <c r="L92" i="3"/>
  <c r="S69" i="1"/>
  <c r="F71" i="1"/>
  <c r="M362" i="16" l="1"/>
  <c r="T72" i="6"/>
  <c r="S72" i="6"/>
  <c r="N362" i="16"/>
  <c r="L362" i="16"/>
  <c r="N64" i="1"/>
  <c r="N71" i="1" s="1"/>
  <c r="L64" i="1"/>
  <c r="M64" i="1" l="1"/>
  <c r="M71" i="1" s="1"/>
  <c r="L71" i="1"/>
  <c r="I26" i="39"/>
  <c r="E67" i="39"/>
  <c r="E73" i="39" s="1"/>
  <c r="K67" i="39" l="1"/>
  <c r="F67" i="39"/>
  <c r="F73" i="39" s="1"/>
  <c r="N67" i="39" l="1"/>
  <c r="N73" i="39" s="1"/>
  <c r="L67" i="39"/>
  <c r="L73" i="39" l="1"/>
  <c r="M67" i="39"/>
  <c r="M73" i="39" s="1"/>
  <c r="Q7" i="4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</calcChain>
</file>

<file path=xl/connections.xml><?xml version="1.0" encoding="utf-8"?>
<connections xmlns="http://schemas.openxmlformats.org/spreadsheetml/2006/main">
  <connection id="1" keepAlive="1" name="Consulta - BASE DATOS" description="Conexión a la consulta 'BASE DATOS' en el libro." type="5" refreshedVersion="6" background="1" saveData="1">
    <dbPr connection="Provider=Microsoft.Mashup.OleDb.1;Data Source=$Workbook$;Location=BASE DATOS;Extended Properties=&quot;&quot;" command="SELECT * FROM [BASE DATOS]"/>
  </connection>
  <connection id="2" keepAlive="1" name="Consulta - BASE_DATOS" description="Conexión a la consulta 'BASE_DATOS' en el libro." type="5" refreshedVersion="6" background="1" saveData="1">
    <dbPr connection="Provider=Microsoft.Mashup.OleDb.1;Data Source=$Workbook$;Location=BASE_DATOS;Extended Properties=&quot;&quot;" command="SELECT * FROM [BASE_DATOS]"/>
  </connection>
  <connection id="3" keepAlive="1" name="Consulta - V051" description="Conexión a la consulta 'V051' en el libro." type="5" refreshedVersion="6" background="1" saveData="1">
    <dbPr connection="Provider=Microsoft.Mashup.OleDb.1;Data Source=$Workbook$;Location=V051;Extended Properties=&quot;&quot;" command="SELECT * FROM [V051]"/>
  </connection>
  <connection id="4" keepAlive="1" name="Consulta - V052" description="Conexión a la consulta 'V052' en el libro." type="5" refreshedVersion="6" background="1" saveData="1">
    <dbPr connection="Provider=Microsoft.Mashup.OleDb.1;Data Source=$Workbook$;Location=V052;Extended Properties=&quot;&quot;" command="SELECT * FROM [V052]"/>
  </connection>
  <connection id="5" keepAlive="1" name="Consulta - V053" description="Conexión a la consulta 'V053' en el libro." type="5" refreshedVersion="6" background="1" saveData="1">
    <dbPr connection="Provider=Microsoft.Mashup.OleDb.1;Data Source=$Workbook$;Location=V053;Extended Properties=&quot;&quot;" command="SELECT * FROM [V053]"/>
  </connection>
  <connection id="6" keepAlive="1" name="Consulta - V054" description="Conexión a la consulta 'V054' en el libro." type="5" refreshedVersion="6" background="1" saveData="1">
    <dbPr connection="Provider=Microsoft.Mashup.OleDb.1;Data Source=$Workbook$;Location=V054;Extended Properties=&quot;&quot;" command="SELECT * FROM [V054]"/>
  </connection>
  <connection id="7" keepAlive="1" name="Consulta - V055" description="Conexión a la consulta 'V055' en el libro." type="5" refreshedVersion="6" background="1" saveData="1">
    <dbPr connection="Provider=Microsoft.Mashup.OleDb.1;Data Source=$Workbook$;Location=V055;Extended Properties=&quot;&quot;" command="SELECT * FROM [V055]"/>
  </connection>
  <connection id="8" keepAlive="1" name="Consulta - V056" description="Conexión a la consulta 'V056' en el libro." type="5" refreshedVersion="6" background="1" saveData="1">
    <dbPr connection="Provider=Microsoft.Mashup.OleDb.1;Data Source=$Workbook$;Location=V056;Extended Properties=&quot;&quot;" command="SELECT * FROM [V056]"/>
  </connection>
  <connection id="9" keepAlive="1" name="Consulta - V057" description="Conexión a la consulta 'V057' en el libro." type="5" refreshedVersion="6" background="1" saveData="1">
    <dbPr connection="Provider=Microsoft.Mashup.OleDb.1;Data Source=$Workbook$;Location=V057;Extended Properties=&quot;&quot;" command="SELECT * FROM [V057]"/>
  </connection>
  <connection id="10" keepAlive="1" name="Consulta - VIAJE10" description="Conexión a la consulta 'VIAJE10' en el libro." type="5" refreshedVersion="6" background="1" saveData="1">
    <dbPr connection="Provider=Microsoft.Mashup.OleDb.1;Data Source=$Workbook$;Location=VIAJE10;Extended Properties=&quot;&quot;" command="SELECT * FROM [VIAJE10]"/>
  </connection>
  <connection id="11" keepAlive="1" name="Consulta - VIAJE11" description="Conexión a la consulta 'VIAJE11' en el libro." type="5" refreshedVersion="6" background="1" saveData="1">
    <dbPr connection="Provider=Microsoft.Mashup.OleDb.1;Data Source=$Workbook$;Location=VIAJE11;Extended Properties=&quot;&quot;" command="SELECT * FROM [VIAJE11]"/>
  </connection>
  <connection id="12" keepAlive="1" name="Consulta - VIAJE12" description="Conexión a la consulta 'VIAJE12' en el libro." type="5" refreshedVersion="6" background="1" saveData="1">
    <dbPr connection="Provider=Microsoft.Mashup.OleDb.1;Data Source=$Workbook$;Location=VIAJE12;Extended Properties=&quot;&quot;" command="SELECT * FROM [VIAJE12]"/>
  </connection>
  <connection id="13" keepAlive="1" name="Consulta - VIAJE8" description="Conexión a la consulta 'VIAJE8' en el libro." type="5" refreshedVersion="6" background="1" saveData="1">
    <dbPr connection="Provider=Microsoft.Mashup.OleDb.1;Data Source=$Workbook$;Location=VIAJE8;Extended Properties=&quot;&quot;" command="SELECT * FROM [VIAJE8]"/>
  </connection>
  <connection id="14" keepAlive="1" name="Consulta - VIAJE9" description="Conexión a la consulta 'VIAJE9' en el libro." type="5" refreshedVersion="6" background="1" saveData="1">
    <dbPr connection="Provider=Microsoft.Mashup.OleDb.1;Data Source=$Workbook$;Location=VIAJE9;Extended Properties=&quot;&quot;" command="SELECT * FROM [VIAJE9]"/>
  </connection>
</connections>
</file>

<file path=xl/sharedStrings.xml><?xml version="1.0" encoding="utf-8"?>
<sst xmlns="http://schemas.openxmlformats.org/spreadsheetml/2006/main" count="9267" uniqueCount="484">
  <si>
    <t>DATOS DE NAVEGACION</t>
  </si>
  <si>
    <t>CONSUMO VLSFO</t>
  </si>
  <si>
    <t>CONSUMO MGO</t>
  </si>
  <si>
    <t>CONSUMO LUBRICANTES EN LTS</t>
  </si>
  <si>
    <t>MES ANTERIO</t>
  </si>
  <si>
    <t>MES ANTERIOR</t>
  </si>
  <si>
    <t>MES ANT</t>
  </si>
  <si>
    <t>VIAJE</t>
  </si>
  <si>
    <t>FECHA</t>
  </si>
  <si>
    <t>HORA</t>
  </si>
  <si>
    <t>TIEMPO Hrs</t>
  </si>
  <si>
    <t>ACTIVIDAD REALIZADA</t>
  </si>
  <si>
    <t>REFERENCIA</t>
  </si>
  <si>
    <t>DISTANCIA POR CARTA</t>
  </si>
  <si>
    <t>TIEMPO DE NAVEGACION</t>
  </si>
  <si>
    <t>VELOCIDAD</t>
  </si>
  <si>
    <t>BEAUFORT</t>
  </si>
  <si>
    <t>RPM</t>
  </si>
  <si>
    <t>MPAL</t>
  </si>
  <si>
    <t>AUX.</t>
  </si>
  <si>
    <t>CALDERA</t>
  </si>
  <si>
    <t xml:space="preserve">TOTAL </t>
  </si>
  <si>
    <t>FAENA</t>
  </si>
  <si>
    <t xml:space="preserve">ROB </t>
  </si>
  <si>
    <t>MPAL2</t>
  </si>
  <si>
    <t xml:space="preserve"> AUX</t>
  </si>
  <si>
    <t xml:space="preserve"> CALDERA</t>
  </si>
  <si>
    <t>PP</t>
  </si>
  <si>
    <t>GI</t>
  </si>
  <si>
    <t>TOTAL</t>
  </si>
  <si>
    <t>FAENA2</t>
  </si>
  <si>
    <t>ROB</t>
  </si>
  <si>
    <t>CYLINDER MP</t>
  </si>
  <si>
    <t>FAENA EN LTS</t>
  </si>
  <si>
    <t>CYLINDER MP ROB EN LTS</t>
  </si>
  <si>
    <t>CARTER MP.</t>
  </si>
  <si>
    <t>FAENA EN LTS2</t>
  </si>
  <si>
    <t>CARTER MP. ROB EN LTS</t>
  </si>
  <si>
    <t>MOT AUX</t>
  </si>
  <si>
    <t>FAENA EN  LTS</t>
  </si>
  <si>
    <t>MOT AUX ROB EN LTS</t>
  </si>
  <si>
    <t>HIDRAULICO</t>
  </si>
  <si>
    <t>FAENA EN LTS3</t>
  </si>
  <si>
    <t>HIDRAULICO ROB EN LTS</t>
  </si>
  <si>
    <t>V053-20</t>
  </si>
  <si>
    <t>FONDEADO</t>
  </si>
  <si>
    <t>ANCLA ARRIBA</t>
  </si>
  <si>
    <t>MANIOBRA</t>
  </si>
  <si>
    <t>TCM</t>
  </si>
  <si>
    <t>OTRAS ACT.</t>
  </si>
  <si>
    <t>INICIO DESCARGA</t>
  </si>
  <si>
    <t>DESCARGANDO</t>
  </si>
  <si>
    <t>TERMINO DESCARGA</t>
  </si>
  <si>
    <t>INICIO VIAJE SALAVERRY</t>
  </si>
  <si>
    <t>S2</t>
  </si>
  <si>
    <t>NAVEGANDO CON CARGA</t>
  </si>
  <si>
    <t>NAVEGANDO</t>
  </si>
  <si>
    <t>ARRIBO SALAVERRY</t>
  </si>
  <si>
    <t>INICO DESCARGA</t>
  </si>
  <si>
    <t>AMARRADOS</t>
  </si>
  <si>
    <t>INICIO VIAJE CALLAO</t>
  </si>
  <si>
    <t>NAVEGANDO EN LASTRE</t>
  </si>
  <si>
    <t>ARRIBO CALLAO</t>
  </si>
  <si>
    <t>V054-20</t>
  </si>
  <si>
    <t>TCM FONDEADO.</t>
  </si>
  <si>
    <t>FIN DE FAENA</t>
  </si>
  <si>
    <t>ANCLA ARRI AREA 12</t>
  </si>
  <si>
    <t>INGRESO PAMPILLA</t>
  </si>
  <si>
    <t>ARRIBO PAMPILLA</t>
  </si>
  <si>
    <t>INICIO MANIOBRA AMARRE</t>
  </si>
  <si>
    <t>INICIO CARGA PAMPILLA</t>
  </si>
  <si>
    <t>CARGANDO</t>
  </si>
  <si>
    <t>PAMPILLA</t>
  </si>
  <si>
    <t>TERMINO CARGA</t>
  </si>
  <si>
    <t>INICIO MANIOBRA</t>
  </si>
  <si>
    <t>INICIO VIAJE SUPE</t>
  </si>
  <si>
    <t>ARRIBO SUPE</t>
  </si>
  <si>
    <t>FONDO TCM</t>
  </si>
  <si>
    <t>TCM SUPE</t>
  </si>
  <si>
    <t>INICIO VIAJE ETEN</t>
  </si>
  <si>
    <t>ARRIBO ETEN</t>
  </si>
  <si>
    <t>S3</t>
  </si>
  <si>
    <t>V055-20</t>
  </si>
  <si>
    <t>TCM CALLAO</t>
  </si>
  <si>
    <t>TCM PAMPILLA</t>
  </si>
  <si>
    <t>INICIO CARGA</t>
  </si>
  <si>
    <t>FIN DESCARGA</t>
  </si>
  <si>
    <t>INICIO VIAJE CHIMBOTE</t>
  </si>
  <si>
    <t>RESUMEN MENSUAL, CONSUMO VLSFO</t>
  </si>
  <si>
    <t>RESUMEN MENSUAL, CONSUMO MGO EN MT</t>
  </si>
  <si>
    <t>TOTAL DE HORAS POR ACTIVIDAD</t>
  </si>
  <si>
    <t>TOTAL MILLAS NAVEGADAS</t>
  </si>
  <si>
    <t>PROMEDIO VELOCIDAD REAL</t>
  </si>
  <si>
    <t>VELOCIDAD POR CONTRATO</t>
  </si>
  <si>
    <t>CONSUMO  MENSUAL REAL</t>
  </si>
  <si>
    <t>CONSUMO DIARIO REAL</t>
  </si>
  <si>
    <t>CONSUMO  DIARIO POR CONTRATO</t>
  </si>
  <si>
    <t>HORAS NAVEGADAS POR CONTRATO</t>
  </si>
  <si>
    <t>CONSUMO  MENSUAL POR CONTRATO</t>
  </si>
  <si>
    <t>BALANCE DE COMBUSTIBLE</t>
  </si>
  <si>
    <t>BALANCE HORAS NAVEGADAS</t>
  </si>
  <si>
    <t>EQUIPO</t>
  </si>
  <si>
    <t>CONSUMO  DIARIO REAL</t>
  </si>
  <si>
    <t>CONSUMO MENSUAL POR  CONTRATO</t>
  </si>
  <si>
    <t>BALANCE MENSUAL</t>
  </si>
  <si>
    <t>GAS INERT</t>
  </si>
  <si>
    <t>M/AUX</t>
  </si>
  <si>
    <t>POWER P</t>
  </si>
  <si>
    <t>NAVEGACION ECONOMICA</t>
  </si>
  <si>
    <t>V051-20</t>
  </si>
  <si>
    <t>SUPE</t>
  </si>
  <si>
    <t>INICIO MANIOBRA SUPE</t>
  </si>
  <si>
    <t>INICIO DESCARGA SUPE</t>
  </si>
  <si>
    <t>TERMINO DESARGA SUPE</t>
  </si>
  <si>
    <t>INICIO MANIOBRA ZARPE SUPE</t>
  </si>
  <si>
    <t>ZARPE SUPE</t>
  </si>
  <si>
    <t>NAVEGANDO A ETEN</t>
  </si>
  <si>
    <t>S 2</t>
  </si>
  <si>
    <t>TCM FONDEADO ETEN</t>
  </si>
  <si>
    <t>ETEN</t>
  </si>
  <si>
    <t>ANCLA ARRIBA ETEN</t>
  </si>
  <si>
    <t>TCM ETEN</t>
  </si>
  <si>
    <t>INICIO DESCARGA ETEN</t>
  </si>
  <si>
    <t>TERMINO DESCARGA ETEN</t>
  </si>
  <si>
    <t>SALAVERRY</t>
  </si>
  <si>
    <t>S 3</t>
  </si>
  <si>
    <t>TCM SALAVERRY</t>
  </si>
  <si>
    <t>INICIO DESCARGA SALAVERRY</t>
  </si>
  <si>
    <t>TERMINO DESCARGA SALAVERRY</t>
  </si>
  <si>
    <t>ANCLA ARRIBA SALAVERRY</t>
  </si>
  <si>
    <t>CALLAO</t>
  </si>
  <si>
    <t>S4</t>
  </si>
  <si>
    <t>S 4</t>
  </si>
  <si>
    <t>V052-20</t>
  </si>
  <si>
    <t>ANCLA ARRIBA CALLAO</t>
  </si>
  <si>
    <t>INICIO CARGA CALLAO</t>
  </si>
  <si>
    <t>TERMINO CARGA CALLAO</t>
  </si>
  <si>
    <t>ANCLA ARRIBA SUPE</t>
  </si>
  <si>
    <t>TERMINO DESCARGA SUPE</t>
  </si>
  <si>
    <t>ARRIBO A ETEN</t>
  </si>
  <si>
    <t>INICiA DESCARGA ETEN</t>
  </si>
  <si>
    <t>INICIO DE VIAJE SALAVERRY</t>
  </si>
  <si>
    <t>ARRIBO CHIMBOTE</t>
  </si>
  <si>
    <t>CHIMBOTE</t>
  </si>
  <si>
    <t>TCM CHIMBOTE</t>
  </si>
  <si>
    <t>ANCLA ARRIBA CHIMBOTE</t>
  </si>
  <si>
    <t>TCM FONDEADO CALLAO</t>
  </si>
  <si>
    <t>INICIA DESCARGA SUPE</t>
  </si>
  <si>
    <t>TCM ETEN FONDO</t>
  </si>
  <si>
    <t>CONSUMO VLSFO EN MT</t>
  </si>
  <si>
    <t>CONSUMO MGO EN MT</t>
  </si>
  <si>
    <t>ZARPE CHIMBOTE</t>
  </si>
  <si>
    <t>V056-20</t>
  </si>
  <si>
    <t>FIN DE BUMKERING</t>
  </si>
  <si>
    <t>TERMINO INERTIZADO</t>
  </si>
  <si>
    <t>INICIO DE CARGA</t>
  </si>
  <si>
    <t>FIN DE CARGA</t>
  </si>
  <si>
    <t>HACIA FONDEADERO</t>
  </si>
  <si>
    <t>FONDEADERO</t>
  </si>
  <si>
    <t>INICIO VIAJE TALARA</t>
  </si>
  <si>
    <t>ARRIBO TALARA</t>
  </si>
  <si>
    <t>MANIOBRANDO</t>
  </si>
  <si>
    <t>ARRIBO A SUPE</t>
  </si>
  <si>
    <t>INICIO VIAJE SALVERRY</t>
  </si>
  <si>
    <t>V057-20</t>
  </si>
  <si>
    <t>AMARRADO PAMPILLA</t>
  </si>
  <si>
    <t>ACTIDAD REALIZADA</t>
  </si>
  <si>
    <t>ACTIVIDAD</t>
  </si>
  <si>
    <t>CONSUMO CONTRATO</t>
  </si>
  <si>
    <t>VELOCIDAD CONTRATO</t>
  </si>
  <si>
    <t>CONSUMO  REAL</t>
  </si>
  <si>
    <t>CONSUMO   POR CONTRATO</t>
  </si>
  <si>
    <t>CONSUMO   REAL</t>
  </si>
  <si>
    <t>CONSUMO  POR  CONTRATO</t>
  </si>
  <si>
    <t xml:space="preserve">BALANCE </t>
  </si>
  <si>
    <t>Total Viajes</t>
  </si>
  <si>
    <t>RESUMEN DE VIAJES DE CONSUMO MGO EN MT</t>
  </si>
  <si>
    <t>VIAJE 8</t>
  </si>
  <si>
    <t>VIAJE 9</t>
  </si>
  <si>
    <t>VIAJE 10</t>
  </si>
  <si>
    <t>VIAJE 11</t>
  </si>
  <si>
    <t>VIAJE 12</t>
  </si>
  <si>
    <t>VIAJE ANTERIO</t>
  </si>
  <si>
    <t>VIAJE ANTERIOR</t>
  </si>
  <si>
    <t>VIAJE ANT</t>
  </si>
  <si>
    <t>RESUMEN VIAJE, CONSUMO MGO EN MT</t>
  </si>
  <si>
    <t>RESUMEN VIAJE, CONSUMO VLSFO</t>
  </si>
  <si>
    <t>RESUMEN VIAJE CONSUMO VLSFO</t>
  </si>
  <si>
    <t>RESUMEN VIAJE CONSUMO MGO EN MT</t>
  </si>
  <si>
    <t>RESUMEN MENSUAL, VIAJE MGO EN MT</t>
  </si>
  <si>
    <t>RESUMEN VIAJE CONSUMO VLSFO EN MT</t>
  </si>
  <si>
    <t>INICIO</t>
  </si>
  <si>
    <t>CONSUMO  VIAJE REAL</t>
  </si>
  <si>
    <t>CONSUMO  VIAJE POR CONTRATO</t>
  </si>
  <si>
    <t>CONSUMO  VAIJE REAL</t>
  </si>
  <si>
    <t>RESUMEN VIAJE VIAJE MGO EN MT</t>
  </si>
  <si>
    <t>CONSUMO VIAJE</t>
  </si>
  <si>
    <t>VELOCIDAD VIAJE</t>
  </si>
  <si>
    <t>NAVEGANDO ACALLAO</t>
  </si>
  <si>
    <t>V051-19</t>
  </si>
  <si>
    <t>FIN DE DESCARGA</t>
  </si>
  <si>
    <t>ARRIBO AL CALLAO</t>
  </si>
  <si>
    <t>AMARRADOS PAMPILLA</t>
  </si>
  <si>
    <t>V058-20</t>
  </si>
  <si>
    <t>TCM AMARRADO</t>
  </si>
  <si>
    <t>AMARRADO ILO</t>
  </si>
  <si>
    <t>AMARRADO</t>
  </si>
  <si>
    <t>V059-20</t>
  </si>
  <si>
    <t>FONDEADO CALLAO</t>
  </si>
  <si>
    <t>FONDEADO ILO</t>
  </si>
  <si>
    <t>AMARRADO CHIMBOTE</t>
  </si>
  <si>
    <t>ARRIBO MATARANI</t>
  </si>
  <si>
    <t>ZARPE CALLAO</t>
  </si>
  <si>
    <t>ZARPE MOLLENDO</t>
  </si>
  <si>
    <t>4S</t>
  </si>
  <si>
    <t>5S</t>
  </si>
  <si>
    <t>ARRIBO ILO</t>
  </si>
  <si>
    <t>ZARPE ILO</t>
  </si>
  <si>
    <t>3S</t>
  </si>
  <si>
    <t>ARRIBO PISCO</t>
  </si>
  <si>
    <t>ZARPE PISCO</t>
  </si>
  <si>
    <t>IVM PAMPILLA</t>
  </si>
  <si>
    <t>FIN DE VIAJE PAMPILLA</t>
  </si>
  <si>
    <t>IVM AREA 12</t>
  </si>
  <si>
    <t>FIN DE VIAJE AREA 12</t>
  </si>
  <si>
    <t>V060-20</t>
  </si>
  <si>
    <t>MANIOBRANDO PAMPILLA 3</t>
  </si>
  <si>
    <t>ARRIBO MOLLENDO</t>
  </si>
  <si>
    <t>FONDEADO MOLLENDO</t>
  </si>
  <si>
    <t>TCM  FONDEADO CALLAO</t>
  </si>
  <si>
    <t>TCM AMARRADO PAMPILLA 3</t>
  </si>
  <si>
    <t>FONDO CALLAO</t>
  </si>
  <si>
    <t>ZARPE. IVM</t>
  </si>
  <si>
    <t>FONDO PISCO</t>
  </si>
  <si>
    <t>TCM PISCO</t>
  </si>
  <si>
    <t xml:space="preserve">ZARPE </t>
  </si>
  <si>
    <t>FONDO</t>
  </si>
  <si>
    <t>ZARPE A PAMPILLA</t>
  </si>
  <si>
    <t>ZARPE</t>
  </si>
  <si>
    <t>ARRIBO AREA 12</t>
  </si>
  <si>
    <t>FONDO AREA 12</t>
  </si>
  <si>
    <t>TCM AMARRADOS</t>
  </si>
  <si>
    <t>TCM FONDEADOS</t>
  </si>
  <si>
    <t>061-20</t>
  </si>
  <si>
    <t>062-20</t>
  </si>
  <si>
    <t>EN MANIOBRA</t>
  </si>
  <si>
    <t>TERMINO DE CARGA</t>
  </si>
  <si>
    <t>ARRIBO A PISCO</t>
  </si>
  <si>
    <t>TCM FONDEADOS EN CALLAO</t>
  </si>
  <si>
    <t>TCM AMARRADOS PAMPILLA</t>
  </si>
  <si>
    <t>TCM AMARRADOS PBF</t>
  </si>
  <si>
    <t>ZARPE VALERO</t>
  </si>
  <si>
    <t>ARRIBO TALCAHUANO</t>
  </si>
  <si>
    <t>062A-20</t>
  </si>
  <si>
    <t>7N</t>
  </si>
  <si>
    <t>8N</t>
  </si>
  <si>
    <t>4N</t>
  </si>
  <si>
    <t>CAMBIO ENERGIA TIERRA</t>
  </si>
  <si>
    <t>ASTILLERO</t>
  </si>
  <si>
    <t>SALIENDO ASTILLERO</t>
  </si>
  <si>
    <t>ZARPE TALCAHUANO</t>
  </si>
  <si>
    <t>CARBONERAS</t>
  </si>
  <si>
    <t>CARGANDO CONCHAN</t>
  </si>
  <si>
    <t>DESCARGANDO CONCHAN</t>
  </si>
  <si>
    <t>OTRAS ACTIVIDADES</t>
  </si>
  <si>
    <t>FONDO CONCHAN</t>
  </si>
  <si>
    <t>TCM MUELLE 7</t>
  </si>
  <si>
    <t>TCM FONDEADO</t>
  </si>
  <si>
    <t xml:space="preserve">DESCARGANDO </t>
  </si>
  <si>
    <t>V01-20</t>
  </si>
  <si>
    <t>FONDEADO SALAVERRY</t>
  </si>
  <si>
    <t>ARRIBO CONCHAN</t>
  </si>
  <si>
    <t>ZARPE CONCHAN</t>
  </si>
  <si>
    <t>ZARPE SALAVERRY</t>
  </si>
  <si>
    <t>V02-20</t>
  </si>
  <si>
    <t>TCM MUELLE TALARA</t>
  </si>
  <si>
    <t>TCM TALARA FONDO</t>
  </si>
  <si>
    <t>ZARPE TALARA</t>
  </si>
  <si>
    <t>FONDEADO MATARANI</t>
  </si>
  <si>
    <t>TCM MOLLENDO</t>
  </si>
  <si>
    <t>DESCARGANDO MOLLENDO</t>
  </si>
  <si>
    <t>INICIO CALEFACCION</t>
  </si>
  <si>
    <t>NAVEGANDO/CALENTANDO</t>
  </si>
  <si>
    <t>ZARPE ETEN</t>
  </si>
  <si>
    <t>ARRIBO BAYOBAR</t>
  </si>
  <si>
    <t>FONDEADO BAYOBAR</t>
  </si>
  <si>
    <t>ZARPE BAYOBAR</t>
  </si>
  <si>
    <t>FONDEADO CHIMBOTE</t>
  </si>
  <si>
    <t>TCM AMARRADO CHIMBOTE</t>
  </si>
  <si>
    <t>TCM AMARRADO BAYOBAR</t>
  </si>
  <si>
    <t>V03-20</t>
  </si>
  <si>
    <t>TCM CONCHAN</t>
  </si>
  <si>
    <t>TCM FONDEADO ILO</t>
  </si>
  <si>
    <t>TCM  AMARRADOS</t>
  </si>
  <si>
    <t>INICIO DE DESCARGA</t>
  </si>
  <si>
    <t>TERMINO DESCARGA  ILO</t>
  </si>
  <si>
    <t>ZARPE PTO ILO</t>
  </si>
  <si>
    <t>ZARPE DE PISCO</t>
  </si>
  <si>
    <t>TCM  AMARRADOS CONCHAN</t>
  </si>
  <si>
    <t>ARRIBO A CALLAO</t>
  </si>
  <si>
    <t>TCM BUQUE AMARRADO</t>
  </si>
  <si>
    <t>AMARRADOS / INICIO DESCARGA</t>
  </si>
  <si>
    <t>DESCARGANDO MUELLE 7</t>
  </si>
  <si>
    <t>AMARRADO/INICIA DESCARGA</t>
  </si>
  <si>
    <t>LIBRE MUELLE 7</t>
  </si>
  <si>
    <t>CALLAO- SALAVERRY</t>
  </si>
  <si>
    <t>INICIA DESCARGA</t>
  </si>
  <si>
    <t>BOYAS SALABERRY</t>
  </si>
  <si>
    <t>LIBRE DE BOYAS</t>
  </si>
  <si>
    <t>REPORTE PETROPERU</t>
  </si>
  <si>
    <t>TALARA</t>
  </si>
  <si>
    <t>ANCLA ARRIBA TALARA</t>
  </si>
  <si>
    <t>AMARRANDO A BOYAS</t>
  </si>
  <si>
    <t>INICIA CARGA</t>
  </si>
  <si>
    <t>TERMINA CARGA</t>
  </si>
  <si>
    <t>TALARA - BAYOVAR</t>
  </si>
  <si>
    <t>ARRIBO BAYOVAR</t>
  </si>
  <si>
    <t>BAYOVAR</t>
  </si>
  <si>
    <t>ANCLA ARRIBA BAYOVAR</t>
  </si>
  <si>
    <t>AMARRADO MUELLE</t>
  </si>
  <si>
    <t>LIBRE MUELLE</t>
  </si>
  <si>
    <t>ZARPE BAYOVAR</t>
  </si>
  <si>
    <t>BAYOVAR - CALLAO</t>
  </si>
  <si>
    <t>V04-20</t>
  </si>
  <si>
    <t>AMARRADO A BOYAS</t>
  </si>
  <si>
    <t>CONCHAN BOYAS</t>
  </si>
  <si>
    <t>PARA DESCARGA</t>
  </si>
  <si>
    <t>CONTINUA DESCARGANDO</t>
  </si>
  <si>
    <t>TERMINA DESCARGA</t>
  </si>
  <si>
    <t>LIBRE BOYAS</t>
  </si>
  <si>
    <t>CALLAO AREA 12</t>
  </si>
  <si>
    <t>CALLAO AREA 8</t>
  </si>
  <si>
    <t xml:space="preserve">TERMINA MANOBRA </t>
  </si>
  <si>
    <t>CALLA0</t>
  </si>
  <si>
    <t>AMARRADO A MUELLE 7</t>
  </si>
  <si>
    <t>AMARRE A MUELLE</t>
  </si>
  <si>
    <t>CALLAO MUELLE 7</t>
  </si>
  <si>
    <t>CALLAO - BAYOVAR</t>
  </si>
  <si>
    <t>ARRIBOBAYOVAR</t>
  </si>
  <si>
    <t>BAYOBAR</t>
  </si>
  <si>
    <t>TERMIA CARGA</t>
  </si>
  <si>
    <t>BAYOVAR -CALLAO</t>
  </si>
  <si>
    <t xml:space="preserve">AMARRADO A MUELLE </t>
  </si>
  <si>
    <t>CARGA CONCHAN</t>
  </si>
  <si>
    <t>COMBUSTIBLE PETROPERU</t>
  </si>
  <si>
    <t>TERMINO DE DESCARGA</t>
  </si>
  <si>
    <t>TCM AREA 12 CALLAO</t>
  </si>
  <si>
    <t>ZARPE AREA 12 CALLAO</t>
  </si>
  <si>
    <t>ARRIBO A CONCHAN</t>
  </si>
  <si>
    <t>V05-20</t>
  </si>
  <si>
    <t>TERMINO DE CARGA CONCHAN</t>
  </si>
  <si>
    <t>TERMINO FAENA COMB. CONCHAN</t>
  </si>
  <si>
    <t>TERMINO DESCARGA CONCHAN</t>
  </si>
  <si>
    <t>TERMINO DESCARGA MUELLE 7</t>
  </si>
  <si>
    <t>TCM FONDEADO AREA 12 CALLAO</t>
  </si>
  <si>
    <t>TERMINO DESCARGA AREA 12</t>
  </si>
  <si>
    <t>ARRIBO A MOLLENDO</t>
  </si>
  <si>
    <t>TCM FONDEADO BAHIA MOLLENDO</t>
  </si>
  <si>
    <t>TCM AMARRADO BOYAS MOLLENDO</t>
  </si>
  <si>
    <t>TERMINO DESCARGA MOLLENDO</t>
  </si>
  <si>
    <t>ARRIBO A SALAVERRY</t>
  </si>
  <si>
    <t>TCM FONDEADO BAHIA SALAVERRY</t>
  </si>
  <si>
    <t>TCM AMARRADO BOYAS SALAVERRY</t>
  </si>
  <si>
    <t>TCM FONDEADO BAHIA ETEN</t>
  </si>
  <si>
    <t>FONDEADO BAHIA ETEN</t>
  </si>
  <si>
    <t>TCM AMARRADO BOYAS ETEN</t>
  </si>
  <si>
    <t>V06-20</t>
  </si>
  <si>
    <t>AMARRE BOYAS CONCHAN</t>
  </si>
  <si>
    <t>TCM AMARRADO BOYAS CONCHAN</t>
  </si>
  <si>
    <t>INICIO CARGA CONCHAN</t>
  </si>
  <si>
    <t>V07-20</t>
  </si>
  <si>
    <t>FONDEADO BAHIA ILO</t>
  </si>
  <si>
    <t>TCM AMARRADO BOYAS ILO</t>
  </si>
  <si>
    <t>INICIO DESCARGA ILO</t>
  </si>
  <si>
    <t>TERMINO DESCARGA ILO</t>
  </si>
  <si>
    <t>FONDEADO BAHIA CHIMBOTE</t>
  </si>
  <si>
    <t>TCM AMARRADO BOYAS CHIMBOTE</t>
  </si>
  <si>
    <t xml:space="preserve">TERMINO DESCARGA </t>
  </si>
  <si>
    <t>FONDEADO BAHIA SALAVERRY</t>
  </si>
  <si>
    <t>ARRIBO PTO. ETEN</t>
  </si>
  <si>
    <t>FONDEADO PTO. ETEN</t>
  </si>
  <si>
    <t>TCM AMARRADO A BOYAS ETEN</t>
  </si>
  <si>
    <t>ARRIBO PTO. TALARA</t>
  </si>
  <si>
    <t>FONDEADO PTO. TALARA</t>
  </si>
  <si>
    <t>TCM AMARRADO MUELLE TALARA</t>
  </si>
  <si>
    <t>V01-21</t>
  </si>
  <si>
    <t>TCM FONDEADO BAHIA TALARA</t>
  </si>
  <si>
    <t>INICIO DE CARGA TALARA</t>
  </si>
  <si>
    <t>CARGANDO TALARA</t>
  </si>
  <si>
    <t>FAENA COMB. MGO TALARA</t>
  </si>
  <si>
    <t>TERMINO FAENA COMB. MGO</t>
  </si>
  <si>
    <t>DESAMARRE MUELLE TALARA</t>
  </si>
  <si>
    <t>ARRIBO PTO. CALLAO</t>
  </si>
  <si>
    <t>TCM FONDEADO BAHIA CALLAO</t>
  </si>
  <si>
    <t>FONDEADO BAHIA CALLAO</t>
  </si>
  <si>
    <t>TCM AMARRADO MUELLE 7 CALLAO</t>
  </si>
  <si>
    <t>DESCARGANDO MUELLE 7 CALLAO</t>
  </si>
  <si>
    <t>TERMINO DE DESCARGA CALLAO</t>
  </si>
  <si>
    <t>DESAMARRE MUELLE 7 CALLAO</t>
  </si>
  <si>
    <t xml:space="preserve">TCM AMARRADO BOYAS </t>
  </si>
  <si>
    <t>AMARRADO ABOYAS</t>
  </si>
  <si>
    <t>FAENA COMB. VLSFO CONCHAN</t>
  </si>
  <si>
    <t>INICIO FAENA COMB. VLSFO CONCHAN</t>
  </si>
  <si>
    <t>TERMINO FAENA COMB. VLSFO CONCHAN</t>
  </si>
  <si>
    <t>TERMINO DE OPERACIONES CONCHAN</t>
  </si>
  <si>
    <t>AMARRADO ABOYAS CONCHAN</t>
  </si>
  <si>
    <t>INICIO DE CARGA PISCO</t>
  </si>
  <si>
    <t>TERMINO DESCARGA PISCO</t>
  </si>
  <si>
    <t>TCM AMARRADO A MUELLE CALLAO</t>
  </si>
  <si>
    <t xml:space="preserve">INICIO DESCARGA </t>
  </si>
  <si>
    <t>TERMINO DESCARGA CALLAO</t>
  </si>
  <si>
    <t>ZARPE MATARANI</t>
  </si>
  <si>
    <t>TCM AMARRADO A BOYAS MOLLENDO</t>
  </si>
  <si>
    <t>TERMINO DE DESCARGA MOLLENDO</t>
  </si>
  <si>
    <t>AMARRADOS A BOYAS MOLLENDO</t>
  </si>
  <si>
    <t>DESAMARRE BOYAS MOLLENDO</t>
  </si>
  <si>
    <t>ARRIBO A TALARA</t>
  </si>
  <si>
    <t>FONDEADO BAHIA TALARA</t>
  </si>
  <si>
    <t>TERMINO DESCARGA TALARA</t>
  </si>
  <si>
    <t>TERMINO DE CARGA TALARA</t>
  </si>
  <si>
    <t>TCM FONDEADO BAHIA CHIMBOTE</t>
  </si>
  <si>
    <t>TERMINO DESCARGA  CHIMBOTE</t>
  </si>
  <si>
    <t>V06-21</t>
  </si>
  <si>
    <t>V06-22</t>
  </si>
  <si>
    <t>V06-23</t>
  </si>
  <si>
    <t>V02-21</t>
  </si>
  <si>
    <t>TCM AMARRADO BOYAS TALARA</t>
  </si>
  <si>
    <t>INICIO CARGA TALARA</t>
  </si>
  <si>
    <t>TERMINO DE DESCARGA TALARA</t>
  </si>
  <si>
    <t>AMARRADO CONCHAN</t>
  </si>
  <si>
    <t>FAENA COMBUSTIBLE INICIO</t>
  </si>
  <si>
    <t>FAENA COMBUSTIBLE TERMINO</t>
  </si>
  <si>
    <t>AMARRADOS MUELLE 7</t>
  </si>
  <si>
    <t>FONDEADOS CALLAO</t>
  </si>
  <si>
    <t>FONDEADOS SALAVERRY</t>
  </si>
  <si>
    <t>TCM AMARRADOS SALAVERRY</t>
  </si>
  <si>
    <t xml:space="preserve">NAVEGANDO </t>
  </si>
  <si>
    <t>ARRIBO PTO ETEN</t>
  </si>
  <si>
    <t>TCM FONDEADO PTO ETEN</t>
  </si>
  <si>
    <t>TCM AMARRADOS PTO ETEN</t>
  </si>
  <si>
    <t>ZARPE DE PTO ETEN</t>
  </si>
  <si>
    <t>TCM FONDEADOS EN TALARA</t>
  </si>
  <si>
    <t>INICIO DE DESCARGA TALARA</t>
  </si>
  <si>
    <t>V03-21</t>
  </si>
  <si>
    <t>FONDEADOS TALARA</t>
  </si>
  <si>
    <t>TCM AMARRADOS TALARA</t>
  </si>
  <si>
    <t>DESCARGA / CARGA</t>
  </si>
  <si>
    <t>INICIO FAENA COMB. TALARA</t>
  </si>
  <si>
    <t>TERMINO FAENA COMB. TALARA</t>
  </si>
  <si>
    <t>FIN CARGA / DESCARGA</t>
  </si>
  <si>
    <t>TCM FONDEADOS PTO ETEN</t>
  </si>
  <si>
    <t xml:space="preserve">FONDEADOS </t>
  </si>
  <si>
    <t>ZARPE PTO ETEN</t>
  </si>
  <si>
    <t>TCM BUQUE FONDEADO</t>
  </si>
  <si>
    <t>ZARPE DE SALAVERRY</t>
  </si>
  <si>
    <t>FONDEADO PISCO</t>
  </si>
  <si>
    <t>TCM AMARRADOS BOYAS</t>
  </si>
  <si>
    <t>TCM AMARRADO CONCHAN</t>
  </si>
  <si>
    <t>INICIO DE CARGA CONCHAN</t>
  </si>
  <si>
    <t>INICIO DE FAENA VLSFO 380</t>
  </si>
  <si>
    <t>TERMINO DE FAENA VLSFO 381</t>
  </si>
  <si>
    <t>AMARRADOS CONCHAN</t>
  </si>
  <si>
    <t>TCM FONDEADOS MOLLENDO</t>
  </si>
  <si>
    <t>FONDEADOS</t>
  </si>
  <si>
    <t xml:space="preserve">AMARRADOS </t>
  </si>
  <si>
    <t>ZARPE DE MATARANI</t>
  </si>
  <si>
    <t>DESCARGANDO/ CALEFACCION</t>
  </si>
  <si>
    <t>FONDEADOS BAHIA CALLAO</t>
  </si>
  <si>
    <t>TCM FONDEADOS CALLAO</t>
  </si>
  <si>
    <t>TCM AMARRADO  MUELLE CALLAO</t>
  </si>
  <si>
    <t>DESAMARRADO</t>
  </si>
  <si>
    <t>ZARPE  DE CALLAO</t>
  </si>
  <si>
    <t>TCM FONDEADO CHIMBOTE</t>
  </si>
  <si>
    <t>FONDEADOS BAHIA CHIMBOTE</t>
  </si>
  <si>
    <t>TCM AMARRADOS BOYAS CHIMBOTE</t>
  </si>
  <si>
    <t>AMARRADO A BOYAS CHIMBOTE</t>
  </si>
  <si>
    <t>TCM FONDEADO TALARA</t>
  </si>
  <si>
    <t>V04-21</t>
  </si>
  <si>
    <t>ZARPE PTO. TALARA</t>
  </si>
  <si>
    <t>CARBONERA</t>
  </si>
  <si>
    <t>TCM AMARRADO MUELLE CALLAO</t>
  </si>
  <si>
    <t>AMARRADOS A MUELLE CALLAO</t>
  </si>
  <si>
    <t>TERMINO OPERACIONES DE CARGA</t>
  </si>
  <si>
    <t>INICIO OPERACIONES DE CARGA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</si>
</sst>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dd/mm/yyyy"/>
  </numFmts>
  <fonts count="2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563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0" xfId="0" applyFont="1"/>
    <xf numFmtId="0" fontId="5" fillId="0" borderId="11" xfId="0" applyFont="1" applyBorder="1"/>
    <xf numFmtId="0" fontId="0" fillId="0" borderId="4" xfId="0" applyBorder="1"/>
    <xf numFmtId="0" fontId="2" fillId="0" borderId="10" xfId="0" applyFont="1" applyBorder="1" applyAlignment="1">
      <alignment horizontal="right"/>
    </xf>
    <xf numFmtId="0" fontId="5" fillId="0" borderId="10" xfId="0" applyFont="1" applyBorder="1"/>
    <xf numFmtId="0" fontId="0" fillId="0" borderId="10" xfId="0" applyBorder="1"/>
    <xf numFmtId="0" fontId="6" fillId="5" borderId="8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164" fontId="6" fillId="2" borderId="15" xfId="0" applyNumberFormat="1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0" fillId="0" borderId="19" xfId="0" applyBorder="1"/>
    <xf numFmtId="14" fontId="0" fillId="7" borderId="20" xfId="0" applyNumberFormat="1" applyFill="1" applyBorder="1" applyAlignment="1">
      <alignment horizontal="center"/>
    </xf>
    <xf numFmtId="20" fontId="6" fillId="0" borderId="21" xfId="0" applyNumberFormat="1" applyFont="1" applyBorder="1" applyAlignment="1">
      <alignment horizontal="center"/>
    </xf>
    <xf numFmtId="0" fontId="4" fillId="0" borderId="20" xfId="0" applyFont="1" applyBorder="1"/>
    <xf numFmtId="0" fontId="8" fillId="0" borderId="22" xfId="0" applyFont="1" applyBorder="1"/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2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0" borderId="21" xfId="0" applyBorder="1"/>
    <xf numFmtId="14" fontId="0" fillId="8" borderId="20" xfId="0" applyNumberFormat="1" applyFill="1" applyBorder="1" applyAlignment="1">
      <alignment horizontal="center"/>
    </xf>
    <xf numFmtId="20" fontId="0" fillId="0" borderId="20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0" fillId="0" borderId="20" xfId="0" applyBorder="1"/>
    <xf numFmtId="14" fontId="0" fillId="0" borderId="20" xfId="0" applyNumberForma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20" fontId="0" fillId="0" borderId="29" xfId="0" applyNumberForma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0" fillId="8" borderId="19" xfId="0" applyFill="1" applyBorder="1"/>
    <xf numFmtId="0" fontId="4" fillId="0" borderId="27" xfId="0" applyFont="1" applyBorder="1"/>
    <xf numFmtId="2" fontId="1" fillId="9" borderId="0" xfId="0" applyNumberFormat="1" applyFont="1" applyFill="1"/>
    <xf numFmtId="2" fontId="0" fillId="0" borderId="0" xfId="0" applyNumberFormat="1"/>
    <xf numFmtId="0" fontId="10" fillId="0" borderId="0" xfId="0" applyFont="1"/>
    <xf numFmtId="0" fontId="10" fillId="0" borderId="7" xfId="0" applyFont="1" applyBorder="1"/>
    <xf numFmtId="0" fontId="0" fillId="2" borderId="16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2" borderId="33" xfId="0" applyFill="1" applyBorder="1" applyAlignment="1">
      <alignment horizontal="center" vertical="center" wrapText="1"/>
    </xf>
    <xf numFmtId="0" fontId="0" fillId="2" borderId="34" xfId="0" applyFill="1" applyBorder="1" applyAlignment="1">
      <alignment horizontal="center" vertical="center" wrapText="1"/>
    </xf>
    <xf numFmtId="0" fontId="0" fillId="2" borderId="3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0" borderId="36" xfId="0" applyBorder="1"/>
    <xf numFmtId="0" fontId="0" fillId="0" borderId="37" xfId="0" applyBorder="1"/>
    <xf numFmtId="2" fontId="0" fillId="0" borderId="37" xfId="0" applyNumberFormat="1" applyBorder="1" applyAlignment="1">
      <alignment horizontal="center"/>
    </xf>
    <xf numFmtId="2" fontId="0" fillId="0" borderId="37" xfId="0" applyNumberFormat="1" applyBorder="1"/>
    <xf numFmtId="0" fontId="0" fillId="0" borderId="38" xfId="0" applyBorder="1"/>
    <xf numFmtId="0" fontId="0" fillId="0" borderId="0" xfId="0" applyAlignment="1">
      <alignment horizontal="right"/>
    </xf>
    <xf numFmtId="0" fontId="0" fillId="0" borderId="39" xfId="0" applyBorder="1"/>
    <xf numFmtId="2" fontId="0" fillId="0" borderId="21" xfId="0" applyNumberFormat="1" applyBorder="1"/>
    <xf numFmtId="2" fontId="0" fillId="0" borderId="21" xfId="0" applyNumberFormat="1" applyBorder="1" applyAlignment="1">
      <alignment horizontal="right"/>
    </xf>
    <xf numFmtId="2" fontId="0" fillId="0" borderId="38" xfId="0" applyNumberFormat="1" applyBorder="1"/>
    <xf numFmtId="0" fontId="0" fillId="0" borderId="26" xfId="0" applyBorder="1"/>
    <xf numFmtId="2" fontId="0" fillId="0" borderId="20" xfId="0" applyNumberFormat="1" applyBorder="1"/>
    <xf numFmtId="0" fontId="0" fillId="0" borderId="27" xfId="0" applyBorder="1"/>
    <xf numFmtId="0" fontId="0" fillId="0" borderId="40" xfId="0" applyBorder="1"/>
    <xf numFmtId="0" fontId="0" fillId="0" borderId="26" xfId="0" applyBorder="1" applyAlignment="1">
      <alignment wrapText="1"/>
    </xf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2" fontId="0" fillId="0" borderId="43" xfId="0" applyNumberFormat="1" applyBorder="1"/>
    <xf numFmtId="2" fontId="0" fillId="0" borderId="43" xfId="0" applyNumberFormat="1" applyBorder="1" applyAlignment="1">
      <alignment horizontal="center"/>
    </xf>
    <xf numFmtId="0" fontId="0" fillId="0" borderId="16" xfId="0" applyBorder="1"/>
    <xf numFmtId="2" fontId="0" fillId="0" borderId="16" xfId="0" applyNumberFormat="1" applyBorder="1"/>
    <xf numFmtId="2" fontId="0" fillId="0" borderId="0" xfId="0" applyNumberFormat="1" applyAlignment="1">
      <alignment horizontal="center"/>
    </xf>
    <xf numFmtId="0" fontId="2" fillId="0" borderId="1" xfId="0" applyFont="1" applyBorder="1"/>
    <xf numFmtId="2" fontId="2" fillId="0" borderId="16" xfId="0" applyNumberFormat="1" applyFont="1" applyBorder="1"/>
    <xf numFmtId="0" fontId="1" fillId="0" borderId="0" xfId="0" applyFont="1"/>
    <xf numFmtId="0" fontId="7" fillId="11" borderId="14" xfId="0" applyFont="1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0" fontId="6" fillId="11" borderId="14" xfId="0" applyFont="1" applyFill="1" applyBorder="1" applyAlignment="1">
      <alignment horizontal="center" vertical="center" wrapText="1"/>
    </xf>
    <xf numFmtId="0" fontId="7" fillId="11" borderId="18" xfId="0" applyFont="1" applyFill="1" applyBorder="1" applyAlignment="1">
      <alignment horizontal="center" vertical="center" wrapText="1"/>
    </xf>
    <xf numFmtId="0" fontId="6" fillId="11" borderId="15" xfId="0" applyFont="1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164" fontId="0" fillId="0" borderId="0" xfId="0" applyNumberFormat="1"/>
    <xf numFmtId="0" fontId="0" fillId="0" borderId="5" xfId="0" applyBorder="1" applyAlignment="1">
      <alignment horizontal="right"/>
    </xf>
    <xf numFmtId="0" fontId="0" fillId="0" borderId="47" xfId="0" applyBorder="1"/>
    <xf numFmtId="2" fontId="0" fillId="0" borderId="22" xfId="0" applyNumberFormat="1" applyBorder="1"/>
    <xf numFmtId="0" fontId="0" fillId="0" borderId="5" xfId="0" applyBorder="1"/>
    <xf numFmtId="2" fontId="0" fillId="0" borderId="27" xfId="0" applyNumberFormat="1" applyBorder="1"/>
    <xf numFmtId="2" fontId="0" fillId="0" borderId="44" xfId="0" applyNumberFormat="1" applyBorder="1"/>
    <xf numFmtId="2" fontId="0" fillId="0" borderId="1" xfId="0" applyNumberFormat="1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8" borderId="0" xfId="0" applyFill="1"/>
    <xf numFmtId="0" fontId="3" fillId="0" borderId="3" xfId="0" applyFont="1" applyBorder="1" applyAlignment="1">
      <alignment vertical="center"/>
    </xf>
    <xf numFmtId="0" fontId="6" fillId="6" borderId="7" xfId="0" applyFont="1" applyFill="1" applyBorder="1" applyAlignment="1">
      <alignment horizontal="center" vertical="center" wrapText="1"/>
    </xf>
    <xf numFmtId="2" fontId="4" fillId="0" borderId="20" xfId="0" applyNumberFormat="1" applyFont="1" applyBorder="1" applyAlignment="1">
      <alignment horizontal="center" vertical="center"/>
    </xf>
    <xf numFmtId="0" fontId="0" fillId="7" borderId="19" xfId="0" applyFill="1" applyBorder="1"/>
    <xf numFmtId="164" fontId="1" fillId="9" borderId="0" xfId="0" applyNumberFormat="1" applyFont="1" applyFill="1"/>
    <xf numFmtId="0" fontId="0" fillId="8" borderId="0" xfId="0" applyFill="1" applyAlignment="1">
      <alignment horizontal="center" vertical="center" wrapText="1"/>
    </xf>
    <xf numFmtId="2" fontId="0" fillId="8" borderId="0" xfId="0" applyNumberForma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2" fontId="0" fillId="8" borderId="37" xfId="0" applyNumberFormat="1" applyFill="1" applyBorder="1" applyAlignment="1">
      <alignment horizontal="center"/>
    </xf>
    <xf numFmtId="2" fontId="0" fillId="0" borderId="51" xfId="0" applyNumberFormat="1" applyBorder="1"/>
    <xf numFmtId="2" fontId="0" fillId="8" borderId="20" xfId="0" applyNumberFormat="1" applyFill="1" applyBorder="1" applyAlignment="1">
      <alignment horizontal="center"/>
    </xf>
    <xf numFmtId="2" fontId="0" fillId="8" borderId="43" xfId="0" applyNumberFormat="1" applyFill="1" applyBorder="1"/>
    <xf numFmtId="2" fontId="0" fillId="8" borderId="43" xfId="0" applyNumberFormat="1" applyFill="1" applyBorder="1" applyAlignment="1">
      <alignment horizontal="center"/>
    </xf>
    <xf numFmtId="2" fontId="2" fillId="0" borderId="0" xfId="0" applyNumberFormat="1" applyFont="1"/>
    <xf numFmtId="2" fontId="0" fillId="0" borderId="45" xfId="0" applyNumberFormat="1" applyBorder="1"/>
    <xf numFmtId="2" fontId="0" fillId="8" borderId="0" xfId="0" applyNumberFormat="1" applyFill="1" applyAlignment="1">
      <alignment horizontal="center"/>
    </xf>
    <xf numFmtId="2" fontId="0" fillId="0" borderId="8" xfId="0" applyNumberFormat="1" applyBorder="1"/>
    <xf numFmtId="0" fontId="0" fillId="0" borderId="52" xfId="0" applyBorder="1"/>
    <xf numFmtId="0" fontId="0" fillId="0" borderId="53" xfId="0" applyBorder="1"/>
    <xf numFmtId="0" fontId="12" fillId="9" borderId="20" xfId="0" applyFont="1" applyFill="1" applyBorder="1" applyAlignment="1">
      <alignment horizontal="center"/>
    </xf>
    <xf numFmtId="0" fontId="12" fillId="0" borderId="20" xfId="0" applyFont="1" applyBorder="1"/>
    <xf numFmtId="0" fontId="13" fillId="0" borderId="20" xfId="0" applyFont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2" fontId="14" fillId="10" borderId="20" xfId="0" applyNumberFormat="1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0" fillId="0" borderId="54" xfId="0" applyBorder="1"/>
    <xf numFmtId="0" fontId="0" fillId="0" borderId="0" xfId="0" applyNumberFormat="1"/>
    <xf numFmtId="14" fontId="0" fillId="0" borderId="0" xfId="0" applyNumberFormat="1"/>
    <xf numFmtId="22" fontId="0" fillId="0" borderId="0" xfId="0" applyNumberFormat="1"/>
    <xf numFmtId="20" fontId="0" fillId="0" borderId="0" xfId="0" applyNumberFormat="1"/>
    <xf numFmtId="0" fontId="6" fillId="0" borderId="16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49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0" fontId="6" fillId="11" borderId="33" xfId="0" applyFont="1" applyFill="1" applyBorder="1" applyAlignment="1">
      <alignment horizontal="center" vertical="center" wrapText="1"/>
    </xf>
    <xf numFmtId="0" fontId="6" fillId="11" borderId="34" xfId="0" applyFont="1" applyFill="1" applyBorder="1" applyAlignment="1">
      <alignment horizontal="center" vertical="center" wrapText="1"/>
    </xf>
    <xf numFmtId="0" fontId="7" fillId="11" borderId="34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6" fillId="11" borderId="35" xfId="0" applyFont="1" applyFill="1" applyBorder="1" applyAlignment="1">
      <alignment horizontal="center" vertical="center" wrapText="1"/>
    </xf>
    <xf numFmtId="0" fontId="7" fillId="4" borderId="33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34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35" xfId="0" applyFont="1" applyFill="1" applyBorder="1" applyAlignment="1">
      <alignment horizontal="center" vertical="center" wrapText="1"/>
    </xf>
    <xf numFmtId="0" fontId="7" fillId="4" borderId="55" xfId="0" applyFont="1" applyFill="1" applyBorder="1" applyAlignment="1">
      <alignment horizontal="center" vertical="center" wrapText="1"/>
    </xf>
    <xf numFmtId="0" fontId="7" fillId="4" borderId="5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57" xfId="0" applyFont="1" applyFill="1" applyBorder="1" applyAlignment="1">
      <alignment horizontal="center" vertical="center" wrapText="1"/>
    </xf>
    <xf numFmtId="0" fontId="6" fillId="6" borderId="5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0" fillId="0" borderId="58" xfId="0" applyBorder="1"/>
    <xf numFmtId="0" fontId="0" fillId="0" borderId="59" xfId="0" applyBorder="1"/>
    <xf numFmtId="0" fontId="0" fillId="0" borderId="28" xfId="0" applyBorder="1"/>
    <xf numFmtId="2" fontId="0" fillId="0" borderId="28" xfId="0" applyNumberFormat="1" applyBorder="1"/>
    <xf numFmtId="2" fontId="0" fillId="0" borderId="60" xfId="0" applyNumberFormat="1" applyBorder="1"/>
    <xf numFmtId="0" fontId="2" fillId="0" borderId="0" xfId="0" applyFont="1"/>
    <xf numFmtId="0" fontId="2" fillId="0" borderId="7" xfId="0" applyFont="1" applyBorder="1"/>
    <xf numFmtId="2" fontId="2" fillId="12" borderId="16" xfId="0" applyNumberFormat="1" applyFont="1" applyFill="1" applyBorder="1"/>
    <xf numFmtId="0" fontId="2" fillId="0" borderId="63" xfId="0" applyFont="1" applyBorder="1" applyAlignment="1">
      <alignment horizontal="center" vertical="center"/>
    </xf>
    <xf numFmtId="20" fontId="2" fillId="0" borderId="63" xfId="0" applyNumberFormat="1" applyFont="1" applyBorder="1" applyAlignment="1">
      <alignment horizontal="center" vertical="center"/>
    </xf>
    <xf numFmtId="2" fontId="2" fillId="0" borderId="63" xfId="0" applyNumberFormat="1" applyFont="1" applyBorder="1" applyAlignment="1">
      <alignment horizontal="center" vertical="center"/>
    </xf>
    <xf numFmtId="164" fontId="2" fillId="2" borderId="63" xfId="0" applyNumberFormat="1" applyFont="1" applyFill="1" applyBorder="1" applyAlignment="1">
      <alignment horizontal="center" vertical="center"/>
    </xf>
    <xf numFmtId="0" fontId="2" fillId="11" borderId="63" xfId="0" applyFont="1" applyFill="1" applyBorder="1" applyAlignment="1">
      <alignment horizontal="center" vertical="center"/>
    </xf>
    <xf numFmtId="0" fontId="2" fillId="12" borderId="63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62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4" fontId="6" fillId="2" borderId="11" xfId="0" applyNumberFormat="1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65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2" xfId="0" applyFont="1" applyFill="1" applyBorder="1" applyAlignment="1">
      <alignment horizontal="center" vertical="center" wrapText="1"/>
    </xf>
    <xf numFmtId="0" fontId="0" fillId="0" borderId="20" xfId="0" applyNumberFormat="1" applyFont="1" applyBorder="1" applyAlignment="1">
      <alignment horizontal="center" vertical="center"/>
    </xf>
    <xf numFmtId="14" fontId="0" fillId="0" borderId="20" xfId="0" applyNumberFormat="1" applyFont="1" applyBorder="1" applyAlignment="1">
      <alignment horizontal="center" vertical="center"/>
    </xf>
    <xf numFmtId="20" fontId="0" fillId="0" borderId="20" xfId="0" applyNumberFormat="1" applyFont="1" applyBorder="1" applyAlignment="1">
      <alignment horizontal="center" vertical="center"/>
    </xf>
    <xf numFmtId="2" fontId="0" fillId="0" borderId="20" xfId="0" applyNumberFormat="1" applyFont="1" applyBorder="1" applyAlignment="1">
      <alignment horizontal="center" vertical="center"/>
    </xf>
    <xf numFmtId="0" fontId="0" fillId="13" borderId="20" xfId="0" applyNumberFormat="1" applyFont="1" applyFill="1" applyBorder="1" applyAlignment="1">
      <alignment horizontal="center" vertical="center"/>
    </xf>
    <xf numFmtId="20" fontId="0" fillId="13" borderId="20" xfId="0" applyNumberFormat="1" applyFont="1" applyFill="1" applyBorder="1" applyAlignment="1">
      <alignment horizontal="center" vertical="center"/>
    </xf>
    <xf numFmtId="2" fontId="0" fillId="13" borderId="20" xfId="0" applyNumberFormat="1" applyFont="1" applyFill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2" fontId="0" fillId="0" borderId="24" xfId="0" applyNumberFormat="1" applyBorder="1"/>
    <xf numFmtId="0" fontId="6" fillId="11" borderId="9" xfId="0" applyFont="1" applyFill="1" applyBorder="1" applyAlignment="1">
      <alignment horizontal="center" vertical="center" wrapText="1"/>
    </xf>
    <xf numFmtId="0" fontId="6" fillId="11" borderId="10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 wrapText="1"/>
    </xf>
    <xf numFmtId="0" fontId="7" fillId="11" borderId="65" xfId="0" applyFont="1" applyFill="1" applyBorder="1" applyAlignment="1">
      <alignment horizontal="center" vertical="center" wrapText="1"/>
    </xf>
    <xf numFmtId="0" fontId="6" fillId="11" borderId="11" xfId="0" applyFont="1" applyFill="1" applyBorder="1" applyAlignment="1">
      <alignment horizontal="center" vertical="center" wrapText="1"/>
    </xf>
    <xf numFmtId="2" fontId="0" fillId="11" borderId="20" xfId="0" applyNumberFormat="1" applyFont="1" applyFill="1" applyBorder="1" applyAlignment="1">
      <alignment horizontal="center" vertical="center"/>
    </xf>
    <xf numFmtId="0" fontId="0" fillId="0" borderId="19" xfId="0" applyFill="1" applyBorder="1"/>
    <xf numFmtId="14" fontId="0" fillId="0" borderId="20" xfId="0" applyNumberFormat="1" applyFill="1" applyBorder="1" applyAlignment="1">
      <alignment horizontal="center"/>
    </xf>
    <xf numFmtId="20" fontId="0" fillId="0" borderId="20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0" fontId="16" fillId="0" borderId="20" xfId="0" applyFont="1" applyFill="1" applyBorder="1" applyAlignment="1">
      <alignment horizontal="center" vertical="center"/>
    </xf>
    <xf numFmtId="0" fontId="16" fillId="0" borderId="27" xfId="0" applyFont="1" applyFill="1" applyBorder="1"/>
    <xf numFmtId="0" fontId="16" fillId="0" borderId="26" xfId="0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/>
    </xf>
    <xf numFmtId="0" fontId="16" fillId="0" borderId="20" xfId="0" applyFont="1" applyFill="1" applyBorder="1" applyAlignment="1">
      <alignment horizontal="center"/>
    </xf>
    <xf numFmtId="0" fontId="16" fillId="0" borderId="27" xfId="0" applyFont="1" applyFill="1" applyBorder="1" applyAlignment="1">
      <alignment horizontal="center"/>
    </xf>
    <xf numFmtId="2" fontId="0" fillId="0" borderId="26" xfId="0" applyNumberFormat="1" applyFill="1" applyBorder="1" applyAlignment="1">
      <alignment horizontal="center"/>
    </xf>
    <xf numFmtId="2" fontId="0" fillId="0" borderId="20" xfId="0" applyNumberFormat="1" applyFill="1" applyBorder="1" applyAlignment="1">
      <alignment horizontal="center"/>
    </xf>
    <xf numFmtId="0" fontId="0" fillId="0" borderId="24" xfId="0" applyFill="1" applyBorder="1"/>
    <xf numFmtId="14" fontId="0" fillId="0" borderId="21" xfId="0" applyNumberFormat="1" applyFill="1" applyBorder="1" applyAlignment="1">
      <alignment horizontal="center"/>
    </xf>
    <xf numFmtId="20" fontId="0" fillId="0" borderId="21" xfId="0" applyNumberFormat="1" applyFill="1" applyBorder="1" applyAlignment="1">
      <alignment horizontal="center"/>
    </xf>
    <xf numFmtId="0" fontId="16" fillId="0" borderId="21" xfId="0" applyFont="1" applyFill="1" applyBorder="1" applyAlignment="1">
      <alignment horizontal="center" vertical="center"/>
    </xf>
    <xf numFmtId="0" fontId="16" fillId="0" borderId="22" xfId="0" applyFont="1" applyFill="1" applyBorder="1"/>
    <xf numFmtId="0" fontId="16" fillId="0" borderId="23" xfId="0" applyFont="1" applyFill="1" applyBorder="1" applyAlignment="1">
      <alignment horizontal="center"/>
    </xf>
    <xf numFmtId="2" fontId="16" fillId="0" borderId="21" xfId="0" applyNumberFormat="1" applyFont="1" applyFill="1" applyBorder="1" applyAlignment="1">
      <alignment horizontal="center"/>
    </xf>
    <xf numFmtId="0" fontId="16" fillId="0" borderId="21" xfId="0" applyFont="1" applyFill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2" fontId="0" fillId="0" borderId="23" xfId="0" applyNumberFormat="1" applyFill="1" applyBorder="1" applyAlignment="1">
      <alignment horizontal="center"/>
    </xf>
    <xf numFmtId="2" fontId="0" fillId="0" borderId="21" xfId="0" applyNumberFormat="1" applyFill="1" applyBorder="1" applyAlignment="1">
      <alignment horizontal="center"/>
    </xf>
    <xf numFmtId="20" fontId="6" fillId="0" borderId="20" xfId="0" applyNumberFormat="1" applyFont="1" applyFill="1" applyBorder="1" applyAlignment="1">
      <alignment horizontal="center"/>
    </xf>
    <xf numFmtId="2" fontId="16" fillId="0" borderId="20" xfId="0" applyNumberFormat="1" applyFont="1" applyFill="1" applyBorder="1" applyAlignment="1">
      <alignment horizontal="center" vertical="center"/>
    </xf>
    <xf numFmtId="0" fontId="2" fillId="0" borderId="24" xfId="0" applyFont="1" applyFill="1" applyBorder="1"/>
    <xf numFmtId="2" fontId="16" fillId="0" borderId="21" xfId="0" applyNumberFormat="1" applyFont="1" applyFill="1" applyBorder="1" applyAlignment="1">
      <alignment horizontal="center" vertical="center"/>
    </xf>
    <xf numFmtId="2" fontId="6" fillId="0" borderId="20" xfId="0" applyNumberFormat="1" applyFont="1" applyFill="1" applyBorder="1" applyAlignment="1">
      <alignment horizontal="center"/>
    </xf>
    <xf numFmtId="0" fontId="2" fillId="8" borderId="31" xfId="0" applyFont="1" applyFill="1" applyBorder="1" applyAlignment="1">
      <alignment horizontal="center"/>
    </xf>
    <xf numFmtId="164" fontId="0" fillId="0" borderId="20" xfId="0" applyNumberFormat="1" applyBorder="1"/>
    <xf numFmtId="0" fontId="0" fillId="2" borderId="61" xfId="0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 wrapText="1"/>
    </xf>
    <xf numFmtId="0" fontId="0" fillId="2" borderId="55" xfId="0" applyFill="1" applyBorder="1" applyAlignment="1">
      <alignment horizontal="center" vertical="center" wrapText="1"/>
    </xf>
    <xf numFmtId="0" fontId="0" fillId="2" borderId="56" xfId="0" applyFill="1" applyBorder="1" applyAlignment="1">
      <alignment horizontal="center" vertical="center" wrapText="1"/>
    </xf>
    <xf numFmtId="0" fontId="0" fillId="2" borderId="51" xfId="0" applyFill="1" applyBorder="1" applyAlignment="1">
      <alignment horizontal="center" vertical="center" wrapText="1"/>
    </xf>
    <xf numFmtId="2" fontId="0" fillId="2" borderId="27" xfId="0" applyNumberFormat="1" applyFill="1" applyBorder="1" applyAlignment="1">
      <alignment horizontal="center"/>
    </xf>
    <xf numFmtId="165" fontId="0" fillId="2" borderId="27" xfId="0" applyNumberFormat="1" applyFill="1" applyBorder="1" applyAlignment="1">
      <alignment horizontal="center"/>
    </xf>
    <xf numFmtId="0" fontId="0" fillId="0" borderId="19" xfId="0" applyFont="1" applyFill="1" applyBorder="1"/>
    <xf numFmtId="0" fontId="6" fillId="14" borderId="13" xfId="0" applyFont="1" applyFill="1" applyBorder="1" applyAlignment="1">
      <alignment horizontal="center" vertical="center" wrapText="1"/>
    </xf>
    <xf numFmtId="0" fontId="6" fillId="14" borderId="14" xfId="0" applyFont="1" applyFill="1" applyBorder="1" applyAlignment="1">
      <alignment horizontal="center" vertical="center" wrapText="1"/>
    </xf>
    <xf numFmtId="0" fontId="7" fillId="14" borderId="14" xfId="0" applyFont="1" applyFill="1" applyBorder="1" applyAlignment="1">
      <alignment horizontal="center" vertical="center" wrapText="1"/>
    </xf>
    <xf numFmtId="0" fontId="7" fillId="14" borderId="18" xfId="0" applyFont="1" applyFill="1" applyBorder="1" applyAlignment="1">
      <alignment horizontal="center" vertical="center" wrapText="1"/>
    </xf>
    <xf numFmtId="0" fontId="6" fillId="14" borderId="15" xfId="0" applyFont="1" applyFill="1" applyBorder="1" applyAlignment="1">
      <alignment horizontal="center" vertical="center" wrapText="1"/>
    </xf>
    <xf numFmtId="164" fontId="2" fillId="12" borderId="63" xfId="0" applyNumberFormat="1" applyFont="1" applyFill="1" applyBorder="1" applyAlignment="1">
      <alignment horizontal="center" vertical="center"/>
    </xf>
    <xf numFmtId="164" fontId="0" fillId="0" borderId="37" xfId="0" applyNumberFormat="1" applyBorder="1"/>
    <xf numFmtId="2" fontId="0" fillId="2" borderId="20" xfId="0" applyNumberFormat="1" applyFont="1" applyFill="1" applyBorder="1" applyAlignment="1">
      <alignment horizontal="center" vertical="center"/>
    </xf>
    <xf numFmtId="2" fontId="0" fillId="2" borderId="22" xfId="0" applyNumberFormat="1" applyFill="1" applyBorder="1" applyAlignment="1">
      <alignment horizontal="center"/>
    </xf>
    <xf numFmtId="2" fontId="0" fillId="11" borderId="22" xfId="0" applyNumberFormat="1" applyFill="1" applyBorder="1" applyAlignment="1">
      <alignment horizontal="center"/>
    </xf>
    <xf numFmtId="2" fontId="5" fillId="0" borderId="11" xfId="0" applyNumberFormat="1" applyFont="1" applyBorder="1"/>
    <xf numFmtId="164" fontId="2" fillId="0" borderId="16" xfId="0" applyNumberFormat="1" applyFont="1" applyBorder="1"/>
    <xf numFmtId="0" fontId="18" fillId="0" borderId="0" xfId="0" applyFont="1" applyAlignment="1">
      <alignment horizontal="center" vertical="center"/>
    </xf>
    <xf numFmtId="2" fontId="0" fillId="0" borderId="19" xfId="0" applyNumberFormat="1" applyBorder="1"/>
    <xf numFmtId="2" fontId="0" fillId="0" borderId="42" xfId="0" applyNumberFormat="1" applyBorder="1"/>
    <xf numFmtId="164" fontId="0" fillId="8" borderId="37" xfId="0" applyNumberFormat="1" applyFill="1" applyBorder="1" applyAlignment="1">
      <alignment horizontal="center"/>
    </xf>
    <xf numFmtId="164" fontId="0" fillId="8" borderId="20" xfId="0" applyNumberFormat="1" applyFill="1" applyBorder="1" applyAlignment="1">
      <alignment horizontal="center"/>
    </xf>
    <xf numFmtId="164" fontId="0" fillId="0" borderId="43" xfId="0" applyNumberFormat="1" applyBorder="1"/>
    <xf numFmtId="164" fontId="0" fillId="8" borderId="43" xfId="0" applyNumberFormat="1" applyFill="1" applyBorder="1"/>
    <xf numFmtId="164" fontId="0" fillId="0" borderId="7" xfId="0" applyNumberFormat="1" applyBorder="1"/>
    <xf numFmtId="164" fontId="0" fillId="8" borderId="7" xfId="0" applyNumberFormat="1" applyFill="1" applyBorder="1"/>
    <xf numFmtId="165" fontId="0" fillId="0" borderId="20" xfId="0" applyNumberFormat="1" applyBorder="1" applyAlignment="1">
      <alignment horizontal="center"/>
    </xf>
    <xf numFmtId="165" fontId="0" fillId="0" borderId="26" xfId="0" applyNumberFormat="1" applyBorder="1" applyAlignment="1">
      <alignment horizontal="center"/>
    </xf>
    <xf numFmtId="165" fontId="0" fillId="11" borderId="27" xfId="0" applyNumberFormat="1" applyFill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2" fontId="6" fillId="0" borderId="20" xfId="0" applyNumberFormat="1" applyFont="1" applyBorder="1" applyAlignment="1">
      <alignment horizontal="center" vertical="center" wrapText="1"/>
    </xf>
    <xf numFmtId="2" fontId="0" fillId="11" borderId="27" xfId="0" applyNumberFormat="1" applyFill="1" applyBorder="1" applyAlignment="1">
      <alignment horizontal="center"/>
    </xf>
    <xf numFmtId="2" fontId="9" fillId="4" borderId="20" xfId="0" applyNumberFormat="1" applyFont="1" applyFill="1" applyBorder="1" applyAlignment="1">
      <alignment horizontal="center" vertical="center" wrapText="1"/>
    </xf>
    <xf numFmtId="2" fontId="9" fillId="4" borderId="28" xfId="0" applyNumberFormat="1" applyFont="1" applyFill="1" applyBorder="1" applyAlignment="1">
      <alignment horizontal="center" vertical="center" wrapText="1"/>
    </xf>
    <xf numFmtId="2" fontId="0" fillId="0" borderId="29" xfId="0" applyNumberFormat="1" applyBorder="1"/>
    <xf numFmtId="2" fontId="5" fillId="0" borderId="10" xfId="0" applyNumberFormat="1" applyFont="1" applyBorder="1"/>
    <xf numFmtId="2" fontId="4" fillId="0" borderId="26" xfId="0" applyNumberFormat="1" applyFont="1" applyBorder="1" applyAlignment="1">
      <alignment horizontal="center"/>
    </xf>
    <xf numFmtId="2" fontId="4" fillId="0" borderId="19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2" fontId="4" fillId="0" borderId="27" xfId="0" applyNumberFormat="1" applyFont="1" applyBorder="1" applyAlignment="1">
      <alignment horizontal="center"/>
    </xf>
    <xf numFmtId="2" fontId="4" fillId="0" borderId="23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21" xfId="0" applyNumberFormat="1" applyFont="1" applyBorder="1" applyAlignment="1">
      <alignment horizontal="center"/>
    </xf>
    <xf numFmtId="2" fontId="4" fillId="0" borderId="22" xfId="0" applyNumberFormat="1" applyFont="1" applyBorder="1" applyAlignment="1">
      <alignment horizontal="center"/>
    </xf>
    <xf numFmtId="2" fontId="4" fillId="0" borderId="30" xfId="0" applyNumberFormat="1" applyFont="1" applyBorder="1" applyAlignment="1">
      <alignment horizontal="center"/>
    </xf>
    <xf numFmtId="2" fontId="4" fillId="0" borderId="31" xfId="0" applyNumberFormat="1" applyFont="1" applyBorder="1" applyAlignment="1">
      <alignment horizontal="center"/>
    </xf>
    <xf numFmtId="2" fontId="4" fillId="0" borderId="32" xfId="0" applyNumberFormat="1" applyFont="1" applyBorder="1" applyAlignment="1">
      <alignment horizontal="center"/>
    </xf>
    <xf numFmtId="2" fontId="4" fillId="0" borderId="29" xfId="0" applyNumberFormat="1" applyFont="1" applyBorder="1" applyAlignment="1">
      <alignment horizontal="center"/>
    </xf>
    <xf numFmtId="165" fontId="0" fillId="0" borderId="26" xfId="0" applyNumberFormat="1" applyFill="1" applyBorder="1" applyAlignment="1">
      <alignment horizontal="center"/>
    </xf>
    <xf numFmtId="165" fontId="0" fillId="0" borderId="20" xfId="0" applyNumberFormat="1" applyFill="1" applyBorder="1" applyAlignment="1">
      <alignment horizontal="center"/>
    </xf>
    <xf numFmtId="2" fontId="0" fillId="0" borderId="20" xfId="0" applyNumberFormat="1" applyFill="1" applyBorder="1"/>
    <xf numFmtId="2" fontId="17" fillId="4" borderId="21" xfId="0" applyNumberFormat="1" applyFont="1" applyFill="1" applyBorder="1" applyAlignment="1">
      <alignment horizontal="center" vertical="center" wrapText="1"/>
    </xf>
    <xf numFmtId="2" fontId="17" fillId="4" borderId="25" xfId="0" applyNumberFormat="1" applyFont="1" applyFill="1" applyBorder="1" applyAlignment="1">
      <alignment horizontal="center" vertical="center" wrapText="1"/>
    </xf>
    <xf numFmtId="2" fontId="16" fillId="0" borderId="23" xfId="0" applyNumberFormat="1" applyFont="1" applyFill="1" applyBorder="1" applyAlignment="1">
      <alignment horizontal="center"/>
    </xf>
    <xf numFmtId="2" fontId="16" fillId="0" borderId="22" xfId="0" applyNumberFormat="1" applyFont="1" applyFill="1" applyBorder="1" applyAlignment="1">
      <alignment horizontal="center"/>
    </xf>
    <xf numFmtId="2" fontId="16" fillId="0" borderId="26" xfId="0" applyNumberFormat="1" applyFont="1" applyFill="1" applyBorder="1" applyAlignment="1">
      <alignment horizontal="center"/>
    </xf>
    <xf numFmtId="2" fontId="16" fillId="0" borderId="27" xfId="0" applyNumberFormat="1" applyFont="1" applyFill="1" applyBorder="1" applyAlignment="1">
      <alignment horizontal="center"/>
    </xf>
    <xf numFmtId="2" fontId="0" fillId="0" borderId="21" xfId="0" applyNumberFormat="1" applyFill="1" applyBorder="1"/>
    <xf numFmtId="164" fontId="0" fillId="0" borderId="0" xfId="0" applyNumberFormat="1" applyBorder="1"/>
    <xf numFmtId="2" fontId="0" fillId="0" borderId="0" xfId="0" applyNumberFormat="1" applyBorder="1"/>
    <xf numFmtId="164" fontId="0" fillId="0" borderId="37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2" fontId="0" fillId="0" borderId="36" xfId="0" applyNumberFormat="1" applyBorder="1"/>
    <xf numFmtId="2" fontId="0" fillId="0" borderId="26" xfId="0" applyNumberFormat="1" applyBorder="1"/>
    <xf numFmtId="2" fontId="0" fillId="0" borderId="46" xfId="0" applyNumberFormat="1" applyBorder="1"/>
    <xf numFmtId="2" fontId="1" fillId="0" borderId="0" xfId="0" applyNumberFormat="1" applyFont="1"/>
    <xf numFmtId="2" fontId="0" fillId="14" borderId="27" xfId="0" applyNumberFormat="1" applyFill="1" applyBorder="1" applyAlignment="1">
      <alignment horizontal="center"/>
    </xf>
    <xf numFmtId="165" fontId="17" fillId="4" borderId="20" xfId="0" applyNumberFormat="1" applyFont="1" applyFill="1" applyBorder="1" applyAlignment="1">
      <alignment horizontal="center" wrapText="1"/>
    </xf>
    <xf numFmtId="165" fontId="17" fillId="4" borderId="28" xfId="0" applyNumberFormat="1" applyFont="1" applyFill="1" applyBorder="1" applyAlignment="1">
      <alignment horizontal="center" wrapText="1"/>
    </xf>
    <xf numFmtId="20" fontId="0" fillId="0" borderId="0" xfId="0" applyNumberFormat="1" applyAlignment="1">
      <alignment horizontal="center"/>
    </xf>
    <xf numFmtId="0" fontId="0" fillId="9" borderId="1" xfId="0" applyFill="1" applyBorder="1" applyAlignment="1">
      <alignment horizontal="center" vertical="center"/>
    </xf>
    <xf numFmtId="14" fontId="0" fillId="9" borderId="34" xfId="0" applyNumberFormat="1" applyFont="1" applyFill="1" applyBorder="1" applyAlignment="1">
      <alignment horizontal="center"/>
    </xf>
    <xf numFmtId="20" fontId="0" fillId="9" borderId="3" xfId="0" applyNumberFormat="1" applyFill="1" applyBorder="1" applyAlignment="1">
      <alignment horizontal="center" vertical="center"/>
    </xf>
    <xf numFmtId="14" fontId="0" fillId="15" borderId="66" xfId="0" applyNumberFormat="1" applyFont="1" applyFill="1" applyBorder="1" applyAlignment="1">
      <alignment horizontal="center"/>
    </xf>
    <xf numFmtId="20" fontId="0" fillId="15" borderId="66" xfId="0" applyNumberFormat="1" applyFont="1" applyFill="1" applyBorder="1" applyAlignment="1">
      <alignment horizontal="center"/>
    </xf>
    <xf numFmtId="2" fontId="6" fillId="0" borderId="20" xfId="0" applyNumberFormat="1" applyFont="1" applyBorder="1" applyAlignment="1">
      <alignment horizontal="center"/>
    </xf>
    <xf numFmtId="2" fontId="0" fillId="11" borderId="20" xfId="0" applyNumberFormat="1" applyFill="1" applyBorder="1" applyAlignment="1">
      <alignment horizontal="center"/>
    </xf>
    <xf numFmtId="2" fontId="0" fillId="11" borderId="37" xfId="0" applyNumberFormat="1" applyFill="1" applyBorder="1" applyAlignment="1">
      <alignment horizontal="center"/>
    </xf>
    <xf numFmtId="2" fontId="9" fillId="4" borderId="37" xfId="0" applyNumberFormat="1" applyFont="1" applyFill="1" applyBorder="1" applyAlignment="1">
      <alignment horizontal="center" vertical="center" wrapText="1"/>
    </xf>
    <xf numFmtId="2" fontId="9" fillId="4" borderId="27" xfId="0" applyNumberFormat="1" applyFont="1" applyFill="1" applyBorder="1" applyAlignment="1">
      <alignment horizontal="center" vertical="center" wrapText="1"/>
    </xf>
    <xf numFmtId="2" fontId="9" fillId="4" borderId="43" xfId="0" applyNumberFormat="1" applyFont="1" applyFill="1" applyBorder="1" applyAlignment="1">
      <alignment horizontal="center" vertical="center" wrapText="1"/>
    </xf>
    <xf numFmtId="2" fontId="9" fillId="4" borderId="44" xfId="0" applyNumberFormat="1" applyFont="1" applyFill="1" applyBorder="1" applyAlignment="1">
      <alignment horizontal="center" vertical="center" wrapText="1"/>
    </xf>
    <xf numFmtId="20" fontId="0" fillId="8" borderId="20" xfId="0" applyNumberFormat="1" applyFill="1" applyBorder="1" applyAlignment="1">
      <alignment horizontal="center"/>
    </xf>
    <xf numFmtId="0" fontId="16" fillId="8" borderId="20" xfId="0" applyFont="1" applyFill="1" applyBorder="1" applyAlignment="1">
      <alignment horizontal="center" vertical="center"/>
    </xf>
    <xf numFmtId="2" fontId="16" fillId="8" borderId="26" xfId="0" applyNumberFormat="1" applyFont="1" applyFill="1" applyBorder="1" applyAlignment="1">
      <alignment horizontal="center"/>
    </xf>
    <xf numFmtId="2" fontId="4" fillId="8" borderId="19" xfId="0" applyNumberFormat="1" applyFont="1" applyFill="1" applyBorder="1" applyAlignment="1">
      <alignment horizontal="center"/>
    </xf>
    <xf numFmtId="2" fontId="16" fillId="8" borderId="20" xfId="0" applyNumberFormat="1" applyFont="1" applyFill="1" applyBorder="1" applyAlignment="1">
      <alignment horizontal="center" vertical="center"/>
    </xf>
    <xf numFmtId="2" fontId="16" fillId="8" borderId="20" xfId="0" applyNumberFormat="1" applyFont="1" applyFill="1" applyBorder="1" applyAlignment="1">
      <alignment horizontal="center"/>
    </xf>
    <xf numFmtId="2" fontId="16" fillId="8" borderId="27" xfId="0" applyNumberFormat="1" applyFont="1" applyFill="1" applyBorder="1" applyAlignment="1">
      <alignment horizontal="center"/>
    </xf>
    <xf numFmtId="2" fontId="0" fillId="8" borderId="26" xfId="0" applyNumberFormat="1" applyFill="1" applyBorder="1" applyAlignment="1">
      <alignment horizontal="center"/>
    </xf>
    <xf numFmtId="2" fontId="0" fillId="8" borderId="21" xfId="0" applyNumberFormat="1" applyFill="1" applyBorder="1" applyAlignment="1">
      <alignment horizontal="center"/>
    </xf>
    <xf numFmtId="2" fontId="0" fillId="8" borderId="20" xfId="0" applyNumberFormat="1" applyFill="1" applyBorder="1"/>
    <xf numFmtId="2" fontId="0" fillId="8" borderId="22" xfId="0" applyNumberFormat="1" applyFill="1" applyBorder="1" applyAlignment="1">
      <alignment horizontal="center"/>
    </xf>
    <xf numFmtId="20" fontId="0" fillId="7" borderId="20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16" fillId="7" borderId="20" xfId="0" applyFont="1" applyFill="1" applyBorder="1" applyAlignment="1">
      <alignment horizontal="center" vertical="center"/>
    </xf>
    <xf numFmtId="2" fontId="16" fillId="7" borderId="26" xfId="0" applyNumberFormat="1" applyFont="1" applyFill="1" applyBorder="1" applyAlignment="1">
      <alignment horizontal="center"/>
    </xf>
    <xf numFmtId="2" fontId="4" fillId="7" borderId="19" xfId="0" applyNumberFormat="1" applyFont="1" applyFill="1" applyBorder="1" applyAlignment="1">
      <alignment horizontal="center"/>
    </xf>
    <xf numFmtId="2" fontId="16" fillId="7" borderId="20" xfId="0" applyNumberFormat="1" applyFont="1" applyFill="1" applyBorder="1" applyAlignment="1">
      <alignment horizontal="center"/>
    </xf>
    <xf numFmtId="2" fontId="16" fillId="7" borderId="27" xfId="0" applyNumberFormat="1" applyFont="1" applyFill="1" applyBorder="1" applyAlignment="1">
      <alignment horizontal="center"/>
    </xf>
    <xf numFmtId="2" fontId="0" fillId="7" borderId="26" xfId="0" applyNumberFormat="1" applyFill="1" applyBorder="1" applyAlignment="1">
      <alignment horizontal="center"/>
    </xf>
    <xf numFmtId="2" fontId="0" fillId="7" borderId="21" xfId="0" applyNumberFormat="1" applyFill="1" applyBorder="1" applyAlignment="1">
      <alignment horizontal="center"/>
    </xf>
    <xf numFmtId="2" fontId="0" fillId="7" borderId="20" xfId="0" applyNumberFormat="1" applyFill="1" applyBorder="1"/>
    <xf numFmtId="2" fontId="0" fillId="7" borderId="22" xfId="0" applyNumberFormat="1" applyFill="1" applyBorder="1" applyAlignment="1">
      <alignment horizontal="center"/>
    </xf>
    <xf numFmtId="0" fontId="0" fillId="7" borderId="0" xfId="0" applyFill="1"/>
    <xf numFmtId="0" fontId="4" fillId="8" borderId="20" xfId="0" applyFont="1" applyFill="1" applyBorder="1"/>
    <xf numFmtId="0" fontId="4" fillId="7" borderId="20" xfId="0" applyFont="1" applyFill="1" applyBorder="1"/>
    <xf numFmtId="164" fontId="0" fillId="0" borderId="21" xfId="0" applyNumberFormat="1" applyBorder="1"/>
    <xf numFmtId="0" fontId="0" fillId="2" borderId="12" xfId="0" applyFill="1" applyBorder="1" applyAlignment="1">
      <alignment horizontal="center" vertical="center" wrapText="1"/>
    </xf>
    <xf numFmtId="0" fontId="4" fillId="0" borderId="27" xfId="0" applyFont="1" applyFill="1" applyBorder="1"/>
    <xf numFmtId="2" fontId="4" fillId="8" borderId="20" xfId="0" applyNumberFormat="1" applyFont="1" applyFill="1" applyBorder="1" applyAlignment="1">
      <alignment horizontal="center"/>
    </xf>
    <xf numFmtId="2" fontId="4" fillId="0" borderId="20" xfId="0" applyNumberFormat="1" applyFont="1" applyFill="1" applyBorder="1" applyAlignment="1">
      <alignment horizontal="center"/>
    </xf>
    <xf numFmtId="20" fontId="0" fillId="16" borderId="20" xfId="0" applyNumberFormat="1" applyFill="1" applyBorder="1" applyAlignment="1">
      <alignment horizontal="center"/>
    </xf>
    <xf numFmtId="14" fontId="0" fillId="0" borderId="20" xfId="0" applyNumberFormat="1" applyBorder="1" applyAlignment="1" applyProtection="1">
      <alignment horizontal="center"/>
    </xf>
    <xf numFmtId="14" fontId="0" fillId="8" borderId="20" xfId="0" applyNumberFormat="1" applyFill="1" applyBorder="1" applyAlignment="1" applyProtection="1">
      <alignment horizontal="center"/>
    </xf>
    <xf numFmtId="14" fontId="0" fillId="7" borderId="20" xfId="0" applyNumberFormat="1" applyFill="1" applyBorder="1" applyAlignment="1" applyProtection="1">
      <alignment horizontal="center"/>
    </xf>
    <xf numFmtId="0" fontId="4" fillId="8" borderId="20" xfId="0" applyFont="1" applyFill="1" applyBorder="1" applyAlignment="1">
      <alignment horizontal="center" vertical="center"/>
    </xf>
    <xf numFmtId="0" fontId="11" fillId="8" borderId="20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14" fontId="0" fillId="17" borderId="20" xfId="0" applyNumberForma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11" fillId="17" borderId="20" xfId="0" applyFont="1" applyFill="1" applyBorder="1" applyAlignment="1">
      <alignment horizontal="center" vertical="center"/>
    </xf>
    <xf numFmtId="0" fontId="6" fillId="17" borderId="37" xfId="0" applyFont="1" applyFill="1" applyBorder="1" applyAlignment="1">
      <alignment horizontal="center"/>
    </xf>
    <xf numFmtId="2" fontId="6" fillId="17" borderId="37" xfId="0" applyNumberFormat="1" applyFont="1" applyFill="1" applyBorder="1" applyAlignment="1">
      <alignment horizontal="center"/>
    </xf>
    <xf numFmtId="2" fontId="0" fillId="17" borderId="37" xfId="0" applyNumberFormat="1" applyFill="1" applyBorder="1" applyAlignment="1">
      <alignment horizontal="center"/>
    </xf>
    <xf numFmtId="2" fontId="0" fillId="17" borderId="20" xfId="0" applyNumberFormat="1" applyFill="1" applyBorder="1" applyAlignment="1">
      <alignment horizontal="center"/>
    </xf>
    <xf numFmtId="2" fontId="0" fillId="17" borderId="37" xfId="0" applyNumberFormat="1" applyFill="1" applyBorder="1"/>
    <xf numFmtId="20" fontId="0" fillId="17" borderId="20" xfId="0" applyNumberFormat="1" applyFill="1" applyBorder="1" applyAlignment="1">
      <alignment horizontal="center"/>
    </xf>
    <xf numFmtId="0" fontId="4" fillId="17" borderId="20" xfId="0" applyFont="1" applyFill="1" applyBorder="1"/>
    <xf numFmtId="0" fontId="4" fillId="17" borderId="20" xfId="0" applyFont="1" applyFill="1" applyBorder="1" applyAlignment="1">
      <alignment horizontal="center"/>
    </xf>
    <xf numFmtId="2" fontId="6" fillId="17" borderId="20" xfId="0" applyNumberFormat="1" applyFont="1" applyFill="1" applyBorder="1" applyAlignment="1">
      <alignment horizontal="center"/>
    </xf>
    <xf numFmtId="2" fontId="0" fillId="17" borderId="20" xfId="0" applyNumberFormat="1" applyFill="1" applyBorder="1"/>
    <xf numFmtId="0" fontId="11" fillId="17" borderId="23" xfId="0" applyFont="1" applyFill="1" applyBorder="1" applyAlignment="1">
      <alignment horizontal="center" vertical="center"/>
    </xf>
    <xf numFmtId="14" fontId="0" fillId="17" borderId="43" xfId="0" applyNumberFormat="1" applyFill="1" applyBorder="1" applyAlignment="1">
      <alignment horizontal="center"/>
    </xf>
    <xf numFmtId="20" fontId="0" fillId="17" borderId="43" xfId="0" applyNumberFormat="1" applyFill="1" applyBorder="1" applyAlignment="1">
      <alignment horizontal="center"/>
    </xf>
    <xf numFmtId="0" fontId="4" fillId="17" borderId="43" xfId="0" applyFont="1" applyFill="1" applyBorder="1"/>
    <xf numFmtId="0" fontId="4" fillId="17" borderId="43" xfId="0" applyFont="1" applyFill="1" applyBorder="1" applyAlignment="1">
      <alignment horizontal="center"/>
    </xf>
    <xf numFmtId="2" fontId="6" fillId="17" borderId="43" xfId="0" applyNumberFormat="1" applyFont="1" applyFill="1" applyBorder="1" applyAlignment="1">
      <alignment horizontal="center"/>
    </xf>
    <xf numFmtId="2" fontId="0" fillId="17" borderId="43" xfId="0" applyNumberFormat="1" applyFill="1" applyBorder="1" applyAlignment="1">
      <alignment horizontal="center"/>
    </xf>
    <xf numFmtId="2" fontId="0" fillId="17" borderId="43" xfId="0" applyNumberFormat="1" applyFill="1" applyBorder="1"/>
    <xf numFmtId="0" fontId="4" fillId="0" borderId="20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/>
    </xf>
    <xf numFmtId="2" fontId="8" fillId="0" borderId="20" xfId="0" applyNumberFormat="1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16" fillId="0" borderId="20" xfId="0" applyFont="1" applyFill="1" applyBorder="1" applyAlignment="1" applyProtection="1">
      <alignment horizontal="center" vertical="center"/>
    </xf>
    <xf numFmtId="0" fontId="4" fillId="0" borderId="20" xfId="0" applyFont="1" applyBorder="1" applyProtection="1"/>
    <xf numFmtId="0" fontId="4" fillId="17" borderId="37" xfId="0" applyFont="1" applyFill="1" applyBorder="1" applyAlignment="1">
      <alignment horizontal="center"/>
    </xf>
    <xf numFmtId="0" fontId="4" fillId="17" borderId="20" xfId="0" applyFont="1" applyFill="1" applyBorder="1" applyAlignment="1">
      <alignment horizontal="center" vertical="center"/>
    </xf>
    <xf numFmtId="2" fontId="8" fillId="17" borderId="20" xfId="0" applyNumberFormat="1" applyFont="1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7" fillId="11" borderId="62" xfId="0" applyFont="1" applyFill="1" applyBorder="1" applyAlignment="1">
      <alignment horizontal="center" vertical="center" wrapText="1"/>
    </xf>
    <xf numFmtId="0" fontId="7" fillId="11" borderId="16" xfId="0" applyFont="1" applyFill="1" applyBorder="1" applyAlignment="1">
      <alignment horizontal="center" vertical="center" wrapText="1"/>
    </xf>
    <xf numFmtId="2" fontId="9" fillId="4" borderId="21" xfId="0" applyNumberFormat="1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2" fontId="9" fillId="4" borderId="22" xfId="0" applyNumberFormat="1" applyFont="1" applyFill="1" applyBorder="1" applyAlignment="1">
      <alignment horizontal="center" vertical="center" wrapText="1"/>
    </xf>
    <xf numFmtId="0" fontId="19" fillId="8" borderId="20" xfId="0" applyFont="1" applyFill="1" applyBorder="1" applyAlignment="1">
      <alignment horizontal="center" vertical="center"/>
    </xf>
    <xf numFmtId="14" fontId="19" fillId="8" borderId="20" xfId="0" applyNumberFormat="1" applyFont="1" applyFill="1" applyBorder="1" applyAlignment="1">
      <alignment horizontal="center" vertical="center"/>
    </xf>
    <xf numFmtId="20" fontId="19" fillId="8" borderId="20" xfId="0" applyNumberFormat="1" applyFont="1" applyFill="1" applyBorder="1" applyAlignment="1">
      <alignment horizontal="center" vertical="center"/>
    </xf>
    <xf numFmtId="2" fontId="19" fillId="8" borderId="20" xfId="0" applyNumberFormat="1" applyFont="1" applyFill="1" applyBorder="1" applyAlignment="1">
      <alignment horizontal="center" vertical="center"/>
    </xf>
    <xf numFmtId="0" fontId="19" fillId="8" borderId="20" xfId="0" applyNumberFormat="1" applyFont="1" applyFill="1" applyBorder="1" applyAlignment="1">
      <alignment horizontal="center" vertical="center"/>
    </xf>
    <xf numFmtId="2" fontId="4" fillId="0" borderId="20" xfId="0" applyNumberFormat="1" applyFont="1" applyFill="1" applyBorder="1" applyAlignment="1" applyProtection="1">
      <alignment horizontal="center" vertical="center"/>
    </xf>
    <xf numFmtId="0" fontId="0" fillId="0" borderId="19" xfId="0" applyFill="1" applyBorder="1" applyProtection="1"/>
    <xf numFmtId="0" fontId="2" fillId="0" borderId="24" xfId="0" applyFont="1" applyFill="1" applyBorder="1" applyProtection="1"/>
    <xf numFmtId="0" fontId="20" fillId="0" borderId="20" xfId="0" applyFont="1" applyFill="1" applyBorder="1" applyAlignment="1">
      <alignment horizontal="center" vertical="center"/>
    </xf>
    <xf numFmtId="2" fontId="20" fillId="0" borderId="26" xfId="0" applyNumberFormat="1" applyFont="1" applyFill="1" applyBorder="1" applyAlignment="1">
      <alignment horizontal="center"/>
    </xf>
    <xf numFmtId="2" fontId="20" fillId="0" borderId="19" xfId="0" applyNumberFormat="1" applyFont="1" applyBorder="1" applyAlignment="1">
      <alignment horizontal="center"/>
    </xf>
    <xf numFmtId="2" fontId="20" fillId="0" borderId="20" xfId="0" applyNumberFormat="1" applyFont="1" applyFill="1" applyBorder="1" applyAlignment="1">
      <alignment horizontal="center" vertical="center"/>
    </xf>
    <xf numFmtId="2" fontId="20" fillId="0" borderId="20" xfId="0" applyNumberFormat="1" applyFont="1" applyFill="1" applyBorder="1" applyAlignment="1">
      <alignment horizontal="center"/>
    </xf>
    <xf numFmtId="2" fontId="20" fillId="0" borderId="27" xfId="0" applyNumberFormat="1" applyFont="1" applyFill="1" applyBorder="1" applyAlignment="1">
      <alignment horizontal="center"/>
    </xf>
    <xf numFmtId="2" fontId="21" fillId="4" borderId="20" xfId="0" applyNumberFormat="1" applyFont="1" applyFill="1" applyBorder="1" applyAlignment="1">
      <alignment horizontal="center" vertical="center" wrapText="1"/>
    </xf>
    <xf numFmtId="2" fontId="21" fillId="4" borderId="28" xfId="0" applyNumberFormat="1" applyFont="1" applyFill="1" applyBorder="1" applyAlignment="1">
      <alignment horizontal="center" vertical="center" wrapText="1"/>
    </xf>
    <xf numFmtId="0" fontId="2" fillId="0" borderId="31" xfId="0" applyFont="1" applyFill="1" applyBorder="1" applyProtection="1"/>
    <xf numFmtId="166" fontId="0" fillId="0" borderId="29" xfId="0" applyNumberFormat="1" applyFill="1" applyBorder="1" applyAlignment="1">
      <alignment horizontal="center"/>
    </xf>
    <xf numFmtId="20" fontId="0" fillId="0" borderId="29" xfId="0" applyNumberFormat="1" applyFill="1" applyBorder="1" applyAlignment="1">
      <alignment horizontal="center"/>
    </xf>
    <xf numFmtId="2" fontId="0" fillId="0" borderId="29" xfId="0" applyNumberFormat="1" applyFill="1" applyBorder="1" applyAlignment="1">
      <alignment horizontal="center"/>
    </xf>
    <xf numFmtId="0" fontId="20" fillId="0" borderId="29" xfId="0" applyFont="1" applyFill="1" applyBorder="1" applyAlignment="1">
      <alignment horizontal="center" vertical="center"/>
    </xf>
    <xf numFmtId="0" fontId="20" fillId="0" borderId="32" xfId="0" applyFont="1" applyFill="1" applyBorder="1"/>
    <xf numFmtId="2" fontId="20" fillId="0" borderId="30" xfId="0" applyNumberFormat="1" applyFont="1" applyFill="1" applyBorder="1" applyAlignment="1">
      <alignment horizontal="center"/>
    </xf>
    <xf numFmtId="2" fontId="20" fillId="0" borderId="31" xfId="0" applyNumberFormat="1" applyFont="1" applyBorder="1" applyAlignment="1">
      <alignment horizontal="center"/>
    </xf>
    <xf numFmtId="2" fontId="20" fillId="0" borderId="29" xfId="0" applyNumberFormat="1" applyFont="1" applyFill="1" applyBorder="1" applyAlignment="1">
      <alignment horizontal="center" vertical="center"/>
    </xf>
    <xf numFmtId="2" fontId="20" fillId="0" borderId="29" xfId="0" applyNumberFormat="1" applyFont="1" applyFill="1" applyBorder="1" applyAlignment="1">
      <alignment horizontal="center"/>
    </xf>
    <xf numFmtId="2" fontId="20" fillId="0" borderId="32" xfId="0" applyNumberFormat="1" applyFont="1" applyFill="1" applyBorder="1" applyAlignment="1">
      <alignment horizontal="center"/>
    </xf>
    <xf numFmtId="2" fontId="0" fillId="0" borderId="30" xfId="0" applyNumberFormat="1" applyFill="1" applyBorder="1" applyAlignment="1">
      <alignment horizontal="center"/>
    </xf>
    <xf numFmtId="2" fontId="0" fillId="0" borderId="29" xfId="0" applyNumberFormat="1" applyFill="1" applyBorder="1"/>
    <xf numFmtId="0" fontId="2" fillId="0" borderId="0" xfId="0" applyFont="1" applyFill="1" applyBorder="1" applyProtection="1"/>
    <xf numFmtId="166" fontId="0" fillId="0" borderId="0" xfId="0" applyNumberFormat="1" applyFill="1" applyBorder="1" applyAlignment="1">
      <alignment horizontal="center"/>
    </xf>
    <xf numFmtId="20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0" fontId="20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2" fontId="20" fillId="0" borderId="0" xfId="0" applyNumberFormat="1" applyFont="1" applyFill="1" applyBorder="1" applyAlignment="1">
      <alignment horizontal="center"/>
    </xf>
    <xf numFmtId="2" fontId="20" fillId="0" borderId="0" xfId="0" applyNumberFormat="1" applyFont="1" applyBorder="1" applyAlignment="1">
      <alignment horizontal="center"/>
    </xf>
    <xf numFmtId="2" fontId="20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ill="1" applyBorder="1"/>
    <xf numFmtId="2" fontId="0" fillId="8" borderId="0" xfId="0" applyNumberFormat="1" applyFill="1" applyBorder="1" applyAlignment="1">
      <alignment horizontal="center"/>
    </xf>
    <xf numFmtId="2" fontId="21" fillId="8" borderId="0" xfId="0" applyNumberFormat="1" applyFont="1" applyFill="1" applyBorder="1" applyAlignment="1">
      <alignment horizontal="center" vertical="center" wrapText="1"/>
    </xf>
    <xf numFmtId="2" fontId="2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0" xfId="0" applyFont="1" applyFill="1"/>
    <xf numFmtId="0" fontId="2" fillId="0" borderId="19" xfId="0" applyFont="1" applyFill="1" applyBorder="1" applyProtection="1"/>
    <xf numFmtId="166" fontId="0" fillId="0" borderId="20" xfId="0" applyNumberFormat="1" applyFill="1" applyBorder="1" applyAlignment="1">
      <alignment horizontal="center"/>
    </xf>
    <xf numFmtId="0" fontId="20" fillId="0" borderId="27" xfId="0" applyFont="1" applyFill="1" applyBorder="1"/>
    <xf numFmtId="0" fontId="0" fillId="7" borderId="20" xfId="0" applyNumberFormat="1" applyFill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22" fillId="0" borderId="20" xfId="0" applyFont="1" applyFill="1" applyBorder="1" applyAlignment="1">
      <alignment horizontal="center" vertical="center"/>
    </xf>
    <xf numFmtId="0" fontId="22" fillId="0" borderId="27" xfId="0" applyFont="1" applyFill="1" applyBorder="1"/>
    <xf numFmtId="2" fontId="22" fillId="0" borderId="26" xfId="0" applyNumberFormat="1" applyFont="1" applyFill="1" applyBorder="1" applyAlignment="1">
      <alignment horizontal="center"/>
    </xf>
    <xf numFmtId="2" fontId="22" fillId="0" borderId="19" xfId="0" applyNumberFormat="1" applyFont="1" applyBorder="1" applyAlignment="1">
      <alignment horizontal="center"/>
    </xf>
    <xf numFmtId="2" fontId="22" fillId="0" borderId="20" xfId="0" applyNumberFormat="1" applyFont="1" applyFill="1" applyBorder="1" applyAlignment="1">
      <alignment horizontal="center" vertical="center"/>
    </xf>
    <xf numFmtId="2" fontId="22" fillId="0" borderId="20" xfId="0" applyNumberFormat="1" applyFont="1" applyFill="1" applyBorder="1" applyAlignment="1">
      <alignment horizontal="center"/>
    </xf>
    <xf numFmtId="2" fontId="22" fillId="0" borderId="27" xfId="0" applyNumberFormat="1" applyFont="1" applyFill="1" applyBorder="1" applyAlignment="1">
      <alignment horizontal="center"/>
    </xf>
    <xf numFmtId="0" fontId="4" fillId="0" borderId="32" xfId="0" applyFont="1" applyFill="1" applyBorder="1"/>
    <xf numFmtId="2" fontId="0" fillId="0" borderId="0" xfId="0" applyNumberFormat="1" applyFill="1" applyBorder="1" applyAlignment="1">
      <alignment horizontal="right"/>
    </xf>
    <xf numFmtId="164" fontId="1" fillId="0" borderId="0" xfId="0" applyNumberFormat="1" applyFont="1" applyFill="1"/>
    <xf numFmtId="2" fontId="0" fillId="0" borderId="53" xfId="0" applyNumberFormat="1" applyFill="1" applyBorder="1" applyAlignment="1">
      <alignment horizontal="center"/>
    </xf>
    <xf numFmtId="2" fontId="0" fillId="0" borderId="19" xfId="0" applyNumberFormat="1" applyFill="1" applyBorder="1" applyAlignment="1">
      <alignment horizontal="center"/>
    </xf>
    <xf numFmtId="2" fontId="23" fillId="0" borderId="26" xfId="0" applyNumberFormat="1" applyFont="1" applyFill="1" applyBorder="1" applyAlignment="1">
      <alignment horizontal="center"/>
    </xf>
    <xf numFmtId="2" fontId="23" fillId="0" borderId="19" xfId="0" applyNumberFormat="1" applyFont="1" applyBorder="1" applyAlignment="1">
      <alignment horizontal="center"/>
    </xf>
    <xf numFmtId="2" fontId="23" fillId="0" borderId="20" xfId="0" applyNumberFormat="1" applyFont="1" applyFill="1" applyBorder="1" applyAlignment="1">
      <alignment horizontal="center" vertical="center"/>
    </xf>
    <xf numFmtId="2" fontId="23" fillId="0" borderId="20" xfId="0" applyNumberFormat="1" applyFont="1" applyFill="1" applyBorder="1" applyAlignment="1">
      <alignment horizontal="center"/>
    </xf>
    <xf numFmtId="2" fontId="23" fillId="0" borderId="27" xfId="0" applyNumberFormat="1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/>
    </xf>
    <xf numFmtId="0" fontId="24" fillId="0" borderId="27" xfId="0" applyFont="1" applyFill="1" applyBorder="1"/>
    <xf numFmtId="2" fontId="24" fillId="0" borderId="26" xfId="0" applyNumberFormat="1" applyFont="1" applyFill="1" applyBorder="1" applyAlignment="1">
      <alignment horizontal="center"/>
    </xf>
    <xf numFmtId="2" fontId="24" fillId="0" borderId="19" xfId="0" applyNumberFormat="1" applyFont="1" applyBorder="1" applyAlignment="1">
      <alignment horizontal="center"/>
    </xf>
    <xf numFmtId="2" fontId="24" fillId="0" borderId="20" xfId="0" applyNumberFormat="1" applyFont="1" applyFill="1" applyBorder="1" applyAlignment="1">
      <alignment horizontal="center" vertical="center"/>
    </xf>
    <xf numFmtId="2" fontId="24" fillId="0" borderId="20" xfId="0" applyNumberFormat="1" applyFont="1" applyFill="1" applyBorder="1" applyAlignment="1">
      <alignment horizontal="center"/>
    </xf>
    <xf numFmtId="2" fontId="24" fillId="0" borderId="27" xfId="0" applyNumberFormat="1" applyFont="1" applyFill="1" applyBorder="1" applyAlignment="1">
      <alignment horizontal="center"/>
    </xf>
    <xf numFmtId="2" fontId="25" fillId="4" borderId="20" xfId="0" applyNumberFormat="1" applyFont="1" applyFill="1" applyBorder="1" applyAlignment="1">
      <alignment horizontal="center" vertical="center" wrapText="1"/>
    </xf>
    <xf numFmtId="2" fontId="25" fillId="4" borderId="28" xfId="0" applyNumberFormat="1" applyFont="1" applyFill="1" applyBorder="1" applyAlignment="1">
      <alignment horizontal="center" vertical="center" wrapText="1"/>
    </xf>
    <xf numFmtId="0" fontId="26" fillId="0" borderId="20" xfId="0" applyFont="1" applyFill="1" applyBorder="1" applyAlignment="1">
      <alignment horizontal="center" vertical="center"/>
    </xf>
    <xf numFmtId="2" fontId="26" fillId="0" borderId="26" xfId="0" applyNumberFormat="1" applyFont="1" applyFill="1" applyBorder="1" applyAlignment="1">
      <alignment horizontal="center"/>
    </xf>
    <xf numFmtId="2" fontId="26" fillId="0" borderId="19" xfId="0" applyNumberFormat="1" applyFont="1" applyBorder="1" applyAlignment="1">
      <alignment horizontal="center"/>
    </xf>
    <xf numFmtId="2" fontId="26" fillId="0" borderId="20" xfId="0" applyNumberFormat="1" applyFont="1" applyFill="1" applyBorder="1" applyAlignment="1">
      <alignment horizontal="center" vertical="center"/>
    </xf>
    <xf numFmtId="2" fontId="26" fillId="0" borderId="20" xfId="0" applyNumberFormat="1" applyFont="1" applyFill="1" applyBorder="1" applyAlignment="1">
      <alignment horizontal="center"/>
    </xf>
    <xf numFmtId="2" fontId="26" fillId="0" borderId="27" xfId="0" applyNumberFormat="1" applyFont="1" applyFill="1" applyBorder="1" applyAlignment="1">
      <alignment horizontal="center"/>
    </xf>
    <xf numFmtId="0" fontId="26" fillId="0" borderId="27" xfId="0" applyFont="1" applyFill="1" applyBorder="1"/>
    <xf numFmtId="0" fontId="27" fillId="0" borderId="20" xfId="0" applyFont="1" applyFill="1" applyBorder="1" applyAlignment="1">
      <alignment horizontal="center" vertical="center"/>
    </xf>
    <xf numFmtId="0" fontId="27" fillId="0" borderId="27" xfId="0" applyFont="1" applyFill="1" applyBorder="1"/>
    <xf numFmtId="2" fontId="27" fillId="0" borderId="26" xfId="0" applyNumberFormat="1" applyFont="1" applyFill="1" applyBorder="1" applyAlignment="1">
      <alignment horizontal="center"/>
    </xf>
    <xf numFmtId="2" fontId="27" fillId="0" borderId="19" xfId="0" applyNumberFormat="1" applyFont="1" applyBorder="1" applyAlignment="1">
      <alignment horizontal="center"/>
    </xf>
    <xf numFmtId="2" fontId="27" fillId="0" borderId="20" xfId="0" applyNumberFormat="1" applyFont="1" applyFill="1" applyBorder="1" applyAlignment="1">
      <alignment horizontal="center" vertical="center"/>
    </xf>
    <xf numFmtId="2" fontId="27" fillId="0" borderId="20" xfId="0" applyNumberFormat="1" applyFont="1" applyFill="1" applyBorder="1" applyAlignment="1">
      <alignment horizontal="center"/>
    </xf>
    <xf numFmtId="2" fontId="27" fillId="0" borderId="27" xfId="0" applyNumberFormat="1" applyFont="1" applyFill="1" applyBorder="1" applyAlignment="1">
      <alignment horizontal="center"/>
    </xf>
    <xf numFmtId="14" fontId="0" fillId="9" borderId="34" xfId="0" applyNumberFormat="1" applyFill="1" applyBorder="1" applyAlignment="1">
      <alignment horizontal="center"/>
    </xf>
    <xf numFmtId="0" fontId="2" fillId="0" borderId="24" xfId="0" applyFont="1" applyBorder="1"/>
    <xf numFmtId="2" fontId="0" fillId="0" borderId="53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9" fillId="4" borderId="25" xfId="0" applyNumberFormat="1" applyFont="1" applyFill="1" applyBorder="1" applyAlignment="1">
      <alignment horizontal="center" vertical="center" wrapText="1"/>
    </xf>
    <xf numFmtId="166" fontId="0" fillId="0" borderId="20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right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9" fillId="8" borderId="0" xfId="0" applyNumberFormat="1" applyFont="1" applyFill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 wrapText="1"/>
    </xf>
    <xf numFmtId="14" fontId="0" fillId="0" borderId="20" xfId="0" applyNumberFormat="1" applyBorder="1" applyAlignment="1">
      <alignment horizontal="center"/>
    </xf>
    <xf numFmtId="0" fontId="28" fillId="0" borderId="20" xfId="0" applyFont="1" applyFill="1" applyBorder="1" applyAlignment="1">
      <alignment horizontal="center" vertical="center"/>
    </xf>
    <xf numFmtId="0" fontId="28" fillId="0" borderId="27" xfId="0" applyFont="1" applyFill="1" applyBorder="1"/>
    <xf numFmtId="2" fontId="28" fillId="0" borderId="26" xfId="0" applyNumberFormat="1" applyFont="1" applyFill="1" applyBorder="1" applyAlignment="1">
      <alignment horizontal="center"/>
    </xf>
    <xf numFmtId="2" fontId="28" fillId="0" borderId="19" xfId="0" applyNumberFormat="1" applyFont="1" applyBorder="1" applyAlignment="1">
      <alignment horizontal="center"/>
    </xf>
    <xf numFmtId="2" fontId="28" fillId="0" borderId="20" xfId="0" applyNumberFormat="1" applyFont="1" applyFill="1" applyBorder="1" applyAlignment="1">
      <alignment horizontal="center" vertical="center"/>
    </xf>
    <xf numFmtId="2" fontId="28" fillId="0" borderId="20" xfId="0" applyNumberFormat="1" applyFont="1" applyFill="1" applyBorder="1" applyAlignment="1">
      <alignment horizontal="center"/>
    </xf>
    <xf numFmtId="2" fontId="28" fillId="0" borderId="27" xfId="0" applyNumberFormat="1" applyFont="1" applyFill="1" applyBorder="1" applyAlignment="1">
      <alignment horizontal="center"/>
    </xf>
    <xf numFmtId="2" fontId="4" fillId="0" borderId="26" xfId="0" applyNumberFormat="1" applyFont="1" applyFill="1" applyBorder="1" applyAlignment="1">
      <alignment horizontal="center"/>
    </xf>
    <xf numFmtId="2" fontId="4" fillId="0" borderId="20" xfId="0" applyNumberFormat="1" applyFont="1" applyFill="1" applyBorder="1" applyAlignment="1">
      <alignment horizontal="center" vertical="center"/>
    </xf>
    <xf numFmtId="2" fontId="4" fillId="0" borderId="27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45" xfId="0" applyFont="1" applyBorder="1" applyAlignment="1">
      <alignment horizontal="right"/>
    </xf>
    <xf numFmtId="0" fontId="2" fillId="0" borderId="48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14" borderId="6" xfId="0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0" fontId="2" fillId="14" borderId="8" xfId="0" applyFont="1" applyFill="1" applyBorder="1" applyAlignment="1">
      <alignment horizontal="center"/>
    </xf>
  </cellXfs>
  <cellStyles count="1">
    <cellStyle name="Normal" xfId="0" builtinId="0"/>
  </cellStyles>
  <dxfs count="1296"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25" formatCode="hh:mm"/>
    </dxf>
    <dxf>
      <numFmt numFmtId="166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 val="0"/>
        <strike val="0"/>
        <outline val="0"/>
        <shadow val="0"/>
        <u val="none"/>
        <vertAlign val="baseline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65" formatCode="0.000"/>
      <fill>
        <patternFill patternType="solid">
          <fgColor indexed="64"/>
          <bgColor rgb="FFFFFF99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bottom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h:mm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5" formatCode="hh:m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FFFF9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7" formatCode="dd/mm/yyyy\ hh:mm"/>
    </dxf>
    <dxf>
      <numFmt numFmtId="166" formatCode="dd/mm/yyyy"/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'!$D$23</c:f>
          <c:strCache>
            <c:ptCount val="1"/>
            <c:pt idx="0">
              <c:v>CARGANDO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'!$C$25</c:f>
              <c:strCache>
                <c:ptCount val="1"/>
                <c:pt idx="0">
                  <c:v>CONSUMO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'!$D$25:$O$25</c:f>
              <c:numCache>
                <c:formatCode>0.00</c:formatCode>
                <c:ptCount val="12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30-48BB-A3C0-AA3F4CABFCAE}"/>
            </c:ext>
          </c:extLst>
        </c:ser>
        <c:ser>
          <c:idx val="1"/>
          <c:order val="1"/>
          <c:tx>
            <c:strRef>
              <c:f>'GRAFICA '!$C$26</c:f>
              <c:strCache>
                <c:ptCount val="1"/>
                <c:pt idx="0">
                  <c:v>CONSUMO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'!$D$24:$O$24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'!$D$26:$O$26</c:f>
              <c:numCache>
                <c:formatCode>0.00</c:formatCode>
                <c:ptCount val="12"/>
                <c:pt idx="0">
                  <c:v>7.0501792114695334</c:v>
                </c:pt>
                <c:pt idx="1">
                  <c:v>4.5</c:v>
                </c:pt>
                <c:pt idx="2">
                  <c:v>4.5</c:v>
                </c:pt>
                <c:pt idx="3">
                  <c:v>4</c:v>
                </c:pt>
                <c:pt idx="4">
                  <c:v>4.5</c:v>
                </c:pt>
                <c:pt idx="5">
                  <c:v>4.5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30-48BB-A3C0-AA3F4CABF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9273776"/>
        <c:axId val="439270512"/>
      </c:lineChart>
      <c:catAx>
        <c:axId val="439273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270512"/>
        <c:crosses val="autoZero"/>
        <c:auto val="1"/>
        <c:lblAlgn val="ctr"/>
        <c:lblOffset val="100"/>
        <c:noMultiLvlLbl val="0"/>
      </c:catAx>
      <c:valAx>
        <c:axId val="4392705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439273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'GRAFICA '!$AE$12</c:f>
          <c:strCache>
            <c:ptCount val="1"/>
            <c:pt idx="0">
              <c:v>VELOCIDAD EN NAVEGACION ECONOMICA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s-ES"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'GRAFICA '!$C$55</c:f>
              <c:strCache>
                <c:ptCount val="1"/>
                <c:pt idx="0">
                  <c:v>VELOCIDAD CONTRATO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'!$D$55:$O$55</c:f>
              <c:numCache>
                <c:formatCode>0.00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8D5-437B-BFAD-2A19C3718E12}"/>
            </c:ext>
          </c:extLst>
        </c:ser>
        <c:ser>
          <c:idx val="1"/>
          <c:order val="1"/>
          <c:tx>
            <c:strRef>
              <c:f>'GRAFICA '!$C$56</c:f>
              <c:strCache>
                <c:ptCount val="1"/>
                <c:pt idx="0">
                  <c:v>VELOCIDAD VIAJE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'GRAFICA '!$D$54:$O$54</c:f>
              <c:strCache>
                <c:ptCount val="12"/>
                <c:pt idx="0">
                  <c:v>V051-20</c:v>
                </c:pt>
                <c:pt idx="1">
                  <c:v>V052-20</c:v>
                </c:pt>
                <c:pt idx="2">
                  <c:v>V053-20</c:v>
                </c:pt>
                <c:pt idx="3">
                  <c:v>V054-20</c:v>
                </c:pt>
                <c:pt idx="4">
                  <c:v>V055-20</c:v>
                </c:pt>
                <c:pt idx="5">
                  <c:v>V056-20</c:v>
                </c:pt>
                <c:pt idx="6">
                  <c:v>V057-20</c:v>
                </c:pt>
                <c:pt idx="7">
                  <c:v>VIAJE 8</c:v>
                </c:pt>
                <c:pt idx="8">
                  <c:v>VIAJE 9</c:v>
                </c:pt>
                <c:pt idx="9">
                  <c:v>VIAJE 10</c:v>
                </c:pt>
                <c:pt idx="10">
                  <c:v>VIAJE 11</c:v>
                </c:pt>
                <c:pt idx="11">
                  <c:v>VIAJE 12</c:v>
                </c:pt>
              </c:strCache>
            </c:strRef>
          </c:cat>
          <c:val>
            <c:numRef>
              <c:f>'GRAFICA '!$D$56:$O$56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8D5-437B-BFAD-2A19C3718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5858864"/>
        <c:axId val="325861040"/>
      </c:lineChart>
      <c:catAx>
        <c:axId val="32585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861040"/>
        <c:crosses val="autoZero"/>
        <c:auto val="1"/>
        <c:lblAlgn val="ctr"/>
        <c:lblOffset val="100"/>
        <c:noMultiLvlLbl val="0"/>
      </c:catAx>
      <c:valAx>
        <c:axId val="3258610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2585886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s-E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1232648</xdr:colOff>
      <xdr:row>0</xdr:row>
      <xdr:rowOff>62753</xdr:rowOff>
    </xdr:from>
    <xdr:to>
      <xdr:col>14</xdr:col>
      <xdr:colOff>526678</xdr:colOff>
      <xdr:row>20</xdr:row>
      <xdr:rowOff>22413</xdr:rowOff>
    </xdr:to>
    <xdr:graphicFrame macro="">
      <xdr:nvGraphicFramePr>
        <xdr:cNvPr id="2" name="2 Gráfico">
          <a:extLst>
            <a:ext uri="{FF2B5EF4-FFF2-40B4-BE49-F238E27FC236}">
              <a16:creationId xmlns="" xmlns:a16="http://schemas.microsoft.com/office/drawing/2014/main" id="{5068E613-7BF8-4E8D-BFD6-23A743D0D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941293</xdr:colOff>
      <xdr:row>30</xdr:row>
      <xdr:rowOff>180413</xdr:rowOff>
    </xdr:from>
    <xdr:to>
      <xdr:col>14</xdr:col>
      <xdr:colOff>145675</xdr:colOff>
      <xdr:row>50</xdr:row>
      <xdr:rowOff>100852</xdr:rowOff>
    </xdr:to>
    <xdr:graphicFrame macro="">
      <xdr:nvGraphicFramePr>
        <xdr:cNvPr id="3" name="Gráfico 2">
          <a:extLst>
            <a:ext uri="{FF2B5EF4-FFF2-40B4-BE49-F238E27FC236}">
              <a16:creationId xmlns="" xmlns:a16="http://schemas.microsoft.com/office/drawing/2014/main" id="{BE842B2B-73FC-41E7-8B3B-5AA8D7D401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0.05318</cdr:x>
      <cdr:y>0.022</cdr:y>
    </cdr:from>
    <cdr:to>
      <cdr:x>0.23486</cdr:x>
      <cdr:y>0.0874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="" xmlns:a16="http://schemas.microsoft.com/office/drawing/2014/main" id="{740DFA0F-04E6-41B3-B51F-74E51E38E0D9}"/>
            </a:ext>
          </a:extLst>
        </cdr:cNvPr>
        <cdr:cNvSpPr txBox="1"/>
      </cdr:nvSpPr>
      <cdr:spPr>
        <a:xfrm xmlns:a="http://schemas.openxmlformats.org/drawingml/2006/main">
          <a:off x="403411" y="82925"/>
          <a:ext cx="1378324" cy="246530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PE" sz="1200" b="1">
              <a:solidFill>
                <a:schemeClr val="bg1"/>
              </a:solidFill>
            </a:rPr>
            <a:t>CONSUMO DE VLSFO	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0.09118</cdr:x>
      <cdr:y>0.08681</cdr:y>
    </cdr:from>
    <cdr:to>
      <cdr:x>0.21315</cdr:x>
      <cdr:y>0.33193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="" xmlns:a16="http://schemas.microsoft.com/office/drawing/2014/main" id="{364EEE2E-C86D-4EFB-B232-9785F85AC7FE}"/>
            </a:ext>
          </a:extLst>
        </cdr:cNvPr>
        <cdr:cNvSpPr txBox="1"/>
      </cdr:nvSpPr>
      <cdr:spPr>
        <a:xfrm xmlns:a="http://schemas.openxmlformats.org/drawingml/2006/main">
          <a:off x="683559" y="3238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PE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gonzalo\Desktop\ULTIM0%20FORMATO%20CONSUMO_20_04_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ERO"/>
      <sheetName val="Hoja16"/>
      <sheetName val="BASE VIAJES"/>
      <sheetName val="BASE DATOS (2)"/>
      <sheetName val="COMBO1"/>
      <sheetName val="BASE DATOS"/>
      <sheetName val="GRAFICA 1"/>
      <sheetName val="ENERO 2020"/>
      <sheetName val="FEBRERO 2020"/>
      <sheetName val="MARZO 2020"/>
      <sheetName val="ABRIL 2020"/>
      <sheetName val="MAYO 2020"/>
      <sheetName val="JUNIO 2020"/>
      <sheetName val="JULIO 2020"/>
      <sheetName val="AGOSTO 2020"/>
      <sheetName val="SEPTIEMBRE 2020"/>
      <sheetName val="OCTUBRE 2020"/>
      <sheetName val="NOVIEMBRE 2020"/>
      <sheetName val="DICIEMBRE 2020"/>
      <sheetName val="ENERO"/>
      <sheetName val="MARZO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2"/>
      <sheetName val="Hoja3"/>
      <sheetName val="ULTIM0 FORMATO CONSUMO_20_04_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21">
          <cell r="C121" t="str">
            <v>ACTIVIDAD REALIZADA</v>
          </cell>
        </row>
      </sheetData>
      <sheetData sheetId="8">
        <row r="120">
          <cell r="C120" t="str">
            <v>ACTIVIDAD REALIZADA</v>
          </cell>
        </row>
      </sheetData>
      <sheetData sheetId="9">
        <row r="120">
          <cell r="C120" t="str">
            <v>ACTIDAD REALIZADA</v>
          </cell>
        </row>
      </sheetData>
      <sheetData sheetId="10">
        <row r="121">
          <cell r="C121" t="str">
            <v>ACTIVIDAD REALIZADA</v>
          </cell>
        </row>
      </sheetData>
      <sheetData sheetId="11">
        <row r="121">
          <cell r="C121" t="str">
            <v>ACTIVIDAD REALIZADA</v>
          </cell>
        </row>
      </sheetData>
      <sheetData sheetId="12">
        <row r="121">
          <cell r="C121" t="str">
            <v>ACTIVIDAD REALIZADA</v>
          </cell>
        </row>
      </sheetData>
      <sheetData sheetId="13">
        <row r="121">
          <cell r="C121" t="str">
            <v>ACTIVIDAD REALIZADA</v>
          </cell>
        </row>
      </sheetData>
      <sheetData sheetId="14">
        <row r="121">
          <cell r="C121" t="str">
            <v>ACTIVIDAD REALIZADA</v>
          </cell>
        </row>
      </sheetData>
      <sheetData sheetId="15">
        <row r="121">
          <cell r="C121" t="str">
            <v>ACTIVIDAD REALIZADA</v>
          </cell>
        </row>
      </sheetData>
      <sheetData sheetId="16">
        <row r="121">
          <cell r="C121" t="str">
            <v>ACTIVIDAD REALIZADA</v>
          </cell>
        </row>
      </sheetData>
      <sheetData sheetId="17">
        <row r="121">
          <cell r="C121" t="str">
            <v>ACTIVIDAD REALIZADA</v>
          </cell>
        </row>
      </sheetData>
      <sheetData sheetId="18">
        <row r="121">
          <cell r="C121" t="str">
            <v>ACTIVIDAD REALIZADA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queryTables/queryTable1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3.xml><?xml version="1.0" encoding="utf-8"?>
<queryTable xmlns="http://schemas.openxmlformats.org/spreadsheetml/2006/main" name="DatosExternos_1" connectionId="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4.xml><?xml version="1.0" encoding="utf-8"?>
<queryTable xmlns="http://schemas.openxmlformats.org/spreadsheetml/2006/main" name="DatosExternos_1" connectionId="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5.xml><?xml version="1.0" encoding="utf-8"?>
<queryTable xmlns="http://schemas.openxmlformats.org/spreadsheetml/2006/main" name="DatosExternos_1" connectionId="8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6.xml><?xml version="1.0" encoding="utf-8"?>
<queryTable xmlns="http://schemas.openxmlformats.org/spreadsheetml/2006/main" name="DatosExternos_1" connectionId="9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7.xml><?xml version="1.0" encoding="utf-8"?>
<queryTable xmlns="http://schemas.openxmlformats.org/spreadsheetml/2006/main" name="DatosExternos_1" connectionId="7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8.xml><?xml version="1.0" encoding="utf-8"?>
<queryTable xmlns="http://schemas.openxmlformats.org/spreadsheetml/2006/main" name="DatosExternos_1" connectionId="10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9.xml><?xml version="1.0" encoding="utf-8"?>
<queryTable xmlns="http://schemas.openxmlformats.org/spreadsheetml/2006/main" name="DatosExternos_1" connectionId="14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0.xml><?xml version="1.0" encoding="utf-8"?>
<queryTable xmlns="http://schemas.openxmlformats.org/spreadsheetml/2006/main" name="DatosExternos_1" connectionId="11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1.xml><?xml version="1.0" encoding="utf-8"?>
<queryTable xmlns="http://schemas.openxmlformats.org/spreadsheetml/2006/main" name="DatosExternos_1" connectionId="12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2.xml><?xml version="1.0" encoding="utf-8"?>
<queryTable xmlns="http://schemas.openxmlformats.org/spreadsheetml/2006/main" name="DatosExternos_1" connectionId="13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3.xml><?xml version="1.0" encoding="utf-8"?>
<queryTable xmlns="http://schemas.openxmlformats.org/spreadsheetml/2006/main" name="DatosExternos_1" connectionId="5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queryTables/queryTable14.xml><?xml version="1.0" encoding="utf-8"?>
<queryTable xmlns="http://schemas.openxmlformats.org/spreadsheetml/2006/main" name="DatosExternos_1" connectionId="6" autoFormatId="16" applyNumberFormats="0" applyBorderFormats="0" applyFontFormats="0" applyPatternFormats="0" applyAlignmentFormats="0" applyWidthHeightFormats="0">
  <queryTableRefresh nextId="38">
    <queryTableFields count="37">
      <queryTableField id="1" name="VIAJE" tableColumnId="38"/>
      <queryTableField id="2" name="FECHA" tableColumnId="2"/>
      <queryTableField id="3" name="HORA" tableColumnId="3"/>
      <queryTableField id="4" name="TIEMPO Hrs" tableColumnId="4"/>
      <queryTableField id="5" name="ACTIVIDAD REALIZADA" tableColumnId="5"/>
      <queryTableField id="6" name="REFERENCIA" tableColumnId="6"/>
      <queryTableField id="7" name="DISTANCIA POR CARTA" tableColumnId="7"/>
      <queryTableField id="8" name="TIEMPO DE NAVEGACION" tableColumnId="8"/>
      <queryTableField id="9" name="VELOCIDAD" tableColumnId="9"/>
      <queryTableField id="10" name="BEAUFORT" tableColumnId="10"/>
      <queryTableField id="11" name="RPM" tableColumnId="11"/>
      <queryTableField id="12" name="MPAL" tableColumnId="12"/>
      <queryTableField id="13" name="AUX." tableColumnId="13"/>
      <queryTableField id="14" name="CALDERA" tableColumnId="14"/>
      <queryTableField id="15" name="TOTAL " tableColumnId="15"/>
      <queryTableField id="16" name="FAENA" tableColumnId="16"/>
      <queryTableField id="17" name="ROB " tableColumnId="17"/>
      <queryTableField id="18" name="MPAL2" tableColumnId="18"/>
      <queryTableField id="19" name=" AUX" tableColumnId="19"/>
      <queryTableField id="20" name=" CALDERA" tableColumnId="20"/>
      <queryTableField id="21" name="PP" tableColumnId="21"/>
      <queryTableField id="22" name="GI" tableColumnId="22"/>
      <queryTableField id="23" name="TOTAL" tableColumnId="23"/>
      <queryTableField id="24" name="FAENA2" tableColumnId="24"/>
      <queryTableField id="25" name="ROB" tableColumnId="25"/>
      <queryTableField id="26" name="CYLINDER MP" tableColumnId="26"/>
      <queryTableField id="27" name="FAENA EN LTS" tableColumnId="27"/>
      <queryTableField id="28" name="CYLINDER MP ROB EN LTS" tableColumnId="28"/>
      <queryTableField id="29" name="CARTER MP." tableColumnId="29"/>
      <queryTableField id="30" name="FAENA EN LTS2" tableColumnId="30"/>
      <queryTableField id="31" name="CARTER MP. ROB EN LTS" tableColumnId="31"/>
      <queryTableField id="32" name="MOT AUX" tableColumnId="32"/>
      <queryTableField id="33" name="FAENA EN  LTS" tableColumnId="33"/>
      <queryTableField id="34" name="MOT AUX ROB EN LTS" tableColumnId="34"/>
      <queryTableField id="35" name="HIDRAULICO" tableColumnId="35"/>
      <queryTableField id="36" name="FAENA EN LTS3" tableColumnId="36"/>
      <queryTableField id="37" name="HIDRAULICO ROB EN LTS" tableColumnId="3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4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id="13" name="BASE_DATOS_2" displayName="BASE_DATOS_2" ref="A1:AK8" tableType="queryTable" totalsRowShown="0">
  <autoFilter ref="A1:AK8"/>
  <tableColumns count="37">
    <tableColumn id="38" uniqueName="38" name="VIAJE" queryTableFieldId="1" dataDxfId="1295"/>
    <tableColumn id="2" uniqueName="2" name="FECHA" queryTableFieldId="2" dataDxfId="1294"/>
    <tableColumn id="3" uniqueName="3" name="HORA" queryTableFieldId="3" dataDxfId="1293"/>
    <tableColumn id="4" uniqueName="4" name="TIEMPO Hrs" queryTableFieldId="4"/>
    <tableColumn id="5" uniqueName="5" name="ACTIVIDAD REALIZADA" queryTableFieldId="5" dataDxfId="1292"/>
    <tableColumn id="6" uniqueName="6" name="REFERENCIA" queryTableFieldId="6" dataDxfId="1291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129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8" name="Tabla2334" displayName="Tabla2334" ref="C352:N360" totalsRowShown="0" headerRowDxfId="1287" headerRowBorderDxfId="1286" tableBorderDxfId="1285">
  <autoFilter ref="C352:N36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CTIVIDAD REALIZADA" dataDxfId="1284"/>
    <tableColumn id="2" name="TOTAL DE HORAS POR ACTIVIDAD" dataDxfId="1283">
      <calculatedColumnFormula>IF($C$350=$E$351,SUMIF(BASE_DATOS[ACTIVIDAD REALIZADA],Tabla2334[[#This Row],[ACTIVIDAD REALIZADA]],BASE_DATOS[TIEMPO Hrs]),SUMIFS(BASE_DATOS[TIEMPO Hrs],BASE_DATOS[VIAJE],$E$351,BASE_DATOS[ACTIVIDAD REALIZADA],Tabla2334[[#This Row],[ACTIVIDAD REALIZADA]]))</calculatedColumnFormula>
    </tableColumn>
    <tableColumn id="3" name="TOTAL MILLAS NAVEGADAS" dataDxfId="1282"/>
    <tableColumn id="4" name="PROMEDIO VELOCIDAD REAL" dataDxfId="1281"/>
    <tableColumn id="5" name="VELOCIDAD POR CONTRATO" dataDxfId="1280"/>
    <tableColumn id="6" name="CONSUMO  REAL" dataDxfId="1279">
      <calculatedColumnFormula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calculatedColumnFormula>
    </tableColumn>
    <tableColumn id="7" name="CONSUMO DIARIO REAL" dataDxfId="1278">
      <calculatedColumnFormula>IF(ISERROR(Tabla2334[[#This Row],[CONSUMO  REAL]]*24/D353),0,Tabla2334[[#This Row],[CONSUMO  REAL]]*24/D353)</calculatedColumnFormula>
    </tableColumn>
    <tableColumn id="8" name="CONSUMO  DIARIO POR CONTRATO" dataDxfId="1277"/>
    <tableColumn id="9" name="HORAS NAVEGADAS POR CONTRATO" dataDxfId="1276"/>
    <tableColumn id="10" name="CONSUMO   POR CONTRATO" dataDxfId="1275"/>
    <tableColumn id="11" name="BALANCE DE COMBUSTIBLE" dataDxfId="1274">
      <calculatedColumnFormula>L353-H353</calculatedColumnFormula>
    </tableColumn>
    <tableColumn id="12" name="BALANCE HORAS NAVEGADAS" dataDxfId="12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1" name="BASE_DATOS" displayName="BASE_DATOS" ref="A5:AK345" tableType="queryTable" totalsRowShown="0" headerRowDxfId="1272" dataDxfId="1270" headerRowBorderDxfId="1271" tableBorderDxfId="1269">
  <autoFilter ref="A5:AK345"/>
  <tableColumns count="37">
    <tableColumn id="38" uniqueName="38" name="VIAJE" queryTableFieldId="1" dataDxfId="1268"/>
    <tableColumn id="2" uniqueName="2" name="FECHA" queryTableFieldId="2" dataDxfId="1267"/>
    <tableColumn id="3" uniqueName="3" name="HORA" queryTableFieldId="3" dataDxfId="1266"/>
    <tableColumn id="4" uniqueName="4" name="TIEMPO Hrs" queryTableFieldId="4" dataDxfId="1265"/>
    <tableColumn id="5" uniqueName="5" name="ACTIVIDAD REALIZADA" queryTableFieldId="5" dataDxfId="1264"/>
    <tableColumn id="6" uniqueName="6" name="REFERENCIA" queryTableFieldId="6" dataDxfId="1263"/>
    <tableColumn id="7" uniqueName="7" name="DISTANCIA POR CARTA" queryTableFieldId="7" dataDxfId="1262"/>
    <tableColumn id="8" uniqueName="8" name="TIEMPO DE NAVEGACION" queryTableFieldId="8" dataDxfId="1261"/>
    <tableColumn id="9" uniqueName="9" name="VELOCIDAD" queryTableFieldId="9" dataDxfId="1260"/>
    <tableColumn id="10" uniqueName="10" name="BEAUFORT" queryTableFieldId="10" dataDxfId="1259"/>
    <tableColumn id="11" uniqueName="11" name="RPM" queryTableFieldId="11" dataDxfId="1258"/>
    <tableColumn id="12" uniqueName="12" name="MPAL" queryTableFieldId="12" dataDxfId="1257"/>
    <tableColumn id="13" uniqueName="13" name="AUX." queryTableFieldId="13" dataDxfId="1256"/>
    <tableColumn id="14" uniqueName="14" name="CALDERA" queryTableFieldId="14" dataDxfId="1255"/>
    <tableColumn id="15" uniqueName="15" name="TOTAL " queryTableFieldId="15" dataDxfId="1254"/>
    <tableColumn id="16" uniqueName="16" name="FAENA" queryTableFieldId="16" dataDxfId="1253"/>
    <tableColumn id="17" uniqueName="17" name="ROB " queryTableFieldId="17" dataDxfId="1252"/>
    <tableColumn id="18" uniqueName="18" name="MPAL2" queryTableFieldId="18" dataDxfId="1251"/>
    <tableColumn id="19" uniqueName="19" name=" AUX" queryTableFieldId="19" dataDxfId="1250"/>
    <tableColumn id="20" uniqueName="20" name=" CALDERA" queryTableFieldId="20" dataDxfId="1249"/>
    <tableColumn id="21" uniqueName="21" name="PP" queryTableFieldId="21" dataDxfId="1248"/>
    <tableColumn id="22" uniqueName="22" name="GI" queryTableFieldId="22" dataDxfId="1247"/>
    <tableColumn id="23" uniqueName="23" name="TOTAL" queryTableFieldId="23" dataDxfId="1246"/>
    <tableColumn id="24" uniqueName="24" name="FAENA2" queryTableFieldId="24" dataDxfId="1245"/>
    <tableColumn id="25" uniqueName="25" name="ROB" queryTableFieldId="25" dataDxfId="1244"/>
    <tableColumn id="26" uniqueName="26" name="CYLINDER MP" queryTableFieldId="26" dataDxfId="1243"/>
    <tableColumn id="27" uniqueName="27" name="FAENA EN LTS" queryTableFieldId="27" dataDxfId="1242"/>
    <tableColumn id="28" uniqueName="28" name="CYLINDER MP ROB EN LTS" queryTableFieldId="28" dataDxfId="1241"/>
    <tableColumn id="29" uniqueName="29" name="CARTER MP." queryTableFieldId="29" dataDxfId="1240"/>
    <tableColumn id="30" uniqueName="30" name="FAENA EN LTS2" queryTableFieldId="30" dataDxfId="1239"/>
    <tableColumn id="31" uniqueName="31" name="CARTER MP. ROB EN LTS" queryTableFieldId="31" dataDxfId="1238"/>
    <tableColumn id="32" uniqueName="32" name="MOT AUX" queryTableFieldId="32" dataDxfId="1237"/>
    <tableColumn id="33" uniqueName="33" name="FAENA EN  LTS" queryTableFieldId="33" dataDxfId="1236"/>
    <tableColumn id="34" uniqueName="34" name="MOT AUX ROB EN LTS" queryTableFieldId="34" dataDxfId="1235"/>
    <tableColumn id="35" uniqueName="35" name="HIDRAULICO" queryTableFieldId="35" dataDxfId="1234"/>
    <tableColumn id="36" uniqueName="36" name="FAENA EN LTS3" queryTableFieldId="36" dataDxfId="1233"/>
    <tableColumn id="37" uniqueName="37" name="HIDRAULICO ROB EN LTS" queryTableFieldId="37" dataDxfId="1232"/>
  </tableColumns>
  <tableStyleInfo name="TableStyleMedium7" showFirstColumn="1" showLastColumn="0" showRowStripes="1" showColumnStripes="0"/>
</table>
</file>

<file path=xl/tables/table4.xml><?xml version="1.0" encoding="utf-8"?>
<table xmlns="http://schemas.openxmlformats.org/spreadsheetml/2006/main" id="2" name="V051_20" displayName="V051_20" ref="A5:AK76" totalsRowShown="0" headerRowDxfId="1229" dataDxfId="1227" headerRowBorderDxfId="1228" tableBorderDxfId="1226">
  <autoFilter ref="A5:AK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VIAJE" dataDxfId="1225"/>
    <tableColumn id="2" name="FECHA" dataDxfId="1224"/>
    <tableColumn id="3" name="HORA" dataDxfId="1223"/>
    <tableColumn id="4" name="TIEMPO Hrs" dataDxfId="1222"/>
    <tableColumn id="5" name="ACTIVIDAD REALIZADA" dataDxfId="1221"/>
    <tableColumn id="6" name="REFERENCIA" dataDxfId="1220"/>
    <tableColumn id="7" name="DISTANCIA POR CARTA" dataDxfId="1219"/>
    <tableColumn id="37" name="TIEMPO DE NAVEGACION" dataDxfId="1218"/>
    <tableColumn id="8" name="VELOCIDAD" dataDxfId="1217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216"/>
    <tableColumn id="10" name="RPM" dataDxfId="1215"/>
    <tableColumn id="11" name="MPAL" dataDxfId="1214"/>
    <tableColumn id="12" name="AUX." dataDxfId="1213"/>
    <tableColumn id="13" name="CALDERA" dataDxfId="1212"/>
    <tableColumn id="14" name="TOTAL " dataDxfId="1211">
      <calculatedColumnFormula>SUM(V060_20[[#This Row],[MPAL]:[CALDERA]])</calculatedColumnFormula>
    </tableColumn>
    <tableColumn id="15" name="FAENA" dataDxfId="1210"/>
    <tableColumn id="16" name="ROB " dataDxfId="1209">
      <calculatedColumnFormula>($Q$4-O6)+P6</calculatedColumnFormula>
    </tableColumn>
    <tableColumn id="17" name="MPAL2" dataDxfId="1208"/>
    <tableColumn id="18" name=" AUX" dataDxfId="1207"/>
    <tableColumn id="19" name=" CALDERA" dataDxfId="1206"/>
    <tableColumn id="20" name="PP" dataDxfId="1205"/>
    <tableColumn id="21" name="GI" dataDxfId="1204"/>
    <tableColumn id="22" name="TOTAL" dataDxfId="1203"/>
    <tableColumn id="23" name="FAENA2" dataDxfId="1202"/>
    <tableColumn id="24" name="ROB" dataDxfId="1201">
      <calculatedColumnFormula>($Y$4-V051_20[[#This Row],[TOTAL]])+V051_20[[#This Row],[FAENA2]]</calculatedColumnFormula>
    </tableColumn>
    <tableColumn id="25" name="CYLINDER MP" dataDxfId="1200"/>
    <tableColumn id="26" name="FAENA EN LTS" dataDxfId="1199"/>
    <tableColumn id="27" name="CYLINDER MP ROB EN LTS" dataDxfId="1198">
      <calculatedColumnFormula>AB4</calculatedColumnFormula>
    </tableColumn>
    <tableColumn id="28" name="CARTER MP." dataDxfId="1197"/>
    <tableColumn id="29" name="FAENA EN LTS2" dataDxfId="1196"/>
    <tableColumn id="30" name="CARTER MP. ROB EN LTS" dataDxfId="1195">
      <calculatedColumnFormula>($AE$4-V051_20[[#This Row],[CARTER MP.]])+V051_20[[#This Row],[FAENA EN LTS2]]</calculatedColumnFormula>
    </tableColumn>
    <tableColumn id="31" name="MOT AUX" dataDxfId="1194"/>
    <tableColumn id="32" name="FAENA EN  LTS" dataDxfId="1193"/>
    <tableColumn id="33" name="MOT AUX ROB EN LTS" dataDxfId="1192">
      <calculatedColumnFormula>$AH$4</calculatedColumnFormula>
    </tableColumn>
    <tableColumn id="34" name="HIDRAULICO" dataDxfId="1191"/>
    <tableColumn id="35" name="FAENA EN LTS3" dataDxfId="1190"/>
    <tableColumn id="36" name="HIDRAULICO ROB EN LTS" dataDxfId="1189"/>
  </tableColumns>
  <tableStyleInfo name="TableStyleMedium2" showFirstColumn="1" showLastColumn="0" showRowStripes="0" showColumnStripes="0"/>
</table>
</file>

<file path=xl/tables/table5.xml><?xml version="1.0" encoding="utf-8"?>
<table xmlns="http://schemas.openxmlformats.org/spreadsheetml/2006/main" id="1" name="V052_20" displayName="V052_20" ref="A5:AK56" totalsRowShown="0" headerRowDxfId="1186" dataDxfId="1184" headerRowBorderDxfId="1185" tableBorderDxfId="1183">
  <tableColumns count="37">
    <tableColumn id="1" name="VIAJE" dataDxfId="1182"/>
    <tableColumn id="2" name="FECHA" dataDxfId="1181"/>
    <tableColumn id="3" name="HORA" dataDxfId="1180"/>
    <tableColumn id="4" name="TIEMPO Hrs" dataDxfId="1179"/>
    <tableColumn id="5" name="ACTIVIDAD REALIZADA" dataDxfId="1178"/>
    <tableColumn id="6" name="REFERENCIA" dataDxfId="1177"/>
    <tableColumn id="7" name="DISTANCIA POR CARTA" dataDxfId="1176"/>
    <tableColumn id="37" name="TIEMPO DE NAVEGACION" dataDxfId="1175"/>
    <tableColumn id="8" name="VELOCIDAD" dataDxfId="1174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173"/>
    <tableColumn id="10" name="RPM" dataDxfId="1172"/>
    <tableColumn id="11" name="MPAL" dataDxfId="1171"/>
    <tableColumn id="12" name="AUX." dataDxfId="1170"/>
    <tableColumn id="13" name="CALDERA" dataDxfId="1169"/>
    <tableColumn id="14" name="TOTAL " dataDxfId="1168">
      <calculatedColumnFormula>SUM(V052_20[[#This Row],[MPAL]:[CALDERA]])</calculatedColumnFormula>
    </tableColumn>
    <tableColumn id="15" name="FAENA" dataDxfId="1167"/>
    <tableColumn id="16" name="ROB " dataDxfId="1166"/>
    <tableColumn id="17" name="MPAL2" dataDxfId="1165"/>
    <tableColumn id="18" name=" AUX" dataDxfId="1164"/>
    <tableColumn id="19" name=" CALDERA" dataDxfId="1163"/>
    <tableColumn id="20" name="PP" dataDxfId="1162"/>
    <tableColumn id="21" name="GI" dataDxfId="1161"/>
    <tableColumn id="22" name="TOTAL" dataDxfId="1160">
      <calculatedColumnFormula>SUM(R6:V6)</calculatedColumnFormula>
    </tableColumn>
    <tableColumn id="23" name="FAENA2" dataDxfId="1159"/>
    <tableColumn id="24" name="ROB" dataDxfId="1158"/>
    <tableColumn id="25" name="CYLINDER MP" dataDxfId="1157"/>
    <tableColumn id="26" name="FAENA EN LTS" dataDxfId="1156"/>
    <tableColumn id="27" name="CYLINDER MP ROB EN LTS" dataDxfId="1155"/>
    <tableColumn id="28" name="CARTER MP." dataDxfId="1154"/>
    <tableColumn id="29" name="FAENA EN LTS2" dataDxfId="1153"/>
    <tableColumn id="30" name="CARTER MP. ROB EN LTS" dataDxfId="1152"/>
    <tableColumn id="31" name="MOT AUX" dataDxfId="1151"/>
    <tableColumn id="32" name="FAENA EN  LTS" dataDxfId="1150"/>
    <tableColumn id="33" name="MOT AUX ROB EN LTS" dataDxfId="1149">
      <calculatedColumnFormula>(AH4-V052_20[[#This Row],[MOT AUX]])+V052_20[[#This Row],[FAENA EN  LTS]]</calculatedColumnFormula>
    </tableColumn>
    <tableColumn id="34" name="HIDRAULICO" dataDxfId="1148"/>
    <tableColumn id="35" name="FAENA EN LTS3" dataDxfId="1147"/>
    <tableColumn id="36" name="HIDRAULICO ROB EN LTS" dataDxfId="1146">
      <calculatedColumnFormula>(AK5-V052_20[[#This Row],[HIDRAULICO]])+V052_20[[#This Row],[FAENA EN LTS3]]</calculatedColumnFormula>
    </tableColumn>
  </tableColumns>
  <tableStyleInfo name="TableStyleLight16" showFirstColumn="0" showLastColumn="0" showRowStripes="1" showColumnStripes="0"/>
</table>
</file>

<file path=xl/tables/table6.xml><?xml version="1.0" encoding="utf-8"?>
<table xmlns="http://schemas.openxmlformats.org/spreadsheetml/2006/main" id="3" name="V053_20" displayName="V053_20" ref="A5:AK51" totalsRowShown="0" headerRowDxfId="1143" dataDxfId="1141" headerRowBorderDxfId="1142" tableBorderDxfId="1140">
  <tableColumns count="37">
    <tableColumn id="1" name="VIAJE" dataDxfId="1139"/>
    <tableColumn id="2" name="FECHA" dataDxfId="1138"/>
    <tableColumn id="3" name="HORA" dataDxfId="1137"/>
    <tableColumn id="4" name="TIEMPO Hrs" dataDxfId="1136"/>
    <tableColumn id="5" name="ACTIVIDAD REALIZADA" dataDxfId="1135"/>
    <tableColumn id="6" name="REFERENCIA" dataDxfId="1134"/>
    <tableColumn id="7" name="DISTANCIA POR CARTA" dataDxfId="1133"/>
    <tableColumn id="37" name="TIEMPO DE NAVEGACION" dataDxfId="1132"/>
    <tableColumn id="8" name="VELOCIDAD" dataDxfId="1131">
      <calculatedColumnFormula>IF(ISERROR(V051_20[[#This Row],[DISTANCIA POR CARTA]]/V051_20[[#This Row],[TIEMPO DE NAVEGACION]]),0,V051_20[[#This Row],[DISTANCIA POR CARTA]]/V051_20[[#This Row],[TIEMPO DE NAVEGACION]])</calculatedColumnFormula>
    </tableColumn>
    <tableColumn id="9" name="BEAUFORT" dataDxfId="1130"/>
    <tableColumn id="10" name="RPM" dataDxfId="1129"/>
    <tableColumn id="11" name="MPAL" dataDxfId="1128"/>
    <tableColumn id="12" name="AUX." dataDxfId="1127"/>
    <tableColumn id="13" name="CALDERA" dataDxfId="1126"/>
    <tableColumn id="14" name="TOTAL " dataDxfId="1125">
      <calculatedColumnFormula>'V055-20'!L47+'V055-20'!M47+'V055-20'!N47</calculatedColumnFormula>
    </tableColumn>
    <tableColumn id="15" name="FAENA" dataDxfId="1124"/>
    <tableColumn id="16" name="ROB " dataDxfId="1123">
      <calculatedColumnFormula>($Q$4-'V055-20'!O47)+'V055-20'!P47</calculatedColumnFormula>
    </tableColumn>
    <tableColumn id="17" name="MPAL2" dataDxfId="1122"/>
    <tableColumn id="18" name=" AUX" dataDxfId="1121"/>
    <tableColumn id="19" name=" CALDERA" dataDxfId="1120"/>
    <tableColumn id="20" name="PP" dataDxfId="1119"/>
    <tableColumn id="21" name="GI" dataDxfId="1118"/>
    <tableColumn id="22" name="TOTAL" dataDxfId="1117">
      <calculatedColumnFormula>SUM(V053_20[[#This Row],[MPAL2]:[GI]])</calculatedColumnFormula>
    </tableColumn>
    <tableColumn id="23" name="FAENA2" dataDxfId="1116"/>
    <tableColumn id="24" name="ROB" dataDxfId="1115">
      <calculatedColumnFormula>($Y$4-V053_20[[#This Row],[TOTAL]])+V053_20[[#This Row],[FAENA2]]</calculatedColumnFormula>
    </tableColumn>
    <tableColumn id="25" name="CYLINDER MP" dataDxfId="1114"/>
    <tableColumn id="26" name="FAENA EN LTS" dataDxfId="1113"/>
    <tableColumn id="27" name="CYLINDER MP ROB EN LTS" dataDxfId="1112">
      <calculatedColumnFormula>AB4</calculatedColumnFormula>
    </tableColumn>
    <tableColumn id="28" name="CARTER MP." dataDxfId="1111"/>
    <tableColumn id="29" name="FAENA EN LTS2" dataDxfId="1110"/>
    <tableColumn id="30" name="CARTER MP. ROB EN LTS" dataDxfId="1109">
      <calculatedColumnFormula>($AE$4-V053_20[[#This Row],[CARTER MP.]])+V053_20[[#This Row],[FAENA EN LTS2]]</calculatedColumnFormula>
    </tableColumn>
    <tableColumn id="31" name="MOT AUX" dataDxfId="1108"/>
    <tableColumn id="32" name="FAENA EN  LTS" dataDxfId="1107"/>
    <tableColumn id="33" name="MOT AUX ROB EN LTS" dataDxfId="1106">
      <calculatedColumnFormula>$AH$4</calculatedColumnFormula>
    </tableColumn>
    <tableColumn id="34" name="HIDRAULICO" dataDxfId="1105"/>
    <tableColumn id="35" name="FAENA EN LTS3" dataDxfId="1104"/>
    <tableColumn id="36" name="HIDRAULICO ROB EN LTS" dataDxfId="110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V054_20" displayName="V054_20" ref="A5:AK48" totalsRowShown="0" headerRowDxfId="1101" dataDxfId="1099" headerRowBorderDxfId="1100" tableBorderDxfId="1098">
  <tableColumns count="37">
    <tableColumn id="1" name="VIAJE" dataDxfId="1097"/>
    <tableColumn id="2" name="FECHA" dataDxfId="1096"/>
    <tableColumn id="3" name="HORA" dataDxfId="1095"/>
    <tableColumn id="4" name="TIEMPO Hrs" dataDxfId="1094"/>
    <tableColumn id="5" name="ACTIVIDAD REALIZADA" dataDxfId="1093"/>
    <tableColumn id="6" name="REFERENCIA" dataDxfId="1092"/>
    <tableColumn id="7" name="DISTANCIA POR CARTA" dataDxfId="1091"/>
    <tableColumn id="37" name="TIEMPO DE NAVEGACION" dataDxfId="1090"/>
    <tableColumn id="8" name="VELOCIDAD" dataDxfId="1089">
      <calculatedColumnFormula>IF(ISERROR(V052_20[[#This Row],[DISTANCIA POR CARTA]]/V052_20[[#This Row],[TIEMPO DE NAVEGACION]]),0,V052_20[[#This Row],[DISTANCIA POR CARTA]]/V052_20[[#This Row],[TIEMPO DE NAVEGACION]])</calculatedColumnFormula>
    </tableColumn>
    <tableColumn id="9" name="BEAUFORT" dataDxfId="1088"/>
    <tableColumn id="10" name="RPM" dataDxfId="1087"/>
    <tableColumn id="11" name="MPAL" dataDxfId="1086"/>
    <tableColumn id="12" name="AUX." dataDxfId="1085"/>
    <tableColumn id="13" name="CALDERA" dataDxfId="1084"/>
    <tableColumn id="14" name="TOTAL " dataDxfId="1083">
      <calculatedColumnFormula>L6+M6+N6</calculatedColumnFormula>
    </tableColumn>
    <tableColumn id="15" name="FAENA" dataDxfId="1082"/>
    <tableColumn id="16" name="ROB " dataDxfId="1081">
      <calculatedColumnFormula>($P$4-O6)+P6</calculatedColumnFormula>
    </tableColumn>
    <tableColumn id="17" name="MPAL2" dataDxfId="1080"/>
    <tableColumn id="18" name=" AUX" dataDxfId="1079"/>
    <tableColumn id="19" name=" CALDERA" dataDxfId="1078"/>
    <tableColumn id="20" name="PP" dataDxfId="1077"/>
    <tableColumn id="21" name="GI" dataDxfId="1076"/>
    <tableColumn id="22" name="TOTAL" dataDxfId="1075"/>
    <tableColumn id="23" name="FAENA2" dataDxfId="1074"/>
    <tableColumn id="24" name="ROB" dataDxfId="1073">
      <calculatedColumnFormula>($X$4-V054_20[[#This Row],[TOTAL]])+V054_20[[#This Row],[FAENA2]]</calculatedColumnFormula>
    </tableColumn>
    <tableColumn id="25" name="CYLINDER MP" dataDxfId="1072"/>
    <tableColumn id="26" name="FAENA EN LTS" dataDxfId="1071"/>
    <tableColumn id="27" name="CYLINDER MP ROB EN LTS" dataDxfId="1070">
      <calculatedColumnFormula>AA4</calculatedColumnFormula>
    </tableColumn>
    <tableColumn id="28" name="CARTER MP." dataDxfId="1069"/>
    <tableColumn id="29" name="FAENA EN LTS2" dataDxfId="1068"/>
    <tableColumn id="30" name="CARTER MP. ROB EN LTS" dataDxfId="1067">
      <calculatedColumnFormula>($AD$4-V054_20[[#This Row],[CARTER MP.]])+V054_20[[#This Row],[FAENA EN LTS2]]</calculatedColumnFormula>
    </tableColumn>
    <tableColumn id="31" name="MOT AUX" dataDxfId="1066"/>
    <tableColumn id="32" name="FAENA EN  LTS" dataDxfId="1065"/>
    <tableColumn id="33" name="MOT AUX ROB EN LTS" dataDxfId="1064">
      <calculatedColumnFormula>$AG$4</calculatedColumnFormula>
    </tableColumn>
    <tableColumn id="34" name="HIDRAULICO" dataDxfId="1063"/>
    <tableColumn id="35" name="FAENA EN LTS3" dataDxfId="1062"/>
    <tableColumn id="36" name="HIDRAULICO ROB EN LTS" dataDxfId="106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V055_20" displayName="V055_20" ref="A5:AK57" totalsRowShown="0" headerRowDxfId="1057" dataDxfId="1055" headerRowBorderDxfId="1056" tableBorderDxfId="1054">
  <tableColumns count="37">
    <tableColumn id="1" name="VIAJE" dataDxfId="1053"/>
    <tableColumn id="2" name="FECHA" dataDxfId="1052"/>
    <tableColumn id="3" name="HORA" dataDxfId="1051"/>
    <tableColumn id="4" name="TIEMPO Hrs" dataDxfId="1050"/>
    <tableColumn id="5" name="ACTIVIDAD REALIZADA" dataDxfId="1049"/>
    <tableColumn id="6" name="REFERENCIA" dataDxfId="1048"/>
    <tableColumn id="7" name="DISTANCIA POR CARTA" dataDxfId="1047"/>
    <tableColumn id="37" name="TIEMPO DE NAVEGACION" dataDxfId="1046"/>
    <tableColumn id="8" name="VELOCIDAD" dataDxfId="1045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1044"/>
    <tableColumn id="10" name="RPM" dataDxfId="1043"/>
    <tableColumn id="11" name="MPAL" dataDxfId="1042"/>
    <tableColumn id="12" name="AUX." dataDxfId="1041"/>
    <tableColumn id="13" name="CALDERA" dataDxfId="1040"/>
    <tableColumn id="14" name="TOTAL " dataDxfId="1039">
      <calculatedColumnFormula>SUM(V055_20[[#This Row],[MPAL]:[CALDERA]])</calculatedColumnFormula>
    </tableColumn>
    <tableColumn id="15" name="FAENA" dataDxfId="1038"/>
    <tableColumn id="16" name="ROB " dataDxfId="1037">
      <calculatedColumnFormula>($P$4-O6)+P6</calculatedColumnFormula>
    </tableColumn>
    <tableColumn id="17" name="MPAL2" dataDxfId="1036"/>
    <tableColumn id="18" name=" AUX" dataDxfId="1035"/>
    <tableColumn id="19" name=" CALDERA" dataDxfId="1034"/>
    <tableColumn id="20" name="PP" dataDxfId="1033"/>
    <tableColumn id="21" name="GI" dataDxfId="1032"/>
    <tableColumn id="22" name="TOTAL" dataDxfId="1031">
      <calculatedColumnFormula>SUM(V055_20[[#This Row],[MPAL2]:[GI]])</calculatedColumnFormula>
    </tableColumn>
    <tableColumn id="23" name="FAENA2" dataDxfId="1030"/>
    <tableColumn id="24" name="ROB" dataDxfId="1029">
      <calculatedColumnFormula>($X$4-V055_20[[#This Row],[TOTAL]])+V055_20[[#This Row],[FAENA2]]</calculatedColumnFormula>
    </tableColumn>
    <tableColumn id="25" name="CYLINDER MP" dataDxfId="1028"/>
    <tableColumn id="26" name="FAENA EN LTS" dataDxfId="1027"/>
    <tableColumn id="27" name="CYLINDER MP ROB EN LTS" dataDxfId="1026">
      <calculatedColumnFormula>AA4</calculatedColumnFormula>
    </tableColumn>
    <tableColumn id="28" name="CARTER MP." dataDxfId="1025"/>
    <tableColumn id="29" name="FAENA EN LTS2" dataDxfId="1024"/>
    <tableColumn id="30" name="CARTER MP. ROB EN LTS" dataDxfId="1023">
      <calculatedColumnFormula>($AD$4-V055_20[[#This Row],[CARTER MP.]])+V055_20[[#This Row],[FAENA EN LTS2]]</calculatedColumnFormula>
    </tableColumn>
    <tableColumn id="31" name="MOT AUX" dataDxfId="1022"/>
    <tableColumn id="32" name="FAENA EN  LTS" dataDxfId="1021"/>
    <tableColumn id="33" name="MOT AUX ROB EN LTS" dataDxfId="1020">
      <calculatedColumnFormula>$AG$4</calculatedColumnFormula>
    </tableColumn>
    <tableColumn id="34" name="HIDRAULICO" dataDxfId="1019"/>
    <tableColumn id="35" name="FAENA EN LTS3" dataDxfId="1018"/>
    <tableColumn id="36" name="HIDRAULICO ROB EN LTS" dataDxfId="1017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V056_20" displayName="V056_20" ref="A5:AK76" totalsRowShown="0" headerRowDxfId="1014" dataDxfId="1012" headerRowBorderDxfId="1013" tableBorderDxfId="1011">
  <tableColumns count="37">
    <tableColumn id="1" name="VIAJE" dataDxfId="1010"/>
    <tableColumn id="2" name="FECHA" dataDxfId="1009"/>
    <tableColumn id="3" name="HORA" dataDxfId="1008"/>
    <tableColumn id="4" name="TIEMPO Hrs" dataDxfId="1007"/>
    <tableColumn id="5" name="ACTIVIDAD REALIZADA" dataDxfId="1006"/>
    <tableColumn id="6" name="REFERENCIA" dataDxfId="1005"/>
    <tableColumn id="7" name="DISTANCIA POR CARTA" dataDxfId="1004"/>
    <tableColumn id="37" name="TIEMPO DE NAVEGACION" dataDxfId="1003"/>
    <tableColumn id="8" name="VELOCIDAD" dataDxfId="1002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1001"/>
    <tableColumn id="10" name="RPM" dataDxfId="1000"/>
    <tableColumn id="11" name="MPAL" dataDxfId="999"/>
    <tableColumn id="12" name="AUX." dataDxfId="998"/>
    <tableColumn id="13" name="CALDERA" dataDxfId="997"/>
    <tableColumn id="14" name="TOTAL " dataDxfId="996">
      <calculatedColumnFormula>SUM(V056_20[[#This Row],[MPAL]:[CALDERA]])</calculatedColumnFormula>
    </tableColumn>
    <tableColumn id="15" name="FAENA" dataDxfId="995"/>
    <tableColumn id="16" name="ROB " dataDxfId="994">
      <calculatedColumnFormula>($P$4-O6)+P6</calculatedColumnFormula>
    </tableColumn>
    <tableColumn id="17" name="MPAL2" dataDxfId="993"/>
    <tableColumn id="18" name=" AUX" dataDxfId="992"/>
    <tableColumn id="19" name=" CALDERA" dataDxfId="991"/>
    <tableColumn id="20" name="PP" dataDxfId="990"/>
    <tableColumn id="21" name="GI" dataDxfId="989"/>
    <tableColumn id="22" name="TOTAL" dataDxfId="988">
      <calculatedColumnFormula>SUM(V056_20[[#This Row],[MPAL2]:[GI]])</calculatedColumnFormula>
    </tableColumn>
    <tableColumn id="23" name="FAENA2" dataDxfId="987"/>
    <tableColumn id="24" name="ROB" dataDxfId="986">
      <calculatedColumnFormula>($X$4-V056_20[[#This Row],[TOTAL]])+V056_20[[#This Row],[FAENA2]]</calculatedColumnFormula>
    </tableColumn>
    <tableColumn id="25" name="CYLINDER MP" dataDxfId="985"/>
    <tableColumn id="26" name="FAENA EN LTS" dataDxfId="984"/>
    <tableColumn id="27" name="CYLINDER MP ROB EN LTS" dataDxfId="983">
      <calculatedColumnFormula>AA4</calculatedColumnFormula>
    </tableColumn>
    <tableColumn id="28" name="CARTER MP." dataDxfId="982"/>
    <tableColumn id="29" name="FAENA EN LTS2" dataDxfId="981"/>
    <tableColumn id="30" name="CARTER MP. ROB EN LTS" dataDxfId="980">
      <calculatedColumnFormula>($AD$4-V056_20[[#This Row],[CARTER MP.]])+V056_20[[#This Row],[FAENA EN LTS2]]</calculatedColumnFormula>
    </tableColumn>
    <tableColumn id="31" name="MOT AUX" dataDxfId="979"/>
    <tableColumn id="32" name="FAENA EN  LTS" dataDxfId="978"/>
    <tableColumn id="33" name="MOT AUX ROB EN LTS" dataDxfId="977">
      <calculatedColumnFormula>$AG$4</calculatedColumnFormula>
    </tableColumn>
    <tableColumn id="34" name="HIDRAULICO" dataDxfId="976"/>
    <tableColumn id="35" name="FAENA EN LTS3" dataDxfId="975"/>
    <tableColumn id="36" name="HIDRAULICO ROB EN LTS" dataDxfId="9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8" name="V057_20" displayName="V057_20" ref="A5:AK44" totalsRowShown="0" headerRowDxfId="971" dataDxfId="969" headerRowBorderDxfId="970" tableBorderDxfId="968">
  <tableColumns count="37">
    <tableColumn id="1" name="VIAJE" dataDxfId="967"/>
    <tableColumn id="2" name="FECHA" dataDxfId="966"/>
    <tableColumn id="3" name="HORA" dataDxfId="965"/>
    <tableColumn id="4" name="TIEMPO Hrs" dataDxfId="964"/>
    <tableColumn id="5" name="ACTIVIDAD REALIZADA" dataDxfId="963"/>
    <tableColumn id="6" name="REFERENCIA" dataDxfId="962"/>
    <tableColumn id="7" name="DISTANCIA POR CARTA" dataDxfId="961"/>
    <tableColumn id="37" name="TIEMPO DE NAVEGACION" dataDxfId="960"/>
    <tableColumn id="8" name="VELOCIDAD" dataDxfId="959">
      <calculatedColumnFormula>IF(ISERROR(V053_20[[#This Row],[DISTANCIA POR CARTA]]/V053_20[[#This Row],[TIEMPO DE NAVEGACION]]),0,V053_20[[#This Row],[DISTANCIA POR CARTA]]/V053_20[[#This Row],[TIEMPO DE NAVEGACION]])</calculatedColumnFormula>
    </tableColumn>
    <tableColumn id="9" name="BEAUFORT" dataDxfId="958"/>
    <tableColumn id="10" name="RPM" dataDxfId="957"/>
    <tableColumn id="11" name="MPAL" dataDxfId="956"/>
    <tableColumn id="12" name="AUX." dataDxfId="955"/>
    <tableColumn id="13" name="CALDERA" dataDxfId="954"/>
    <tableColumn id="14" name="TOTAL " dataDxfId="953">
      <calculatedColumnFormula>SUM(V057_20[[#This Row],[MPAL]:[CALDERA]])</calculatedColumnFormula>
    </tableColumn>
    <tableColumn id="15" name="FAENA" dataDxfId="952"/>
    <tableColumn id="16" name="ROB " dataDxfId="951">
      <calculatedColumnFormula>($P$4-O6)+P6</calculatedColumnFormula>
    </tableColumn>
    <tableColumn id="17" name="MPAL2" dataDxfId="950"/>
    <tableColumn id="18" name=" AUX" dataDxfId="949"/>
    <tableColumn id="19" name=" CALDERA" dataDxfId="948"/>
    <tableColumn id="20" name="PP" dataDxfId="947"/>
    <tableColumn id="21" name="GI" dataDxfId="946"/>
    <tableColumn id="22" name="TOTAL" dataDxfId="945">
      <calculatedColumnFormula>SUM(V057_20[[#This Row],[MPAL2]:[GI]])</calculatedColumnFormula>
    </tableColumn>
    <tableColumn id="23" name="FAENA2" dataDxfId="944"/>
    <tableColumn id="24" name="ROB" dataDxfId="943">
      <calculatedColumnFormula>($X$4-V057_20[[#This Row],[TOTAL]])+V057_20[[#This Row],[FAENA2]]</calculatedColumnFormula>
    </tableColumn>
    <tableColumn id="25" name="CYLINDER MP" dataDxfId="942"/>
    <tableColumn id="26" name="FAENA EN LTS" dataDxfId="941"/>
    <tableColumn id="27" name="CYLINDER MP ROB EN LTS" dataDxfId="940">
      <calculatedColumnFormula>AA4</calculatedColumnFormula>
    </tableColumn>
    <tableColumn id="28" name="CARTER MP." dataDxfId="939"/>
    <tableColumn id="29" name="FAENA EN LTS2" dataDxfId="938"/>
    <tableColumn id="30" name="CARTER MP. ROB EN LTS" dataDxfId="937">
      <calculatedColumnFormula>($AD$4-V057_20[[#This Row],[CARTER MP.]])+V057_20[[#This Row],[FAENA EN LTS2]]</calculatedColumnFormula>
    </tableColumn>
    <tableColumn id="31" name="MOT AUX" dataDxfId="936"/>
    <tableColumn id="32" name="FAENA EN  LTS" dataDxfId="935"/>
    <tableColumn id="33" name="MOT AUX ROB EN LTS" dataDxfId="934">
      <calculatedColumnFormula>$AG$4</calculatedColumnFormula>
    </tableColumn>
    <tableColumn id="34" name="HIDRAULICO" dataDxfId="933"/>
    <tableColumn id="35" name="FAENA EN LTS3" dataDxfId="932"/>
    <tableColumn id="36" name="HIDRAULICO ROB EN LTS" dataDxfId="93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V058_20" displayName="V058_20" ref="A5:AK52" totalsRowShown="0" headerRowDxfId="928" dataDxfId="926" headerRowBorderDxfId="927" tableBorderDxfId="925">
  <tableColumns count="37">
    <tableColumn id="1" name="VIAJE" dataDxfId="924"/>
    <tableColumn id="2" name="FECHA" dataDxfId="923"/>
    <tableColumn id="3" name="HORA" dataDxfId="922"/>
    <tableColumn id="4" name="TIEMPO Hrs" dataDxfId="921"/>
    <tableColumn id="5" name="ACTIVIDAD REALIZADA" dataDxfId="920"/>
    <tableColumn id="6" name="REFERENCIA" dataDxfId="919"/>
    <tableColumn id="7" name="DISTANCIA POR CARTA" dataDxfId="918"/>
    <tableColumn id="37" name="TIEMPO DE NAVEGACION" dataDxfId="917"/>
    <tableColumn id="8" name="VELOCIDAD" dataDxfId="916">
      <calculatedColumnFormula>IF(ISERROR(V058_20[[#This Row],[DISTANCIA POR CARTA]]/V058_20[[#This Row],[TIEMPO DE NAVEGACION]]),0,V058_20[[#This Row],[DISTANCIA POR CARTA]]/V058_20[[#This Row],[TIEMPO DE NAVEGACION]])</calculatedColumnFormula>
    </tableColumn>
    <tableColumn id="9" name="BEAUFORT" dataDxfId="915"/>
    <tableColumn id="10" name="RPM" dataDxfId="914"/>
    <tableColumn id="11" name="MPAL" dataDxfId="913"/>
    <tableColumn id="12" name="AUX." dataDxfId="912"/>
    <tableColumn id="13" name="CALDERA" dataDxfId="911"/>
    <tableColumn id="14" name="TOTAL " dataDxfId="910">
      <calculatedColumnFormula>SUM(V058_20[[#This Row],[MPAL]:[CALDERA]])</calculatedColumnFormula>
    </tableColumn>
    <tableColumn id="15" name="FAENA" dataDxfId="909"/>
    <tableColumn id="16" name="ROB " dataDxfId="908">
      <calculatedColumnFormula>($P$4-O6)+P6</calculatedColumnFormula>
    </tableColumn>
    <tableColumn id="17" name="MPAL2" dataDxfId="907"/>
    <tableColumn id="18" name=" AUX" dataDxfId="906"/>
    <tableColumn id="19" name=" CALDERA" dataDxfId="905"/>
    <tableColumn id="20" name="PP" dataDxfId="904"/>
    <tableColumn id="21" name="GI" dataDxfId="903"/>
    <tableColumn id="22" name="TOTAL" dataDxfId="902">
      <calculatedColumnFormula>SUM(V058_20[[#This Row],[MPAL2]:[GI]])</calculatedColumnFormula>
    </tableColumn>
    <tableColumn id="23" name="FAENA2" dataDxfId="901"/>
    <tableColumn id="24" name="ROB" dataDxfId="900">
      <calculatedColumnFormula>($X$4-V058_20[[#This Row],[TOTAL]])+V058_20[[#This Row],[FAENA2]]</calculatedColumnFormula>
    </tableColumn>
    <tableColumn id="25" name="CYLINDER MP" dataDxfId="899"/>
    <tableColumn id="26" name="FAENA EN LTS" dataDxfId="898"/>
    <tableColumn id="27" name="CYLINDER MP ROB EN LTS" dataDxfId="897">
      <calculatedColumnFormula>AA4</calculatedColumnFormula>
    </tableColumn>
    <tableColumn id="28" name="CARTER MP." dataDxfId="896"/>
    <tableColumn id="29" name="FAENA EN LTS2" dataDxfId="895"/>
    <tableColumn id="30" name="CARTER MP. ROB EN LTS" dataDxfId="894">
      <calculatedColumnFormula>($AD$4-V058_20[[#This Row],[CARTER MP.]])+V058_20[[#This Row],[FAENA EN LTS2]]</calculatedColumnFormula>
    </tableColumn>
    <tableColumn id="31" name="MOT AUX" dataDxfId="893"/>
    <tableColumn id="32" name="FAENA EN  LTS" dataDxfId="892"/>
    <tableColumn id="33" name="MOT AUX ROB EN LTS" dataDxfId="891">
      <calculatedColumnFormula>$AG$4</calculatedColumnFormula>
    </tableColumn>
    <tableColumn id="34" name="HIDRAULICO" dataDxfId="890"/>
    <tableColumn id="35" name="FAENA EN LTS3" dataDxfId="889"/>
    <tableColumn id="36" name="HIDRAULICO ROB EN LTS" dataDxfId="88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V059_20" displayName="V059_20" ref="A5:AK73" totalsRowShown="0" headerRowDxfId="885" dataDxfId="883" headerRowBorderDxfId="884" tableBorderDxfId="882">
  <tableColumns count="37">
    <tableColumn id="1" name="VIAJE" dataDxfId="881"/>
    <tableColumn id="2" name="FECHA" dataDxfId="880"/>
    <tableColumn id="3" name="HORA" dataDxfId="879"/>
    <tableColumn id="4" name="TIEMPO Hrs" dataDxfId="878"/>
    <tableColumn id="5" name="ACTIVIDAD REALIZADA" dataDxfId="877"/>
    <tableColumn id="6" name="REFERENCIA" dataDxfId="876"/>
    <tableColumn id="7" name="DISTANCIA POR CARTA" dataDxfId="875"/>
    <tableColumn id="37" name="TIEMPO DE NAVEGACION" dataDxfId="874"/>
    <tableColumn id="8" name="VELOCIDAD" dataDxfId="873">
      <calculatedColumnFormula>IF(ISERROR(V059_20[[#This Row],[DISTANCIA POR CARTA]]/V059_20[[#This Row],[TIEMPO DE NAVEGACION]]),0,V059_20[[#This Row],[DISTANCIA POR CARTA]]/V059_20[[#This Row],[TIEMPO DE NAVEGACION]])</calculatedColumnFormula>
    </tableColumn>
    <tableColumn id="9" name="BEAUFORT" dataDxfId="872"/>
    <tableColumn id="10" name="RPM" dataDxfId="871"/>
    <tableColumn id="11" name="MPAL" dataDxfId="870"/>
    <tableColumn id="12" name="AUX." dataDxfId="869"/>
    <tableColumn id="13" name="CALDERA" dataDxfId="868"/>
    <tableColumn id="14" name="TOTAL " dataDxfId="867">
      <calculatedColumnFormula>SUM(V059_20[[#This Row],[MPAL]:[CALDERA]])</calculatedColumnFormula>
    </tableColumn>
    <tableColumn id="15" name="FAENA" dataDxfId="866"/>
    <tableColumn id="16" name="ROB " dataDxfId="865">
      <calculatedColumnFormula>($P$4-O6)+P6</calculatedColumnFormula>
    </tableColumn>
    <tableColumn id="17" name="MPAL2" dataDxfId="864"/>
    <tableColumn id="18" name=" AUX" dataDxfId="863"/>
    <tableColumn id="19" name=" CALDERA" dataDxfId="862"/>
    <tableColumn id="20" name="PP" dataDxfId="861"/>
    <tableColumn id="21" name="GI" dataDxfId="860"/>
    <tableColumn id="22" name="TOTAL" dataDxfId="859">
      <calculatedColumnFormula>SUM(V059_20[[#This Row],[MPAL2]:[GI]])</calculatedColumnFormula>
    </tableColumn>
    <tableColumn id="23" name="FAENA2" dataDxfId="858"/>
    <tableColumn id="24" name="ROB" dataDxfId="857">
      <calculatedColumnFormula>($X$4-V059_20[[#This Row],[TOTAL]])+V059_20[[#This Row],[FAENA2]]</calculatedColumnFormula>
    </tableColumn>
    <tableColumn id="25" name="CYLINDER MP" dataDxfId="856"/>
    <tableColumn id="26" name="FAENA EN LTS" dataDxfId="855"/>
    <tableColumn id="27" name="CYLINDER MP ROB EN LTS" dataDxfId="854">
      <calculatedColumnFormula>AA4</calculatedColumnFormula>
    </tableColumn>
    <tableColumn id="28" name="CARTER MP." dataDxfId="853"/>
    <tableColumn id="29" name="FAENA EN LTS2" dataDxfId="852"/>
    <tableColumn id="30" name="CARTER MP. ROB EN LTS" dataDxfId="851">
      <calculatedColumnFormula>($AD$4-V059_20[[#This Row],[CARTER MP.]])+V059_20[[#This Row],[FAENA EN LTS2]]</calculatedColumnFormula>
    </tableColumn>
    <tableColumn id="31" name="MOT AUX" dataDxfId="850"/>
    <tableColumn id="32" name="FAENA EN  LTS" dataDxfId="849"/>
    <tableColumn id="33" name="MOT AUX ROB EN LTS" dataDxfId="848">
      <calculatedColumnFormula>$AG$4</calculatedColumnFormula>
    </tableColumn>
    <tableColumn id="34" name="HIDRAULICO" dataDxfId="847"/>
    <tableColumn id="35" name="FAENA EN LTS3" dataDxfId="846"/>
    <tableColumn id="36" name="HIDRAULICO ROB EN LTS" dataDxfId="84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7" name="V060_20" displayName="V060_20" ref="A5:AK58" totalsRowShown="0" headerRowDxfId="841" dataDxfId="839" headerRowBorderDxfId="840" tableBorderDxfId="838">
  <tableColumns count="37">
    <tableColumn id="1" name="VIAJE" dataDxfId="837"/>
    <tableColumn id="2" name="FECHA" dataDxfId="836"/>
    <tableColumn id="3" name="HORA" dataDxfId="835"/>
    <tableColumn id="4" name="TIEMPO Hrs" dataDxfId="834"/>
    <tableColumn id="5" name="ACTIVIDAD REALIZADA" dataDxfId="833"/>
    <tableColumn id="6" name="REFERENCIA" dataDxfId="832"/>
    <tableColumn id="7" name="DISTANCIA POR CARTA" dataDxfId="831"/>
    <tableColumn id="37" name="TIEMPO DE NAVEGACION" dataDxfId="830"/>
    <tableColumn id="8" name="VELOCIDAD" dataDxfId="829">
      <calculatedColumnFormula>IF(ISERROR(V060_20[[#This Row],[DISTANCIA POR CARTA]]/V060_20[[#This Row],[TIEMPO DE NAVEGACION]]),0,V060_20[[#This Row],[DISTANCIA POR CARTA]]/V060_20[[#This Row],[TIEMPO DE NAVEGACION]])</calculatedColumnFormula>
    </tableColumn>
    <tableColumn id="9" name="BEAUFORT" dataDxfId="828"/>
    <tableColumn id="10" name="RPM" dataDxfId="827"/>
    <tableColumn id="11" name="MPAL" dataDxfId="826"/>
    <tableColumn id="12" name="AUX." dataDxfId="825"/>
    <tableColumn id="13" name="CALDERA" dataDxfId="824"/>
    <tableColumn id="14" name="TOTAL " dataDxfId="823">
      <calculatedColumnFormula>SUM(V060_20[[#This Row],[MPAL]:[CALDERA]])</calculatedColumnFormula>
    </tableColumn>
    <tableColumn id="15" name="FAENA" dataDxfId="822"/>
    <tableColumn id="16" name="ROB " dataDxfId="821">
      <calculatedColumnFormula>($P$4-O6)+P6</calculatedColumnFormula>
    </tableColumn>
    <tableColumn id="17" name="MPAL2" dataDxfId="820"/>
    <tableColumn id="18" name=" AUX" dataDxfId="819"/>
    <tableColumn id="19" name=" CALDERA" dataDxfId="818"/>
    <tableColumn id="20" name="PP" dataDxfId="817"/>
    <tableColumn id="21" name="GI" dataDxfId="816"/>
    <tableColumn id="22" name="TOTAL" dataDxfId="815">
      <calculatedColumnFormula>SUM(V060_20[[#This Row],[MPAL2]:[GI]])</calculatedColumnFormula>
    </tableColumn>
    <tableColumn id="23" name="FAENA2" dataDxfId="814"/>
    <tableColumn id="24" name="ROB" dataDxfId="813">
      <calculatedColumnFormula>($X$4-V060_20[[#This Row],[TOTAL]])+V060_20[[#This Row],[FAENA2]]</calculatedColumnFormula>
    </tableColumn>
    <tableColumn id="25" name="CYLINDER MP" dataDxfId="812"/>
    <tableColumn id="26" name="FAENA EN LTS" dataDxfId="811"/>
    <tableColumn id="27" name="CYLINDER MP ROB EN LTS" dataDxfId="810">
      <calculatedColumnFormula>AA4</calculatedColumnFormula>
    </tableColumn>
    <tableColumn id="28" name="CARTER MP." dataDxfId="809"/>
    <tableColumn id="29" name="FAENA EN LTS2" dataDxfId="808"/>
    <tableColumn id="30" name="CARTER MP. ROB EN LTS" dataDxfId="807">
      <calculatedColumnFormula>($AD$4-V060_20[[#This Row],[CARTER MP.]])+V060_20[[#This Row],[FAENA EN LTS2]]</calculatedColumnFormula>
    </tableColumn>
    <tableColumn id="31" name="MOT AUX" dataDxfId="806"/>
    <tableColumn id="32" name="FAENA EN  LTS" dataDxfId="805"/>
    <tableColumn id="33" name="MOT AUX ROB EN LTS" dataDxfId="804">
      <calculatedColumnFormula>$AG$4</calculatedColumnFormula>
    </tableColumn>
    <tableColumn id="34" name="HIDRAULICO" dataDxfId="803"/>
    <tableColumn id="35" name="FAENA EN LTS3" dataDxfId="802"/>
    <tableColumn id="36" name="HIDRAULICO ROB EN LTS" dataDxfId="80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1" name="V061_20" displayName="V061_20" ref="A5:AK40" totalsRowShown="0" headerRowDxfId="798" dataDxfId="796" headerRowBorderDxfId="797" tableBorderDxfId="795">
  <tableColumns count="37">
    <tableColumn id="1" name="VIAJE" dataDxfId="794"/>
    <tableColumn id="2" name="FECHA" dataDxfId="793"/>
    <tableColumn id="3" name="HORA" dataDxfId="792"/>
    <tableColumn id="4" name="TIEMPO Hrs" dataDxfId="791"/>
    <tableColumn id="5" name="ACTIVIDAD REALIZADA" dataDxfId="790"/>
    <tableColumn id="6" name="REFERENCIA" dataDxfId="789"/>
    <tableColumn id="7" name="DISTANCIA POR CARTA" dataDxfId="788"/>
    <tableColumn id="37" name="TIEMPO DE NAVEGACION" dataDxfId="787"/>
    <tableColumn id="8" name="VELOCIDAD" dataDxfId="786">
      <calculatedColumnFormula>IF(ISERROR(V061_20[[#This Row],[DISTANCIA POR CARTA]]/V061_20[[#This Row],[TIEMPO DE NAVEGACION]]),0,V061_20[[#This Row],[DISTANCIA POR CARTA]]/V061_20[[#This Row],[TIEMPO DE NAVEGACION]])</calculatedColumnFormula>
    </tableColumn>
    <tableColumn id="9" name="BEAUFORT" dataDxfId="785"/>
    <tableColumn id="10" name="RPM" dataDxfId="784"/>
    <tableColumn id="11" name="MPAL" dataDxfId="783"/>
    <tableColumn id="12" name="AUX." dataDxfId="782"/>
    <tableColumn id="13" name="CALDERA" dataDxfId="781"/>
    <tableColumn id="14" name="TOTAL " dataDxfId="780">
      <calculatedColumnFormula>SUM(V061_20[[#This Row],[MPAL]:[CALDERA]])</calculatedColumnFormula>
    </tableColumn>
    <tableColumn id="15" name="FAENA" dataDxfId="779"/>
    <tableColumn id="16" name="ROB " dataDxfId="778">
      <calculatedColumnFormula>($P$4-O6)+P6</calculatedColumnFormula>
    </tableColumn>
    <tableColumn id="17" name="MPAL2" dataDxfId="777"/>
    <tableColumn id="18" name=" AUX" dataDxfId="776"/>
    <tableColumn id="19" name=" CALDERA" dataDxfId="775"/>
    <tableColumn id="20" name="PP" dataDxfId="774"/>
    <tableColumn id="21" name="GI" dataDxfId="773"/>
    <tableColumn id="22" name="TOTAL" dataDxfId="772">
      <calculatedColumnFormula>SUM(V061_20[[#This Row],[MPAL2]:[GI]])</calculatedColumnFormula>
    </tableColumn>
    <tableColumn id="23" name="FAENA2" dataDxfId="771"/>
    <tableColumn id="24" name="ROB" dataDxfId="770">
      <calculatedColumnFormula>($X$4-V061_20[[#This Row],[TOTAL]])+V061_20[[#This Row],[FAENA2]]</calculatedColumnFormula>
    </tableColumn>
    <tableColumn id="25" name="CYLINDER MP" dataDxfId="769"/>
    <tableColumn id="26" name="FAENA EN LTS" dataDxfId="768"/>
    <tableColumn id="27" name="CYLINDER MP ROB EN LTS" dataDxfId="767">
      <calculatedColumnFormula>AA4</calculatedColumnFormula>
    </tableColumn>
    <tableColumn id="28" name="CARTER MP." dataDxfId="766"/>
    <tableColumn id="29" name="FAENA EN LTS2" dataDxfId="765"/>
    <tableColumn id="30" name="CARTER MP. ROB EN LTS" dataDxfId="764">
      <calculatedColumnFormula>($AD$4-V061_20[[#This Row],[CARTER MP.]])+V061_20[[#This Row],[FAENA EN LTS2]]</calculatedColumnFormula>
    </tableColumn>
    <tableColumn id="31" name="MOT AUX" dataDxfId="763"/>
    <tableColumn id="32" name="FAENA EN  LTS" dataDxfId="762"/>
    <tableColumn id="33" name="MOT AUX ROB EN LTS" dataDxfId="761">
      <calculatedColumnFormula>$AG$4</calculatedColumnFormula>
    </tableColumn>
    <tableColumn id="34" name="HIDRAULICO" dataDxfId="760"/>
    <tableColumn id="35" name="FAENA EN LTS3" dataDxfId="759"/>
    <tableColumn id="36" name="HIDRAULICO ROB EN LTS" dataDxfId="75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2" name="V062_20" displayName="V062_20" ref="A5:AK34" totalsRowShown="0" headerRowDxfId="755" dataDxfId="753" headerRowBorderDxfId="754" tableBorderDxfId="752">
  <tableColumns count="37">
    <tableColumn id="1" name="VIAJE" dataDxfId="751"/>
    <tableColumn id="2" name="FECHA" dataDxfId="750"/>
    <tableColumn id="3" name="HORA" dataDxfId="749"/>
    <tableColumn id="4" name="TIEMPO Hrs" dataDxfId="748"/>
    <tableColumn id="5" name="ACTIVIDAD REALIZADA" dataDxfId="747"/>
    <tableColumn id="6" name="REFERENCIA" dataDxfId="746"/>
    <tableColumn id="7" name="DISTANCIA POR CARTA" dataDxfId="745"/>
    <tableColumn id="37" name="TIEMPO DE NAVEGACION" dataDxfId="744"/>
    <tableColumn id="8" name="VELOCIDAD" dataDxfId="743">
      <calculatedColumnFormula>IF(ISERROR(V062_20[[#This Row],[DISTANCIA POR CARTA]]/V062_20[[#This Row],[TIEMPO DE NAVEGACION]]),0,V062_20[[#This Row],[DISTANCIA POR CARTA]]/V062_20[[#This Row],[TIEMPO DE NAVEGACION]])</calculatedColumnFormula>
    </tableColumn>
    <tableColumn id="9" name="BEAUFORT" dataDxfId="742"/>
    <tableColumn id="10" name="RPM" dataDxfId="741"/>
    <tableColumn id="11" name="MPAL" dataDxfId="740"/>
    <tableColumn id="12" name="AUX." dataDxfId="739"/>
    <tableColumn id="13" name="CALDERA" dataDxfId="738"/>
    <tableColumn id="14" name="TOTAL " dataDxfId="737">
      <calculatedColumnFormula>SUM(V062_20[[#This Row],[MPAL]:[CALDERA]])</calculatedColumnFormula>
    </tableColumn>
    <tableColumn id="15" name="FAENA" dataDxfId="736"/>
    <tableColumn id="16" name="ROB " dataDxfId="735">
      <calculatedColumnFormula>($P$4-O6)+P6</calculatedColumnFormula>
    </tableColumn>
    <tableColumn id="17" name="MPAL2" dataDxfId="734"/>
    <tableColumn id="18" name=" AUX" dataDxfId="733"/>
    <tableColumn id="19" name=" CALDERA" dataDxfId="732"/>
    <tableColumn id="20" name="PP" dataDxfId="731"/>
    <tableColumn id="21" name="GI" dataDxfId="730"/>
    <tableColumn id="22" name="TOTAL" dataDxfId="729">
      <calculatedColumnFormula>SUM(V062_20[[#This Row],[MPAL2]:[GI]])</calculatedColumnFormula>
    </tableColumn>
    <tableColumn id="23" name="FAENA2" dataDxfId="728"/>
    <tableColumn id="24" name="ROB" dataDxfId="727">
      <calculatedColumnFormula>($X$4-V062_20[[#This Row],[TOTAL]])+V062_20[[#This Row],[FAENA2]]</calculatedColumnFormula>
    </tableColumn>
    <tableColumn id="25" name="CYLINDER MP" dataDxfId="726"/>
    <tableColumn id="26" name="FAENA EN LTS" dataDxfId="725"/>
    <tableColumn id="27" name="CYLINDER MP ROB EN LTS" dataDxfId="724">
      <calculatedColumnFormula>AA4</calculatedColumnFormula>
    </tableColumn>
    <tableColumn id="28" name="CARTER MP." dataDxfId="723"/>
    <tableColumn id="29" name="FAENA EN LTS2" dataDxfId="722"/>
    <tableColumn id="30" name="CARTER MP. ROB EN LTS" dataDxfId="721">
      <calculatedColumnFormula>($AD$4-V062_20[[#This Row],[CARTER MP.]])+V062_20[[#This Row],[FAENA EN LTS2]]</calculatedColumnFormula>
    </tableColumn>
    <tableColumn id="31" name="MOT AUX" dataDxfId="720"/>
    <tableColumn id="32" name="FAENA EN  LTS" dataDxfId="719"/>
    <tableColumn id="33" name="MOT AUX ROB EN LTS" dataDxfId="718">
      <calculatedColumnFormula>$AG$4</calculatedColumnFormula>
    </tableColumn>
    <tableColumn id="34" name="HIDRAULICO" dataDxfId="717"/>
    <tableColumn id="35" name="FAENA EN LTS3" dataDxfId="716"/>
    <tableColumn id="36" name="HIDRAULICO ROB EN LTS" dataDxfId="715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27" name="V062A_20" displayName="V062A_20" ref="A5:AK73" totalsRowShown="0" headerRowDxfId="709" dataDxfId="707" headerRowBorderDxfId="708" tableBorderDxfId="706">
  <tableColumns count="37">
    <tableColumn id="1" name="VIAJE" dataDxfId="705"/>
    <tableColumn id="2" name="FECHA" dataDxfId="704"/>
    <tableColumn id="3" name="HORA" dataDxfId="703"/>
    <tableColumn id="4" name="TIEMPO Hrs" dataDxfId="702"/>
    <tableColumn id="5" name="ACTIVIDAD REALIZADA" dataDxfId="701"/>
    <tableColumn id="6" name="REFERENCIA" dataDxfId="700"/>
    <tableColumn id="7" name="DISTANCIA POR CARTA" dataDxfId="699"/>
    <tableColumn id="37" name="TIEMPO DE NAVEGACION" dataDxfId="698"/>
    <tableColumn id="8" name="VELOCIDAD" dataDxfId="697">
      <calculatedColumnFormula>IF(ISERROR(V062A_20[[#This Row],[DISTANCIA POR CARTA]]/V062A_20[[#This Row],[TIEMPO DE NAVEGACION]]),0,V062A_20[[#This Row],[DISTANCIA POR CARTA]]/V062A_20[[#This Row],[TIEMPO DE NAVEGACION]])</calculatedColumnFormula>
    </tableColumn>
    <tableColumn id="9" name="BEAUFORT" dataDxfId="696"/>
    <tableColumn id="10" name="RPM" dataDxfId="695"/>
    <tableColumn id="11" name="MPAL" dataDxfId="694"/>
    <tableColumn id="12" name="AUX." dataDxfId="693"/>
    <tableColumn id="13" name="CALDERA" dataDxfId="692"/>
    <tableColumn id="14" name="TOTAL " dataDxfId="691">
      <calculatedColumnFormula>SUM(V062A_20[[#This Row],[MPAL]:[CALDERA]])</calculatedColumnFormula>
    </tableColumn>
    <tableColumn id="15" name="FAENA" dataDxfId="690"/>
    <tableColumn id="16" name="ROB " dataDxfId="689">
      <calculatedColumnFormula>($P$4-O6)+P6</calculatedColumnFormula>
    </tableColumn>
    <tableColumn id="17" name="MPAL2" dataDxfId="688"/>
    <tableColumn id="18" name=" AUX" dataDxfId="687"/>
    <tableColumn id="19" name=" CALDERA" dataDxfId="686"/>
    <tableColumn id="20" name="PP" dataDxfId="685"/>
    <tableColumn id="21" name="GI" dataDxfId="684"/>
    <tableColumn id="22" name="TOTAL" dataDxfId="683">
      <calculatedColumnFormula>SUM(V062A_20[[#This Row],[MPAL2]:[GI]])</calculatedColumnFormula>
    </tableColumn>
    <tableColumn id="23" name="FAENA2" dataDxfId="682"/>
    <tableColumn id="24" name="ROB" dataDxfId="681">
      <calculatedColumnFormula>($X$4-V062A_20[[#This Row],[TOTAL]])+V062A_20[[#This Row],[FAENA2]]</calculatedColumnFormula>
    </tableColumn>
    <tableColumn id="25" name="CYLINDER MP" dataDxfId="680"/>
    <tableColumn id="26" name="FAENA EN LTS" dataDxfId="679"/>
    <tableColumn id="27" name="CYLINDER MP ROB EN LTS" dataDxfId="678">
      <calculatedColumnFormula>AA4</calculatedColumnFormula>
    </tableColumn>
    <tableColumn id="28" name="CARTER MP." dataDxfId="677"/>
    <tableColumn id="29" name="FAENA EN LTS2" dataDxfId="676"/>
    <tableColumn id="30" name="CARTER MP. ROB EN LTS" dataDxfId="675">
      <calculatedColumnFormula>($AD$4-V062A_20[[#This Row],[CARTER MP.]])+V062A_20[[#This Row],[FAENA EN LTS2]]</calculatedColumnFormula>
    </tableColumn>
    <tableColumn id="31" name="MOT AUX" dataDxfId="674"/>
    <tableColumn id="32" name="FAENA EN  LTS" dataDxfId="673"/>
    <tableColumn id="33" name="MOT AUX ROB EN LTS" dataDxfId="672">
      <calculatedColumnFormula>$AG$4</calculatedColumnFormula>
    </tableColumn>
    <tableColumn id="34" name="HIDRAULICO" dataDxfId="671"/>
    <tableColumn id="35" name="FAENA EN LTS3" dataDxfId="670"/>
    <tableColumn id="36" name="HIDRAULICO ROB EN LTS" dataDxfId="669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29" name="V062A_2030" displayName="V062A_2030" ref="A5:AK73" totalsRowShown="0" headerRowDxfId="663" dataDxfId="661" headerRowBorderDxfId="662" tableBorderDxfId="660">
  <tableColumns count="37">
    <tableColumn id="1" name="VIAJE" dataDxfId="659"/>
    <tableColumn id="2" name="FECHA" dataDxfId="658"/>
    <tableColumn id="3" name="HORA" dataDxfId="657"/>
    <tableColumn id="4" name="TIEMPO Hrs" dataDxfId="656"/>
    <tableColumn id="5" name="ACTIVIDAD REALIZADA" dataDxfId="655"/>
    <tableColumn id="6" name="REFERENCIA" dataDxfId="654"/>
    <tableColumn id="7" name="DISTANCIA POR CARTA" dataDxfId="653"/>
    <tableColumn id="37" name="TIEMPO DE NAVEGACION" dataDxfId="652"/>
    <tableColumn id="8" name="VELOCIDAD" dataDxfId="651">
      <calculatedColumnFormula>IF(ISERROR(V062A_2030[[#This Row],[DISTANCIA POR CARTA]]/V062A_2030[[#This Row],[TIEMPO DE NAVEGACION]]),0,V062A_2030[[#This Row],[DISTANCIA POR CARTA]]/V062A_2030[[#This Row],[TIEMPO DE NAVEGACION]])</calculatedColumnFormula>
    </tableColumn>
    <tableColumn id="9" name="BEAUFORT" dataDxfId="650"/>
    <tableColumn id="10" name="RPM" dataDxfId="649"/>
    <tableColumn id="11" name="MPAL" dataDxfId="648"/>
    <tableColumn id="12" name="AUX." dataDxfId="647"/>
    <tableColumn id="13" name="CALDERA" dataDxfId="646"/>
    <tableColumn id="14" name="TOTAL " dataDxfId="645">
      <calculatedColumnFormula>SUM(V062A_2030[[#This Row],[MPAL]:[CALDERA]])</calculatedColumnFormula>
    </tableColumn>
    <tableColumn id="15" name="FAENA" dataDxfId="644"/>
    <tableColumn id="16" name="ROB " dataDxfId="643">
      <calculatedColumnFormula>($P$4-O6)+P6</calculatedColumnFormula>
    </tableColumn>
    <tableColumn id="17" name="MPAL2" dataDxfId="642"/>
    <tableColumn id="18" name=" AUX" dataDxfId="641"/>
    <tableColumn id="19" name=" CALDERA" dataDxfId="640"/>
    <tableColumn id="20" name="PP" dataDxfId="639"/>
    <tableColumn id="21" name="GI" dataDxfId="638"/>
    <tableColumn id="22" name="TOTAL" dataDxfId="637">
      <calculatedColumnFormula>SUM(V062A_2030[[#This Row],[MPAL2]:[GI]])</calculatedColumnFormula>
    </tableColumn>
    <tableColumn id="23" name="FAENA2" dataDxfId="636"/>
    <tableColumn id="24" name="ROB" dataDxfId="635">
      <calculatedColumnFormula>($X$4-V062A_2030[[#This Row],[TOTAL]])+V062A_2030[[#This Row],[FAENA2]]</calculatedColumnFormula>
    </tableColumn>
    <tableColumn id="25" name="CYLINDER MP" dataDxfId="634"/>
    <tableColumn id="26" name="FAENA EN LTS" dataDxfId="633"/>
    <tableColumn id="27" name="CYLINDER MP ROB EN LTS" dataDxfId="632">
      <calculatedColumnFormula>AA4</calculatedColumnFormula>
    </tableColumn>
    <tableColumn id="28" name="CARTER MP." dataDxfId="631"/>
    <tableColumn id="29" name="FAENA EN LTS2" dataDxfId="630"/>
    <tableColumn id="30" name="CARTER MP. ROB EN LTS" dataDxfId="629">
      <calculatedColumnFormula>($AD$4-V062A_2030[[#This Row],[CARTER MP.]])+V062A_2030[[#This Row],[FAENA EN LTS2]]</calculatedColumnFormula>
    </tableColumn>
    <tableColumn id="31" name="MOT AUX" dataDxfId="628"/>
    <tableColumn id="32" name="FAENA EN  LTS" dataDxfId="627"/>
    <tableColumn id="33" name="MOT AUX ROB EN LTS" dataDxfId="626">
      <calculatedColumnFormula>$AG$4</calculatedColumnFormula>
    </tableColumn>
    <tableColumn id="34" name="HIDRAULICO" dataDxfId="625"/>
    <tableColumn id="35" name="FAENA EN LTS3" dataDxfId="624"/>
    <tableColumn id="36" name="HIDRAULICO ROB EN LTS" dataDxfId="62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30" name="V062A_203031" displayName="V062A_203031" ref="A5:AK73" totalsRowShown="0" headerRowDxfId="617" dataDxfId="615" headerRowBorderDxfId="616" tableBorderDxfId="614">
  <tableColumns count="37">
    <tableColumn id="1" name="VIAJE" dataDxfId="613"/>
    <tableColumn id="2" name="FECHA" dataDxfId="612"/>
    <tableColumn id="3" name="HORA" dataDxfId="611"/>
    <tableColumn id="4" name="TIEMPO Hrs" dataDxfId="610"/>
    <tableColumn id="5" name="ACTIVIDAD REALIZADA" dataDxfId="609"/>
    <tableColumn id="6" name="REFERENCIA" dataDxfId="608"/>
    <tableColumn id="7" name="DISTANCIA POR CARTA" dataDxfId="607"/>
    <tableColumn id="37" name="TIEMPO DE NAVEGACION" dataDxfId="606"/>
    <tableColumn id="8" name="VELOCIDAD" dataDxfId="605">
      <calculatedColumnFormula>IF(ISERROR(V062A_203031[[#This Row],[DISTANCIA POR CARTA]]/V062A_203031[[#This Row],[TIEMPO DE NAVEGACION]]),0,V062A_203031[[#This Row],[DISTANCIA POR CARTA]]/V062A_203031[[#This Row],[TIEMPO DE NAVEGACION]])</calculatedColumnFormula>
    </tableColumn>
    <tableColumn id="9" name="BEAUFORT" dataDxfId="604"/>
    <tableColumn id="10" name="RPM" dataDxfId="603"/>
    <tableColumn id="11" name="MPAL" dataDxfId="602"/>
    <tableColumn id="12" name="AUX." dataDxfId="601"/>
    <tableColumn id="13" name="CALDERA" dataDxfId="600"/>
    <tableColumn id="14" name="TOTAL " dataDxfId="599">
      <calculatedColumnFormula>SUM(V062A_203031[[#This Row],[MPAL]]+V062A_203031[[#This Row],[AUX.]]+V062A_203031[[#This Row],[CALDERA]])</calculatedColumnFormula>
    </tableColumn>
    <tableColumn id="15" name="FAENA" dataDxfId="598"/>
    <tableColumn id="16" name="ROB " dataDxfId="597">
      <calculatedColumnFormula>($P$4-O6)+P6</calculatedColumnFormula>
    </tableColumn>
    <tableColumn id="17" name="MPAL2" dataDxfId="596"/>
    <tableColumn id="18" name=" AUX" dataDxfId="595"/>
    <tableColumn id="19" name=" CALDERA" dataDxfId="594"/>
    <tableColumn id="20" name="PP" dataDxfId="593"/>
    <tableColumn id="21" name="GI" dataDxfId="592"/>
    <tableColumn id="22" name="TOTAL" dataDxfId="591">
      <calculatedColumnFormula>SUM(V062A_203031[[#This Row],[MPAL2]:[GI]])</calculatedColumnFormula>
    </tableColumn>
    <tableColumn id="23" name="FAENA2" dataDxfId="590"/>
    <tableColumn id="24" name="ROB" dataDxfId="589">
      <calculatedColumnFormula>($X$4-V062A_203031[[#This Row],[TOTAL]])+V062A_203031[[#This Row],[FAENA2]]</calculatedColumnFormula>
    </tableColumn>
    <tableColumn id="25" name="CYLINDER MP" dataDxfId="588"/>
    <tableColumn id="26" name="FAENA EN LTS" dataDxfId="587"/>
    <tableColumn id="27" name="CYLINDER MP ROB EN LTS" dataDxfId="586">
      <calculatedColumnFormula>AA4</calculatedColumnFormula>
    </tableColumn>
    <tableColumn id="28" name="CARTER MP." dataDxfId="585"/>
    <tableColumn id="29" name="FAENA EN LTS2" dataDxfId="584"/>
    <tableColumn id="30" name="CARTER MP. ROB EN LTS" dataDxfId="583">
      <calculatedColumnFormula>($AD$4-V062A_203031[[#This Row],[CARTER MP.]])+V062A_203031[[#This Row],[FAENA EN LTS2]]</calculatedColumnFormula>
    </tableColumn>
    <tableColumn id="31" name="MOT AUX" dataDxfId="582"/>
    <tableColumn id="32" name="FAENA EN  LTS" dataDxfId="581"/>
    <tableColumn id="33" name="MOT AUX ROB EN LTS" dataDxfId="580">
      <calculatedColumnFormula>$AG$4</calculatedColumnFormula>
    </tableColumn>
    <tableColumn id="34" name="HIDRAULICO" dataDxfId="579"/>
    <tableColumn id="35" name="FAENA EN LTS3" dataDxfId="578"/>
    <tableColumn id="36" name="HIDRAULICO ROB EN LTS" dataDxfId="577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32" name="V062A_20303133" displayName="V062A_20303133" ref="A5:AK90" totalsRowShown="0" headerRowDxfId="569" dataDxfId="567" headerRowBorderDxfId="568" tableBorderDxfId="566">
  <tableColumns count="37">
    <tableColumn id="1" name="VIAJE" dataDxfId="565"/>
    <tableColumn id="2" name="FECHA" dataDxfId="564"/>
    <tableColumn id="3" name="HORA" dataDxfId="563"/>
    <tableColumn id="4" name="TIEMPO Hrs" dataDxfId="562"/>
    <tableColumn id="5" name="ACTIVIDAD REALIZADA" dataDxfId="561"/>
    <tableColumn id="6" name="REFERENCIA" dataDxfId="560"/>
    <tableColumn id="7" name="DISTANCIA POR CARTA" dataDxfId="559"/>
    <tableColumn id="37" name="TIEMPO DE NAVEGACION" dataDxfId="558"/>
    <tableColumn id="8" name="VELOCIDAD" dataDxfId="557">
      <calculatedColumnFormula>IF(ISERROR(V062A_20303133[[#This Row],[DISTANCIA POR CARTA]]/V062A_20303133[[#This Row],[TIEMPO DE NAVEGACION]]),0,V062A_20303133[[#This Row],[DISTANCIA POR CARTA]]/V062A_20303133[[#This Row],[TIEMPO DE NAVEGACION]])</calculatedColumnFormula>
    </tableColumn>
    <tableColumn id="9" name="BEAUFORT" dataDxfId="556"/>
    <tableColumn id="10" name="RPM" dataDxfId="555"/>
    <tableColumn id="11" name="MPAL" dataDxfId="554"/>
    <tableColumn id="12" name="AUX." dataDxfId="553"/>
    <tableColumn id="13" name="CALDERA" dataDxfId="552"/>
    <tableColumn id="14" name="TOTAL " dataDxfId="551">
      <calculatedColumnFormula>SUM(V062A_20303133[[#This Row],[MPAL]]+V062A_20303133[[#This Row],[AUX.]]+V062A_20303133[[#This Row],[CALDERA]])</calculatedColumnFormula>
    </tableColumn>
    <tableColumn id="15" name="FAENA" dataDxfId="550"/>
    <tableColumn id="16" name="ROB " dataDxfId="549">
      <calculatedColumnFormula>($P$4-O6)+P6</calculatedColumnFormula>
    </tableColumn>
    <tableColumn id="17" name="MPAL2" dataDxfId="548"/>
    <tableColumn id="18" name=" AUX" dataDxfId="547"/>
    <tableColumn id="19" name=" CALDERA" dataDxfId="546"/>
    <tableColumn id="20" name="PP" dataDxfId="545"/>
    <tableColumn id="21" name="GI" dataDxfId="544"/>
    <tableColumn id="22" name="TOTAL" dataDxfId="543">
      <calculatedColumnFormula>SUM(V062A_20303133[[#This Row],[MPAL2]:[GI]])</calculatedColumnFormula>
    </tableColumn>
    <tableColumn id="23" name="FAENA2" dataDxfId="542"/>
    <tableColumn id="24" name="ROB" dataDxfId="541">
      <calculatedColumnFormula>($X$4-V062A_20303133[[#This Row],[TOTAL]])+V062A_20303133[[#This Row],[FAENA2]]</calculatedColumnFormula>
    </tableColumn>
    <tableColumn id="25" name="CYLINDER MP" dataDxfId="540"/>
    <tableColumn id="26" name="FAENA EN LTS" dataDxfId="539"/>
    <tableColumn id="27" name="CYLINDER MP ROB EN LTS" dataDxfId="538">
      <calculatedColumnFormula>AA4</calculatedColumnFormula>
    </tableColumn>
    <tableColumn id="28" name="CARTER MP." dataDxfId="537"/>
    <tableColumn id="29" name="FAENA EN LTS2" dataDxfId="536"/>
    <tableColumn id="30" name="CARTER MP. ROB EN LTS" dataDxfId="535">
      <calculatedColumnFormula>($AD$4-V062A_20303133[[#This Row],[CARTER MP.]])+V062A_20303133[[#This Row],[FAENA EN LTS2]]</calculatedColumnFormula>
    </tableColumn>
    <tableColumn id="31" name="MOT AUX" dataDxfId="534"/>
    <tableColumn id="32" name="FAENA EN  LTS" dataDxfId="533"/>
    <tableColumn id="33" name="MOT AUX ROB EN LTS" dataDxfId="532">
      <calculatedColumnFormula>$AG$4</calculatedColumnFormula>
    </tableColumn>
    <tableColumn id="34" name="HIDRAULICO" dataDxfId="531"/>
    <tableColumn id="35" name="FAENA EN LTS3" dataDxfId="530"/>
    <tableColumn id="36" name="HIDRAULICO ROB EN LTS" dataDxfId="52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33" name="V062A_2030313334" displayName="V062A_2030313334" ref="A5:AK121" totalsRowShown="0" headerRowDxfId="517" dataDxfId="515" headerRowBorderDxfId="516" tableBorderDxfId="514">
  <tableColumns count="37">
    <tableColumn id="1" name="VIAJE" dataDxfId="513"/>
    <tableColumn id="2" name="FECHA" dataDxfId="512"/>
    <tableColumn id="3" name="HORA" dataDxfId="511"/>
    <tableColumn id="4" name="TIEMPO Hrs" dataDxfId="510"/>
    <tableColumn id="5" name="ACTIVIDAD REALIZADA" dataDxfId="509"/>
    <tableColumn id="6" name="REFERENCIA" dataDxfId="508"/>
    <tableColumn id="7" name="DISTANCIA POR CARTA" dataDxfId="507"/>
    <tableColumn id="37" name="TIEMPO DE NAVEGACION" dataDxfId="506"/>
    <tableColumn id="8" name="VELOCIDAD" dataDxfId="505">
      <calculatedColumnFormula>IF(ISERROR(V062A_2030313334[[#This Row],[DISTANCIA POR CARTA]]/V062A_2030313334[[#This Row],[TIEMPO DE NAVEGACION]]),0,V062A_2030313334[[#This Row],[DISTANCIA POR CARTA]]/V062A_2030313334[[#This Row],[TIEMPO DE NAVEGACION]])</calculatedColumnFormula>
    </tableColumn>
    <tableColumn id="9" name="BEAUFORT" dataDxfId="504"/>
    <tableColumn id="10" name="RPM" dataDxfId="503"/>
    <tableColumn id="11" name="MPAL" dataDxfId="502"/>
    <tableColumn id="12" name="AUX." dataDxfId="501"/>
    <tableColumn id="13" name="CALDERA" dataDxfId="500"/>
    <tableColumn id="14" name="TOTAL " dataDxfId="499">
      <calculatedColumnFormula>SUM(V062A_2030313334[[#This Row],[MPAL]]+V062A_2030313334[[#This Row],[AUX.]]+V062A_2030313334[[#This Row],[CALDERA]])</calculatedColumnFormula>
    </tableColumn>
    <tableColumn id="15" name="FAENA" dataDxfId="498"/>
    <tableColumn id="16" name="ROB " dataDxfId="497">
      <calculatedColumnFormula>($P$4-O6)+P6</calculatedColumnFormula>
    </tableColumn>
    <tableColumn id="17" name="MPAL2" dataDxfId="496"/>
    <tableColumn id="18" name=" AUX" dataDxfId="495"/>
    <tableColumn id="19" name=" CALDERA" dataDxfId="494"/>
    <tableColumn id="20" name="PP" dataDxfId="493"/>
    <tableColumn id="21" name="GI" dataDxfId="492"/>
    <tableColumn id="22" name="TOTAL" dataDxfId="491">
      <calculatedColumnFormula>SUM(V062A_2030313334[[#This Row],[MPAL2]:[GI]])</calculatedColumnFormula>
    </tableColumn>
    <tableColumn id="23" name="FAENA2" dataDxfId="490"/>
    <tableColumn id="24" name="ROB" dataDxfId="489">
      <calculatedColumnFormula>($X$4-V062A_2030313334[[#This Row],[TOTAL]])+V062A_2030313334[[#This Row],[FAENA2]]</calculatedColumnFormula>
    </tableColumn>
    <tableColumn id="25" name="CYLINDER MP" dataDxfId="488"/>
    <tableColumn id="26" name="FAENA EN LTS" dataDxfId="487"/>
    <tableColumn id="27" name="CYLINDER MP ROB EN LTS" dataDxfId="486">
      <calculatedColumnFormula>AA4</calculatedColumnFormula>
    </tableColumn>
    <tableColumn id="28" name="CARTER MP." dataDxfId="485"/>
    <tableColumn id="29" name="FAENA EN LTS2" dataDxfId="484"/>
    <tableColumn id="30" name="CARTER MP. ROB EN LTS" dataDxfId="483">
      <calculatedColumnFormula>($AD$4-V062A_2030313334[[#This Row],[CARTER MP.]])+V062A_2030313334[[#This Row],[FAENA EN LTS2]]</calculatedColumnFormula>
    </tableColumn>
    <tableColumn id="31" name="MOT AUX" dataDxfId="482"/>
    <tableColumn id="32" name="FAENA EN  LTS" dataDxfId="481"/>
    <tableColumn id="33" name="MOT AUX ROB EN LTS" dataDxfId="480">
      <calculatedColumnFormula>$AG$4</calculatedColumnFormula>
    </tableColumn>
    <tableColumn id="34" name="HIDRAULICO" dataDxfId="479"/>
    <tableColumn id="35" name="FAENA EN LTS3" dataDxfId="478"/>
    <tableColumn id="36" name="HIDRAULICO ROB EN LTS" dataDxfId="47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35" name="V062A_203031333436" displayName="V062A_203031333436" ref="A5:AK121" totalsRowShown="0" headerRowDxfId="465" dataDxfId="463" headerRowBorderDxfId="464" tableBorderDxfId="462">
  <tableColumns count="37">
    <tableColumn id="1" name="VIAJE" dataDxfId="461"/>
    <tableColumn id="2" name="FECHA" dataDxfId="460"/>
    <tableColumn id="3" name="HORA" dataDxfId="459"/>
    <tableColumn id="4" name="TIEMPO Hrs" dataDxfId="458"/>
    <tableColumn id="5" name="ACTIVIDAD REALIZADA" dataDxfId="457"/>
    <tableColumn id="6" name="REFERENCIA" dataDxfId="456"/>
    <tableColumn id="7" name="DISTANCIA POR CARTA" dataDxfId="455"/>
    <tableColumn id="37" name="TIEMPO DE NAVEGACION" dataDxfId="454"/>
    <tableColumn id="8" name="VELOCIDAD" dataDxfId="453">
      <calculatedColumnFormula>IF(ISERROR(V062A_203031333436[[#This Row],[DISTANCIA POR CARTA]]/V062A_203031333436[[#This Row],[TIEMPO DE NAVEGACION]]),0,V062A_203031333436[[#This Row],[DISTANCIA POR CARTA]]/V062A_203031333436[[#This Row],[TIEMPO DE NAVEGACION]])</calculatedColumnFormula>
    </tableColumn>
    <tableColumn id="9" name="BEAUFORT" dataDxfId="452"/>
    <tableColumn id="10" name="RPM" dataDxfId="451"/>
    <tableColumn id="11" name="MPAL" dataDxfId="450"/>
    <tableColumn id="12" name="AUX." dataDxfId="449"/>
    <tableColumn id="13" name="CALDERA" dataDxfId="448"/>
    <tableColumn id="14" name="TOTAL " dataDxfId="447">
      <calculatedColumnFormula>SUM(V062A_203031333436[[#This Row],[MPAL]]+V062A_203031333436[[#This Row],[AUX.]]+V062A_203031333436[[#This Row],[CALDERA]])</calculatedColumnFormula>
    </tableColumn>
    <tableColumn id="15" name="FAENA" dataDxfId="446"/>
    <tableColumn id="16" name="ROB " dataDxfId="445">
      <calculatedColumnFormula>($P$4-O6)+P6</calculatedColumnFormula>
    </tableColumn>
    <tableColumn id="17" name="MPAL2" dataDxfId="444"/>
    <tableColumn id="18" name=" AUX" dataDxfId="443"/>
    <tableColumn id="19" name=" CALDERA" dataDxfId="442"/>
    <tableColumn id="20" name="PP" dataDxfId="441"/>
    <tableColumn id="21" name="GI" dataDxfId="440"/>
    <tableColumn id="22" name="TOTAL" dataDxfId="439">
      <calculatedColumnFormula>SUM(V062A_203031333436[[#This Row],[MPAL2]:[GI]])</calculatedColumnFormula>
    </tableColumn>
    <tableColumn id="23" name="FAENA2" dataDxfId="438"/>
    <tableColumn id="24" name="ROB" dataDxfId="437">
      <calculatedColumnFormula>($X$4-V062A_203031333436[[#This Row],[TOTAL]])+V062A_203031333436[[#This Row],[FAENA2]]</calculatedColumnFormula>
    </tableColumn>
    <tableColumn id="25" name="CYLINDER MP" dataDxfId="436"/>
    <tableColumn id="26" name="FAENA EN LTS" dataDxfId="435"/>
    <tableColumn id="27" name="CYLINDER MP ROB EN LTS" dataDxfId="434">
      <calculatedColumnFormula>AA4</calculatedColumnFormula>
    </tableColumn>
    <tableColumn id="28" name="CARTER MP." dataDxfId="433"/>
    <tableColumn id="29" name="FAENA EN LTS2" dataDxfId="432"/>
    <tableColumn id="30" name="CARTER MP. ROB EN LTS" dataDxfId="431">
      <calculatedColumnFormula>($AD$4-V062A_203031333436[[#This Row],[CARTER MP.]])+V062A_203031333436[[#This Row],[FAENA EN LTS2]]</calculatedColumnFormula>
    </tableColumn>
    <tableColumn id="31" name="MOT AUX" dataDxfId="430"/>
    <tableColumn id="32" name="FAENA EN  LTS" dataDxfId="429"/>
    <tableColumn id="33" name="MOT AUX ROB EN LTS" dataDxfId="428">
      <calculatedColumnFormula>$AG$4</calculatedColumnFormula>
    </tableColumn>
    <tableColumn id="34" name="HIDRAULICO" dataDxfId="427"/>
    <tableColumn id="35" name="FAENA EN LTS3" dataDxfId="426"/>
    <tableColumn id="36" name="HIDRAULICO ROB EN LTS" dataDxfId="425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37" name="V062A_2030313334363538" displayName="V062A_2030313334363538" ref="A5:AK61" totalsRowShown="0" headerRowDxfId="411" dataDxfId="409" headerRowBorderDxfId="410" tableBorderDxfId="408">
  <tableColumns count="37">
    <tableColumn id="1" name="VIAJE" dataDxfId="407"/>
    <tableColumn id="2" name="FECHA" dataDxfId="406"/>
    <tableColumn id="3" name="HORA" dataDxfId="405"/>
    <tableColumn id="4" name="TIEMPO Hrs" dataDxfId="404"/>
    <tableColumn id="5" name="ACTIVIDAD REALIZADA" dataDxfId="403"/>
    <tableColumn id="6" name="REFERENCIA" dataDxfId="402"/>
    <tableColumn id="7" name="DISTANCIA POR CARTA" dataDxfId="401"/>
    <tableColumn id="37" name="TIEMPO DE NAVEGACION" dataDxfId="400"/>
    <tableColumn id="8" name="VELOCIDAD" dataDxfId="399">
      <calculatedColumnFormula>IF(ISERROR(V062A_2030313334363538[[#This Row],[DISTANCIA POR CARTA]]/V062A_2030313334363538[[#This Row],[TIEMPO DE NAVEGACION]]),0,V062A_2030313334363538[[#This Row],[DISTANCIA POR CARTA]]/V062A_2030313334363538[[#This Row],[TIEMPO DE NAVEGACION]])</calculatedColumnFormula>
    </tableColumn>
    <tableColumn id="9" name="BEAUFORT" dataDxfId="398"/>
    <tableColumn id="10" name="RPM" dataDxfId="397"/>
    <tableColumn id="11" name="MPAL" dataDxfId="396"/>
    <tableColumn id="12" name="AUX." dataDxfId="395"/>
    <tableColumn id="13" name="CALDERA" dataDxfId="394"/>
    <tableColumn id="14" name="TOTAL " dataDxfId="393">
      <calculatedColumnFormula>SUM(V062A_2030313334363538[[#This Row],[MPAL]]+V062A_2030313334363538[[#This Row],[AUX.]]+V062A_2030313334363538[[#This Row],[CALDERA]])</calculatedColumnFormula>
    </tableColumn>
    <tableColumn id="15" name="FAENA" dataDxfId="392"/>
    <tableColumn id="16" name="ROB " dataDxfId="391">
      <calculatedColumnFormula>($P$4-O6)+P6</calculatedColumnFormula>
    </tableColumn>
    <tableColumn id="17" name="MPAL2" dataDxfId="390"/>
    <tableColumn id="18" name=" AUX" dataDxfId="389"/>
    <tableColumn id="19" name=" CALDERA" dataDxfId="388"/>
    <tableColumn id="20" name="PP" dataDxfId="387"/>
    <tableColumn id="21" name="GI" dataDxfId="386"/>
    <tableColumn id="22" name="TOTAL" dataDxfId="385">
      <calculatedColumnFormula>SUM(V062A_2030313334363538[[#This Row],[MPAL2]:[GI]])</calculatedColumnFormula>
    </tableColumn>
    <tableColumn id="23" name="FAENA2" dataDxfId="384"/>
    <tableColumn id="24" name="ROB" dataDxfId="383">
      <calculatedColumnFormula>($X$4-V062A_2030313334363538[[#This Row],[TOTAL]])+V062A_2030313334363538[[#This Row],[FAENA2]]</calculatedColumnFormula>
    </tableColumn>
    <tableColumn id="25" name="CYLINDER MP" dataDxfId="382"/>
    <tableColumn id="26" name="FAENA EN LTS" dataDxfId="381"/>
    <tableColumn id="27" name="CYLINDER MP ROB EN LTS" dataDxfId="380">
      <calculatedColumnFormula>AA4</calculatedColumnFormula>
    </tableColumn>
    <tableColumn id="28" name="CARTER MP." dataDxfId="379"/>
    <tableColumn id="29" name="FAENA EN LTS2" dataDxfId="378"/>
    <tableColumn id="30" name="CARTER MP. ROB EN LTS" dataDxfId="377">
      <calculatedColumnFormula>($AD$4-V062A_2030313334363538[[#This Row],[CARTER MP.]])+V062A_2030313334363538[[#This Row],[FAENA EN LTS2]]</calculatedColumnFormula>
    </tableColumn>
    <tableColumn id="31" name="MOT AUX" dataDxfId="376"/>
    <tableColumn id="32" name="FAENA EN  LTS" dataDxfId="375"/>
    <tableColumn id="33" name="MOT AUX ROB EN LTS" dataDxfId="374">
      <calculatedColumnFormula>$AG$4</calculatedColumnFormula>
    </tableColumn>
    <tableColumn id="34" name="HIDRAULICO" dataDxfId="373"/>
    <tableColumn id="35" name="FAENA EN LTS3" dataDxfId="372"/>
    <tableColumn id="36" name="HIDRAULICO ROB EN LTS" dataDxfId="371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34" name="V062A_20303133343635" displayName="V062A_20303133343635" ref="A5:AK99" totalsRowShown="0" headerRowDxfId="361" dataDxfId="359" headerRowBorderDxfId="360" tableBorderDxfId="358">
  <tableColumns count="37">
    <tableColumn id="1" name="VIAJE" dataDxfId="357"/>
    <tableColumn id="2" name="FECHA" dataDxfId="356"/>
    <tableColumn id="3" name="HORA" dataDxfId="355"/>
    <tableColumn id="4" name="TIEMPO Hrs" dataDxfId="354"/>
    <tableColumn id="5" name="ACTIVIDAD REALIZADA" dataDxfId="353"/>
    <tableColumn id="6" name="REFERENCIA" dataDxfId="352"/>
    <tableColumn id="7" name="DISTANCIA POR CARTA" dataDxfId="351"/>
    <tableColumn id="37" name="TIEMPO DE NAVEGACION" dataDxfId="350"/>
    <tableColumn id="8" name="VELOCIDAD" dataDxfId="349">
      <calculatedColumnFormula>IF(ISERROR(V062A_20303133343635[[#This Row],[DISTANCIA POR CARTA]]/V062A_20303133343635[[#This Row],[TIEMPO DE NAVEGACION]]),0,V062A_20303133343635[[#This Row],[DISTANCIA POR CARTA]]/V062A_20303133343635[[#This Row],[TIEMPO DE NAVEGACION]])</calculatedColumnFormula>
    </tableColumn>
    <tableColumn id="9" name="BEAUFORT" dataDxfId="348"/>
    <tableColumn id="10" name="RPM" dataDxfId="347"/>
    <tableColumn id="11" name="MPAL" dataDxfId="346"/>
    <tableColumn id="12" name="AUX." dataDxfId="345"/>
    <tableColumn id="13" name="CALDERA" dataDxfId="344"/>
    <tableColumn id="14" name="TOTAL " dataDxfId="343">
      <calculatedColumnFormula>SUM(V062A_20303133343635[[#This Row],[MPAL]]+V062A_20303133343635[[#This Row],[AUX.]]+V062A_20303133343635[[#This Row],[CALDERA]])</calculatedColumnFormula>
    </tableColumn>
    <tableColumn id="15" name="FAENA" dataDxfId="342"/>
    <tableColumn id="16" name="ROB " dataDxfId="341">
      <calculatedColumnFormula>($P$4-O6)+P6</calculatedColumnFormula>
    </tableColumn>
    <tableColumn id="17" name="MPAL2" dataDxfId="340"/>
    <tableColumn id="18" name=" AUX" dataDxfId="339"/>
    <tableColumn id="19" name=" CALDERA" dataDxfId="338"/>
    <tableColumn id="20" name="PP" dataDxfId="337"/>
    <tableColumn id="21" name="GI" dataDxfId="336"/>
    <tableColumn id="22" name="TOTAL" dataDxfId="335">
      <calculatedColumnFormula>SUM(V062A_20303133343635[[#This Row],[MPAL2]:[GI]])</calculatedColumnFormula>
    </tableColumn>
    <tableColumn id="23" name="FAENA2" dataDxfId="334"/>
    <tableColumn id="24" name="ROB" dataDxfId="333">
      <calculatedColumnFormula>($X$4-V062A_20303133343635[[#This Row],[TOTAL]])+V062A_20303133343635[[#This Row],[FAENA2]]</calculatedColumnFormula>
    </tableColumn>
    <tableColumn id="25" name="CYLINDER MP" dataDxfId="332"/>
    <tableColumn id="26" name="FAENA EN LTS" dataDxfId="331"/>
    <tableColumn id="27" name="CYLINDER MP ROB EN LTS" dataDxfId="330">
      <calculatedColumnFormula>AA4</calculatedColumnFormula>
    </tableColumn>
    <tableColumn id="28" name="CARTER MP." dataDxfId="329"/>
    <tableColumn id="29" name="FAENA EN LTS2" dataDxfId="328"/>
    <tableColumn id="30" name="CARTER MP. ROB EN LTS" dataDxfId="327">
      <calculatedColumnFormula>($AD$4-V062A_20303133343635[[#This Row],[CARTER MP.]])+V062A_20303133343635[[#This Row],[FAENA EN LTS2]]</calculatedColumnFormula>
    </tableColumn>
    <tableColumn id="31" name="MOT AUX" dataDxfId="326"/>
    <tableColumn id="32" name="FAENA EN  LTS" dataDxfId="325"/>
    <tableColumn id="33" name="MOT AUX ROB EN LTS" dataDxfId="324">
      <calculatedColumnFormula>$AG$4</calculatedColumnFormula>
    </tableColumn>
    <tableColumn id="34" name="HIDRAULICO" dataDxfId="323"/>
    <tableColumn id="35" name="FAENA EN LTS3" dataDxfId="322"/>
    <tableColumn id="36" name="HIDRAULICO ROB EN LTS" dataDxfId="32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36" name="V062A_2030313334363537" displayName="V062A_2030313334363537" ref="A5:AK90" totalsRowShown="0" headerRowDxfId="316" dataDxfId="314" headerRowBorderDxfId="315" tableBorderDxfId="313">
  <tableColumns count="37">
    <tableColumn id="1" name="VIAJE" dataDxfId="312"/>
    <tableColumn id="2" name="FECHA" dataDxfId="311"/>
    <tableColumn id="3" name="HORA" dataDxfId="310"/>
    <tableColumn id="4" name="TIEMPO Hrs" dataDxfId="309"/>
    <tableColumn id="5" name="ACTIVIDAD REALIZADA" dataDxfId="308"/>
    <tableColumn id="6" name="REFERENCIA" dataDxfId="307"/>
    <tableColumn id="7" name="DISTANCIA POR CARTA" dataDxfId="306"/>
    <tableColumn id="37" name="TIEMPO DE NAVEGACION" dataDxfId="305"/>
    <tableColumn id="8" name="VELOCIDAD" dataDxfId="304">
      <calculatedColumnFormula>IF(ISERROR(V062A_2030313334363537[[#This Row],[DISTANCIA POR CARTA]]/V062A_2030313334363537[[#This Row],[TIEMPO DE NAVEGACION]]),0,V062A_2030313334363537[[#This Row],[DISTANCIA POR CARTA]]/V062A_2030313334363537[[#This Row],[TIEMPO DE NAVEGACION]])</calculatedColumnFormula>
    </tableColumn>
    <tableColumn id="9" name="BEAUFORT" dataDxfId="303"/>
    <tableColumn id="10" name="RPM" dataDxfId="302"/>
    <tableColumn id="11" name="MPAL" dataDxfId="301"/>
    <tableColumn id="12" name="AUX." dataDxfId="300"/>
    <tableColumn id="13" name="CALDERA" dataDxfId="299"/>
    <tableColumn id="14" name="TOTAL " dataDxfId="298">
      <calculatedColumnFormula>SUM(V062A_2030313334363537[[#This Row],[MPAL]]+V062A_2030313334363537[[#This Row],[AUX.]]+V062A_2030313334363537[[#This Row],[CALDERA]])</calculatedColumnFormula>
    </tableColumn>
    <tableColumn id="15" name="FAENA" dataDxfId="297"/>
    <tableColumn id="16" name="ROB " dataDxfId="296">
      <calculatedColumnFormula>($P$4-O6)+P6</calculatedColumnFormula>
    </tableColumn>
    <tableColumn id="17" name="MPAL2" dataDxfId="295"/>
    <tableColumn id="18" name=" AUX" dataDxfId="294"/>
    <tableColumn id="19" name=" CALDERA" dataDxfId="293"/>
    <tableColumn id="20" name="PP" dataDxfId="292"/>
    <tableColumn id="21" name="GI" dataDxfId="291"/>
    <tableColumn id="22" name="TOTAL" dataDxfId="290">
      <calculatedColumnFormula>SUM(V062A_2030313334363537[[#This Row],[MPAL2]:[GI]])</calculatedColumnFormula>
    </tableColumn>
    <tableColumn id="23" name="FAENA2" dataDxfId="289"/>
    <tableColumn id="24" name="ROB" dataDxfId="288">
      <calculatedColumnFormula>($X$4-V062A_2030313334363537[[#This Row],[TOTAL]])+V062A_2030313334363537[[#This Row],[FAENA2]]</calculatedColumnFormula>
    </tableColumn>
    <tableColumn id="25" name="CYLINDER MP" dataDxfId="287"/>
    <tableColumn id="26" name="FAENA EN LTS" dataDxfId="286"/>
    <tableColumn id="27" name="CYLINDER MP ROB EN LTS" dataDxfId="285">
      <calculatedColumnFormula>AA4</calculatedColumnFormula>
    </tableColumn>
    <tableColumn id="28" name="CARTER MP." dataDxfId="284"/>
    <tableColumn id="29" name="FAENA EN LTS2" dataDxfId="283"/>
    <tableColumn id="30" name="CARTER MP. ROB EN LTS" dataDxfId="282">
      <calculatedColumnFormula>($AD$4-V062A_2030313334363537[[#This Row],[CARTER MP.]])+V062A_2030313334363537[[#This Row],[FAENA EN LTS2]]</calculatedColumnFormula>
    </tableColumn>
    <tableColumn id="31" name="MOT AUX" dataDxfId="281"/>
    <tableColumn id="32" name="FAENA EN  LTS" dataDxfId="280"/>
    <tableColumn id="33" name="MOT AUX ROB EN LTS" dataDxfId="279">
      <calculatedColumnFormula>$AG$4</calculatedColumnFormula>
    </tableColumn>
    <tableColumn id="34" name="HIDRAULICO" dataDxfId="278"/>
    <tableColumn id="35" name="FAENA EN LTS3" dataDxfId="277"/>
    <tableColumn id="36" name="HIDRAULICO ROB EN LTS" dataDxfId="27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38" name="V062A_203031333436353739" displayName="V062A_203031333436353739" ref="A5:AK79" totalsRowShown="0" headerRowDxfId="269" dataDxfId="267" headerRowBorderDxfId="268" tableBorderDxfId="266">
  <tableColumns count="37">
    <tableColumn id="1" name="VIAJE" dataDxfId="265"/>
    <tableColumn id="2" name="FECHA" dataDxfId="264"/>
    <tableColumn id="3" name="HORA" dataDxfId="263"/>
    <tableColumn id="4" name="TIEMPO Hrs" dataDxfId="262"/>
    <tableColumn id="5" name="ACTIVIDAD REALIZADA" dataDxfId="261"/>
    <tableColumn id="6" name="REFERENCIA" dataDxfId="260"/>
    <tableColumn id="7" name="DISTANCIA POR CARTA" dataDxfId="259"/>
    <tableColumn id="37" name="TIEMPO DE NAVEGACION" dataDxfId="258"/>
    <tableColumn id="8" name="VELOCIDAD" dataDxfId="257">
      <calculatedColumnFormula>IF(ISERROR(V062A_203031333436353739[[#This Row],[DISTANCIA POR CARTA]]/V062A_203031333436353739[[#This Row],[TIEMPO DE NAVEGACION]]),0,V062A_203031333436353739[[#This Row],[DISTANCIA POR CARTA]]/V062A_203031333436353739[[#This Row],[TIEMPO DE NAVEGACION]])</calculatedColumnFormula>
    </tableColumn>
    <tableColumn id="9" name="BEAUFORT" dataDxfId="256"/>
    <tableColumn id="10" name="RPM" dataDxfId="255"/>
    <tableColumn id="11" name="MPAL" dataDxfId="254"/>
    <tableColumn id="12" name="AUX." dataDxfId="253"/>
    <tableColumn id="13" name="CALDERA" dataDxfId="252"/>
    <tableColumn id="14" name="TOTAL " dataDxfId="251">
      <calculatedColumnFormula>SUM(V062A_203031333436353739[[#This Row],[MPAL]]+V062A_203031333436353739[[#This Row],[AUX.]]+V062A_203031333436353739[[#This Row],[CALDERA]])</calculatedColumnFormula>
    </tableColumn>
    <tableColumn id="15" name="FAENA" dataDxfId="250"/>
    <tableColumn id="16" name="ROB " dataDxfId="249">
      <calculatedColumnFormula>($P$4-O6)+P6</calculatedColumnFormula>
    </tableColumn>
    <tableColumn id="17" name="MPAL2" dataDxfId="248"/>
    <tableColumn id="18" name=" AUX" dataDxfId="247"/>
    <tableColumn id="19" name=" CALDERA" dataDxfId="246"/>
    <tableColumn id="20" name="PP" dataDxfId="245"/>
    <tableColumn id="21" name="GI" dataDxfId="244"/>
    <tableColumn id="22" name="TOTAL" dataDxfId="243">
      <calculatedColumnFormula>SUM(V062A_203031333436353739[[#This Row],[MPAL2]:[GI]])</calculatedColumnFormula>
    </tableColumn>
    <tableColumn id="23" name="FAENA2" dataDxfId="242"/>
    <tableColumn id="24" name="ROB" dataDxfId="241">
      <calculatedColumnFormula>($X$4-V062A_203031333436353739[[#This Row],[TOTAL]])+V062A_203031333436353739[[#This Row],[FAENA2]]</calculatedColumnFormula>
    </tableColumn>
    <tableColumn id="25" name="CYLINDER MP" dataDxfId="240"/>
    <tableColumn id="26" name="FAENA EN LTS" dataDxfId="239"/>
    <tableColumn id="27" name="CYLINDER MP ROB EN LTS" dataDxfId="238">
      <calculatedColumnFormula>AA4</calculatedColumnFormula>
    </tableColumn>
    <tableColumn id="28" name="CARTER MP." dataDxfId="237"/>
    <tableColumn id="29" name="FAENA EN LTS2" dataDxfId="236"/>
    <tableColumn id="30" name="CARTER MP. ROB EN LTS" dataDxfId="235">
      <calculatedColumnFormula>($AD$4-V062A_203031333436353739[[#This Row],[CARTER MP.]])+V062A_203031333436353739[[#This Row],[FAENA EN LTS2]]</calculatedColumnFormula>
    </tableColumn>
    <tableColumn id="31" name="MOT AUX" dataDxfId="234"/>
    <tableColumn id="32" name="FAENA EN  LTS" dataDxfId="233"/>
    <tableColumn id="33" name="MOT AUX ROB EN LTS" dataDxfId="232">
      <calculatedColumnFormula>$AG$4</calculatedColumnFormula>
    </tableColumn>
    <tableColumn id="34" name="HIDRAULICO" dataDxfId="231"/>
    <tableColumn id="35" name="FAENA EN LTS3" dataDxfId="230"/>
    <tableColumn id="36" name="HIDRAULICO ROB EN LTS" dataDxfId="229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39" name="V062A_20303133343635373940" displayName="V062A_20303133343635373940" ref="A5:AK18" totalsRowShown="0" headerRowDxfId="224" dataDxfId="222" headerRowBorderDxfId="223" tableBorderDxfId="221">
  <tableColumns count="37">
    <tableColumn id="1" name="VIAJE" dataDxfId="220"/>
    <tableColumn id="2" name="FECHA" dataDxfId="219"/>
    <tableColumn id="3" name="HORA" dataDxfId="218"/>
    <tableColumn id="4" name="TIEMPO Hrs" dataDxfId="217"/>
    <tableColumn id="5" name="ACTIVIDAD REALIZADA" dataDxfId="216"/>
    <tableColumn id="6" name="REFERENCIA" dataDxfId="215"/>
    <tableColumn id="7" name="DISTANCIA POR CARTA" dataDxfId="214"/>
    <tableColumn id="37" name="TIEMPO DE NAVEGACION" dataDxfId="213"/>
    <tableColumn id="8" name="VELOCIDAD" dataDxfId="212">
      <calculatedColumnFormula>IF(ISERROR(V062A_20303133343635373940[[#This Row],[DISTANCIA POR CARTA]]/V062A_20303133343635373940[[#This Row],[TIEMPO DE NAVEGACION]]),0,V062A_20303133343635373940[[#This Row],[DISTANCIA POR CARTA]]/V062A_20303133343635373940[[#This Row],[TIEMPO DE NAVEGACION]])</calculatedColumnFormula>
    </tableColumn>
    <tableColumn id="9" name="BEAUFORT" dataDxfId="211"/>
    <tableColumn id="10" name="RPM" dataDxfId="210"/>
    <tableColumn id="11" name="MPAL" dataDxfId="209"/>
    <tableColumn id="12" name="AUX." dataDxfId="208"/>
    <tableColumn id="13" name="CALDERA" dataDxfId="207"/>
    <tableColumn id="14" name="TOTAL " dataDxfId="206">
      <calculatedColumnFormula>SUM(V062A_20303133343635373940[[#This Row],[MPAL]]+V062A_20303133343635373940[[#This Row],[AUX.]]+V062A_20303133343635373940[[#This Row],[CALDERA]])</calculatedColumnFormula>
    </tableColumn>
    <tableColumn id="15" name="FAENA" dataDxfId="205"/>
    <tableColumn id="16" name="ROB " dataDxfId="204">
      <calculatedColumnFormula>($P$4-O6)+P6</calculatedColumnFormula>
    </tableColumn>
    <tableColumn id="17" name="MPAL2" dataDxfId="203"/>
    <tableColumn id="18" name=" AUX" dataDxfId="202"/>
    <tableColumn id="19" name=" CALDERA" dataDxfId="201"/>
    <tableColumn id="20" name="PP" dataDxfId="200"/>
    <tableColumn id="21" name="GI" dataDxfId="199"/>
    <tableColumn id="22" name="TOTAL" dataDxfId="198">
      <calculatedColumnFormula>SUM(V062A_20303133343635373940[[#This Row],[MPAL2]:[GI]])</calculatedColumnFormula>
    </tableColumn>
    <tableColumn id="23" name="FAENA2" dataDxfId="197"/>
    <tableColumn id="24" name="ROB" dataDxfId="196">
      <calculatedColumnFormula>($X$4-V062A_20303133343635373940[[#This Row],[TOTAL]])+V062A_20303133343635373940[[#This Row],[FAENA2]]</calculatedColumnFormula>
    </tableColumn>
    <tableColumn id="25" name="CYLINDER MP" dataDxfId="195"/>
    <tableColumn id="26" name="FAENA EN LTS" dataDxfId="194"/>
    <tableColumn id="27" name="CYLINDER MP ROB EN LTS" dataDxfId="193">
      <calculatedColumnFormula>AA4</calculatedColumnFormula>
    </tableColumn>
    <tableColumn id="28" name="CARTER MP." dataDxfId="192"/>
    <tableColumn id="29" name="FAENA EN LTS2" dataDxfId="191"/>
    <tableColumn id="30" name="CARTER MP. ROB EN LTS" dataDxfId="190">
      <calculatedColumnFormula>($AD$4-V062A_20303133343635373940[[#This Row],[CARTER MP.]])+V062A_20303133343635373940[[#This Row],[FAENA EN LTS2]]</calculatedColumnFormula>
    </tableColumn>
    <tableColumn id="31" name="MOT AUX" dataDxfId="189"/>
    <tableColumn id="32" name="FAENA EN  LTS" dataDxfId="188"/>
    <tableColumn id="33" name="MOT AUX ROB EN LTS" dataDxfId="187">
      <calculatedColumnFormula>$AG$4</calculatedColumnFormula>
    </tableColumn>
    <tableColumn id="34" name="HIDRAULICO" dataDxfId="186"/>
    <tableColumn id="35" name="FAENA EN LTS3" dataDxfId="185"/>
    <tableColumn id="36" name="HIDRAULICO ROB EN LTS" dataDxfId="184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40" name="V062A_2030313334363537394041" displayName="V062A_2030313334363537394041" ref="A5:AK118" totalsRowShown="0" headerRowDxfId="171" dataDxfId="169" headerRowBorderDxfId="170" tableBorderDxfId="168">
  <tableColumns count="37">
    <tableColumn id="1" name="VIAJE" dataDxfId="167"/>
    <tableColumn id="2" name="FECHA" dataDxfId="166"/>
    <tableColumn id="3" name="HORA" dataDxfId="165"/>
    <tableColumn id="4" name="TIEMPO Hrs" dataDxfId="164"/>
    <tableColumn id="5" name="ACTIVIDAD REALIZADA" dataDxfId="163"/>
    <tableColumn id="6" name="REFERENCIA" dataDxfId="162"/>
    <tableColumn id="7" name="DISTANCIA POR CARTA" dataDxfId="161"/>
    <tableColumn id="37" name="TIEMPO DE NAVEGACION" dataDxfId="160"/>
    <tableColumn id="8" name="VELOCIDAD" dataDxfId="159">
      <calculatedColumnFormula>IF(ISERROR(V062A_2030313334363537394041[[#This Row],[DISTANCIA POR CARTA]]/V062A_2030313334363537394041[[#This Row],[TIEMPO DE NAVEGACION]]),0,V062A_2030313334363537394041[[#This Row],[DISTANCIA POR CARTA]]/V062A_2030313334363537394041[[#This Row],[TIEMPO DE NAVEGACION]])</calculatedColumnFormula>
    </tableColumn>
    <tableColumn id="9" name="BEAUFORT" dataDxfId="158"/>
    <tableColumn id="10" name="RPM" dataDxfId="157"/>
    <tableColumn id="11" name="MPAL" dataDxfId="156"/>
    <tableColumn id="12" name="AUX." dataDxfId="155"/>
    <tableColumn id="13" name="CALDERA" dataDxfId="154"/>
    <tableColumn id="14" name="TOTAL " dataDxfId="153">
      <calculatedColumnFormula>SUM(V062A_2030313334363537394041[[#This Row],[MPAL]]+V062A_2030313334363537394041[[#This Row],[AUX.]]+V062A_2030313334363537394041[[#This Row],[CALDERA]])</calculatedColumnFormula>
    </tableColumn>
    <tableColumn id="15" name="FAENA" dataDxfId="152"/>
    <tableColumn id="16" name="ROB " dataDxfId="151">
      <calculatedColumnFormula>($P$4-O6)+P6</calculatedColumnFormula>
    </tableColumn>
    <tableColumn id="17" name="MPAL2" dataDxfId="150"/>
    <tableColumn id="18" name=" AUX" dataDxfId="149"/>
    <tableColumn id="19" name=" CALDERA" dataDxfId="148"/>
    <tableColumn id="20" name="PP" dataDxfId="147"/>
    <tableColumn id="21" name="GI" dataDxfId="146"/>
    <tableColumn id="22" name="TOTAL" dataDxfId="145">
      <calculatedColumnFormula>SUM(V062A_2030313334363537394041[[#This Row],[MPAL2]:[GI]])</calculatedColumnFormula>
    </tableColumn>
    <tableColumn id="23" name="FAENA2" dataDxfId="144"/>
    <tableColumn id="24" name="ROB" dataDxfId="143">
      <calculatedColumnFormula>($X$4-V062A_2030313334363537394041[[#This Row],[TOTAL]])+V062A_2030313334363537394041[[#This Row],[FAENA2]]</calculatedColumnFormula>
    </tableColumn>
    <tableColumn id="25" name="CYLINDER MP" dataDxfId="142"/>
    <tableColumn id="26" name="FAENA EN LTS" dataDxfId="141"/>
    <tableColumn id="27" name="CYLINDER MP ROB EN LTS" dataDxfId="140">
      <calculatedColumnFormula>AA4</calculatedColumnFormula>
    </tableColumn>
    <tableColumn id="28" name="CARTER MP." dataDxfId="139"/>
    <tableColumn id="29" name="FAENA EN LTS2" dataDxfId="138"/>
    <tableColumn id="30" name="CARTER MP. ROB EN LTS" dataDxfId="137">
      <calculatedColumnFormula>($AD$4-V062A_2030313334363537394041[[#This Row],[CARTER MP.]])+V062A_2030313334363537394041[[#This Row],[FAENA EN LTS2]]</calculatedColumnFormula>
    </tableColumn>
    <tableColumn id="31" name="MOT AUX" dataDxfId="136"/>
    <tableColumn id="32" name="FAENA EN  LTS" dataDxfId="135"/>
    <tableColumn id="33" name="MOT AUX ROB EN LTS" dataDxfId="134">
      <calculatedColumnFormula>$AG$4</calculatedColumnFormula>
    </tableColumn>
    <tableColumn id="34" name="HIDRAULICO" dataDxfId="133"/>
    <tableColumn id="35" name="FAENA EN LTS3" dataDxfId="132"/>
    <tableColumn id="36" name="HIDRAULICO ROB EN LTS" dataDxfId="13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41" name="V062A_203031333436353739404142" displayName="V062A_203031333436353739404142" ref="A5:AK118" totalsRowShown="0" headerRowDxfId="116" dataDxfId="114" headerRowBorderDxfId="115" tableBorderDxfId="113">
  <tableColumns count="37">
    <tableColumn id="1" name="VIAJE" dataDxfId="112"/>
    <tableColumn id="2" name="FECHA" dataDxfId="111"/>
    <tableColumn id="3" name="HORA" dataDxfId="110"/>
    <tableColumn id="4" name="TIEMPO Hrs" dataDxfId="109"/>
    <tableColumn id="5" name="ACTIVIDAD REALIZADA" dataDxfId="108"/>
    <tableColumn id="6" name="REFERENCIA" dataDxfId="107"/>
    <tableColumn id="7" name="DISTANCIA POR CARTA" dataDxfId="106"/>
    <tableColumn id="37" name="TIEMPO DE NAVEGACION" dataDxfId="105"/>
    <tableColumn id="8" name="VELOCIDAD" dataDxfId="104">
      <calculatedColumnFormula>IF(ISERROR(V062A_203031333436353739404142[[#This Row],[DISTANCIA POR CARTA]]/V062A_203031333436353739404142[[#This Row],[TIEMPO DE NAVEGACION]]),0,V062A_203031333436353739404142[[#This Row],[DISTANCIA POR CARTA]]/V062A_203031333436353739404142[[#This Row],[TIEMPO DE NAVEGACION]])</calculatedColumnFormula>
    </tableColumn>
    <tableColumn id="9" name="BEAUFORT" dataDxfId="103"/>
    <tableColumn id="10" name="RPM" dataDxfId="102"/>
    <tableColumn id="11" name="MPAL" dataDxfId="101"/>
    <tableColumn id="12" name="AUX." dataDxfId="100"/>
    <tableColumn id="13" name="CALDERA" dataDxfId="99"/>
    <tableColumn id="14" name="TOTAL " dataDxfId="98">
      <calculatedColumnFormula>SUM(V062A_203031333436353739404142[[#This Row],[MPAL]]+V062A_203031333436353739404142[[#This Row],[AUX.]]+V062A_203031333436353739404142[[#This Row],[CALDERA]])</calculatedColumnFormula>
    </tableColumn>
    <tableColumn id="15" name="FAENA" dataDxfId="97"/>
    <tableColumn id="16" name="ROB " dataDxfId="96">
      <calculatedColumnFormula>($P$4-O6)+P6</calculatedColumnFormula>
    </tableColumn>
    <tableColumn id="17" name="MPAL2" dataDxfId="95"/>
    <tableColumn id="18" name=" AUX" dataDxfId="94"/>
    <tableColumn id="19" name=" CALDERA" dataDxfId="93"/>
    <tableColumn id="20" name="PP" dataDxfId="92"/>
    <tableColumn id="21" name="GI" dataDxfId="91"/>
    <tableColumn id="22" name="TOTAL" dataDxfId="90">
      <calculatedColumnFormula>SUM(V062A_203031333436353739404142[[#This Row],[MPAL2]:[GI]])</calculatedColumnFormula>
    </tableColumn>
    <tableColumn id="23" name="FAENA2" dataDxfId="89"/>
    <tableColumn id="24" name="ROB" dataDxfId="88">
      <calculatedColumnFormula>($X$4-V062A_203031333436353739404142[[#This Row],[TOTAL]])+V062A_203031333436353739404142[[#This Row],[FAENA2]]</calculatedColumnFormula>
    </tableColumn>
    <tableColumn id="25" name="CYLINDER MP" dataDxfId="87"/>
    <tableColumn id="26" name="FAENA EN LTS" dataDxfId="86"/>
    <tableColumn id="27" name="CYLINDER MP ROB EN LTS" dataDxfId="85">
      <calculatedColumnFormula>AA4</calculatedColumnFormula>
    </tableColumn>
    <tableColumn id="28" name="CARTER MP." dataDxfId="84"/>
    <tableColumn id="29" name="FAENA EN LTS2" dataDxfId="83"/>
    <tableColumn id="30" name="CARTER MP. ROB EN LTS" dataDxfId="82">
      <calculatedColumnFormula>($AD$4-V062A_203031333436353739404142[[#This Row],[CARTER MP.]])+V062A_203031333436353739404142[[#This Row],[FAENA EN LTS2]]</calculatedColumnFormula>
    </tableColumn>
    <tableColumn id="31" name="MOT AUX" dataDxfId="81"/>
    <tableColumn id="32" name="FAENA EN  LTS" dataDxfId="80"/>
    <tableColumn id="33" name="MOT AUX ROB EN LTS" dataDxfId="79">
      <calculatedColumnFormula>$AG$4</calculatedColumnFormula>
    </tableColumn>
    <tableColumn id="34" name="HIDRAULICO" dataDxfId="78"/>
    <tableColumn id="35" name="FAENA EN LTS3" dataDxfId="77"/>
    <tableColumn id="36" name="HIDRAULICO ROB EN LTS" dataDxfId="76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15" name="_V051" displayName="_V051" ref="A1:AK34" tableType="queryTable" totalsRowShown="0" headerRowDxfId="75">
  <autoFilter ref="A1:AK34"/>
  <tableColumns count="37">
    <tableColumn id="38" uniqueName="38" name="VIAJE" queryTableFieldId="1" dataDxfId="74"/>
    <tableColumn id="2" uniqueName="2" name="FECHA" queryTableFieldId="2" dataDxfId="73"/>
    <tableColumn id="3" uniqueName="3" name="HORA" queryTableFieldId="3" dataDxfId="72"/>
    <tableColumn id="4" uniqueName="4" name="TIEMPO Hrs" queryTableFieldId="4"/>
    <tableColumn id="5" uniqueName="5" name="ACTIVIDAD REALIZADA" queryTableFieldId="5" dataDxfId="71"/>
    <tableColumn id="6" uniqueName="6" name="REFERENCIA" queryTableFieldId="6" dataDxfId="70"/>
    <tableColumn id="7" uniqueName="7" name="DISTANCIA POR CARTA" queryTableFieldId="7"/>
    <tableColumn id="8" uniqueName="8" name="TIEMPO DE NAVEGACION" queryTableFieldId="8"/>
    <tableColumn id="9" uniqueName="9" name="VELOCIDAD" queryTableFieldId="9" dataDxfId="69"/>
    <tableColumn id="10" uniqueName="10" name="BEAUFORT" queryTableFieldId="10" dataDxfId="68"/>
    <tableColumn id="11" uniqueName="11" name="RPM" queryTableFieldId="11"/>
    <tableColumn id="12" uniqueName="12" name="MPAL" queryTableFieldId="12" dataDxfId="67"/>
    <tableColumn id="13" uniqueName="13" name="AUX." queryTableFieldId="13" dataDxfId="66"/>
    <tableColumn id="14" uniqueName="14" name="CALDERA" queryTableFieldId="14" dataDxfId="65"/>
    <tableColumn id="15" uniqueName="15" name="TOTAL " queryTableFieldId="15" dataDxfId="64"/>
    <tableColumn id="16" uniqueName="16" name="FAENA" queryTableFieldId="16"/>
    <tableColumn id="17" uniqueName="17" name="ROB " queryTableFieldId="17" dataDxfId="63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16" name="_V052" displayName="_V052" ref="A1:AK52" tableType="queryTable" totalsRowShown="0" headerRowDxfId="62">
  <autoFilter ref="A1:AK52"/>
  <tableColumns count="37">
    <tableColumn id="38" uniqueName="38" name="VIAJE" queryTableFieldId="1" dataDxfId="61"/>
    <tableColumn id="2" uniqueName="2" name="FECHA" queryTableFieldId="2" dataDxfId="60"/>
    <tableColumn id="3" uniqueName="3" name="HORA" queryTableFieldId="3" dataDxfId="59"/>
    <tableColumn id="4" uniqueName="4" name="TIEMPO Hrs" queryTableFieldId="4"/>
    <tableColumn id="5" uniqueName="5" name="ACTIVIDAD REALIZADA" queryTableFieldId="5" dataDxfId="58"/>
    <tableColumn id="6" uniqueName="6" name="REFERENCIA" queryTableFieldId="6" dataDxfId="57"/>
    <tableColumn id="7" uniqueName="7" name="DISTANCIA POR CARTA" queryTableFieldId="7"/>
    <tableColumn id="8" uniqueName="8" name="TIEMPO DE NAVEGACION" queryTableFieldId="8"/>
    <tableColumn id="9" uniqueName="9" name="VELOCIDAD" queryTableFieldId="9" dataDxfId="56"/>
    <tableColumn id="10" uniqueName="10" name="BEAUFORT" queryTableFieldId="10" dataDxfId="5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id="18" name="ABRIL_2" displayName="ABRIL_2" ref="A1:AK112" totalsRowShown="0" headerRowDxfId="54">
  <autoFilter ref="A1:AK112"/>
  <tableColumns count="37">
    <tableColumn id="38" name="VIAJE"/>
    <tableColumn id="2" name="FECHA"/>
    <tableColumn id="3" name="HORA"/>
    <tableColumn id="4" name="TIEMPO Hrs"/>
    <tableColumn id="5" name="ACTIVIDAD REALIZADA"/>
    <tableColumn id="6" name="REFERENCIA"/>
    <tableColumn id="7" name="DISTANCIA POR CARTA"/>
    <tableColumn id="8" name="TIEMPO DE NAVEGACION"/>
    <tableColumn id="9" name="VELOCIDAD"/>
    <tableColumn id="10" name="BEAUFORT"/>
    <tableColumn id="11" name="RPM"/>
    <tableColumn id="12" name="MPAL"/>
    <tableColumn id="13" name="AUX."/>
    <tableColumn id="14" name="CALDERA"/>
    <tableColumn id="15" name="TOTAL "/>
    <tableColumn id="16" name="FAENA"/>
    <tableColumn id="17" name="ROB "/>
    <tableColumn id="18" name="MPAL2"/>
    <tableColumn id="19" name=" AUX"/>
    <tableColumn id="20" name=" CALDERA"/>
    <tableColumn id="21" name="PP"/>
    <tableColumn id="22" name="GI"/>
    <tableColumn id="23" name="TOTAL"/>
    <tableColumn id="24" name="FAENA2"/>
    <tableColumn id="25" name="ROB"/>
    <tableColumn id="26" name="CYLINDER MP"/>
    <tableColumn id="27" name="FAENA EN LTS"/>
    <tableColumn id="28" name="CYLINDER MP ROB EN LTS"/>
    <tableColumn id="29" name="CARTER MP."/>
    <tableColumn id="30" name="FAENA EN LTS2"/>
    <tableColumn id="31" name="CARTER MP. ROB EN LTS"/>
    <tableColumn id="32" name="MOT AUX"/>
    <tableColumn id="33" name="FAENA EN  LTS"/>
    <tableColumn id="34" name="MOT AUX ROB EN LTS"/>
    <tableColumn id="35" name="HIDRAULICO"/>
    <tableColumn id="36" name="FAENA EN LTS3"/>
    <tableColumn id="37" name="HIDRAULICO ROB EN LT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19" name="_V056" displayName="_V056" ref="A1:AK72" tableType="queryTable" totalsRowShown="0" headerRowDxfId="53">
  <autoFilter ref="A1:AK7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20" name="_V057" displayName="_V057" ref="A1:AK7" tableType="queryTable" totalsRowShown="0" headerRowDxfId="52">
  <autoFilter ref="A1:AK7"/>
  <tableColumns count="37">
    <tableColumn id="38" uniqueName="38" name="VIAJE" queryTableFieldId="1" dataDxfId="51"/>
    <tableColumn id="2" uniqueName="2" name="FECHA" queryTableFieldId="2" dataDxfId="50"/>
    <tableColumn id="3" uniqueName="3" name="HORA" queryTableFieldId="3" dataDxfId="49"/>
    <tableColumn id="4" uniqueName="4" name="TIEMPO Hrs" queryTableFieldId="4" dataDxfId="48"/>
    <tableColumn id="5" uniqueName="5" name="ACTIVIDAD REALIZADA" queryTableFieldId="5" dataDxfId="47"/>
    <tableColumn id="6" uniqueName="6" name="REFERENCIA" queryTableFieldId="6" dataDxfId="46"/>
    <tableColumn id="7" uniqueName="7" name="DISTANCIA POR CARTA" queryTableFieldId="7" dataDxfId="45"/>
    <tableColumn id="8" uniqueName="8" name="TIEMPO DE NAVEGACION" queryTableFieldId="8" dataDxfId="44"/>
    <tableColumn id="9" uniqueName="9" name="VELOCIDAD" queryTableFieldId="9" dataDxfId="43"/>
    <tableColumn id="10" uniqueName="10" name="BEAUFORT" queryTableFieldId="10" dataDxfId="42"/>
    <tableColumn id="11" uniqueName="11" name="RPM" queryTableFieldId="11" dataDxfId="41"/>
    <tableColumn id="12" uniqueName="12" name="MPAL" queryTableFieldId="12" dataDxfId="40"/>
    <tableColumn id="13" uniqueName="13" name="AUX." queryTableFieldId="13" dataDxfId="39"/>
    <tableColumn id="14" uniqueName="14" name="CALDERA" queryTableFieldId="14" dataDxfId="38"/>
    <tableColumn id="15" uniqueName="15" name="TOTAL " queryTableFieldId="15" dataDxfId="37"/>
    <tableColumn id="16" uniqueName="16" name="FAENA" queryTableFieldId="16" dataDxfId="36"/>
    <tableColumn id="17" uniqueName="17" name="ROB " queryTableFieldId="17" dataDxfId="35"/>
    <tableColumn id="18" uniqueName="18" name="MPAL2" queryTableFieldId="18" dataDxfId="34"/>
    <tableColumn id="19" uniqueName="19" name=" AUX" queryTableFieldId="19" dataDxfId="33"/>
    <tableColumn id="20" uniqueName="20" name=" CALDERA" queryTableFieldId="20" dataDxfId="32"/>
    <tableColumn id="21" uniqueName="21" name="PP" queryTableFieldId="21" dataDxfId="31"/>
    <tableColumn id="22" uniqueName="22" name="GI" queryTableFieldId="22" dataDxfId="30"/>
    <tableColumn id="23" uniqueName="23" name="TOTAL" queryTableFieldId="23" dataDxfId="29"/>
    <tableColumn id="24" uniqueName="24" name="FAENA2" queryTableFieldId="24" dataDxfId="28"/>
    <tableColumn id="25" uniqueName="25" name="ROB" queryTableFieldId="25" dataDxfId="27"/>
    <tableColumn id="26" uniqueName="26" name="CYLINDER MP" queryTableFieldId="26" dataDxfId="26"/>
    <tableColumn id="27" uniqueName="27" name="FAENA EN LTS" queryTableFieldId="27" dataDxfId="25"/>
    <tableColumn id="28" uniqueName="28" name="CYLINDER MP ROB EN LTS" queryTableFieldId="28" dataDxfId="24"/>
    <tableColumn id="29" uniqueName="29" name="CARTER MP." queryTableFieldId="29" dataDxfId="23"/>
    <tableColumn id="30" uniqueName="30" name="FAENA EN LTS2" queryTableFieldId="30" dataDxfId="22"/>
    <tableColumn id="31" uniqueName="31" name="CARTER MP. ROB EN LTS" queryTableFieldId="31" dataDxfId="21"/>
    <tableColumn id="32" uniqueName="32" name="MOT AUX" queryTableFieldId="32" dataDxfId="20"/>
    <tableColumn id="33" uniqueName="33" name="FAENA EN  LTS" queryTableFieldId="33" dataDxfId="19"/>
    <tableColumn id="34" uniqueName="34" name="MOT AUX ROB EN LTS" queryTableFieldId="34" dataDxfId="18"/>
    <tableColumn id="35" uniqueName="35" name="HIDRAULICO" queryTableFieldId="35" dataDxfId="17"/>
    <tableColumn id="36" uniqueName="36" name="FAENA EN LTS3" queryTableFieldId="36" dataDxfId="16"/>
    <tableColumn id="37" uniqueName="37" name="HIDRAULICO ROB EN LTS" queryTableFieldId="37" dataDxfId="1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21" name="_V055" displayName="_V055" ref="A1:AK53" tableType="queryTable" totalsRowShown="0" headerRowDxfId="14">
  <autoFilter ref="A1:AK53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22" name="VIAJE10" displayName="VIAJE10" ref="A1:AK112" tableType="queryTable" totalsRowShown="0" headerRowDxfId="13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23" name="VIAJE9" displayName="VIAJE9" ref="A1:AK112" tableType="queryTable" totalsRowShown="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id="24" name="VIAJE11" displayName="VIAJE11" ref="A1:AK112" tableType="queryTable" totalsRowShown="0" headerRowDxfId="12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25" name="VIAJE12" displayName="VIAJE12" ref="A1:AK112" tableType="queryTable" totalsRowShown="0" headerRowDxfId="11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26" name="VIAJE8" displayName="VIAJE8" ref="A1:AK112" tableType="queryTable" totalsRowShown="0" headerRowDxfId="10">
  <autoFilter ref="A1:AK112"/>
  <tableColumns count="37">
    <tableColumn id="38" uniqueName="38" name="VIAJE" queryTableFieldId="1"/>
    <tableColumn id="2" uniqueName="2" name="FECHA" queryTableFieldId="2"/>
    <tableColumn id="3" uniqueName="3" name="HORA" queryTableFieldId="3"/>
    <tableColumn id="4" uniqueName="4" name="TIEMPO Hrs" queryTableFieldId="4"/>
    <tableColumn id="5" uniqueName="5" name="ACTIVIDAD REALIZADA" queryTableFieldId="5"/>
    <tableColumn id="6" uniqueName="6" name="REFERENCIA" queryTableField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14" name="_V053" displayName="_V053" ref="A1:AK47" tableType="queryTable" totalsRowShown="0">
  <autoFilter ref="A1:AK47"/>
  <tableColumns count="37">
    <tableColumn id="38" uniqueName="38" name="VIAJE" queryTableFieldId="1" dataDxfId="9"/>
    <tableColumn id="2" uniqueName="2" name="FECHA" queryTableFieldId="2" dataDxfId="8"/>
    <tableColumn id="3" uniqueName="3" name="HORA" queryTableFieldId="3"/>
    <tableColumn id="4" uniqueName="4" name="TIEMPO Hrs" queryTableFieldId="4"/>
    <tableColumn id="5" uniqueName="5" name="ACTIVIDAD REALIZADA" queryTableFieldId="5" dataDxfId="7"/>
    <tableColumn id="6" uniqueName="6" name="REFERENCIA" queryTableFieldId="6" dataDxfId="6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5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17" name="_V054" displayName="_V054" ref="A1:AK44" tableType="queryTable" totalsRowShown="0">
  <autoFilter ref="A1:AK44"/>
  <tableColumns count="37">
    <tableColumn id="38" uniqueName="38" name="VIAJE" queryTableFieldId="1" dataDxfId="4"/>
    <tableColumn id="2" uniqueName="2" name="FECHA" queryTableFieldId="2" dataDxfId="3"/>
    <tableColumn id="3" uniqueName="3" name="HORA" queryTableFieldId="3"/>
    <tableColumn id="4" uniqueName="4" name="TIEMPO Hrs" queryTableFieldId="4"/>
    <tableColumn id="5" uniqueName="5" name="ACTIVIDAD REALIZADA" queryTableFieldId="5" dataDxfId="2"/>
    <tableColumn id="6" uniqueName="6" name="REFERENCIA" queryTableFieldId="6" dataDxfId="1"/>
    <tableColumn id="7" uniqueName="7" name="DISTANCIA POR CARTA" queryTableFieldId="7"/>
    <tableColumn id="8" uniqueName="8" name="TIEMPO DE NAVEGACION" queryTableFieldId="8"/>
    <tableColumn id="9" uniqueName="9" name="VELOCIDAD" queryTableFieldId="9"/>
    <tableColumn id="10" uniqueName="10" name="BEAUFORT" queryTableFieldId="10" dataDxfId="0"/>
    <tableColumn id="11" uniqueName="11" name="RPM" queryTableFieldId="11"/>
    <tableColumn id="12" uniqueName="12" name="MPAL" queryTableFieldId="12"/>
    <tableColumn id="13" uniqueName="13" name="AUX." queryTableFieldId="13"/>
    <tableColumn id="14" uniqueName="14" name="CALDERA" queryTableFieldId="14"/>
    <tableColumn id="15" uniqueName="15" name="TOTAL " queryTableFieldId="15"/>
    <tableColumn id="16" uniqueName="16" name="FAENA" queryTableFieldId="16"/>
    <tableColumn id="17" uniqueName="17" name="ROB " queryTableFieldId="17"/>
    <tableColumn id="18" uniqueName="18" name="MPAL2" queryTableFieldId="18"/>
    <tableColumn id="19" uniqueName="19" name=" AUX" queryTableFieldId="19"/>
    <tableColumn id="20" uniqueName="20" name=" CALDERA" queryTableFieldId="20"/>
    <tableColumn id="21" uniqueName="21" name="PP" queryTableFieldId="21"/>
    <tableColumn id="22" uniqueName="22" name="GI" queryTableFieldId="22"/>
    <tableColumn id="23" uniqueName="23" name="TOTAL" queryTableFieldId="23"/>
    <tableColumn id="24" uniqueName="24" name="FAENA2" queryTableFieldId="24"/>
    <tableColumn id="25" uniqueName="25" name="ROB" queryTableFieldId="25"/>
    <tableColumn id="26" uniqueName="26" name="CYLINDER MP" queryTableFieldId="26"/>
    <tableColumn id="27" uniqueName="27" name="FAENA EN LTS" queryTableFieldId="27"/>
    <tableColumn id="28" uniqueName="28" name="CYLINDER MP ROB EN LTS" queryTableFieldId="28"/>
    <tableColumn id="29" uniqueName="29" name="CARTER MP." queryTableFieldId="29"/>
    <tableColumn id="30" uniqueName="30" name="FAENA EN LTS2" queryTableFieldId="30"/>
    <tableColumn id="31" uniqueName="31" name="CARTER MP. ROB EN LTS" queryTableFieldId="31"/>
    <tableColumn id="32" uniqueName="32" name="MOT AUX" queryTableFieldId="32"/>
    <tableColumn id="33" uniqueName="33" name="FAENA EN  LTS" queryTableFieldId="33"/>
    <tableColumn id="34" uniqueName="34" name="MOT AUX ROB EN LTS" queryTableFieldId="34"/>
    <tableColumn id="35" uniqueName="35" name="HIDRAULICO" queryTableFieldId="35"/>
    <tableColumn id="36" uniqueName="36" name="FAENA EN LTS3" queryTableFieldId="36"/>
    <tableColumn id="37" uniqueName="37" name="HIDRAULICO ROB EN LTS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AK10"/>
  <sheetViews>
    <sheetView workbookViewId="0">
      <selection activeCell="C4" sqref="C4"/>
    </sheetView>
  </sheetViews>
  <sheetFormatPr baseColWidth="10" defaultColWidth="11.5703125" defaultRowHeight="15" x14ac:dyDescent="0.25"/>
  <cols>
    <col min="1" max="1" width="11.28515625" bestFit="1" customWidth="1"/>
    <col min="2" max="2" width="10.7109375" bestFit="1" customWidth="1"/>
    <col min="3" max="3" width="15.7109375" bestFit="1" customWidth="1"/>
    <col min="4" max="4" width="13.5703125" bestFit="1" customWidth="1"/>
    <col min="5" max="5" width="24" bestFit="1" customWidth="1"/>
    <col min="6" max="6" width="16.140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109</v>
      </c>
      <c r="B2" s="157">
        <v>43831</v>
      </c>
      <c r="C2" s="158">
        <v>0</v>
      </c>
      <c r="D2" s="156">
        <v>0</v>
      </c>
      <c r="E2" s="156" t="s">
        <v>55</v>
      </c>
      <c r="F2" s="156" t="s">
        <v>110</v>
      </c>
      <c r="G2" s="156"/>
      <c r="H2" s="156"/>
      <c r="I2" s="156">
        <v>0</v>
      </c>
      <c r="J2" s="156" t="s">
        <v>54</v>
      </c>
      <c r="K2" s="156">
        <v>95</v>
      </c>
      <c r="L2" s="156">
        <v>0</v>
      </c>
      <c r="M2" s="156">
        <v>0</v>
      </c>
      <c r="N2" s="156">
        <v>0</v>
      </c>
      <c r="O2" s="156">
        <v>0</v>
      </c>
      <c r="P2" s="156"/>
      <c r="Q2" s="156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0.64583333333333326</v>
      </c>
      <c r="D3" s="156">
        <v>0.50000000000000089</v>
      </c>
      <c r="E3" s="156" t="s">
        <v>47</v>
      </c>
      <c r="F3" s="156" t="s">
        <v>83</v>
      </c>
      <c r="G3" s="156"/>
      <c r="H3" s="156"/>
      <c r="I3" s="156">
        <v>0</v>
      </c>
      <c r="J3" s="156"/>
      <c r="K3" s="156"/>
      <c r="L3" s="156">
        <v>0.10416666666666684</v>
      </c>
      <c r="M3" s="156">
        <v>5.2083333333333426E-2</v>
      </c>
      <c r="N3" s="156">
        <v>4.1666666666666741E-2</v>
      </c>
      <c r="O3" s="156">
        <v>0.19791666666666702</v>
      </c>
      <c r="P3" s="156"/>
      <c r="Q3" s="156">
        <v>274.80208333333331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7">
        <v>43852</v>
      </c>
      <c r="C4" s="158">
        <v>0.875</v>
      </c>
      <c r="D4" s="156">
        <v>0.50000000000000089</v>
      </c>
      <c r="E4" s="156" t="s">
        <v>47</v>
      </c>
      <c r="F4" s="156" t="s">
        <v>130</v>
      </c>
      <c r="G4" s="156"/>
      <c r="H4" s="156"/>
      <c r="I4" s="156">
        <v>0</v>
      </c>
      <c r="J4" s="156"/>
      <c r="K4" s="156"/>
      <c r="L4" s="156">
        <v>0.10416666666666684</v>
      </c>
      <c r="M4" s="156">
        <v>5.2083333333333426E-2</v>
      </c>
      <c r="N4" s="156">
        <v>4.1666666666666741E-2</v>
      </c>
      <c r="O4" s="156">
        <v>0.19791666666666702</v>
      </c>
      <c r="P4" s="156"/>
      <c r="Q4" s="156">
        <v>165.82208333333335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7">
        <v>43866</v>
      </c>
      <c r="C5" s="158">
        <v>0.52083333333333326</v>
      </c>
      <c r="D5" s="156">
        <v>1</v>
      </c>
      <c r="E5" s="156" t="s">
        <v>47</v>
      </c>
      <c r="F5" s="156" t="s">
        <v>64</v>
      </c>
      <c r="G5" s="156"/>
      <c r="H5" s="156"/>
      <c r="I5" s="156">
        <v>0</v>
      </c>
      <c r="J5" s="156"/>
      <c r="K5" s="156"/>
      <c r="L5" s="156">
        <v>0</v>
      </c>
      <c r="M5" s="156">
        <v>0</v>
      </c>
      <c r="N5" s="156">
        <v>0</v>
      </c>
      <c r="O5" s="156">
        <v>0</v>
      </c>
      <c r="P5" s="156"/>
      <c r="Q5" s="156">
        <v>53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56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82</v>
      </c>
      <c r="B6" s="157">
        <v>43878</v>
      </c>
      <c r="C6" s="158">
        <v>0.125</v>
      </c>
      <c r="D6">
        <v>0</v>
      </c>
      <c r="E6" s="156" t="s">
        <v>47</v>
      </c>
      <c r="F6" s="156" t="s">
        <v>83</v>
      </c>
      <c r="I6">
        <v>0</v>
      </c>
      <c r="J6" s="156"/>
      <c r="L6">
        <v>0.10416666666666664</v>
      </c>
      <c r="M6">
        <v>5.2083333333333322E-2</v>
      </c>
      <c r="N6">
        <v>4.1666666666666657E-2</v>
      </c>
      <c r="O6">
        <v>0</v>
      </c>
      <c r="Q6">
        <v>752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152</v>
      </c>
      <c r="B7" s="157">
        <v>43892</v>
      </c>
      <c r="C7" s="158">
        <v>0.82499999999999996</v>
      </c>
      <c r="D7">
        <v>1</v>
      </c>
      <c r="E7" s="156" t="s">
        <v>47</v>
      </c>
      <c r="F7" s="156" t="s">
        <v>48</v>
      </c>
      <c r="I7">
        <v>0</v>
      </c>
      <c r="J7" s="156"/>
      <c r="L7">
        <v>0.12500000000000067</v>
      </c>
      <c r="M7">
        <v>6.2500000000000333E-2</v>
      </c>
      <c r="N7">
        <v>5.0000000000000266E-2</v>
      </c>
      <c r="O7">
        <v>0</v>
      </c>
      <c r="Q7">
        <v>632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27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164</v>
      </c>
      <c r="B8" s="157">
        <v>43919</v>
      </c>
      <c r="C8" s="158">
        <v>0.625</v>
      </c>
      <c r="D8">
        <v>1</v>
      </c>
      <c r="E8" s="156" t="s">
        <v>47</v>
      </c>
      <c r="F8" s="156" t="s">
        <v>48</v>
      </c>
      <c r="I8">
        <v>0</v>
      </c>
      <c r="J8" s="156"/>
      <c r="L8">
        <v>4.1666666666666741E-2</v>
      </c>
      <c r="M8">
        <v>5.2083333333333426E-2</v>
      </c>
      <c r="N8">
        <v>4.1666666666666741E-2</v>
      </c>
      <c r="O8">
        <v>0</v>
      </c>
      <c r="Q8">
        <v>379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82</v>
      </c>
      <c r="AB8">
        <v>100</v>
      </c>
      <c r="AE8">
        <v>100</v>
      </c>
      <c r="AH8">
        <v>100</v>
      </c>
      <c r="AK8">
        <v>100</v>
      </c>
    </row>
    <row r="10" spans="1:37" x14ac:dyDescent="0.25">
      <c r="A10" t="s">
        <v>175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K368"/>
  <sheetViews>
    <sheetView topLeftCell="A342" zoomScale="90" zoomScaleNormal="90" workbookViewId="0">
      <selection activeCell="A109" sqref="A109:AK109"/>
    </sheetView>
  </sheetViews>
  <sheetFormatPr baseColWidth="10" defaultColWidth="11.5703125" defaultRowHeight="15" x14ac:dyDescent="0.25"/>
  <cols>
    <col min="1" max="1" width="17.85546875" bestFit="1" customWidth="1"/>
    <col min="2" max="2" width="18.85546875" bestFit="1" customWidth="1"/>
    <col min="3" max="3" width="17.5703125" bestFit="1" customWidth="1"/>
    <col min="4" max="4" width="24.85546875" bestFit="1" customWidth="1"/>
    <col min="5" max="5" width="40.140625" bestFit="1" customWidth="1"/>
    <col min="6" max="6" width="38.42578125" bestFit="1" customWidth="1"/>
    <col min="7" max="7" width="40.42578125" bestFit="1" customWidth="1"/>
    <col min="8" max="8" width="42.42578125" bestFit="1" customWidth="1"/>
    <col min="9" max="9" width="25.140625" bestFit="1" customWidth="1"/>
    <col min="10" max="10" width="24.28515625" bestFit="1" customWidth="1"/>
    <col min="11" max="11" width="16.28515625" bestFit="1" customWidth="1"/>
    <col min="12" max="12" width="16.7109375" bestFit="1" customWidth="1"/>
    <col min="13" max="13" width="15.7109375" bestFit="1" customWidth="1"/>
    <col min="14" max="14" width="20.85546875" bestFit="1" customWidth="1"/>
    <col min="15" max="15" width="17.5703125" bestFit="1" customWidth="1"/>
    <col min="16" max="16" width="17.85546875" bestFit="1" customWidth="1"/>
    <col min="17" max="17" width="16" bestFit="1" customWidth="1"/>
    <col min="18" max="18" width="19.140625" bestFit="1" customWidth="1"/>
    <col min="19" max="19" width="16.7109375" bestFit="1" customWidth="1"/>
    <col min="20" max="20" width="23.28515625" bestFit="1" customWidth="1"/>
    <col min="21" max="21" width="13.7109375" bestFit="1" customWidth="1"/>
    <col min="22" max="22" width="12.85546875" bestFit="1" customWidth="1"/>
    <col min="23" max="23" width="17.5703125" bestFit="1" customWidth="1"/>
    <col min="24" max="24" width="19.140625" bestFit="1" customWidth="1"/>
    <col min="25" max="25" width="16" bestFit="1" customWidth="1"/>
    <col min="26" max="26" width="25.28515625" bestFit="1" customWidth="1"/>
    <col min="27" max="27" width="25.85546875" bestFit="1" customWidth="1"/>
    <col min="28" max="28" width="39.140625" bestFit="1" customWidth="1"/>
    <col min="29" max="29" width="24" bestFit="1" customWidth="1"/>
    <col min="30" max="30" width="27.140625" bestFit="1" customWidth="1"/>
    <col min="31" max="31" width="37.85546875" bestFit="1" customWidth="1"/>
    <col min="32" max="32" width="20.140625" bestFit="1" customWidth="1"/>
    <col min="33" max="33" width="26.42578125" bestFit="1" customWidth="1"/>
    <col min="34" max="34" width="33.7109375" bestFit="1" customWidth="1"/>
    <col min="35" max="35" width="24.28515625" bestFit="1" customWidth="1"/>
    <col min="36" max="36" width="27.140625" bestFit="1" customWidth="1"/>
    <col min="37" max="37" width="38" bestFit="1" customWidth="1"/>
  </cols>
  <sheetData>
    <row r="1" spans="1:37" ht="15.75" thickBot="1" x14ac:dyDescent="0.3">
      <c r="I1" s="1"/>
    </row>
    <row r="2" spans="1:37" ht="15.75" customHeight="1" thickBot="1" x14ac:dyDescent="0.3">
      <c r="A2" s="2"/>
      <c r="B2" s="3"/>
      <c r="C2" s="3"/>
      <c r="D2" s="3"/>
      <c r="E2" s="3"/>
      <c r="F2" s="3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8"/>
    </row>
    <row r="3" spans="1:37" ht="15.75" thickBot="1" x14ac:dyDescent="0.3">
      <c r="G3" s="539" t="s">
        <v>0</v>
      </c>
      <c r="H3" s="540"/>
      <c r="I3" s="540"/>
      <c r="J3" s="540"/>
      <c r="K3" s="541"/>
      <c r="L3" s="542" t="s">
        <v>1</v>
      </c>
      <c r="M3" s="543"/>
      <c r="N3" s="543"/>
      <c r="O3" s="543"/>
      <c r="P3" s="543"/>
      <c r="Q3" s="544"/>
      <c r="R3" s="545" t="s">
        <v>2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D4" s="1"/>
      <c r="E4" s="4"/>
      <c r="F4" s="4"/>
      <c r="G4" s="539"/>
      <c r="H4" s="540"/>
      <c r="I4" s="540"/>
      <c r="J4" s="540"/>
      <c r="K4" s="541"/>
      <c r="L4" s="551" t="s">
        <v>4</v>
      </c>
      <c r="M4" s="552"/>
      <c r="N4" s="552"/>
      <c r="O4" s="552"/>
      <c r="P4" s="552"/>
      <c r="Q4" s="5">
        <v>370</v>
      </c>
      <c r="R4" s="553" t="s">
        <v>5</v>
      </c>
      <c r="S4" s="554"/>
      <c r="T4" s="554"/>
      <c r="U4" s="554"/>
      <c r="V4" s="554"/>
      <c r="W4" s="554"/>
      <c r="X4" s="555"/>
      <c r="Y4" s="5">
        <v>94.34</v>
      </c>
      <c r="Z4" s="6"/>
      <c r="AA4" s="7" t="s">
        <v>6</v>
      </c>
      <c r="AB4" s="8">
        <v>100</v>
      </c>
      <c r="AC4" s="9"/>
      <c r="AD4" s="7" t="s">
        <v>6</v>
      </c>
      <c r="AE4" s="8">
        <v>100</v>
      </c>
      <c r="AG4" s="7" t="s">
        <v>6</v>
      </c>
      <c r="AH4" s="8">
        <v>100</v>
      </c>
      <c r="AJ4" s="7" t="s">
        <v>6</v>
      </c>
      <c r="AK4" s="8">
        <v>100</v>
      </c>
    </row>
    <row r="5" spans="1:37" x14ac:dyDescent="0.25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231" t="s">
        <v>28</v>
      </c>
      <c r="W5" s="231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7" t="s">
        <v>39</v>
      </c>
      <c r="AH5" s="217" t="s">
        <v>40</v>
      </c>
      <c r="AI5" s="217" t="s">
        <v>41</v>
      </c>
      <c r="AJ5" s="218" t="s">
        <v>42</v>
      </c>
      <c r="AK5" s="219" t="s">
        <v>43</v>
      </c>
    </row>
    <row r="6" spans="1:37" s="127" customFormat="1" x14ac:dyDescent="0.25">
      <c r="A6" s="424" t="s">
        <v>199</v>
      </c>
      <c r="B6" s="425">
        <v>43821</v>
      </c>
      <c r="C6" s="426">
        <v>0.6875</v>
      </c>
      <c r="D6" s="427">
        <v>0.50000000000000089</v>
      </c>
      <c r="E6" s="428" t="s">
        <v>47</v>
      </c>
      <c r="F6" s="428" t="s">
        <v>231</v>
      </c>
      <c r="G6" s="428"/>
      <c r="H6" s="428"/>
      <c r="I6" s="427">
        <v>0</v>
      </c>
      <c r="J6" s="428"/>
      <c r="K6" s="428"/>
      <c r="L6" s="427">
        <v>0.20833333333333401</v>
      </c>
      <c r="M6" s="427">
        <v>5.2083333333333426E-2</v>
      </c>
      <c r="N6" s="427">
        <v>5.2083333333333426E-2</v>
      </c>
      <c r="O6" s="427">
        <v>0.31250000000000083</v>
      </c>
      <c r="P6" s="427"/>
      <c r="Q6" s="427">
        <v>82.6875</v>
      </c>
      <c r="R6" s="427">
        <v>0</v>
      </c>
      <c r="S6" s="427">
        <v>0</v>
      </c>
      <c r="T6" s="427">
        <v>0</v>
      </c>
      <c r="U6" s="427">
        <v>0</v>
      </c>
      <c r="V6" s="427">
        <v>0</v>
      </c>
      <c r="W6" s="427">
        <v>0</v>
      </c>
      <c r="X6" s="427"/>
      <c r="Y6" s="427">
        <v>94.34</v>
      </c>
      <c r="Z6" s="427"/>
      <c r="AA6" s="427"/>
      <c r="AB6" s="427">
        <v>100</v>
      </c>
      <c r="AC6" s="427"/>
      <c r="AD6" s="427"/>
      <c r="AE6" s="427">
        <v>100</v>
      </c>
      <c r="AF6" s="427"/>
      <c r="AG6" s="427"/>
      <c r="AH6" s="427">
        <v>100</v>
      </c>
      <c r="AI6" s="427"/>
      <c r="AJ6" s="427"/>
      <c r="AK6" s="427">
        <v>100</v>
      </c>
    </row>
    <row r="7" spans="1:37" s="127" customFormat="1" x14ac:dyDescent="0.25">
      <c r="A7" s="424" t="s">
        <v>199</v>
      </c>
      <c r="B7" s="425">
        <v>43822</v>
      </c>
      <c r="C7" s="426">
        <v>0.33333333333333331</v>
      </c>
      <c r="D7" s="427">
        <v>15.5</v>
      </c>
      <c r="E7" s="428" t="s">
        <v>45</v>
      </c>
      <c r="F7" s="428" t="s">
        <v>45</v>
      </c>
      <c r="G7" s="428"/>
      <c r="H7" s="428"/>
      <c r="I7" s="427">
        <v>0</v>
      </c>
      <c r="J7" s="428"/>
      <c r="K7" s="428"/>
      <c r="L7" s="427">
        <v>0</v>
      </c>
      <c r="M7" s="427">
        <v>1.6145833333333335</v>
      </c>
      <c r="N7" s="427">
        <v>1.6145833333333335</v>
      </c>
      <c r="O7" s="427">
        <v>3.229166666666667</v>
      </c>
      <c r="P7" s="427"/>
      <c r="Q7" s="427">
        <v>79.458333333333329</v>
      </c>
      <c r="R7" s="427">
        <v>0</v>
      </c>
      <c r="S7" s="427">
        <v>0</v>
      </c>
      <c r="T7" s="427">
        <v>0</v>
      </c>
      <c r="U7" s="427">
        <v>0</v>
      </c>
      <c r="V7" s="427">
        <v>0</v>
      </c>
      <c r="W7" s="427">
        <v>0</v>
      </c>
      <c r="X7" s="427"/>
      <c r="Y7" s="427">
        <v>94.34</v>
      </c>
      <c r="Z7" s="427"/>
      <c r="AA7" s="427"/>
      <c r="AB7" s="427">
        <v>100</v>
      </c>
      <c r="AC7" s="427"/>
      <c r="AD7" s="427"/>
      <c r="AE7" s="427">
        <v>100</v>
      </c>
      <c r="AF7" s="427"/>
      <c r="AG7" s="427"/>
      <c r="AH7" s="427">
        <v>100</v>
      </c>
      <c r="AI7" s="427"/>
      <c r="AJ7" s="427"/>
      <c r="AK7" s="427">
        <v>100</v>
      </c>
    </row>
    <row r="8" spans="1:37" s="127" customFormat="1" x14ac:dyDescent="0.25">
      <c r="A8" s="424" t="s">
        <v>199</v>
      </c>
      <c r="B8" s="425">
        <v>43822</v>
      </c>
      <c r="C8" s="426">
        <v>0.4291666666666667</v>
      </c>
      <c r="D8" s="427">
        <v>2.3000000000000012</v>
      </c>
      <c r="E8" s="428" t="s">
        <v>45</v>
      </c>
      <c r="F8" s="428" t="s">
        <v>46</v>
      </c>
      <c r="G8" s="428"/>
      <c r="H8" s="428"/>
      <c r="I8" s="427">
        <v>0</v>
      </c>
      <c r="J8" s="428"/>
      <c r="K8" s="428"/>
      <c r="L8" s="427">
        <v>0</v>
      </c>
      <c r="M8" s="427">
        <v>0.23958333333333345</v>
      </c>
      <c r="N8" s="427">
        <v>0.23958333333333345</v>
      </c>
      <c r="O8" s="427">
        <v>0.47916666666666691</v>
      </c>
      <c r="P8" s="427"/>
      <c r="Q8" s="427">
        <v>78.979166666666657</v>
      </c>
      <c r="R8" s="427">
        <v>0</v>
      </c>
      <c r="S8" s="427">
        <v>0</v>
      </c>
      <c r="T8" s="427">
        <v>0</v>
      </c>
      <c r="U8" s="427">
        <v>0</v>
      </c>
      <c r="V8" s="427">
        <v>0</v>
      </c>
      <c r="W8" s="427">
        <v>0</v>
      </c>
      <c r="X8" s="427"/>
      <c r="Y8" s="427">
        <v>94.34</v>
      </c>
      <c r="Z8" s="427"/>
      <c r="AA8" s="427"/>
      <c r="AB8" s="427">
        <v>100</v>
      </c>
      <c r="AC8" s="427"/>
      <c r="AD8" s="427"/>
      <c r="AE8" s="427">
        <v>100</v>
      </c>
      <c r="AF8" s="427"/>
      <c r="AG8" s="427"/>
      <c r="AH8" s="427">
        <v>100</v>
      </c>
      <c r="AI8" s="427"/>
      <c r="AJ8" s="427"/>
      <c r="AK8" s="427">
        <v>100</v>
      </c>
    </row>
    <row r="9" spans="1:37" s="127" customFormat="1" x14ac:dyDescent="0.25">
      <c r="A9" s="424" t="s">
        <v>199</v>
      </c>
      <c r="B9" s="425">
        <v>43822</v>
      </c>
      <c r="C9" s="426">
        <v>0.4916666666666667</v>
      </c>
      <c r="D9" s="427">
        <v>1.5</v>
      </c>
      <c r="E9" s="428" t="s">
        <v>47</v>
      </c>
      <c r="F9" s="428" t="s">
        <v>74</v>
      </c>
      <c r="G9" s="428"/>
      <c r="H9" s="428"/>
      <c r="I9" s="427">
        <v>0</v>
      </c>
      <c r="J9" s="428"/>
      <c r="K9" s="428"/>
      <c r="L9" s="427">
        <v>0</v>
      </c>
      <c r="M9" s="427">
        <v>0.15625</v>
      </c>
      <c r="N9" s="427">
        <v>0.15625</v>
      </c>
      <c r="O9" s="427">
        <v>0.3125</v>
      </c>
      <c r="P9" s="427"/>
      <c r="Q9" s="427">
        <v>78.666666666666657</v>
      </c>
      <c r="R9" s="427">
        <v>0</v>
      </c>
      <c r="S9" s="427">
        <v>0</v>
      </c>
      <c r="T9" s="427">
        <v>0</v>
      </c>
      <c r="U9" s="427">
        <v>0</v>
      </c>
      <c r="V9" s="427">
        <v>0</v>
      </c>
      <c r="W9" s="427">
        <v>0</v>
      </c>
      <c r="X9" s="427"/>
      <c r="Y9" s="427">
        <v>94.34</v>
      </c>
      <c r="Z9" s="427"/>
      <c r="AA9" s="427"/>
      <c r="AB9" s="427">
        <v>100</v>
      </c>
      <c r="AC9" s="427"/>
      <c r="AD9" s="427"/>
      <c r="AE9" s="427">
        <v>100</v>
      </c>
      <c r="AF9" s="427"/>
      <c r="AG9" s="427"/>
      <c r="AH9" s="427">
        <v>100</v>
      </c>
      <c r="AI9" s="427"/>
      <c r="AJ9" s="427"/>
      <c r="AK9" s="427">
        <v>100</v>
      </c>
    </row>
    <row r="10" spans="1:37" s="127" customFormat="1" x14ac:dyDescent="0.25">
      <c r="A10" s="424" t="s">
        <v>199</v>
      </c>
      <c r="B10" s="425">
        <v>43822</v>
      </c>
      <c r="C10" s="426">
        <v>0.52500000000000002</v>
      </c>
      <c r="D10" s="427">
        <v>0.79999999999999982</v>
      </c>
      <c r="E10" s="428" t="s">
        <v>47</v>
      </c>
      <c r="F10" s="428" t="s">
        <v>48</v>
      </c>
      <c r="G10" s="428"/>
      <c r="H10" s="428"/>
      <c r="I10" s="427">
        <v>0</v>
      </c>
      <c r="J10" s="428"/>
      <c r="K10" s="428"/>
      <c r="L10" s="427">
        <v>0.33333333333333326</v>
      </c>
      <c r="M10" s="427">
        <v>8.3333333333333315E-2</v>
      </c>
      <c r="N10" s="427">
        <v>8.3333333333333315E-2</v>
      </c>
      <c r="O10" s="427">
        <v>0.49999999999999989</v>
      </c>
      <c r="P10" s="427"/>
      <c r="Q10" s="427">
        <v>78.166666666666657</v>
      </c>
      <c r="R10" s="427">
        <v>0</v>
      </c>
      <c r="S10" s="427">
        <v>0</v>
      </c>
      <c r="T10" s="427">
        <v>0</v>
      </c>
      <c r="U10" s="427">
        <v>0</v>
      </c>
      <c r="V10" s="427">
        <v>0</v>
      </c>
      <c r="W10" s="427">
        <v>0</v>
      </c>
      <c r="X10" s="427"/>
      <c r="Y10" s="427">
        <v>94.34</v>
      </c>
      <c r="Z10" s="427"/>
      <c r="AA10" s="427"/>
      <c r="AB10" s="427">
        <v>100</v>
      </c>
      <c r="AC10" s="427"/>
      <c r="AD10" s="427"/>
      <c r="AE10" s="427">
        <v>100</v>
      </c>
      <c r="AF10" s="427"/>
      <c r="AG10" s="427"/>
      <c r="AH10" s="427">
        <v>100</v>
      </c>
      <c r="AI10" s="427"/>
      <c r="AJ10" s="427"/>
      <c r="AK10" s="427">
        <v>100</v>
      </c>
    </row>
    <row r="11" spans="1:37" s="127" customFormat="1" x14ac:dyDescent="0.25">
      <c r="A11" s="424" t="s">
        <v>199</v>
      </c>
      <c r="B11" s="425">
        <v>43823</v>
      </c>
      <c r="C11" s="426">
        <v>0.33333333333333331</v>
      </c>
      <c r="D11" s="427">
        <v>19.399999999999999</v>
      </c>
      <c r="E11" s="428" t="s">
        <v>49</v>
      </c>
      <c r="F11" s="428" t="s">
        <v>71</v>
      </c>
      <c r="G11" s="428"/>
      <c r="H11" s="428"/>
      <c r="I11" s="427">
        <v>0</v>
      </c>
      <c r="J11" s="428"/>
      <c r="K11" s="428"/>
      <c r="L11" s="427">
        <v>0</v>
      </c>
      <c r="M11" s="427">
        <v>2.0208333333333335</v>
      </c>
      <c r="N11" s="427">
        <v>2.0208333333333335</v>
      </c>
      <c r="O11" s="427">
        <v>4.041666666666667</v>
      </c>
      <c r="P11" s="427"/>
      <c r="Q11" s="427">
        <v>74.124999999999986</v>
      </c>
      <c r="R11" s="427">
        <v>0</v>
      </c>
      <c r="S11" s="427">
        <v>0.1</v>
      </c>
      <c r="T11" s="427">
        <v>0</v>
      </c>
      <c r="U11" s="427">
        <v>0</v>
      </c>
      <c r="V11" s="427">
        <v>0</v>
      </c>
      <c r="W11" s="427">
        <v>0.1</v>
      </c>
      <c r="X11" s="427"/>
      <c r="Y11" s="427">
        <v>94.240000000000009</v>
      </c>
      <c r="Z11" s="427"/>
      <c r="AA11" s="427"/>
      <c r="AB11" s="427">
        <v>100</v>
      </c>
      <c r="AC11" s="427"/>
      <c r="AD11" s="427"/>
      <c r="AE11" s="427">
        <v>100</v>
      </c>
      <c r="AF11" s="427"/>
      <c r="AG11" s="427"/>
      <c r="AH11" s="427">
        <v>100</v>
      </c>
      <c r="AI11" s="427"/>
      <c r="AJ11" s="427"/>
      <c r="AK11" s="427">
        <v>100</v>
      </c>
    </row>
    <row r="12" spans="1:37" s="127" customFormat="1" x14ac:dyDescent="0.25">
      <c r="A12" s="424" t="s">
        <v>199</v>
      </c>
      <c r="B12" s="425">
        <v>43824</v>
      </c>
      <c r="C12" s="426">
        <v>0.125</v>
      </c>
      <c r="D12" s="427">
        <v>19</v>
      </c>
      <c r="E12" s="428" t="s">
        <v>71</v>
      </c>
      <c r="F12" s="428" t="s">
        <v>73</v>
      </c>
      <c r="G12" s="428"/>
      <c r="H12" s="428"/>
      <c r="I12" s="427">
        <v>0</v>
      </c>
      <c r="J12" s="428"/>
      <c r="K12" s="428"/>
      <c r="L12" s="427">
        <v>0</v>
      </c>
      <c r="M12" s="427">
        <v>1.9791666666666667</v>
      </c>
      <c r="N12" s="427">
        <v>1.9791666666666667</v>
      </c>
      <c r="O12" s="427">
        <v>3.9583333333333335</v>
      </c>
      <c r="P12" s="427"/>
      <c r="Q12" s="427">
        <v>70.166666666666657</v>
      </c>
      <c r="R12" s="427">
        <v>0</v>
      </c>
      <c r="S12" s="427">
        <v>0</v>
      </c>
      <c r="T12" s="427">
        <v>0</v>
      </c>
      <c r="U12" s="427">
        <v>0</v>
      </c>
      <c r="V12" s="427">
        <v>0</v>
      </c>
      <c r="W12" s="427">
        <v>0</v>
      </c>
      <c r="X12" s="427"/>
      <c r="Y12" s="427">
        <v>94.240000000000009</v>
      </c>
      <c r="Z12" s="427"/>
      <c r="AA12" s="427"/>
      <c r="AB12" s="427">
        <v>100</v>
      </c>
      <c r="AC12" s="427"/>
      <c r="AD12" s="427"/>
      <c r="AE12" s="427">
        <v>100</v>
      </c>
      <c r="AF12" s="427"/>
      <c r="AG12" s="427"/>
      <c r="AH12" s="427">
        <v>100</v>
      </c>
      <c r="AI12" s="427"/>
      <c r="AJ12" s="427"/>
      <c r="AK12" s="427">
        <v>100</v>
      </c>
    </row>
    <row r="13" spans="1:37" s="127" customFormat="1" x14ac:dyDescent="0.25">
      <c r="A13" s="424" t="s">
        <v>199</v>
      </c>
      <c r="B13" s="425">
        <v>43824</v>
      </c>
      <c r="C13" s="426">
        <v>0.28333333333333333</v>
      </c>
      <c r="D13" s="427">
        <v>3.8</v>
      </c>
      <c r="E13" s="428" t="s">
        <v>49</v>
      </c>
      <c r="F13" s="428" t="s">
        <v>74</v>
      </c>
      <c r="G13" s="428"/>
      <c r="H13" s="428"/>
      <c r="I13" s="427">
        <v>0</v>
      </c>
      <c r="J13" s="428"/>
      <c r="K13" s="428"/>
      <c r="L13" s="427">
        <v>0</v>
      </c>
      <c r="M13" s="427">
        <v>0.39583333333333331</v>
      </c>
      <c r="N13" s="427">
        <v>0.39583333333333331</v>
      </c>
      <c r="O13" s="427">
        <v>0.79166666666666663</v>
      </c>
      <c r="P13" s="427"/>
      <c r="Q13" s="427">
        <v>69.374999999999986</v>
      </c>
      <c r="R13" s="427">
        <v>0</v>
      </c>
      <c r="S13" s="427">
        <v>0</v>
      </c>
      <c r="T13" s="427">
        <v>0</v>
      </c>
      <c r="U13" s="427">
        <v>0</v>
      </c>
      <c r="V13" s="427">
        <v>0</v>
      </c>
      <c r="W13" s="427">
        <v>0</v>
      </c>
      <c r="X13" s="427"/>
      <c r="Y13" s="427">
        <v>94.240000000000009</v>
      </c>
      <c r="Z13" s="427"/>
      <c r="AA13" s="427"/>
      <c r="AB13" s="427">
        <v>100</v>
      </c>
      <c r="AC13" s="427"/>
      <c r="AD13" s="427"/>
      <c r="AE13" s="427">
        <v>100</v>
      </c>
      <c r="AF13" s="427"/>
      <c r="AG13" s="427"/>
      <c r="AH13" s="427">
        <v>100</v>
      </c>
      <c r="AI13" s="427"/>
      <c r="AJ13" s="427"/>
      <c r="AK13" s="427">
        <v>100</v>
      </c>
    </row>
    <row r="14" spans="1:37" s="127" customFormat="1" x14ac:dyDescent="0.25">
      <c r="A14" s="424" t="s">
        <v>199</v>
      </c>
      <c r="B14" s="425">
        <v>43824</v>
      </c>
      <c r="C14" s="426">
        <v>0.30416666666666664</v>
      </c>
      <c r="D14" s="427">
        <v>0.49999999999999956</v>
      </c>
      <c r="E14" s="428" t="s">
        <v>47</v>
      </c>
      <c r="F14" s="428" t="s">
        <v>48</v>
      </c>
      <c r="G14" s="428"/>
      <c r="H14" s="428"/>
      <c r="I14" s="427">
        <v>0</v>
      </c>
      <c r="J14" s="428"/>
      <c r="K14" s="428"/>
      <c r="L14" s="427">
        <v>0.20833333333333315</v>
      </c>
      <c r="M14" s="427">
        <v>5.2083333333333287E-2</v>
      </c>
      <c r="N14" s="427">
        <v>5.2083333333333287E-2</v>
      </c>
      <c r="O14" s="427">
        <v>0.31249999999999967</v>
      </c>
      <c r="P14" s="427"/>
      <c r="Q14" s="427">
        <v>69.062499999999986</v>
      </c>
      <c r="R14" s="427">
        <v>0</v>
      </c>
      <c r="S14" s="427">
        <v>0</v>
      </c>
      <c r="T14" s="427">
        <v>0</v>
      </c>
      <c r="U14" s="427">
        <v>0</v>
      </c>
      <c r="V14" s="427">
        <v>0</v>
      </c>
      <c r="W14" s="427">
        <v>0</v>
      </c>
      <c r="X14" s="427"/>
      <c r="Y14" s="427">
        <v>94.240000000000009</v>
      </c>
      <c r="Z14" s="427"/>
      <c r="AA14" s="427"/>
      <c r="AB14" s="427">
        <v>100</v>
      </c>
      <c r="AC14" s="427"/>
      <c r="AD14" s="427"/>
      <c r="AE14" s="427">
        <v>100</v>
      </c>
      <c r="AF14" s="427"/>
      <c r="AG14" s="427"/>
      <c r="AH14" s="427">
        <v>100</v>
      </c>
      <c r="AI14" s="427"/>
      <c r="AJ14" s="427"/>
      <c r="AK14" s="427">
        <v>100</v>
      </c>
    </row>
    <row r="15" spans="1:37" s="127" customFormat="1" x14ac:dyDescent="0.25">
      <c r="A15" s="424" t="s">
        <v>199</v>
      </c>
      <c r="B15" s="425">
        <v>43824</v>
      </c>
      <c r="C15" s="426">
        <v>0.33333333333333331</v>
      </c>
      <c r="D15" s="427">
        <v>0.70000000000000018</v>
      </c>
      <c r="E15" s="428" t="s">
        <v>47</v>
      </c>
      <c r="F15" s="428" t="s">
        <v>232</v>
      </c>
      <c r="G15" s="428"/>
      <c r="H15" s="428"/>
      <c r="I15" s="427">
        <v>0</v>
      </c>
      <c r="J15" s="428"/>
      <c r="K15" s="428"/>
      <c r="L15" s="427">
        <v>0.72916666666666685</v>
      </c>
      <c r="M15" s="427">
        <v>7.2916666666666685E-2</v>
      </c>
      <c r="N15" s="427">
        <v>7.2916666666666685E-2</v>
      </c>
      <c r="O15" s="427">
        <v>0.87500000000000022</v>
      </c>
      <c r="P15" s="427"/>
      <c r="Q15" s="427">
        <v>68.187499999999986</v>
      </c>
      <c r="R15" s="427">
        <v>0</v>
      </c>
      <c r="S15" s="427">
        <v>0</v>
      </c>
      <c r="T15" s="427">
        <v>0</v>
      </c>
      <c r="U15" s="427">
        <v>0</v>
      </c>
      <c r="V15" s="427">
        <v>0</v>
      </c>
      <c r="W15" s="427">
        <v>0</v>
      </c>
      <c r="X15" s="427"/>
      <c r="Y15" s="427">
        <v>94.240000000000009</v>
      </c>
      <c r="Z15" s="427"/>
      <c r="AA15" s="427"/>
      <c r="AB15" s="427">
        <v>100</v>
      </c>
      <c r="AC15" s="427"/>
      <c r="AD15" s="427"/>
      <c r="AE15" s="427">
        <v>100</v>
      </c>
      <c r="AF15" s="427"/>
      <c r="AG15" s="427"/>
      <c r="AH15" s="427">
        <v>100</v>
      </c>
      <c r="AI15" s="427"/>
      <c r="AJ15" s="427"/>
      <c r="AK15" s="427">
        <v>100</v>
      </c>
    </row>
    <row r="16" spans="1:37" s="127" customFormat="1" x14ac:dyDescent="0.25">
      <c r="A16" s="424" t="s">
        <v>199</v>
      </c>
      <c r="B16" s="425">
        <v>43824</v>
      </c>
      <c r="C16" s="426">
        <v>0.77916666666666667</v>
      </c>
      <c r="D16" s="427">
        <v>10.700000000000001</v>
      </c>
      <c r="E16" s="428" t="s">
        <v>55</v>
      </c>
      <c r="F16" s="428" t="s">
        <v>219</v>
      </c>
      <c r="G16" s="428"/>
      <c r="H16" s="428"/>
      <c r="I16" s="427">
        <v>0</v>
      </c>
      <c r="J16" s="428"/>
      <c r="K16" s="428"/>
      <c r="L16" s="427">
        <v>11.145833333333336</v>
      </c>
      <c r="M16" s="427">
        <v>1.1145833333333335</v>
      </c>
      <c r="N16" s="427">
        <v>1.1145833333333335</v>
      </c>
      <c r="O16" s="427">
        <v>13.375000000000004</v>
      </c>
      <c r="P16" s="427"/>
      <c r="Q16" s="427">
        <v>54.812499999999986</v>
      </c>
      <c r="R16" s="427">
        <v>0</v>
      </c>
      <c r="S16" s="427">
        <v>0</v>
      </c>
      <c r="T16" s="427">
        <v>0</v>
      </c>
      <c r="U16" s="427">
        <v>0</v>
      </c>
      <c r="V16" s="427">
        <v>0</v>
      </c>
      <c r="W16" s="427">
        <v>0</v>
      </c>
      <c r="X16" s="427"/>
      <c r="Y16" s="427">
        <v>94.240000000000009</v>
      </c>
      <c r="Z16" s="427"/>
      <c r="AA16" s="427"/>
      <c r="AB16" s="427">
        <v>100</v>
      </c>
      <c r="AC16" s="427"/>
      <c r="AD16" s="427"/>
      <c r="AE16" s="427">
        <v>100</v>
      </c>
      <c r="AF16" s="427"/>
      <c r="AG16" s="427"/>
      <c r="AH16" s="427">
        <v>100</v>
      </c>
      <c r="AI16" s="427"/>
      <c r="AJ16" s="427"/>
      <c r="AK16" s="427">
        <v>100</v>
      </c>
    </row>
    <row r="17" spans="1:37" s="127" customFormat="1" x14ac:dyDescent="0.25">
      <c r="A17" s="424" t="s">
        <v>199</v>
      </c>
      <c r="B17" s="425">
        <v>43824</v>
      </c>
      <c r="C17" s="426">
        <v>0.8208333333333333</v>
      </c>
      <c r="D17" s="427">
        <v>0.99999999999999911</v>
      </c>
      <c r="E17" s="428" t="s">
        <v>47</v>
      </c>
      <c r="F17" s="428" t="s">
        <v>233</v>
      </c>
      <c r="G17" s="428"/>
      <c r="H17" s="428"/>
      <c r="I17" s="427">
        <v>0</v>
      </c>
      <c r="J17" s="428"/>
      <c r="K17" s="428"/>
      <c r="L17" s="427">
        <v>0.4166666666666663</v>
      </c>
      <c r="M17" s="427">
        <v>0.10416666666666657</v>
      </c>
      <c r="N17" s="427">
        <v>0.10416666666666657</v>
      </c>
      <c r="O17" s="427">
        <v>0.62499999999999933</v>
      </c>
      <c r="P17" s="427"/>
      <c r="Q17" s="427">
        <v>54.187499999999986</v>
      </c>
      <c r="R17" s="427">
        <v>0</v>
      </c>
      <c r="S17" s="427">
        <v>0.1</v>
      </c>
      <c r="T17" s="427">
        <v>0</v>
      </c>
      <c r="U17" s="427">
        <v>0</v>
      </c>
      <c r="V17" s="427">
        <v>0</v>
      </c>
      <c r="W17" s="427">
        <v>0.1</v>
      </c>
      <c r="X17" s="427"/>
      <c r="Y17" s="427">
        <v>94.140000000000015</v>
      </c>
      <c r="Z17" s="427"/>
      <c r="AA17" s="427"/>
      <c r="AB17" s="427">
        <v>100</v>
      </c>
      <c r="AC17" s="427"/>
      <c r="AD17" s="427"/>
      <c r="AE17" s="427">
        <v>100</v>
      </c>
      <c r="AF17" s="427"/>
      <c r="AG17" s="427"/>
      <c r="AH17" s="427">
        <v>100</v>
      </c>
      <c r="AI17" s="427"/>
      <c r="AJ17" s="427"/>
      <c r="AK17" s="427">
        <v>100</v>
      </c>
    </row>
    <row r="18" spans="1:37" s="127" customFormat="1" x14ac:dyDescent="0.25">
      <c r="A18" s="424" t="s">
        <v>199</v>
      </c>
      <c r="B18" s="425">
        <v>43825</v>
      </c>
      <c r="C18" s="426">
        <v>0.33333333333333331</v>
      </c>
      <c r="D18" s="427">
        <v>12.3</v>
      </c>
      <c r="E18" s="428" t="s">
        <v>45</v>
      </c>
      <c r="F18" s="428" t="s">
        <v>45</v>
      </c>
      <c r="G18" s="428"/>
      <c r="H18" s="428"/>
      <c r="I18" s="427">
        <v>0</v>
      </c>
      <c r="J18" s="428"/>
      <c r="K18" s="428"/>
      <c r="L18" s="427">
        <v>0</v>
      </c>
      <c r="M18" s="427">
        <v>1.2812500000000002</v>
      </c>
      <c r="N18" s="427">
        <v>1.2812500000000002</v>
      </c>
      <c r="O18" s="427">
        <v>2.5625000000000004</v>
      </c>
      <c r="P18" s="427"/>
      <c r="Q18" s="427">
        <v>51.624999999999986</v>
      </c>
      <c r="R18" s="427">
        <v>0</v>
      </c>
      <c r="S18" s="427">
        <v>0</v>
      </c>
      <c r="T18" s="427">
        <v>0</v>
      </c>
      <c r="U18" s="427">
        <v>0</v>
      </c>
      <c r="V18" s="427">
        <v>0</v>
      </c>
      <c r="W18" s="427">
        <v>0</v>
      </c>
      <c r="X18" s="427"/>
      <c r="Y18" s="427">
        <v>94.140000000000015</v>
      </c>
      <c r="Z18" s="427"/>
      <c r="AA18" s="427"/>
      <c r="AB18" s="427">
        <v>100</v>
      </c>
      <c r="AC18" s="427"/>
      <c r="AD18" s="427"/>
      <c r="AE18" s="427">
        <v>100</v>
      </c>
      <c r="AF18" s="427"/>
      <c r="AG18" s="427"/>
      <c r="AH18" s="427">
        <v>100</v>
      </c>
      <c r="AI18" s="427"/>
      <c r="AJ18" s="427"/>
      <c r="AK18" s="427">
        <v>100</v>
      </c>
    </row>
    <row r="19" spans="1:37" s="127" customFormat="1" x14ac:dyDescent="0.25">
      <c r="A19" s="424" t="s">
        <v>199</v>
      </c>
      <c r="B19" s="425">
        <v>43826</v>
      </c>
      <c r="C19" s="426">
        <v>0.33333333333333331</v>
      </c>
      <c r="D19" s="427">
        <v>24</v>
      </c>
      <c r="E19" s="428" t="s">
        <v>45</v>
      </c>
      <c r="F19" s="428" t="s">
        <v>45</v>
      </c>
      <c r="G19" s="428"/>
      <c r="H19" s="428"/>
      <c r="I19" s="427">
        <v>0</v>
      </c>
      <c r="J19" s="428"/>
      <c r="K19" s="428"/>
      <c r="L19" s="427">
        <v>0</v>
      </c>
      <c r="M19" s="427">
        <v>2.5</v>
      </c>
      <c r="N19" s="427">
        <v>2.5</v>
      </c>
      <c r="O19" s="427">
        <v>5</v>
      </c>
      <c r="P19" s="427"/>
      <c r="Q19" s="427">
        <v>46.624999999999986</v>
      </c>
      <c r="R19" s="427">
        <v>0</v>
      </c>
      <c r="S19" s="427">
        <v>0</v>
      </c>
      <c r="T19" s="427">
        <v>0</v>
      </c>
      <c r="U19" s="427">
        <v>0</v>
      </c>
      <c r="V19" s="427">
        <v>0</v>
      </c>
      <c r="W19" s="427">
        <v>0</v>
      </c>
      <c r="X19" s="427"/>
      <c r="Y19" s="427">
        <v>94.140000000000015</v>
      </c>
      <c r="Z19" s="427"/>
      <c r="AA19" s="427"/>
      <c r="AB19" s="427">
        <v>100</v>
      </c>
      <c r="AC19" s="427"/>
      <c r="AD19" s="427"/>
      <c r="AE19" s="427">
        <v>100</v>
      </c>
      <c r="AF19" s="427"/>
      <c r="AG19" s="427"/>
      <c r="AH19" s="427">
        <v>100</v>
      </c>
      <c r="AI19" s="427"/>
      <c r="AJ19" s="427"/>
      <c r="AK19" s="427">
        <v>100</v>
      </c>
    </row>
    <row r="20" spans="1:37" s="127" customFormat="1" x14ac:dyDescent="0.25">
      <c r="A20" s="424" t="s">
        <v>199</v>
      </c>
      <c r="B20" s="425">
        <v>43826</v>
      </c>
      <c r="C20" s="426">
        <v>0.58333333333333337</v>
      </c>
      <c r="D20" s="427">
        <v>6.0000000000000018</v>
      </c>
      <c r="E20" s="428" t="s">
        <v>45</v>
      </c>
      <c r="F20" s="428" t="s">
        <v>74</v>
      </c>
      <c r="G20" s="428"/>
      <c r="H20" s="428"/>
      <c r="I20" s="427">
        <v>0</v>
      </c>
      <c r="J20" s="428"/>
      <c r="K20" s="428"/>
      <c r="L20" s="427">
        <v>0</v>
      </c>
      <c r="M20" s="427">
        <v>0.62500000000000022</v>
      </c>
      <c r="N20" s="427">
        <v>0.62500000000000022</v>
      </c>
      <c r="O20" s="427">
        <v>1.2500000000000004</v>
      </c>
      <c r="P20" s="427"/>
      <c r="Q20" s="427">
        <v>45.374999999999986</v>
      </c>
      <c r="R20" s="427">
        <v>0</v>
      </c>
      <c r="S20" s="427">
        <v>0</v>
      </c>
      <c r="T20" s="427">
        <v>0</v>
      </c>
      <c r="U20" s="427">
        <v>0</v>
      </c>
      <c r="V20" s="427">
        <v>0</v>
      </c>
      <c r="W20" s="427">
        <v>0</v>
      </c>
      <c r="X20" s="427"/>
      <c r="Y20" s="427">
        <v>94.140000000000015</v>
      </c>
      <c r="Z20" s="427"/>
      <c r="AA20" s="427"/>
      <c r="AB20" s="427">
        <v>100</v>
      </c>
      <c r="AC20" s="427"/>
      <c r="AD20" s="427"/>
      <c r="AE20" s="427">
        <v>100</v>
      </c>
      <c r="AF20" s="427"/>
      <c r="AG20" s="427"/>
      <c r="AH20" s="427">
        <v>100</v>
      </c>
      <c r="AI20" s="427"/>
      <c r="AJ20" s="427"/>
      <c r="AK20" s="427">
        <v>100</v>
      </c>
    </row>
    <row r="21" spans="1:37" s="127" customFormat="1" x14ac:dyDescent="0.25">
      <c r="A21" s="424" t="s">
        <v>199</v>
      </c>
      <c r="B21" s="425">
        <v>43826</v>
      </c>
      <c r="C21" s="426">
        <v>0.62083333333333335</v>
      </c>
      <c r="D21" s="427">
        <v>0.89999999999999947</v>
      </c>
      <c r="E21" s="428" t="s">
        <v>47</v>
      </c>
      <c r="F21" s="428" t="s">
        <v>234</v>
      </c>
      <c r="G21" s="428"/>
      <c r="H21" s="428"/>
      <c r="I21" s="427">
        <v>0</v>
      </c>
      <c r="J21" s="428"/>
      <c r="K21" s="428"/>
      <c r="L21" s="427">
        <v>0.56249999999999967</v>
      </c>
      <c r="M21" s="427">
        <v>9.3749999999999944E-2</v>
      </c>
      <c r="N21" s="427">
        <v>9.3749999999999944E-2</v>
      </c>
      <c r="O21" s="427">
        <v>0.74999999999999956</v>
      </c>
      <c r="P21" s="427"/>
      <c r="Q21" s="427">
        <v>44.624999999999986</v>
      </c>
      <c r="R21" s="427">
        <v>0</v>
      </c>
      <c r="S21" s="427">
        <v>0</v>
      </c>
      <c r="T21" s="427">
        <v>0</v>
      </c>
      <c r="U21" s="427">
        <v>0</v>
      </c>
      <c r="V21" s="427">
        <v>0</v>
      </c>
      <c r="W21" s="427">
        <v>0</v>
      </c>
      <c r="X21" s="427"/>
      <c r="Y21" s="427">
        <v>94.140000000000015</v>
      </c>
      <c r="Z21" s="427"/>
      <c r="AA21" s="427"/>
      <c r="AB21" s="427">
        <v>100</v>
      </c>
      <c r="AC21" s="427"/>
      <c r="AD21" s="427"/>
      <c r="AE21" s="427">
        <v>100</v>
      </c>
      <c r="AF21" s="427"/>
      <c r="AG21" s="427"/>
      <c r="AH21" s="427">
        <v>100</v>
      </c>
      <c r="AI21" s="427"/>
      <c r="AJ21" s="427"/>
      <c r="AK21" s="427">
        <v>100</v>
      </c>
    </row>
    <row r="22" spans="1:37" s="127" customFormat="1" x14ac:dyDescent="0.25">
      <c r="A22" s="424" t="s">
        <v>199</v>
      </c>
      <c r="B22" s="425">
        <v>43827</v>
      </c>
      <c r="C22" s="426">
        <v>0.33333333333333331</v>
      </c>
      <c r="D22" s="427">
        <v>17.100000000000001</v>
      </c>
      <c r="E22" s="428" t="s">
        <v>49</v>
      </c>
      <c r="F22" s="428" t="s">
        <v>71</v>
      </c>
      <c r="G22" s="428"/>
      <c r="H22" s="428"/>
      <c r="I22" s="427">
        <v>0</v>
      </c>
      <c r="J22" s="428"/>
      <c r="K22" s="428"/>
      <c r="L22" s="427">
        <v>0</v>
      </c>
      <c r="M22" s="427">
        <v>2.1375000000000002</v>
      </c>
      <c r="N22" s="427">
        <v>4.1325000000000003</v>
      </c>
      <c r="O22" s="427">
        <v>6.2700000000000005</v>
      </c>
      <c r="P22" s="427"/>
      <c r="Q22" s="427">
        <v>38.354999999999983</v>
      </c>
      <c r="R22" s="427">
        <v>0</v>
      </c>
      <c r="S22" s="427">
        <v>0.1</v>
      </c>
      <c r="T22" s="427">
        <v>0</v>
      </c>
      <c r="U22" s="427">
        <v>0</v>
      </c>
      <c r="V22" s="427">
        <v>0</v>
      </c>
      <c r="W22" s="427">
        <v>0.1</v>
      </c>
      <c r="X22" s="427"/>
      <c r="Y22" s="427">
        <v>94.04000000000002</v>
      </c>
      <c r="Z22" s="427"/>
      <c r="AA22" s="427"/>
      <c r="AB22" s="427">
        <v>100</v>
      </c>
      <c r="AC22" s="427"/>
      <c r="AD22" s="427"/>
      <c r="AE22" s="427">
        <v>100</v>
      </c>
      <c r="AF22" s="427"/>
      <c r="AG22" s="427"/>
      <c r="AH22" s="427">
        <v>100</v>
      </c>
      <c r="AI22" s="427"/>
      <c r="AJ22" s="427"/>
      <c r="AK22" s="427">
        <v>100</v>
      </c>
    </row>
    <row r="23" spans="1:37" s="127" customFormat="1" x14ac:dyDescent="0.25">
      <c r="A23" s="424" t="s">
        <v>199</v>
      </c>
      <c r="B23" s="425">
        <v>43827</v>
      </c>
      <c r="C23" s="426">
        <v>0.39999999999999997</v>
      </c>
      <c r="D23" s="427">
        <v>1.5999999999999996</v>
      </c>
      <c r="E23" s="428" t="s">
        <v>71</v>
      </c>
      <c r="F23" s="428" t="s">
        <v>73</v>
      </c>
      <c r="G23" s="428"/>
      <c r="H23" s="428"/>
      <c r="I23" s="427">
        <v>0</v>
      </c>
      <c r="J23" s="428"/>
      <c r="K23" s="428"/>
      <c r="L23" s="427">
        <v>0</v>
      </c>
      <c r="M23" s="427">
        <v>0.16666666666666663</v>
      </c>
      <c r="N23" s="427">
        <v>0.16666666666666663</v>
      </c>
      <c r="O23" s="427">
        <v>0.33333333333333326</v>
      </c>
      <c r="P23" s="427"/>
      <c r="Q23" s="427">
        <v>38.021666666666647</v>
      </c>
      <c r="R23" s="427">
        <v>0</v>
      </c>
      <c r="S23" s="427">
        <v>0</v>
      </c>
      <c r="T23" s="427">
        <v>0</v>
      </c>
      <c r="U23" s="427">
        <v>0</v>
      </c>
      <c r="V23" s="427">
        <v>0</v>
      </c>
      <c r="W23" s="427">
        <v>0</v>
      </c>
      <c r="X23" s="427"/>
      <c r="Y23" s="427">
        <v>94.04000000000002</v>
      </c>
      <c r="Z23" s="427"/>
      <c r="AA23" s="427"/>
      <c r="AB23" s="427">
        <v>100</v>
      </c>
      <c r="AC23" s="427"/>
      <c r="AD23" s="427"/>
      <c r="AE23" s="427">
        <v>100</v>
      </c>
      <c r="AF23" s="427"/>
      <c r="AG23" s="427"/>
      <c r="AH23" s="427">
        <v>100</v>
      </c>
      <c r="AI23" s="427"/>
      <c r="AJ23" s="427"/>
      <c r="AK23" s="427">
        <v>100</v>
      </c>
    </row>
    <row r="24" spans="1:37" s="127" customFormat="1" x14ac:dyDescent="0.25">
      <c r="A24" s="424" t="s">
        <v>199</v>
      </c>
      <c r="B24" s="425">
        <v>43827</v>
      </c>
      <c r="C24" s="426">
        <v>0.5625</v>
      </c>
      <c r="D24" s="427">
        <v>3.9000000000000008</v>
      </c>
      <c r="E24" s="428" t="s">
        <v>49</v>
      </c>
      <c r="F24" s="428" t="s">
        <v>74</v>
      </c>
      <c r="G24" s="428"/>
      <c r="H24" s="428"/>
      <c r="I24" s="427">
        <v>0</v>
      </c>
      <c r="J24" s="428"/>
      <c r="K24" s="428"/>
      <c r="L24" s="427">
        <v>0</v>
      </c>
      <c r="M24" s="427">
        <v>0.40625000000000011</v>
      </c>
      <c r="N24" s="427">
        <v>0.4</v>
      </c>
      <c r="O24" s="427">
        <v>0.80625000000000013</v>
      </c>
      <c r="P24" s="427"/>
      <c r="Q24" s="427">
        <v>37.215416666666648</v>
      </c>
      <c r="R24" s="427">
        <v>0</v>
      </c>
      <c r="S24" s="427">
        <v>0</v>
      </c>
      <c r="T24" s="427">
        <v>0</v>
      </c>
      <c r="U24" s="427">
        <v>0</v>
      </c>
      <c r="V24" s="427">
        <v>0</v>
      </c>
      <c r="W24" s="427">
        <v>0</v>
      </c>
      <c r="X24" s="427"/>
      <c r="Y24" s="427">
        <v>94.04000000000002</v>
      </c>
      <c r="Z24" s="427"/>
      <c r="AA24" s="427"/>
      <c r="AB24" s="427">
        <v>100</v>
      </c>
      <c r="AC24" s="427"/>
      <c r="AD24" s="427"/>
      <c r="AE24" s="427">
        <v>100</v>
      </c>
      <c r="AF24" s="427"/>
      <c r="AG24" s="427"/>
      <c r="AH24" s="427">
        <v>100</v>
      </c>
      <c r="AI24" s="427"/>
      <c r="AJ24" s="427"/>
      <c r="AK24" s="427">
        <v>100</v>
      </c>
    </row>
    <row r="25" spans="1:37" s="127" customFormat="1" x14ac:dyDescent="0.25">
      <c r="A25" s="424" t="s">
        <v>199</v>
      </c>
      <c r="B25" s="425">
        <v>43827</v>
      </c>
      <c r="C25" s="426">
        <v>0.6166666666666667</v>
      </c>
      <c r="D25" s="427">
        <v>1.3000000000000007</v>
      </c>
      <c r="E25" s="428" t="s">
        <v>47</v>
      </c>
      <c r="F25" s="428" t="s">
        <v>235</v>
      </c>
      <c r="G25" s="428"/>
      <c r="H25" s="428"/>
      <c r="I25" s="427">
        <v>0</v>
      </c>
      <c r="J25" s="428"/>
      <c r="K25" s="428"/>
      <c r="L25" s="427">
        <v>0.81250000000000044</v>
      </c>
      <c r="M25" s="427">
        <v>0.16250000000000009</v>
      </c>
      <c r="N25" s="427">
        <v>0.32500000000000018</v>
      </c>
      <c r="O25" s="427">
        <v>1.3000000000000007</v>
      </c>
      <c r="P25" s="427"/>
      <c r="Q25" s="427">
        <v>35.915416666666644</v>
      </c>
      <c r="R25" s="427">
        <v>0</v>
      </c>
      <c r="S25" s="427">
        <v>0</v>
      </c>
      <c r="T25" s="427">
        <v>0</v>
      </c>
      <c r="U25" s="427">
        <v>0</v>
      </c>
      <c r="V25" s="427">
        <v>0</v>
      </c>
      <c r="W25" s="427">
        <v>0</v>
      </c>
      <c r="X25" s="427"/>
      <c r="Y25" s="427">
        <v>94.04000000000002</v>
      </c>
      <c r="Z25" s="427"/>
      <c r="AA25" s="427"/>
      <c r="AB25" s="427">
        <v>100</v>
      </c>
      <c r="AC25" s="427"/>
      <c r="AD25" s="427"/>
      <c r="AE25" s="427">
        <v>100</v>
      </c>
      <c r="AF25" s="427"/>
      <c r="AG25" s="427"/>
      <c r="AH25" s="427">
        <v>100</v>
      </c>
      <c r="AI25" s="427"/>
      <c r="AJ25" s="427"/>
      <c r="AK25" s="427">
        <v>100</v>
      </c>
    </row>
    <row r="26" spans="1:37" s="127" customFormat="1" x14ac:dyDescent="0.25">
      <c r="A26" s="424" t="s">
        <v>199</v>
      </c>
      <c r="B26" s="425">
        <v>43828</v>
      </c>
      <c r="C26" s="426">
        <v>7.4999999999999997E-2</v>
      </c>
      <c r="D26" s="427">
        <v>10.999999999999998</v>
      </c>
      <c r="E26" s="428" t="s">
        <v>55</v>
      </c>
      <c r="F26" s="428" t="s">
        <v>62</v>
      </c>
      <c r="G26" s="428"/>
      <c r="H26" s="428"/>
      <c r="I26" s="427">
        <v>0</v>
      </c>
      <c r="J26" s="428"/>
      <c r="K26" s="428"/>
      <c r="L26" s="427">
        <v>11.458333333333332</v>
      </c>
      <c r="M26" s="427">
        <v>1.3749999999999998</v>
      </c>
      <c r="N26" s="427">
        <v>2.7499999999999996</v>
      </c>
      <c r="O26" s="427">
        <v>15.583333333333332</v>
      </c>
      <c r="P26" s="427"/>
      <c r="Q26" s="427">
        <v>20.332083333333312</v>
      </c>
      <c r="R26" s="427">
        <v>0</v>
      </c>
      <c r="S26" s="427">
        <v>0</v>
      </c>
      <c r="T26" s="427">
        <v>0</v>
      </c>
      <c r="U26" s="427">
        <v>0</v>
      </c>
      <c r="V26" s="427">
        <v>0</v>
      </c>
      <c r="W26" s="427">
        <v>0</v>
      </c>
      <c r="X26" s="427"/>
      <c r="Y26" s="427">
        <v>94.04000000000002</v>
      </c>
      <c r="Z26" s="427"/>
      <c r="AA26" s="427"/>
      <c r="AB26" s="427">
        <v>100</v>
      </c>
      <c r="AC26" s="427"/>
      <c r="AD26" s="427"/>
      <c r="AE26" s="427">
        <v>100</v>
      </c>
      <c r="AF26" s="427"/>
      <c r="AG26" s="427"/>
      <c r="AH26" s="427">
        <v>100</v>
      </c>
      <c r="AI26" s="427"/>
      <c r="AJ26" s="427"/>
      <c r="AK26" s="427">
        <v>100</v>
      </c>
    </row>
    <row r="27" spans="1:37" s="127" customFormat="1" x14ac:dyDescent="0.25">
      <c r="A27" s="424" t="s">
        <v>199</v>
      </c>
      <c r="B27" s="425">
        <v>43828</v>
      </c>
      <c r="C27" s="426">
        <v>0.10833333333333334</v>
      </c>
      <c r="D27" s="427">
        <v>0.80000000000000016</v>
      </c>
      <c r="E27" s="428" t="s">
        <v>47</v>
      </c>
      <c r="F27" s="428" t="s">
        <v>236</v>
      </c>
      <c r="G27" s="428"/>
      <c r="H27" s="428"/>
      <c r="I27" s="427">
        <v>0</v>
      </c>
      <c r="J27" s="428"/>
      <c r="K27" s="428"/>
      <c r="L27" s="427">
        <v>0.50000000000000011</v>
      </c>
      <c r="M27" s="427">
        <v>8.3333333333333356E-2</v>
      </c>
      <c r="N27" s="427">
        <v>0.20000000000000004</v>
      </c>
      <c r="O27" s="427">
        <v>0.78333333333333355</v>
      </c>
      <c r="P27" s="427"/>
      <c r="Q27" s="427">
        <v>19.548749999999977</v>
      </c>
      <c r="R27" s="427">
        <v>0</v>
      </c>
      <c r="S27" s="427">
        <v>0</v>
      </c>
      <c r="T27" s="427">
        <v>0</v>
      </c>
      <c r="U27" s="427">
        <v>0</v>
      </c>
      <c r="V27" s="427">
        <v>0</v>
      </c>
      <c r="W27" s="427">
        <v>0</v>
      </c>
      <c r="X27" s="427"/>
      <c r="Y27" s="427">
        <v>94.04000000000002</v>
      </c>
      <c r="Z27" s="427"/>
      <c r="AA27" s="427"/>
      <c r="AB27" s="427">
        <v>100</v>
      </c>
      <c r="AC27" s="427"/>
      <c r="AD27" s="427"/>
      <c r="AE27" s="427">
        <v>100</v>
      </c>
      <c r="AF27" s="427"/>
      <c r="AG27" s="427"/>
      <c r="AH27" s="427">
        <v>100</v>
      </c>
      <c r="AI27" s="427"/>
      <c r="AJ27" s="427"/>
      <c r="AK27" s="427">
        <v>100</v>
      </c>
    </row>
    <row r="28" spans="1:37" s="127" customFormat="1" x14ac:dyDescent="0.25">
      <c r="A28" s="424" t="s">
        <v>199</v>
      </c>
      <c r="B28" s="425">
        <v>43828</v>
      </c>
      <c r="C28" s="426">
        <v>0.17916666666666667</v>
      </c>
      <c r="D28" s="427">
        <v>1.7</v>
      </c>
      <c r="E28" s="428" t="s">
        <v>49</v>
      </c>
      <c r="F28" s="428" t="s">
        <v>46</v>
      </c>
      <c r="G28" s="428"/>
      <c r="H28" s="428"/>
      <c r="I28" s="427">
        <v>0</v>
      </c>
      <c r="J28" s="428"/>
      <c r="K28" s="428"/>
      <c r="L28" s="427">
        <v>0</v>
      </c>
      <c r="M28" s="427">
        <v>0.17708333333333334</v>
      </c>
      <c r="N28" s="427">
        <v>0.42499999999999999</v>
      </c>
      <c r="O28" s="427">
        <v>0.6020833333333333</v>
      </c>
      <c r="P28" s="427"/>
      <c r="Q28" s="427">
        <v>18.946666666666644</v>
      </c>
      <c r="R28" s="427">
        <v>0</v>
      </c>
      <c r="S28" s="427">
        <v>0</v>
      </c>
      <c r="T28" s="427">
        <v>0</v>
      </c>
      <c r="U28" s="427">
        <v>0</v>
      </c>
      <c r="V28" s="427">
        <v>0</v>
      </c>
      <c r="W28" s="427">
        <v>0</v>
      </c>
      <c r="X28" s="427"/>
      <c r="Y28" s="427">
        <v>94.04000000000002</v>
      </c>
      <c r="Z28" s="427"/>
      <c r="AA28" s="427"/>
      <c r="AB28" s="427">
        <v>100</v>
      </c>
      <c r="AC28" s="427"/>
      <c r="AD28" s="427"/>
      <c r="AE28" s="427">
        <v>100</v>
      </c>
      <c r="AF28" s="427"/>
      <c r="AG28" s="427"/>
      <c r="AH28" s="427">
        <v>100</v>
      </c>
      <c r="AI28" s="427"/>
      <c r="AJ28" s="427"/>
      <c r="AK28" s="427">
        <v>100</v>
      </c>
    </row>
    <row r="29" spans="1:37" s="127" customFormat="1" x14ac:dyDescent="0.25">
      <c r="A29" s="424" t="s">
        <v>199</v>
      </c>
      <c r="B29" s="425">
        <v>43828</v>
      </c>
      <c r="C29" s="426">
        <v>0.19583333333333333</v>
      </c>
      <c r="D29" s="427">
        <v>0.39999999999999991</v>
      </c>
      <c r="E29" s="428" t="s">
        <v>47</v>
      </c>
      <c r="F29" s="428" t="s">
        <v>237</v>
      </c>
      <c r="G29" s="428"/>
      <c r="H29" s="428"/>
      <c r="I29" s="427">
        <v>0</v>
      </c>
      <c r="J29" s="428"/>
      <c r="K29" s="428"/>
      <c r="L29" s="427">
        <v>0.24999999999999994</v>
      </c>
      <c r="M29" s="427">
        <v>6.6666666666666652E-2</v>
      </c>
      <c r="N29" s="427">
        <v>9.9999999999999978E-2</v>
      </c>
      <c r="O29" s="427">
        <v>0.41666666666666657</v>
      </c>
      <c r="P29" s="427"/>
      <c r="Q29" s="427">
        <v>18.529999999999976</v>
      </c>
      <c r="R29" s="427">
        <v>0</v>
      </c>
      <c r="S29" s="427">
        <v>0</v>
      </c>
      <c r="T29" s="427">
        <v>0</v>
      </c>
      <c r="U29" s="427">
        <v>0</v>
      </c>
      <c r="V29" s="427">
        <v>0</v>
      </c>
      <c r="W29" s="427">
        <v>0</v>
      </c>
      <c r="X29" s="427"/>
      <c r="Y29" s="427">
        <v>94.04000000000002</v>
      </c>
      <c r="Z29" s="427"/>
      <c r="AA29" s="427"/>
      <c r="AB29" s="427">
        <v>100</v>
      </c>
      <c r="AC29" s="427"/>
      <c r="AD29" s="427"/>
      <c r="AE29" s="427">
        <v>100</v>
      </c>
      <c r="AF29" s="427"/>
      <c r="AG29" s="427"/>
      <c r="AH29" s="427">
        <v>100</v>
      </c>
      <c r="AI29" s="427"/>
      <c r="AJ29" s="427"/>
      <c r="AK29" s="427">
        <v>100</v>
      </c>
    </row>
    <row r="30" spans="1:37" s="127" customFormat="1" x14ac:dyDescent="0.25">
      <c r="A30" s="424" t="s">
        <v>199</v>
      </c>
      <c r="B30" s="425">
        <v>43828</v>
      </c>
      <c r="C30" s="426">
        <v>0.21666666666666667</v>
      </c>
      <c r="D30" s="427">
        <v>0.50000000000000022</v>
      </c>
      <c r="E30" s="428" t="s">
        <v>55</v>
      </c>
      <c r="F30" s="428" t="s">
        <v>68</v>
      </c>
      <c r="G30" s="428"/>
      <c r="H30" s="428"/>
      <c r="I30" s="427">
        <v>0</v>
      </c>
      <c r="J30" s="428"/>
      <c r="K30" s="428"/>
      <c r="L30" s="427">
        <v>0.52083333333333359</v>
      </c>
      <c r="M30" s="427">
        <v>6.2500000000000028E-2</v>
      </c>
      <c r="N30" s="427">
        <v>0.12500000000000006</v>
      </c>
      <c r="O30" s="427">
        <v>0.7083333333333337</v>
      </c>
      <c r="P30" s="427"/>
      <c r="Q30" s="427">
        <v>17.821666666666644</v>
      </c>
      <c r="R30" s="427">
        <v>0</v>
      </c>
      <c r="S30" s="427">
        <v>0</v>
      </c>
      <c r="T30" s="427">
        <v>0</v>
      </c>
      <c r="U30" s="427">
        <v>0</v>
      </c>
      <c r="V30" s="427">
        <v>0</v>
      </c>
      <c r="W30" s="427">
        <v>0</v>
      </c>
      <c r="X30" s="427"/>
      <c r="Y30" s="427">
        <v>94.04000000000002</v>
      </c>
      <c r="Z30" s="427"/>
      <c r="AA30" s="427"/>
      <c r="AB30" s="427">
        <v>100</v>
      </c>
      <c r="AC30" s="427"/>
      <c r="AD30" s="427"/>
      <c r="AE30" s="427">
        <v>100</v>
      </c>
      <c r="AF30" s="427"/>
      <c r="AG30" s="427"/>
      <c r="AH30" s="427">
        <v>100</v>
      </c>
      <c r="AI30" s="427"/>
      <c r="AJ30" s="427"/>
      <c r="AK30" s="427">
        <v>100</v>
      </c>
    </row>
    <row r="31" spans="1:37" s="127" customFormat="1" x14ac:dyDescent="0.25">
      <c r="A31" s="424" t="s">
        <v>199</v>
      </c>
      <c r="B31" s="425">
        <v>43828</v>
      </c>
      <c r="C31" s="426">
        <v>0.24166666666666667</v>
      </c>
      <c r="D31" s="427">
        <v>0.59999999999999987</v>
      </c>
      <c r="E31" s="428" t="s">
        <v>49</v>
      </c>
      <c r="F31" s="428" t="s">
        <v>74</v>
      </c>
      <c r="G31" s="428"/>
      <c r="H31" s="428"/>
      <c r="I31" s="427">
        <v>0</v>
      </c>
      <c r="J31" s="428"/>
      <c r="K31" s="428"/>
      <c r="L31" s="427">
        <v>0</v>
      </c>
      <c r="M31" s="427">
        <v>7.4999999999999983E-2</v>
      </c>
      <c r="N31" s="427">
        <v>0.14999999999999997</v>
      </c>
      <c r="O31" s="427">
        <v>0.22499999999999995</v>
      </c>
      <c r="P31" s="427"/>
      <c r="Q31" s="427">
        <v>17.596666666666643</v>
      </c>
      <c r="R31" s="427">
        <v>0</v>
      </c>
      <c r="S31" s="427">
        <v>0</v>
      </c>
      <c r="T31" s="427">
        <v>0</v>
      </c>
      <c r="U31" s="427">
        <v>0</v>
      </c>
      <c r="V31" s="427">
        <v>0</v>
      </c>
      <c r="W31" s="427">
        <v>0</v>
      </c>
      <c r="X31" s="427"/>
      <c r="Y31" s="427">
        <v>94.04000000000002</v>
      </c>
      <c r="Z31" s="427"/>
      <c r="AA31" s="427"/>
      <c r="AB31" s="427">
        <v>100</v>
      </c>
      <c r="AC31" s="427"/>
      <c r="AD31" s="427"/>
      <c r="AE31" s="427">
        <v>100</v>
      </c>
      <c r="AF31" s="427"/>
      <c r="AG31" s="427"/>
      <c r="AH31" s="427">
        <v>100</v>
      </c>
      <c r="AI31" s="427"/>
      <c r="AJ31" s="427"/>
      <c r="AK31" s="427">
        <v>100</v>
      </c>
    </row>
    <row r="32" spans="1:37" s="127" customFormat="1" x14ac:dyDescent="0.25">
      <c r="A32" s="424" t="s">
        <v>199</v>
      </c>
      <c r="B32" s="425">
        <v>43828</v>
      </c>
      <c r="C32" s="426">
        <v>0.29166666666666669</v>
      </c>
      <c r="D32" s="427">
        <v>1.2000000000000004</v>
      </c>
      <c r="E32" s="428" t="s">
        <v>47</v>
      </c>
      <c r="F32" s="428" t="s">
        <v>48</v>
      </c>
      <c r="G32" s="428"/>
      <c r="H32" s="428"/>
      <c r="I32" s="427">
        <v>0</v>
      </c>
      <c r="J32" s="428"/>
      <c r="K32" s="428"/>
      <c r="L32" s="427">
        <v>0.50000000000000022</v>
      </c>
      <c r="M32" s="427">
        <v>0.15000000000000005</v>
      </c>
      <c r="N32" s="427">
        <v>0.20000000000000007</v>
      </c>
      <c r="O32" s="427">
        <v>0.85000000000000031</v>
      </c>
      <c r="P32" s="427"/>
      <c r="Q32" s="427">
        <v>16.746666666666641</v>
      </c>
      <c r="R32" s="427">
        <v>0</v>
      </c>
      <c r="S32" s="427">
        <v>0</v>
      </c>
      <c r="T32" s="427">
        <v>0</v>
      </c>
      <c r="U32" s="427">
        <v>0</v>
      </c>
      <c r="V32" s="427">
        <v>0</v>
      </c>
      <c r="W32" s="427">
        <v>0</v>
      </c>
      <c r="X32" s="427"/>
      <c r="Y32" s="427">
        <v>94.04000000000002</v>
      </c>
      <c r="Z32" s="427"/>
      <c r="AA32" s="427"/>
      <c r="AB32" s="427">
        <v>100</v>
      </c>
      <c r="AC32" s="427"/>
      <c r="AD32" s="427"/>
      <c r="AE32" s="427">
        <v>100</v>
      </c>
      <c r="AF32" s="427"/>
      <c r="AG32" s="427"/>
      <c r="AH32" s="427">
        <v>100</v>
      </c>
      <c r="AI32" s="427"/>
      <c r="AJ32" s="427"/>
      <c r="AK32" s="427">
        <v>100</v>
      </c>
    </row>
    <row r="33" spans="1:37" s="127" customFormat="1" x14ac:dyDescent="0.25">
      <c r="A33" s="424" t="s">
        <v>199</v>
      </c>
      <c r="B33" s="425">
        <v>43828</v>
      </c>
      <c r="C33" s="426">
        <v>0.33333333333333331</v>
      </c>
      <c r="D33" s="427">
        <v>0.99999999999999911</v>
      </c>
      <c r="E33" s="428" t="s">
        <v>49</v>
      </c>
      <c r="F33" s="428" t="s">
        <v>72</v>
      </c>
      <c r="G33" s="428"/>
      <c r="H33" s="428"/>
      <c r="I33" s="427">
        <v>0</v>
      </c>
      <c r="J33" s="428"/>
      <c r="K33" s="428"/>
      <c r="L33" s="427">
        <v>0</v>
      </c>
      <c r="M33" s="427">
        <v>0.10416666666666657</v>
      </c>
      <c r="N33" s="427">
        <v>0.1</v>
      </c>
      <c r="O33" s="427">
        <v>0.20416666666666658</v>
      </c>
      <c r="P33" s="427"/>
      <c r="Q33" s="427">
        <v>16.542499999999976</v>
      </c>
      <c r="R33" s="427">
        <v>0</v>
      </c>
      <c r="S33" s="427">
        <v>0</v>
      </c>
      <c r="T33" s="427">
        <v>0</v>
      </c>
      <c r="U33" s="427">
        <v>0</v>
      </c>
      <c r="V33" s="427">
        <v>0</v>
      </c>
      <c r="W33" s="427">
        <v>0</v>
      </c>
      <c r="X33" s="427"/>
      <c r="Y33" s="427">
        <v>94.04000000000002</v>
      </c>
      <c r="Z33" s="427"/>
      <c r="AA33" s="427"/>
      <c r="AB33" s="427">
        <v>100</v>
      </c>
      <c r="AC33" s="427"/>
      <c r="AD33" s="427"/>
      <c r="AE33" s="427">
        <v>100</v>
      </c>
      <c r="AF33" s="427"/>
      <c r="AG33" s="427"/>
      <c r="AH33" s="427">
        <v>100</v>
      </c>
      <c r="AI33" s="427"/>
      <c r="AJ33" s="427"/>
      <c r="AK33" s="427">
        <v>100</v>
      </c>
    </row>
    <row r="34" spans="1:37" s="127" customFormat="1" x14ac:dyDescent="0.25">
      <c r="A34" s="424" t="s">
        <v>199</v>
      </c>
      <c r="B34" s="425">
        <v>43828</v>
      </c>
      <c r="C34" s="426">
        <v>0.55833333333333335</v>
      </c>
      <c r="D34" s="427">
        <v>5.4</v>
      </c>
      <c r="E34" s="428" t="s">
        <v>49</v>
      </c>
      <c r="F34" s="428" t="s">
        <v>50</v>
      </c>
      <c r="G34" s="428"/>
      <c r="H34" s="428"/>
      <c r="I34" s="427">
        <v>0</v>
      </c>
      <c r="J34" s="428"/>
      <c r="K34" s="428"/>
      <c r="L34" s="427">
        <v>0</v>
      </c>
      <c r="M34" s="427">
        <v>0.56250000000000011</v>
      </c>
      <c r="N34" s="427">
        <v>0.9</v>
      </c>
      <c r="O34" s="427">
        <v>1.4625000000000001</v>
      </c>
      <c r="P34" s="427"/>
      <c r="Q34" s="427">
        <v>15.079999999999975</v>
      </c>
      <c r="R34" s="427">
        <v>0</v>
      </c>
      <c r="S34" s="427">
        <v>0</v>
      </c>
      <c r="T34" s="427">
        <v>0</v>
      </c>
      <c r="U34" s="427">
        <v>0</v>
      </c>
      <c r="V34" s="427">
        <v>0</v>
      </c>
      <c r="W34" s="427">
        <v>0</v>
      </c>
      <c r="X34" s="427"/>
      <c r="Y34" s="427">
        <v>94.04000000000002</v>
      </c>
      <c r="Z34" s="427"/>
      <c r="AA34" s="427"/>
      <c r="AB34" s="427">
        <v>100</v>
      </c>
      <c r="AC34" s="427"/>
      <c r="AD34" s="427"/>
      <c r="AE34" s="427">
        <v>100</v>
      </c>
      <c r="AF34" s="427"/>
      <c r="AG34" s="427"/>
      <c r="AH34" s="427">
        <v>100</v>
      </c>
      <c r="AI34" s="427"/>
      <c r="AJ34" s="427"/>
      <c r="AK34" s="427">
        <v>100</v>
      </c>
    </row>
    <row r="35" spans="1:37" s="127" customFormat="1" x14ac:dyDescent="0.25">
      <c r="A35" s="424" t="s">
        <v>199</v>
      </c>
      <c r="B35" s="425">
        <v>43828</v>
      </c>
      <c r="C35" s="426">
        <v>0.90833333333333333</v>
      </c>
      <c r="D35" s="427">
        <v>8.3999999999999986</v>
      </c>
      <c r="E35" s="428" t="s">
        <v>51</v>
      </c>
      <c r="F35" s="428" t="s">
        <v>52</v>
      </c>
      <c r="G35" s="428"/>
      <c r="H35" s="428"/>
      <c r="I35" s="427">
        <v>0</v>
      </c>
      <c r="J35" s="428"/>
      <c r="K35" s="428"/>
      <c r="L35" s="427">
        <v>0</v>
      </c>
      <c r="M35" s="427">
        <v>0.87499999999999989</v>
      </c>
      <c r="N35" s="427">
        <v>2.0999999999999996</v>
      </c>
      <c r="O35" s="427">
        <v>2.9749999999999996</v>
      </c>
      <c r="P35" s="427"/>
      <c r="Q35" s="427">
        <v>12.104999999999976</v>
      </c>
      <c r="R35" s="427">
        <v>0</v>
      </c>
      <c r="S35" s="427">
        <v>0</v>
      </c>
      <c r="T35" s="427">
        <v>0</v>
      </c>
      <c r="U35" s="427">
        <v>0</v>
      </c>
      <c r="V35" s="427">
        <v>1.2</v>
      </c>
      <c r="W35" s="427">
        <v>1.2</v>
      </c>
      <c r="X35" s="427"/>
      <c r="Y35" s="427">
        <v>92.840000000000018</v>
      </c>
      <c r="Z35" s="427"/>
      <c r="AA35" s="427"/>
      <c r="AB35" s="427">
        <v>100</v>
      </c>
      <c r="AC35" s="427"/>
      <c r="AD35" s="427"/>
      <c r="AE35" s="427">
        <v>100</v>
      </c>
      <c r="AF35" s="427"/>
      <c r="AG35" s="427"/>
      <c r="AH35" s="427">
        <v>100</v>
      </c>
      <c r="AI35" s="427"/>
      <c r="AJ35" s="427"/>
      <c r="AK35" s="427">
        <v>100</v>
      </c>
    </row>
    <row r="36" spans="1:37" s="127" customFormat="1" x14ac:dyDescent="0.25">
      <c r="A36" s="424" t="s">
        <v>199</v>
      </c>
      <c r="B36" s="425">
        <v>43829</v>
      </c>
      <c r="C36" s="426">
        <v>0.33333333333333331</v>
      </c>
      <c r="D36" s="427">
        <v>10.200000000000001</v>
      </c>
      <c r="E36" s="428" t="s">
        <v>71</v>
      </c>
      <c r="F36" s="428" t="s">
        <v>72</v>
      </c>
      <c r="G36" s="428"/>
      <c r="H36" s="428"/>
      <c r="I36" s="427">
        <v>0</v>
      </c>
      <c r="J36" s="428"/>
      <c r="K36" s="428"/>
      <c r="L36" s="427">
        <v>0</v>
      </c>
      <c r="M36" s="427">
        <v>1.05</v>
      </c>
      <c r="N36" s="427">
        <v>2.5500000000000003</v>
      </c>
      <c r="O36" s="427">
        <v>3.6000000000000005</v>
      </c>
      <c r="P36" s="427"/>
      <c r="Q36" s="427">
        <v>8.5049999999999741</v>
      </c>
      <c r="R36" s="427">
        <v>0</v>
      </c>
      <c r="S36" s="427">
        <v>0</v>
      </c>
      <c r="T36" s="427">
        <v>0</v>
      </c>
      <c r="U36" s="427">
        <v>0</v>
      </c>
      <c r="V36" s="427">
        <v>0</v>
      </c>
      <c r="W36" s="427">
        <v>0</v>
      </c>
      <c r="X36" s="427"/>
      <c r="Y36" s="427">
        <v>92.840000000000018</v>
      </c>
      <c r="Z36" s="427"/>
      <c r="AA36" s="427"/>
      <c r="AB36" s="427">
        <v>100</v>
      </c>
      <c r="AC36" s="427"/>
      <c r="AD36" s="427"/>
      <c r="AE36" s="427">
        <v>100</v>
      </c>
      <c r="AF36" s="427"/>
      <c r="AG36" s="427"/>
      <c r="AH36" s="427">
        <v>100</v>
      </c>
      <c r="AI36" s="427"/>
      <c r="AJ36" s="427"/>
      <c r="AK36" s="427">
        <v>100</v>
      </c>
    </row>
    <row r="37" spans="1:37" s="127" customFormat="1" x14ac:dyDescent="0.25">
      <c r="A37" s="424" t="s">
        <v>199</v>
      </c>
      <c r="B37" s="425">
        <v>43830</v>
      </c>
      <c r="C37" s="426">
        <v>0.33333333333333331</v>
      </c>
      <c r="D37" s="427">
        <v>24</v>
      </c>
      <c r="E37" s="428" t="s">
        <v>71</v>
      </c>
      <c r="F37" s="428" t="s">
        <v>72</v>
      </c>
      <c r="G37" s="428"/>
      <c r="H37" s="428"/>
      <c r="I37" s="427">
        <v>0</v>
      </c>
      <c r="J37" s="428"/>
      <c r="K37" s="428"/>
      <c r="L37" s="427">
        <v>0</v>
      </c>
      <c r="M37" s="427">
        <v>2.5</v>
      </c>
      <c r="N37" s="427">
        <v>6</v>
      </c>
      <c r="O37" s="427">
        <v>8.5</v>
      </c>
      <c r="P37" s="427"/>
      <c r="Q37" s="427">
        <v>4.9999999999741362E-3</v>
      </c>
      <c r="R37" s="427">
        <v>0</v>
      </c>
      <c r="S37" s="427">
        <v>0</v>
      </c>
      <c r="T37" s="427">
        <v>0</v>
      </c>
      <c r="U37" s="427">
        <v>0</v>
      </c>
      <c r="V37" s="427">
        <v>0</v>
      </c>
      <c r="W37" s="427">
        <v>0</v>
      </c>
      <c r="X37" s="427"/>
      <c r="Y37" s="427">
        <v>92.840000000000018</v>
      </c>
      <c r="Z37" s="427"/>
      <c r="AA37" s="427"/>
      <c r="AB37" s="427">
        <v>100</v>
      </c>
      <c r="AC37" s="427"/>
      <c r="AD37" s="427"/>
      <c r="AE37" s="427">
        <v>100</v>
      </c>
      <c r="AF37" s="427"/>
      <c r="AG37" s="427"/>
      <c r="AH37" s="427">
        <v>100</v>
      </c>
      <c r="AI37" s="427"/>
      <c r="AJ37" s="427"/>
      <c r="AK37" s="427">
        <v>100</v>
      </c>
    </row>
    <row r="38" spans="1:37" s="127" customFormat="1" x14ac:dyDescent="0.25">
      <c r="A38" s="424" t="s">
        <v>199</v>
      </c>
      <c r="B38" s="425">
        <v>43830</v>
      </c>
      <c r="C38" s="426">
        <v>0.375</v>
      </c>
      <c r="D38" s="427">
        <v>1.0000000000000004</v>
      </c>
      <c r="E38" s="428" t="s">
        <v>71</v>
      </c>
      <c r="F38" s="428" t="s">
        <v>73</v>
      </c>
      <c r="G38" s="428"/>
      <c r="H38" s="428"/>
      <c r="I38" s="427">
        <v>0</v>
      </c>
      <c r="J38" s="428"/>
      <c r="K38" s="428"/>
      <c r="L38" s="427">
        <v>0</v>
      </c>
      <c r="M38" s="427">
        <v>0</v>
      </c>
      <c r="N38" s="427">
        <v>0</v>
      </c>
      <c r="O38" s="427">
        <v>0</v>
      </c>
      <c r="P38" s="427"/>
      <c r="Q38" s="427">
        <v>4.9999999999741362E-3</v>
      </c>
      <c r="R38" s="427">
        <v>0</v>
      </c>
      <c r="S38" s="427">
        <v>0.1</v>
      </c>
      <c r="T38" s="427">
        <v>0.1</v>
      </c>
      <c r="U38" s="427">
        <v>0</v>
      </c>
      <c r="V38" s="427">
        <v>0</v>
      </c>
      <c r="W38" s="427">
        <v>0.2</v>
      </c>
      <c r="X38" s="427"/>
      <c r="Y38" s="427">
        <v>92.640000000000015</v>
      </c>
      <c r="Z38" s="427"/>
      <c r="AA38" s="427"/>
      <c r="AB38" s="427">
        <v>100</v>
      </c>
      <c r="AC38" s="427"/>
      <c r="AD38" s="427"/>
      <c r="AE38" s="427">
        <v>100</v>
      </c>
      <c r="AF38" s="427"/>
      <c r="AG38" s="427"/>
      <c r="AH38" s="427">
        <v>100</v>
      </c>
      <c r="AI38" s="427"/>
      <c r="AJ38" s="427"/>
      <c r="AK38" s="427">
        <v>100</v>
      </c>
    </row>
    <row r="39" spans="1:37" s="127" customFormat="1" x14ac:dyDescent="0.25">
      <c r="A39" s="424" t="s">
        <v>199</v>
      </c>
      <c r="B39" s="425">
        <v>43830</v>
      </c>
      <c r="C39" s="426">
        <v>0.51250000000000007</v>
      </c>
      <c r="D39" s="427">
        <v>3.3000000000000016</v>
      </c>
      <c r="E39" s="428" t="s">
        <v>49</v>
      </c>
      <c r="F39" s="428" t="s">
        <v>74</v>
      </c>
      <c r="G39" s="428"/>
      <c r="H39" s="428"/>
      <c r="I39" s="427">
        <v>0</v>
      </c>
      <c r="J39" s="428"/>
      <c r="K39" s="428"/>
      <c r="L39" s="427">
        <v>0</v>
      </c>
      <c r="M39" s="427">
        <v>0</v>
      </c>
      <c r="N39" s="427">
        <v>0</v>
      </c>
      <c r="O39" s="427">
        <v>0</v>
      </c>
      <c r="P39" s="427"/>
      <c r="Q39" s="427">
        <v>4.9999999999741362E-3</v>
      </c>
      <c r="R39" s="427">
        <v>0</v>
      </c>
      <c r="S39" s="427">
        <v>0.4</v>
      </c>
      <c r="T39" s="427">
        <v>0.2</v>
      </c>
      <c r="U39" s="427">
        <v>0</v>
      </c>
      <c r="V39" s="427">
        <v>0</v>
      </c>
      <c r="W39" s="427">
        <v>0.60000000000000009</v>
      </c>
      <c r="X39" s="427"/>
      <c r="Y39" s="427">
        <v>92.04000000000002</v>
      </c>
      <c r="Z39" s="427"/>
      <c r="AA39" s="427"/>
      <c r="AB39" s="427">
        <v>100</v>
      </c>
      <c r="AC39" s="427"/>
      <c r="AD39" s="427"/>
      <c r="AE39" s="427">
        <v>100</v>
      </c>
      <c r="AF39" s="427"/>
      <c r="AG39" s="427"/>
      <c r="AH39" s="427">
        <v>100</v>
      </c>
      <c r="AI39" s="427"/>
      <c r="AJ39" s="427"/>
      <c r="AK39" s="427">
        <v>100</v>
      </c>
    </row>
    <row r="40" spans="1:37" s="127" customFormat="1" x14ac:dyDescent="0.25">
      <c r="A40" s="424" t="s">
        <v>199</v>
      </c>
      <c r="B40" s="425">
        <v>43830</v>
      </c>
      <c r="C40" s="426">
        <v>0.5625</v>
      </c>
      <c r="D40" s="427">
        <v>1.1999999999999984</v>
      </c>
      <c r="E40" s="428" t="s">
        <v>47</v>
      </c>
      <c r="F40" s="428" t="s">
        <v>238</v>
      </c>
      <c r="G40" s="428"/>
      <c r="H40" s="428"/>
      <c r="I40" s="427">
        <v>0</v>
      </c>
      <c r="J40" s="428"/>
      <c r="K40" s="428"/>
      <c r="L40" s="427">
        <v>0</v>
      </c>
      <c r="M40" s="427">
        <v>0</v>
      </c>
      <c r="N40" s="427">
        <v>0</v>
      </c>
      <c r="O40" s="427">
        <v>0</v>
      </c>
      <c r="P40" s="427"/>
      <c r="Q40" s="427">
        <v>4.9999999999741362E-3</v>
      </c>
      <c r="R40" s="427">
        <v>0.5</v>
      </c>
      <c r="S40" s="427">
        <v>0.15</v>
      </c>
      <c r="T40" s="427">
        <v>0.1</v>
      </c>
      <c r="U40" s="427">
        <v>0</v>
      </c>
      <c r="V40" s="427">
        <v>0</v>
      </c>
      <c r="W40" s="427">
        <v>0.75</v>
      </c>
      <c r="X40" s="427"/>
      <c r="Y40" s="427">
        <v>91.29000000000002</v>
      </c>
      <c r="Z40" s="427"/>
      <c r="AA40" s="427"/>
      <c r="AB40" s="427">
        <v>100</v>
      </c>
      <c r="AC40" s="427"/>
      <c r="AD40" s="427"/>
      <c r="AE40" s="427">
        <v>100</v>
      </c>
      <c r="AF40" s="427"/>
      <c r="AG40" s="427"/>
      <c r="AH40" s="427">
        <v>100</v>
      </c>
      <c r="AI40" s="427"/>
      <c r="AJ40" s="427"/>
      <c r="AK40" s="427">
        <v>100</v>
      </c>
    </row>
    <row r="41" spans="1:37" s="127" customFormat="1" x14ac:dyDescent="0.25">
      <c r="A41" s="424" t="s">
        <v>199</v>
      </c>
      <c r="B41" s="425">
        <v>43830</v>
      </c>
      <c r="C41" s="426">
        <v>0.58333333333333337</v>
      </c>
      <c r="D41" s="427">
        <v>0.50000000000000089</v>
      </c>
      <c r="E41" s="428" t="s">
        <v>55</v>
      </c>
      <c r="F41" s="428" t="s">
        <v>239</v>
      </c>
      <c r="G41" s="428"/>
      <c r="H41" s="428"/>
      <c r="I41" s="427">
        <v>0</v>
      </c>
      <c r="J41" s="428"/>
      <c r="K41" s="428"/>
      <c r="L41" s="427">
        <v>0</v>
      </c>
      <c r="M41" s="427">
        <v>0</v>
      </c>
      <c r="N41" s="427">
        <v>0</v>
      </c>
      <c r="O41" s="427">
        <v>0</v>
      </c>
      <c r="P41" s="427"/>
      <c r="Q41" s="427">
        <v>4.9999999999741362E-3</v>
      </c>
      <c r="R41" s="427">
        <v>0.42</v>
      </c>
      <c r="S41" s="427">
        <v>0.1</v>
      </c>
      <c r="T41" s="427">
        <v>0.1</v>
      </c>
      <c r="U41" s="427">
        <v>0</v>
      </c>
      <c r="V41" s="427">
        <v>0</v>
      </c>
      <c r="W41" s="427">
        <v>0.62</v>
      </c>
      <c r="X41" s="427"/>
      <c r="Y41" s="427">
        <v>90.670000000000016</v>
      </c>
      <c r="Z41" s="427"/>
      <c r="AA41" s="427"/>
      <c r="AB41" s="427">
        <v>100</v>
      </c>
      <c r="AC41" s="427"/>
      <c r="AD41" s="427"/>
      <c r="AE41" s="427">
        <v>100</v>
      </c>
      <c r="AF41" s="427"/>
      <c r="AG41" s="427"/>
      <c r="AH41" s="427">
        <v>100</v>
      </c>
      <c r="AI41" s="427"/>
      <c r="AJ41" s="427"/>
      <c r="AK41" s="427">
        <v>100</v>
      </c>
    </row>
    <row r="42" spans="1:37" s="127" customFormat="1" x14ac:dyDescent="0.25">
      <c r="A42" s="424" t="s">
        <v>199</v>
      </c>
      <c r="B42" s="425">
        <v>43830</v>
      </c>
      <c r="C42" s="426">
        <v>0.61249999999999993</v>
      </c>
      <c r="D42" s="427">
        <v>0.69999999999999751</v>
      </c>
      <c r="E42" s="428" t="s">
        <v>47</v>
      </c>
      <c r="F42" s="428" t="s">
        <v>240</v>
      </c>
      <c r="G42" s="428"/>
      <c r="H42" s="428"/>
      <c r="I42" s="427">
        <v>0</v>
      </c>
      <c r="J42" s="428"/>
      <c r="K42" s="428"/>
      <c r="L42" s="427">
        <v>0</v>
      </c>
      <c r="M42" s="427">
        <v>0</v>
      </c>
      <c r="N42" s="427">
        <v>0</v>
      </c>
      <c r="O42" s="427">
        <v>0</v>
      </c>
      <c r="P42" s="427"/>
      <c r="Q42" s="427">
        <v>4.9999999999741362E-3</v>
      </c>
      <c r="R42" s="427">
        <v>0.28999999999999998</v>
      </c>
      <c r="S42" s="427">
        <v>0.1</v>
      </c>
      <c r="T42" s="427">
        <v>1</v>
      </c>
      <c r="U42" s="427">
        <v>0</v>
      </c>
      <c r="V42" s="427">
        <v>0</v>
      </c>
      <c r="W42" s="427">
        <v>1.3900000000000001</v>
      </c>
      <c r="X42" s="427"/>
      <c r="Y42" s="427">
        <v>89.280000000000015</v>
      </c>
      <c r="Z42" s="427"/>
      <c r="AA42" s="427"/>
      <c r="AB42" s="427">
        <v>100</v>
      </c>
      <c r="AC42" s="427"/>
      <c r="AD42" s="427"/>
      <c r="AE42" s="427">
        <v>100</v>
      </c>
      <c r="AF42" s="427"/>
      <c r="AG42" s="427"/>
      <c r="AH42" s="427">
        <v>100</v>
      </c>
      <c r="AI42" s="427"/>
      <c r="AJ42" s="427"/>
      <c r="AK42" s="427">
        <v>100</v>
      </c>
    </row>
    <row r="43" spans="1:37" s="127" customFormat="1" x14ac:dyDescent="0.25">
      <c r="A43" s="424" t="s">
        <v>199</v>
      </c>
      <c r="B43" s="425">
        <v>43830</v>
      </c>
      <c r="C43" s="426">
        <v>0.95000000000000007</v>
      </c>
      <c r="D43" s="427">
        <v>8.1000000000000032</v>
      </c>
      <c r="E43" s="428" t="s">
        <v>49</v>
      </c>
      <c r="F43" s="428" t="s">
        <v>46</v>
      </c>
      <c r="G43" s="428"/>
      <c r="H43" s="428"/>
      <c r="I43" s="427">
        <v>0</v>
      </c>
      <c r="J43" s="428"/>
      <c r="K43" s="428"/>
      <c r="L43" s="427">
        <v>0</v>
      </c>
      <c r="M43" s="427">
        <v>0</v>
      </c>
      <c r="N43" s="427">
        <v>0</v>
      </c>
      <c r="O43" s="427">
        <v>0</v>
      </c>
      <c r="P43" s="427"/>
      <c r="Q43" s="427">
        <v>4.9999999999741362E-3</v>
      </c>
      <c r="R43" s="427">
        <v>0</v>
      </c>
      <c r="S43" s="427">
        <v>0.2</v>
      </c>
      <c r="T43" s="427">
        <v>0.1</v>
      </c>
      <c r="U43" s="427">
        <v>0</v>
      </c>
      <c r="V43" s="427">
        <v>0</v>
      </c>
      <c r="W43" s="427">
        <v>0.30000000000000004</v>
      </c>
      <c r="X43" s="427"/>
      <c r="Y43" s="427">
        <v>88.980000000000018</v>
      </c>
      <c r="Z43" s="427"/>
      <c r="AA43" s="427"/>
      <c r="AB43" s="427">
        <v>100</v>
      </c>
      <c r="AC43" s="427"/>
      <c r="AD43" s="427"/>
      <c r="AE43" s="427">
        <v>100</v>
      </c>
      <c r="AF43" s="427"/>
      <c r="AG43" s="427"/>
      <c r="AH43" s="427">
        <v>100</v>
      </c>
      <c r="AI43" s="427"/>
      <c r="AJ43" s="427"/>
      <c r="AK43" s="427">
        <v>100</v>
      </c>
    </row>
    <row r="44" spans="1:37" s="127" customFormat="1" x14ac:dyDescent="0.25">
      <c r="A44" s="424" t="s">
        <v>199</v>
      </c>
      <c r="B44" s="425">
        <v>43830</v>
      </c>
      <c r="C44" s="426">
        <v>0.97916666666666663</v>
      </c>
      <c r="D44" s="427">
        <v>0.69999999999999751</v>
      </c>
      <c r="E44" s="428" t="s">
        <v>49</v>
      </c>
      <c r="F44" s="428" t="s">
        <v>238</v>
      </c>
      <c r="G44" s="428"/>
      <c r="H44" s="428"/>
      <c r="I44" s="427">
        <v>0</v>
      </c>
      <c r="J44" s="428"/>
      <c r="K44" s="428"/>
      <c r="L44" s="427">
        <v>0</v>
      </c>
      <c r="M44" s="427">
        <v>0</v>
      </c>
      <c r="N44" s="427">
        <v>0</v>
      </c>
      <c r="O44" s="427">
        <v>0</v>
      </c>
      <c r="P44" s="427">
        <v>370</v>
      </c>
      <c r="Q44" s="427">
        <v>370.005</v>
      </c>
      <c r="R44" s="427">
        <v>0.28999999999999998</v>
      </c>
      <c r="S44" s="427">
        <v>0.1</v>
      </c>
      <c r="T44" s="427">
        <v>0.1</v>
      </c>
      <c r="U44" s="427">
        <v>0</v>
      </c>
      <c r="V44" s="427">
        <v>0</v>
      </c>
      <c r="W44" s="427">
        <v>0.49</v>
      </c>
      <c r="X44" s="427"/>
      <c r="Y44" s="427">
        <v>88.490000000000023</v>
      </c>
      <c r="Z44" s="427"/>
      <c r="AA44" s="427"/>
      <c r="AB44" s="427">
        <v>100</v>
      </c>
      <c r="AC44" s="427"/>
      <c r="AD44" s="427"/>
      <c r="AE44" s="427">
        <v>100</v>
      </c>
      <c r="AF44" s="427"/>
      <c r="AG44" s="427"/>
      <c r="AH44" s="427">
        <v>100</v>
      </c>
      <c r="AI44" s="427"/>
      <c r="AJ44" s="427"/>
      <c r="AK44" s="427">
        <v>100</v>
      </c>
    </row>
    <row r="45" spans="1:37" x14ac:dyDescent="0.25">
      <c r="A45" s="224" t="s">
        <v>109</v>
      </c>
      <c r="B45" s="221">
        <v>43831</v>
      </c>
      <c r="C45" s="225">
        <v>0.30000000000000004</v>
      </c>
      <c r="D45" s="226">
        <v>7.1999999999999993</v>
      </c>
      <c r="E45" s="224" t="s">
        <v>55</v>
      </c>
      <c r="F45" s="224" t="s">
        <v>76</v>
      </c>
      <c r="G45" s="224">
        <v>91</v>
      </c>
      <c r="H45" s="224">
        <v>7.2</v>
      </c>
      <c r="I45" s="226">
        <v>12.638888888888888</v>
      </c>
      <c r="J45" s="224" t="s">
        <v>54</v>
      </c>
      <c r="K45" s="224">
        <v>95</v>
      </c>
      <c r="L45" s="226">
        <v>0</v>
      </c>
      <c r="M45" s="226">
        <v>0</v>
      </c>
      <c r="N45" s="226">
        <v>0</v>
      </c>
      <c r="O45" s="226">
        <v>0</v>
      </c>
      <c r="P45" s="226"/>
      <c r="Q45" s="226">
        <v>370</v>
      </c>
      <c r="R45" s="226">
        <v>7.5</v>
      </c>
      <c r="S45" s="226">
        <v>0.75</v>
      </c>
      <c r="T45" s="226">
        <v>0.06</v>
      </c>
      <c r="U45" s="226">
        <v>0</v>
      </c>
      <c r="V45" s="226">
        <v>0</v>
      </c>
      <c r="W45" s="226">
        <v>8.31</v>
      </c>
      <c r="X45" s="226"/>
      <c r="Y45" s="234">
        <v>86.03</v>
      </c>
      <c r="Z45" s="226"/>
      <c r="AA45" s="226"/>
      <c r="AB45" s="226">
        <v>100</v>
      </c>
      <c r="AC45" s="226"/>
      <c r="AD45" s="226"/>
      <c r="AE45" s="226">
        <v>100</v>
      </c>
      <c r="AF45" s="226"/>
      <c r="AG45" s="226"/>
      <c r="AH45" s="226">
        <v>100</v>
      </c>
      <c r="AI45" s="226"/>
      <c r="AJ45" s="226"/>
      <c r="AK45" s="226">
        <v>100</v>
      </c>
    </row>
    <row r="46" spans="1:37" x14ac:dyDescent="0.25">
      <c r="A46" s="220" t="s">
        <v>109</v>
      </c>
      <c r="B46" s="221">
        <v>43831</v>
      </c>
      <c r="C46" s="222">
        <v>0.33333333333333326</v>
      </c>
      <c r="D46" s="223">
        <v>0.79999999999999982</v>
      </c>
      <c r="E46" s="220" t="s">
        <v>47</v>
      </c>
      <c r="F46" s="220" t="s">
        <v>110</v>
      </c>
      <c r="G46" s="220"/>
      <c r="H46" s="220"/>
      <c r="I46" s="223">
        <v>0</v>
      </c>
      <c r="J46" s="220"/>
      <c r="K46" s="220"/>
      <c r="L46" s="223">
        <v>0</v>
      </c>
      <c r="M46" s="223">
        <v>0</v>
      </c>
      <c r="N46" s="223">
        <v>0</v>
      </c>
      <c r="O46" s="223">
        <v>0</v>
      </c>
      <c r="P46" s="223"/>
      <c r="Q46" s="223">
        <v>370</v>
      </c>
      <c r="R46" s="223">
        <v>0.33</v>
      </c>
      <c r="S46" s="223">
        <v>0.08</v>
      </c>
      <c r="T46" s="223">
        <v>7.0000000000000007E-2</v>
      </c>
      <c r="U46" s="223">
        <v>0</v>
      </c>
      <c r="V46" s="223">
        <v>0</v>
      </c>
      <c r="W46" s="223">
        <v>0.48000000000000004</v>
      </c>
      <c r="X46" s="223">
        <v>0</v>
      </c>
      <c r="Y46" s="234">
        <v>85.55</v>
      </c>
      <c r="Z46" s="223"/>
      <c r="AA46" s="223"/>
      <c r="AB46" s="223">
        <v>100</v>
      </c>
      <c r="AC46" s="223"/>
      <c r="AD46" s="223"/>
      <c r="AE46" s="223">
        <v>100</v>
      </c>
      <c r="AF46" s="223"/>
      <c r="AG46" s="223"/>
      <c r="AH46" s="223">
        <v>100</v>
      </c>
      <c r="AI46" s="223"/>
      <c r="AJ46" s="223"/>
      <c r="AK46" s="223">
        <v>100</v>
      </c>
    </row>
    <row r="47" spans="1:37" x14ac:dyDescent="0.25">
      <c r="A47" s="224" t="s">
        <v>109</v>
      </c>
      <c r="B47" s="221">
        <v>43831</v>
      </c>
      <c r="C47" s="225">
        <v>0.35000000000000009</v>
      </c>
      <c r="D47" s="226">
        <v>0.40000000000000124</v>
      </c>
      <c r="E47" s="224" t="s">
        <v>47</v>
      </c>
      <c r="F47" s="224" t="s">
        <v>111</v>
      </c>
      <c r="G47" s="224"/>
      <c r="H47" s="224"/>
      <c r="I47" s="226">
        <v>0</v>
      </c>
      <c r="J47" s="224"/>
      <c r="K47" s="224"/>
      <c r="L47" s="226">
        <v>0</v>
      </c>
      <c r="M47" s="226">
        <v>4.1666666666666803E-2</v>
      </c>
      <c r="N47" s="226">
        <v>3.3333333333333437E-2</v>
      </c>
      <c r="O47" s="226">
        <v>7.5000000000000233E-2</v>
      </c>
      <c r="P47" s="226"/>
      <c r="Q47" s="226">
        <v>369.92500000000001</v>
      </c>
      <c r="R47" s="226">
        <v>0</v>
      </c>
      <c r="S47" s="226">
        <v>0</v>
      </c>
      <c r="T47" s="226">
        <v>0</v>
      </c>
      <c r="U47" s="226">
        <v>0</v>
      </c>
      <c r="V47" s="226">
        <v>0</v>
      </c>
      <c r="W47" s="226">
        <v>0</v>
      </c>
      <c r="X47" s="226"/>
      <c r="Y47" s="234">
        <v>85.55</v>
      </c>
      <c r="Z47" s="226"/>
      <c r="AA47" s="226"/>
      <c r="AB47" s="226">
        <v>100</v>
      </c>
      <c r="AC47" s="226"/>
      <c r="AD47" s="226"/>
      <c r="AE47" s="226">
        <v>100</v>
      </c>
      <c r="AF47" s="226"/>
      <c r="AG47" s="226"/>
      <c r="AH47" s="226">
        <v>100</v>
      </c>
      <c r="AI47" s="226"/>
      <c r="AJ47" s="226"/>
      <c r="AK47" s="226">
        <v>100</v>
      </c>
    </row>
    <row r="48" spans="1:37" x14ac:dyDescent="0.25">
      <c r="A48" s="227" t="s">
        <v>109</v>
      </c>
      <c r="B48" s="221">
        <v>43831</v>
      </c>
      <c r="C48" s="222">
        <v>0.38749999999999996</v>
      </c>
      <c r="D48" s="223">
        <v>0.89999999999999947</v>
      </c>
      <c r="E48" s="220" t="s">
        <v>47</v>
      </c>
      <c r="F48" s="220" t="s">
        <v>78</v>
      </c>
      <c r="G48" s="220"/>
      <c r="H48" s="220"/>
      <c r="I48" s="223">
        <v>0</v>
      </c>
      <c r="J48" s="220"/>
      <c r="K48" s="220"/>
      <c r="L48" s="223">
        <v>0.37499999999999978</v>
      </c>
      <c r="M48" s="223">
        <v>9.3749999999999931E-2</v>
      </c>
      <c r="N48" s="223">
        <v>7.4999999999999956E-2</v>
      </c>
      <c r="O48" s="223">
        <v>0.54374999999999973</v>
      </c>
      <c r="P48" s="223"/>
      <c r="Q48" s="223">
        <v>369.38125000000002</v>
      </c>
      <c r="R48" s="223">
        <v>0</v>
      </c>
      <c r="S48" s="223">
        <v>0</v>
      </c>
      <c r="T48" s="223">
        <v>0</v>
      </c>
      <c r="U48" s="223">
        <v>0</v>
      </c>
      <c r="V48" s="223">
        <v>0</v>
      </c>
      <c r="W48" s="223">
        <v>0</v>
      </c>
      <c r="X48" s="223"/>
      <c r="Y48" s="234">
        <v>85.55</v>
      </c>
      <c r="Z48" s="223"/>
      <c r="AA48" s="223"/>
      <c r="AB48" s="223">
        <v>100</v>
      </c>
      <c r="AC48" s="223"/>
      <c r="AD48" s="223"/>
      <c r="AE48" s="223">
        <v>100</v>
      </c>
      <c r="AF48" s="223"/>
      <c r="AG48" s="223"/>
      <c r="AH48" s="223">
        <v>100</v>
      </c>
      <c r="AI48" s="223"/>
      <c r="AJ48" s="223"/>
      <c r="AK48" s="223">
        <v>100</v>
      </c>
    </row>
    <row r="49" spans="1:37" x14ac:dyDescent="0.25">
      <c r="A49" s="227" t="s">
        <v>109</v>
      </c>
      <c r="B49" s="221">
        <v>43831</v>
      </c>
      <c r="C49" s="222">
        <v>0.50416666666666665</v>
      </c>
      <c r="D49" s="223">
        <v>2.7999999999999994</v>
      </c>
      <c r="E49" s="220" t="s">
        <v>49</v>
      </c>
      <c r="F49" s="220" t="s">
        <v>112</v>
      </c>
      <c r="G49" s="220"/>
      <c r="H49" s="220"/>
      <c r="I49" s="223">
        <v>0</v>
      </c>
      <c r="J49" s="220"/>
      <c r="K49" s="220"/>
      <c r="L49" s="223">
        <v>0</v>
      </c>
      <c r="M49" s="223">
        <v>0.29166666666666663</v>
      </c>
      <c r="N49" s="223">
        <v>0.23333333333333328</v>
      </c>
      <c r="O49" s="223">
        <v>0.52499999999999991</v>
      </c>
      <c r="P49" s="223"/>
      <c r="Q49" s="223">
        <v>368.85625000000005</v>
      </c>
      <c r="R49" s="223">
        <v>0</v>
      </c>
      <c r="S49" s="223">
        <v>0</v>
      </c>
      <c r="T49" s="223">
        <v>0</v>
      </c>
      <c r="U49" s="223">
        <v>0</v>
      </c>
      <c r="V49" s="223">
        <v>0</v>
      </c>
      <c r="W49" s="223">
        <v>0</v>
      </c>
      <c r="X49" s="223"/>
      <c r="Y49" s="234">
        <v>85.55</v>
      </c>
      <c r="Z49" s="223"/>
      <c r="AA49" s="223"/>
      <c r="AB49" s="223">
        <v>100</v>
      </c>
      <c r="AC49" s="223"/>
      <c r="AD49" s="223"/>
      <c r="AE49" s="223">
        <v>100</v>
      </c>
      <c r="AF49" s="223"/>
      <c r="AG49" s="223"/>
      <c r="AH49" s="223">
        <v>100</v>
      </c>
      <c r="AI49" s="223"/>
      <c r="AJ49" s="223"/>
      <c r="AK49" s="223">
        <v>100</v>
      </c>
    </row>
    <row r="50" spans="1:37" x14ac:dyDescent="0.25">
      <c r="A50" s="227" t="s">
        <v>109</v>
      </c>
      <c r="B50" s="221">
        <v>43831</v>
      </c>
      <c r="C50" s="222">
        <v>0.95833333333333326</v>
      </c>
      <c r="D50" s="223">
        <v>10.900000000000002</v>
      </c>
      <c r="E50" s="220" t="s">
        <v>51</v>
      </c>
      <c r="F50" s="220" t="s">
        <v>113</v>
      </c>
      <c r="G50" s="220"/>
      <c r="H50" s="220"/>
      <c r="I50" s="223">
        <v>0</v>
      </c>
      <c r="J50" s="220"/>
      <c r="K50" s="220"/>
      <c r="L50" s="223">
        <v>0</v>
      </c>
      <c r="M50" s="223">
        <v>1.135416666666667</v>
      </c>
      <c r="N50" s="223">
        <v>0.90833333333333344</v>
      </c>
      <c r="O50" s="223">
        <v>2.0437500000000002</v>
      </c>
      <c r="P50" s="223"/>
      <c r="Q50" s="223">
        <v>366.81250000000006</v>
      </c>
      <c r="R50" s="223">
        <v>0</v>
      </c>
      <c r="S50" s="223">
        <v>0</v>
      </c>
      <c r="T50" s="223">
        <v>0</v>
      </c>
      <c r="U50" s="223">
        <v>0</v>
      </c>
      <c r="V50" s="223">
        <v>2.8</v>
      </c>
      <c r="W50" s="223">
        <v>2.8</v>
      </c>
      <c r="X50" s="223"/>
      <c r="Y50" s="234">
        <v>82.75</v>
      </c>
      <c r="Z50" s="223"/>
      <c r="AA50" s="223"/>
      <c r="AB50" s="223">
        <v>100</v>
      </c>
      <c r="AC50" s="223"/>
      <c r="AD50" s="223"/>
      <c r="AE50" s="223">
        <v>100</v>
      </c>
      <c r="AF50" s="223"/>
      <c r="AG50" s="223"/>
      <c r="AH50" s="223">
        <v>100</v>
      </c>
      <c r="AI50" s="223"/>
      <c r="AJ50" s="223"/>
      <c r="AK50" s="223">
        <v>100</v>
      </c>
    </row>
    <row r="51" spans="1:37" x14ac:dyDescent="0.25">
      <c r="A51" s="227" t="s">
        <v>109</v>
      </c>
      <c r="B51" s="221">
        <v>43832</v>
      </c>
      <c r="C51" s="222">
        <v>8.7499999999999911E-2</v>
      </c>
      <c r="D51" s="223">
        <v>3.1000000000000014</v>
      </c>
      <c r="E51" s="220" t="s">
        <v>49</v>
      </c>
      <c r="F51" s="220" t="s">
        <v>114</v>
      </c>
      <c r="G51" s="220"/>
      <c r="H51" s="220"/>
      <c r="I51" s="223">
        <v>0</v>
      </c>
      <c r="J51" s="220"/>
      <c r="K51" s="220"/>
      <c r="L51" s="223">
        <v>0</v>
      </c>
      <c r="M51" s="223">
        <v>0.32291666666666685</v>
      </c>
      <c r="N51" s="223">
        <v>0.25833333333333341</v>
      </c>
      <c r="O51" s="223">
        <v>0.58125000000000027</v>
      </c>
      <c r="P51" s="223"/>
      <c r="Q51" s="223">
        <v>366.23125000000005</v>
      </c>
      <c r="R51" s="223">
        <v>0</v>
      </c>
      <c r="S51" s="223">
        <v>0</v>
      </c>
      <c r="T51" s="223">
        <v>0</v>
      </c>
      <c r="U51" s="223">
        <v>0</v>
      </c>
      <c r="V51" s="223">
        <v>0</v>
      </c>
      <c r="W51" s="223">
        <v>0</v>
      </c>
      <c r="X51" s="223"/>
      <c r="Y51" s="234">
        <v>82.75</v>
      </c>
      <c r="Z51" s="223"/>
      <c r="AA51" s="223"/>
      <c r="AB51" s="223">
        <v>100</v>
      </c>
      <c r="AC51" s="223"/>
      <c r="AD51" s="223"/>
      <c r="AE51" s="223">
        <v>100</v>
      </c>
      <c r="AF51" s="223"/>
      <c r="AG51" s="223"/>
      <c r="AH51" s="223">
        <v>100</v>
      </c>
      <c r="AI51" s="223"/>
      <c r="AJ51" s="223"/>
      <c r="AK51" s="223">
        <v>100</v>
      </c>
    </row>
    <row r="52" spans="1:37" x14ac:dyDescent="0.25">
      <c r="A52" s="227" t="s">
        <v>109</v>
      </c>
      <c r="B52" s="221">
        <v>43832</v>
      </c>
      <c r="C52" s="222">
        <v>0.11250000000000004</v>
      </c>
      <c r="D52" s="223">
        <v>0.59999999999999987</v>
      </c>
      <c r="E52" s="220" t="s">
        <v>47</v>
      </c>
      <c r="F52" s="220" t="s">
        <v>115</v>
      </c>
      <c r="G52" s="220"/>
      <c r="H52" s="220"/>
      <c r="I52" s="223">
        <v>0</v>
      </c>
      <c r="J52" s="220"/>
      <c r="K52" s="220"/>
      <c r="L52" s="223">
        <v>0.24999999999999992</v>
      </c>
      <c r="M52" s="223">
        <v>6.2499999999999986E-2</v>
      </c>
      <c r="N52" s="223">
        <v>4.9999999999999989E-2</v>
      </c>
      <c r="O52" s="223">
        <v>0.36249999999999993</v>
      </c>
      <c r="P52" s="223"/>
      <c r="Q52" s="223">
        <v>365.86875000000003</v>
      </c>
      <c r="R52" s="223">
        <v>0</v>
      </c>
      <c r="S52" s="223">
        <v>0</v>
      </c>
      <c r="T52" s="223">
        <v>0</v>
      </c>
      <c r="U52" s="223">
        <v>0</v>
      </c>
      <c r="V52" s="223">
        <v>0</v>
      </c>
      <c r="W52" s="223">
        <v>0</v>
      </c>
      <c r="X52" s="223"/>
      <c r="Y52" s="234">
        <v>82.75</v>
      </c>
      <c r="Z52" s="223"/>
      <c r="AA52" s="223"/>
      <c r="AB52" s="223">
        <v>100</v>
      </c>
      <c r="AC52" s="223"/>
      <c r="AD52" s="223"/>
      <c r="AE52" s="223">
        <v>100</v>
      </c>
      <c r="AF52" s="223"/>
      <c r="AG52" s="223"/>
      <c r="AH52" s="223">
        <v>100</v>
      </c>
      <c r="AI52" s="223"/>
      <c r="AJ52" s="223"/>
      <c r="AK52" s="223">
        <v>100</v>
      </c>
    </row>
    <row r="53" spans="1:37" x14ac:dyDescent="0.25">
      <c r="A53" s="227" t="s">
        <v>109</v>
      </c>
      <c r="B53" s="221">
        <v>43832</v>
      </c>
      <c r="C53" s="222">
        <v>0.33333333333333326</v>
      </c>
      <c r="D53" s="223">
        <v>5.3</v>
      </c>
      <c r="E53" s="220" t="s">
        <v>55</v>
      </c>
      <c r="F53" s="220" t="s">
        <v>116</v>
      </c>
      <c r="G53" s="220"/>
      <c r="H53" s="220"/>
      <c r="I53" s="223">
        <v>0</v>
      </c>
      <c r="J53" s="220" t="s">
        <v>54</v>
      </c>
      <c r="K53" s="220">
        <v>95</v>
      </c>
      <c r="L53" s="223">
        <v>5.5208333333333339</v>
      </c>
      <c r="M53" s="223">
        <v>0.55208333333333337</v>
      </c>
      <c r="N53" s="223">
        <v>0.44166666666666665</v>
      </c>
      <c r="O53" s="223">
        <v>6.5145833333333334</v>
      </c>
      <c r="P53" s="223"/>
      <c r="Q53" s="223">
        <v>359.35416666666669</v>
      </c>
      <c r="R53" s="223">
        <v>0</v>
      </c>
      <c r="S53" s="223">
        <v>0</v>
      </c>
      <c r="T53" s="223">
        <v>0</v>
      </c>
      <c r="U53" s="223">
        <v>0</v>
      </c>
      <c r="V53" s="223">
        <v>0</v>
      </c>
      <c r="W53" s="223">
        <v>0</v>
      </c>
      <c r="X53" s="223"/>
      <c r="Y53" s="234">
        <v>82.75</v>
      </c>
      <c r="Z53" s="223"/>
      <c r="AA53" s="223"/>
      <c r="AB53" s="223">
        <v>100</v>
      </c>
      <c r="AC53" s="223"/>
      <c r="AD53" s="223"/>
      <c r="AE53" s="223">
        <v>100</v>
      </c>
      <c r="AF53" s="223"/>
      <c r="AG53" s="223"/>
      <c r="AH53" s="223">
        <v>100</v>
      </c>
      <c r="AI53" s="223"/>
      <c r="AJ53" s="223"/>
      <c r="AK53" s="223">
        <v>100</v>
      </c>
    </row>
    <row r="54" spans="1:37" x14ac:dyDescent="0.25">
      <c r="A54" s="227" t="s">
        <v>109</v>
      </c>
      <c r="B54" s="221">
        <v>43833</v>
      </c>
      <c r="C54" s="222">
        <v>9.5833333333333437E-2</v>
      </c>
      <c r="D54" s="223">
        <v>18.3</v>
      </c>
      <c r="E54" s="220" t="s">
        <v>55</v>
      </c>
      <c r="F54" s="220" t="s">
        <v>80</v>
      </c>
      <c r="G54" s="220">
        <v>266</v>
      </c>
      <c r="H54" s="220">
        <v>23.6</v>
      </c>
      <c r="I54" s="223">
        <v>11.271186440677964</v>
      </c>
      <c r="J54" s="220" t="s">
        <v>117</v>
      </c>
      <c r="K54" s="220">
        <v>95</v>
      </c>
      <c r="L54" s="223">
        <v>19.062500000000004</v>
      </c>
      <c r="M54" s="223">
        <v>1.90625</v>
      </c>
      <c r="N54" s="223">
        <v>1.5249999999999999</v>
      </c>
      <c r="O54" s="223">
        <v>22.493750000000002</v>
      </c>
      <c r="P54" s="223"/>
      <c r="Q54" s="223">
        <v>336.86041666666671</v>
      </c>
      <c r="R54" s="223">
        <v>0</v>
      </c>
      <c r="S54" s="223">
        <v>0</v>
      </c>
      <c r="T54" s="223">
        <v>0</v>
      </c>
      <c r="U54" s="223">
        <v>0</v>
      </c>
      <c r="V54" s="223">
        <v>0</v>
      </c>
      <c r="W54" s="223">
        <v>0</v>
      </c>
      <c r="X54" s="223"/>
      <c r="Y54" s="234">
        <v>82.75</v>
      </c>
      <c r="Z54" s="223"/>
      <c r="AA54" s="223"/>
      <c r="AB54" s="223">
        <v>100</v>
      </c>
      <c r="AC54" s="223"/>
      <c r="AD54" s="223"/>
      <c r="AE54" s="223">
        <v>100</v>
      </c>
      <c r="AF54" s="223"/>
      <c r="AG54" s="223"/>
      <c r="AH54" s="223">
        <v>100</v>
      </c>
      <c r="AI54" s="223"/>
      <c r="AJ54" s="223"/>
      <c r="AK54" s="223">
        <v>100</v>
      </c>
    </row>
    <row r="55" spans="1:37" x14ac:dyDescent="0.25">
      <c r="A55" s="227" t="s">
        <v>109</v>
      </c>
      <c r="B55" s="221">
        <v>43833</v>
      </c>
      <c r="C55" s="222">
        <v>0.1166666666666667</v>
      </c>
      <c r="D55" s="223">
        <v>0.49999999999999989</v>
      </c>
      <c r="E55" s="220" t="s">
        <v>47</v>
      </c>
      <c r="F55" s="220" t="s">
        <v>118</v>
      </c>
      <c r="G55" s="220"/>
      <c r="H55" s="220"/>
      <c r="I55" s="223">
        <v>0</v>
      </c>
      <c r="J55" s="220"/>
      <c r="K55" s="220"/>
      <c r="L55" s="223">
        <v>0.20833333333333329</v>
      </c>
      <c r="M55" s="223">
        <v>5.2083333333333322E-2</v>
      </c>
      <c r="N55" s="223">
        <v>4.1666666666666657E-2</v>
      </c>
      <c r="O55" s="223">
        <v>0.30208333333333326</v>
      </c>
      <c r="P55" s="223"/>
      <c r="Q55" s="223">
        <v>336.55833333333339</v>
      </c>
      <c r="R55" s="223">
        <v>0</v>
      </c>
      <c r="S55" s="223">
        <v>0</v>
      </c>
      <c r="T55" s="223">
        <v>0</v>
      </c>
      <c r="U55" s="223">
        <v>0</v>
      </c>
      <c r="V55" s="223">
        <v>0</v>
      </c>
      <c r="W55" s="223">
        <v>0</v>
      </c>
      <c r="X55" s="223"/>
      <c r="Y55" s="234">
        <v>82.75</v>
      </c>
      <c r="Z55" s="223"/>
      <c r="AA55" s="223"/>
      <c r="AB55" s="223">
        <v>100</v>
      </c>
      <c r="AC55" s="223"/>
      <c r="AD55" s="223"/>
      <c r="AE55" s="223">
        <v>100</v>
      </c>
      <c r="AF55" s="223"/>
      <c r="AG55" s="223"/>
      <c r="AH55" s="223">
        <v>100</v>
      </c>
      <c r="AI55" s="223"/>
      <c r="AJ55" s="223"/>
      <c r="AK55" s="223">
        <v>100</v>
      </c>
    </row>
    <row r="56" spans="1:37" x14ac:dyDescent="0.25">
      <c r="A56" s="227" t="s">
        <v>109</v>
      </c>
      <c r="B56" s="221">
        <v>43833</v>
      </c>
      <c r="C56" s="222">
        <v>0.33333333333333326</v>
      </c>
      <c r="D56" s="223">
        <v>5.2</v>
      </c>
      <c r="E56" s="220" t="s">
        <v>45</v>
      </c>
      <c r="F56" s="220" t="s">
        <v>119</v>
      </c>
      <c r="G56" s="220"/>
      <c r="H56" s="220"/>
      <c r="I56" s="223">
        <v>0</v>
      </c>
      <c r="J56" s="220"/>
      <c r="K56" s="220"/>
      <c r="L56" s="223">
        <v>0</v>
      </c>
      <c r="M56" s="223">
        <v>0.54166666666666674</v>
      </c>
      <c r="N56" s="223">
        <v>0.43333333333333335</v>
      </c>
      <c r="O56" s="223">
        <v>0.97500000000000009</v>
      </c>
      <c r="P56" s="223"/>
      <c r="Q56" s="223">
        <v>335.58333333333337</v>
      </c>
      <c r="R56" s="223">
        <v>0</v>
      </c>
      <c r="S56" s="223">
        <v>0</v>
      </c>
      <c r="T56" s="223">
        <v>0</v>
      </c>
      <c r="U56" s="223">
        <v>0</v>
      </c>
      <c r="V56" s="223">
        <v>0</v>
      </c>
      <c r="W56" s="223">
        <v>0</v>
      </c>
      <c r="X56" s="223"/>
      <c r="Y56" s="234">
        <v>82.75</v>
      </c>
      <c r="Z56" s="223"/>
      <c r="AA56" s="223"/>
      <c r="AB56" s="223">
        <v>100</v>
      </c>
      <c r="AC56" s="223"/>
      <c r="AD56" s="223"/>
      <c r="AE56" s="223">
        <v>100</v>
      </c>
      <c r="AF56" s="223"/>
      <c r="AG56" s="223"/>
      <c r="AH56" s="223">
        <v>100</v>
      </c>
      <c r="AI56" s="223"/>
      <c r="AJ56" s="223"/>
      <c r="AK56" s="223">
        <v>100</v>
      </c>
    </row>
    <row r="57" spans="1:37" x14ac:dyDescent="0.25">
      <c r="A57" s="227" t="s">
        <v>109</v>
      </c>
      <c r="B57" s="221">
        <v>43834</v>
      </c>
      <c r="C57" s="222">
        <v>0.33333333333333326</v>
      </c>
      <c r="D57" s="223">
        <v>24</v>
      </c>
      <c r="E57" s="220" t="s">
        <v>45</v>
      </c>
      <c r="F57" s="220" t="s">
        <v>119</v>
      </c>
      <c r="G57" s="220"/>
      <c r="H57" s="220"/>
      <c r="I57" s="223">
        <v>0</v>
      </c>
      <c r="J57" s="220"/>
      <c r="K57" s="220"/>
      <c r="L57" s="223">
        <v>0</v>
      </c>
      <c r="M57" s="223">
        <v>2.5</v>
      </c>
      <c r="N57" s="223">
        <v>2</v>
      </c>
      <c r="O57" s="223">
        <v>4.5</v>
      </c>
      <c r="P57" s="223"/>
      <c r="Q57" s="223">
        <v>331.08333333333337</v>
      </c>
      <c r="R57" s="223">
        <v>0</v>
      </c>
      <c r="S57" s="223">
        <v>0</v>
      </c>
      <c r="T57" s="223">
        <v>0</v>
      </c>
      <c r="U57" s="223">
        <v>0</v>
      </c>
      <c r="V57" s="223">
        <v>0</v>
      </c>
      <c r="W57" s="223">
        <v>0</v>
      </c>
      <c r="X57" s="223"/>
      <c r="Y57" s="234">
        <v>82.75</v>
      </c>
      <c r="Z57" s="223"/>
      <c r="AA57" s="223"/>
      <c r="AB57" s="223">
        <v>100</v>
      </c>
      <c r="AC57" s="223"/>
      <c r="AD57" s="223"/>
      <c r="AE57" s="223">
        <v>100</v>
      </c>
      <c r="AF57" s="223"/>
      <c r="AG57" s="223"/>
      <c r="AH57" s="223">
        <v>100</v>
      </c>
      <c r="AI57" s="223"/>
      <c r="AJ57" s="223"/>
      <c r="AK57" s="223">
        <v>100</v>
      </c>
    </row>
    <row r="58" spans="1:37" x14ac:dyDescent="0.25">
      <c r="A58" s="227" t="s">
        <v>109</v>
      </c>
      <c r="B58" s="221">
        <v>43835</v>
      </c>
      <c r="C58" s="222">
        <v>0.33333333333333326</v>
      </c>
      <c r="D58" s="223">
        <v>24</v>
      </c>
      <c r="E58" s="220" t="s">
        <v>45</v>
      </c>
      <c r="F58" s="220" t="s">
        <v>119</v>
      </c>
      <c r="G58" s="220"/>
      <c r="H58" s="220"/>
      <c r="I58" s="223">
        <v>0</v>
      </c>
      <c r="J58" s="220"/>
      <c r="K58" s="220"/>
      <c r="L58" s="223">
        <v>0</v>
      </c>
      <c r="M58" s="223">
        <v>2.2000000000000002</v>
      </c>
      <c r="N58" s="223">
        <v>2</v>
      </c>
      <c r="O58" s="223">
        <v>4.2</v>
      </c>
      <c r="P58" s="223"/>
      <c r="Q58" s="223">
        <v>326.88333333333338</v>
      </c>
      <c r="R58" s="223">
        <v>0</v>
      </c>
      <c r="S58" s="223">
        <v>0</v>
      </c>
      <c r="T58" s="223">
        <v>0</v>
      </c>
      <c r="U58" s="223">
        <v>0</v>
      </c>
      <c r="V58" s="223">
        <v>0</v>
      </c>
      <c r="W58" s="223">
        <v>0</v>
      </c>
      <c r="X58" s="223"/>
      <c r="Y58" s="234">
        <v>82.75</v>
      </c>
      <c r="Z58" s="223"/>
      <c r="AA58" s="223"/>
      <c r="AB58" s="223">
        <v>100</v>
      </c>
      <c r="AC58" s="223"/>
      <c r="AD58" s="223"/>
      <c r="AE58" s="223">
        <v>100</v>
      </c>
      <c r="AF58" s="223"/>
      <c r="AG58" s="223"/>
      <c r="AH58" s="223">
        <v>100</v>
      </c>
      <c r="AI58" s="223"/>
      <c r="AJ58" s="223"/>
      <c r="AK58" s="223">
        <v>100</v>
      </c>
    </row>
    <row r="59" spans="1:37" x14ac:dyDescent="0.25">
      <c r="A59" s="227" t="s">
        <v>109</v>
      </c>
      <c r="B59" s="221">
        <v>43836</v>
      </c>
      <c r="C59" s="222">
        <v>0.33333333333333326</v>
      </c>
      <c r="D59" s="223">
        <v>24</v>
      </c>
      <c r="E59" s="220" t="s">
        <v>45</v>
      </c>
      <c r="F59" s="220" t="s">
        <v>119</v>
      </c>
      <c r="G59" s="220"/>
      <c r="H59" s="220"/>
      <c r="I59" s="223">
        <v>0</v>
      </c>
      <c r="J59" s="220"/>
      <c r="K59" s="220"/>
      <c r="L59" s="223">
        <v>0</v>
      </c>
      <c r="M59" s="223">
        <v>2.2000000000000002</v>
      </c>
      <c r="N59" s="223">
        <v>2</v>
      </c>
      <c r="O59" s="223">
        <v>4.2</v>
      </c>
      <c r="P59" s="223"/>
      <c r="Q59" s="223">
        <v>322.68333333333339</v>
      </c>
      <c r="R59" s="223">
        <v>0</v>
      </c>
      <c r="S59" s="223">
        <v>0</v>
      </c>
      <c r="T59" s="223">
        <v>0</v>
      </c>
      <c r="U59" s="223">
        <v>0</v>
      </c>
      <c r="V59" s="223">
        <v>0</v>
      </c>
      <c r="W59" s="223">
        <v>0</v>
      </c>
      <c r="X59" s="223"/>
      <c r="Y59" s="234">
        <v>82.75</v>
      </c>
      <c r="Z59" s="223"/>
      <c r="AA59" s="223"/>
      <c r="AB59" s="223">
        <v>100</v>
      </c>
      <c r="AC59" s="223"/>
      <c r="AD59" s="223"/>
      <c r="AE59" s="223">
        <v>100</v>
      </c>
      <c r="AF59" s="223"/>
      <c r="AG59" s="223"/>
      <c r="AH59" s="223">
        <v>100</v>
      </c>
      <c r="AI59" s="223"/>
      <c r="AJ59" s="223"/>
      <c r="AK59" s="223">
        <v>100</v>
      </c>
    </row>
    <row r="60" spans="1:37" x14ac:dyDescent="0.25">
      <c r="A60" s="227" t="s">
        <v>109</v>
      </c>
      <c r="B60" s="221">
        <v>43836</v>
      </c>
      <c r="C60" s="222">
        <v>0.54166666666666674</v>
      </c>
      <c r="D60" s="223">
        <v>5</v>
      </c>
      <c r="E60" s="220" t="s">
        <v>45</v>
      </c>
      <c r="F60" s="220" t="s">
        <v>120</v>
      </c>
      <c r="G60" s="220"/>
      <c r="H60" s="220"/>
      <c r="I60" s="223">
        <v>0</v>
      </c>
      <c r="J60" s="220"/>
      <c r="K60" s="220"/>
      <c r="L60" s="223">
        <v>0</v>
      </c>
      <c r="M60" s="223">
        <v>0.45833333333333337</v>
      </c>
      <c r="N60" s="223">
        <v>0.41666666666666663</v>
      </c>
      <c r="O60" s="223">
        <v>0.875</v>
      </c>
      <c r="P60" s="223"/>
      <c r="Q60" s="223">
        <v>321.80833333333339</v>
      </c>
      <c r="R60" s="223">
        <v>0</v>
      </c>
      <c r="S60" s="223">
        <v>0</v>
      </c>
      <c r="T60" s="223">
        <v>0</v>
      </c>
      <c r="U60" s="223">
        <v>0</v>
      </c>
      <c r="V60" s="223">
        <v>0</v>
      </c>
      <c r="W60" s="223">
        <v>0</v>
      </c>
      <c r="X60" s="223"/>
      <c r="Y60" s="234">
        <v>82.75</v>
      </c>
      <c r="Z60" s="223"/>
      <c r="AA60" s="223"/>
      <c r="AB60" s="223">
        <v>100</v>
      </c>
      <c r="AC60" s="223"/>
      <c r="AD60" s="223"/>
      <c r="AE60" s="223">
        <v>100</v>
      </c>
      <c r="AF60" s="223"/>
      <c r="AG60" s="223"/>
      <c r="AH60" s="223">
        <v>100</v>
      </c>
      <c r="AI60" s="223"/>
      <c r="AJ60" s="223"/>
      <c r="AK60" s="223">
        <v>100</v>
      </c>
    </row>
    <row r="61" spans="1:37" x14ac:dyDescent="0.25">
      <c r="A61" s="227" t="s">
        <v>109</v>
      </c>
      <c r="B61" s="221">
        <v>43836</v>
      </c>
      <c r="C61" s="222">
        <v>0.59583333333333344</v>
      </c>
      <c r="D61" s="223">
        <v>1.3000000000000007</v>
      </c>
      <c r="E61" s="220" t="s">
        <v>47</v>
      </c>
      <c r="F61" s="220" t="s">
        <v>121</v>
      </c>
      <c r="G61" s="220"/>
      <c r="H61" s="220"/>
      <c r="I61" s="223">
        <v>0</v>
      </c>
      <c r="J61" s="220"/>
      <c r="K61" s="220"/>
      <c r="L61" s="223">
        <v>0.10833333333333341</v>
      </c>
      <c r="M61" s="223">
        <v>0.11916666666666674</v>
      </c>
      <c r="N61" s="223">
        <v>0.10833333333333341</v>
      </c>
      <c r="O61" s="223">
        <v>0.33583333333333354</v>
      </c>
      <c r="P61" s="223"/>
      <c r="Q61" s="223">
        <v>321.47250000000008</v>
      </c>
      <c r="R61" s="223">
        <v>0</v>
      </c>
      <c r="S61" s="223">
        <v>0</v>
      </c>
      <c r="T61" s="223">
        <v>0</v>
      </c>
      <c r="U61" s="223">
        <v>0</v>
      </c>
      <c r="V61" s="223">
        <v>0</v>
      </c>
      <c r="W61" s="223">
        <v>0</v>
      </c>
      <c r="X61" s="223"/>
      <c r="Y61" s="234">
        <v>82.75</v>
      </c>
      <c r="Z61" s="223"/>
      <c r="AA61" s="223"/>
      <c r="AB61" s="223">
        <v>100</v>
      </c>
      <c r="AC61" s="223"/>
      <c r="AD61" s="223"/>
      <c r="AE61" s="223">
        <v>100</v>
      </c>
      <c r="AF61" s="223"/>
      <c r="AG61" s="223"/>
      <c r="AH61" s="223">
        <v>100</v>
      </c>
      <c r="AI61" s="223"/>
      <c r="AJ61" s="223"/>
      <c r="AK61" s="223">
        <v>100</v>
      </c>
    </row>
    <row r="62" spans="1:37" x14ac:dyDescent="0.25">
      <c r="A62" s="227" t="s">
        <v>109</v>
      </c>
      <c r="B62" s="221">
        <v>43836</v>
      </c>
      <c r="C62" s="222">
        <v>0.72083333333333344</v>
      </c>
      <c r="D62" s="223">
        <v>3</v>
      </c>
      <c r="E62" s="220" t="s">
        <v>49</v>
      </c>
      <c r="F62" s="220" t="s">
        <v>122</v>
      </c>
      <c r="G62" s="220"/>
      <c r="H62" s="220"/>
      <c r="I62" s="223">
        <v>0</v>
      </c>
      <c r="J62" s="220"/>
      <c r="K62" s="220"/>
      <c r="L62" s="223">
        <v>0</v>
      </c>
      <c r="M62" s="223">
        <v>0.3125</v>
      </c>
      <c r="N62" s="223">
        <v>0.25</v>
      </c>
      <c r="O62" s="223">
        <v>0.5625</v>
      </c>
      <c r="P62" s="223"/>
      <c r="Q62" s="223">
        <v>320.91000000000008</v>
      </c>
      <c r="R62" s="223">
        <v>0</v>
      </c>
      <c r="S62" s="223">
        <v>0</v>
      </c>
      <c r="T62" s="223">
        <v>0</v>
      </c>
      <c r="U62" s="223">
        <v>0</v>
      </c>
      <c r="V62" s="223">
        <v>0</v>
      </c>
      <c r="W62" s="223">
        <v>0</v>
      </c>
      <c r="X62" s="223"/>
      <c r="Y62" s="234">
        <v>82.75</v>
      </c>
      <c r="Z62" s="223"/>
      <c r="AA62" s="223"/>
      <c r="AB62" s="223">
        <v>100</v>
      </c>
      <c r="AC62" s="223"/>
      <c r="AD62" s="223"/>
      <c r="AE62" s="223">
        <v>100</v>
      </c>
      <c r="AF62" s="223"/>
      <c r="AG62" s="223"/>
      <c r="AH62" s="223">
        <v>100</v>
      </c>
      <c r="AI62" s="223"/>
      <c r="AJ62" s="223"/>
      <c r="AK62" s="223">
        <v>100</v>
      </c>
    </row>
    <row r="63" spans="1:37" x14ac:dyDescent="0.25">
      <c r="A63" s="227" t="s">
        <v>109</v>
      </c>
      <c r="B63" s="221">
        <v>43837</v>
      </c>
      <c r="C63" s="222">
        <v>0.33333333333333326</v>
      </c>
      <c r="D63" s="223">
        <v>14.7</v>
      </c>
      <c r="E63" s="220" t="s">
        <v>51</v>
      </c>
      <c r="F63" s="220" t="s">
        <v>51</v>
      </c>
      <c r="G63" s="220"/>
      <c r="H63" s="220"/>
      <c r="I63" s="223">
        <v>0</v>
      </c>
      <c r="J63" s="220"/>
      <c r="K63" s="220"/>
      <c r="L63" s="223">
        <v>0</v>
      </c>
      <c r="M63" s="223">
        <v>1.53125</v>
      </c>
      <c r="N63" s="223">
        <v>1.2250000000000001</v>
      </c>
      <c r="O63" s="223">
        <v>2.7562499999999996</v>
      </c>
      <c r="P63" s="223"/>
      <c r="Q63" s="223">
        <v>318.15375000000006</v>
      </c>
      <c r="R63" s="223">
        <v>0</v>
      </c>
      <c r="S63" s="223">
        <v>0</v>
      </c>
      <c r="T63" s="223">
        <v>0</v>
      </c>
      <c r="U63" s="223">
        <v>0</v>
      </c>
      <c r="V63" s="223">
        <v>2.2999999999999998</v>
      </c>
      <c r="W63" s="223">
        <v>2.2999999999999998</v>
      </c>
      <c r="X63" s="223"/>
      <c r="Y63" s="234">
        <v>80.45</v>
      </c>
      <c r="Z63" s="223"/>
      <c r="AA63" s="223"/>
      <c r="AB63" s="223">
        <v>100</v>
      </c>
      <c r="AC63" s="223"/>
      <c r="AD63" s="223"/>
      <c r="AE63" s="223">
        <v>100</v>
      </c>
      <c r="AF63" s="223"/>
      <c r="AG63" s="223"/>
      <c r="AH63" s="223">
        <v>100</v>
      </c>
      <c r="AI63" s="223"/>
      <c r="AJ63" s="223"/>
      <c r="AK63" s="223">
        <v>100</v>
      </c>
    </row>
    <row r="64" spans="1:37" x14ac:dyDescent="0.25">
      <c r="A64" s="227" t="s">
        <v>109</v>
      </c>
      <c r="B64" s="221">
        <v>43837</v>
      </c>
      <c r="C64" s="222">
        <v>0.8833333333333333</v>
      </c>
      <c r="D64" s="223">
        <v>13.200000000000001</v>
      </c>
      <c r="E64" s="220" t="s">
        <v>51</v>
      </c>
      <c r="F64" s="220" t="s">
        <v>123</v>
      </c>
      <c r="G64" s="220"/>
      <c r="H64" s="220"/>
      <c r="I64" s="223">
        <v>0</v>
      </c>
      <c r="J64" s="220"/>
      <c r="K64" s="220"/>
      <c r="L64" s="223">
        <v>0</v>
      </c>
      <c r="M64" s="223">
        <v>1.3750000000000002</v>
      </c>
      <c r="N64" s="223">
        <v>1.1000000000000001</v>
      </c>
      <c r="O64" s="223">
        <v>2.4750000000000005</v>
      </c>
      <c r="P64" s="223"/>
      <c r="Q64" s="223">
        <v>315.67875000000004</v>
      </c>
      <c r="R64" s="223">
        <v>0</v>
      </c>
      <c r="S64" s="223">
        <v>0</v>
      </c>
      <c r="T64" s="223">
        <v>0</v>
      </c>
      <c r="U64" s="223">
        <v>0</v>
      </c>
      <c r="V64" s="223">
        <v>2.2000000000000002</v>
      </c>
      <c r="W64" s="223">
        <v>2.2000000000000002</v>
      </c>
      <c r="X64" s="223"/>
      <c r="Y64" s="234">
        <v>78.25</v>
      </c>
      <c r="Z64" s="223"/>
      <c r="AA64" s="223"/>
      <c r="AB64" s="223">
        <v>100</v>
      </c>
      <c r="AC64" s="223"/>
      <c r="AD64" s="223"/>
      <c r="AE64" s="223">
        <v>100</v>
      </c>
      <c r="AF64" s="223"/>
      <c r="AG64" s="223"/>
      <c r="AH64" s="223">
        <v>100</v>
      </c>
      <c r="AI64" s="223"/>
      <c r="AJ64" s="223"/>
      <c r="AK64" s="223">
        <v>100</v>
      </c>
    </row>
    <row r="65" spans="1:37" x14ac:dyDescent="0.25">
      <c r="A65" s="227" t="s">
        <v>109</v>
      </c>
      <c r="B65" s="221">
        <v>43838</v>
      </c>
      <c r="C65" s="222">
        <v>1.6666666666666607E-2</v>
      </c>
      <c r="D65" s="223">
        <v>3.2000000000000028</v>
      </c>
      <c r="E65" s="220" t="s">
        <v>49</v>
      </c>
      <c r="F65" s="220" t="s">
        <v>120</v>
      </c>
      <c r="G65" s="220"/>
      <c r="H65" s="220"/>
      <c r="I65" s="223">
        <v>0</v>
      </c>
      <c r="J65" s="220"/>
      <c r="K65" s="220"/>
      <c r="L65" s="223">
        <v>0</v>
      </c>
      <c r="M65" s="223">
        <v>0.33333333333333365</v>
      </c>
      <c r="N65" s="223">
        <v>0.26666666666666689</v>
      </c>
      <c r="O65" s="223">
        <v>0.60000000000000053</v>
      </c>
      <c r="P65" s="223"/>
      <c r="Q65" s="223">
        <v>315.07875000000001</v>
      </c>
      <c r="R65" s="223">
        <v>0</v>
      </c>
      <c r="S65" s="223">
        <v>0</v>
      </c>
      <c r="T65" s="223">
        <v>0</v>
      </c>
      <c r="U65" s="223">
        <v>0</v>
      </c>
      <c r="V65" s="223">
        <v>0</v>
      </c>
      <c r="W65" s="223">
        <v>0</v>
      </c>
      <c r="X65" s="223"/>
      <c r="Y65" s="234">
        <v>78.25</v>
      </c>
      <c r="Z65" s="223"/>
      <c r="AA65" s="223"/>
      <c r="AB65" s="223">
        <v>100</v>
      </c>
      <c r="AC65" s="223"/>
      <c r="AD65" s="223"/>
      <c r="AE65" s="223">
        <v>100</v>
      </c>
      <c r="AF65" s="223"/>
      <c r="AG65" s="223"/>
      <c r="AH65" s="223">
        <v>100</v>
      </c>
      <c r="AI65" s="223"/>
      <c r="AJ65" s="223"/>
      <c r="AK65" s="223">
        <v>100</v>
      </c>
    </row>
    <row r="66" spans="1:37" x14ac:dyDescent="0.25">
      <c r="A66" s="227" t="s">
        <v>109</v>
      </c>
      <c r="B66" s="221">
        <v>43838</v>
      </c>
      <c r="C66" s="222">
        <v>4.1666666666666741E-2</v>
      </c>
      <c r="D66" s="223">
        <v>0.6</v>
      </c>
      <c r="E66" s="220" t="s">
        <v>47</v>
      </c>
      <c r="F66" s="220" t="s">
        <v>53</v>
      </c>
      <c r="G66" s="220"/>
      <c r="H66" s="220"/>
      <c r="I66" s="223">
        <v>0</v>
      </c>
      <c r="J66" s="220"/>
      <c r="K66" s="220"/>
      <c r="L66" s="223">
        <v>0.125</v>
      </c>
      <c r="M66" s="223">
        <v>6.25E-2</v>
      </c>
      <c r="N66" s="223">
        <v>0.05</v>
      </c>
      <c r="O66" s="223">
        <v>0.23749999999999999</v>
      </c>
      <c r="P66" s="223"/>
      <c r="Q66" s="223">
        <v>314.84125</v>
      </c>
      <c r="R66" s="223">
        <v>0</v>
      </c>
      <c r="S66" s="223">
        <v>0</v>
      </c>
      <c r="T66" s="223">
        <v>0</v>
      </c>
      <c r="U66" s="223">
        <v>0</v>
      </c>
      <c r="V66" s="223">
        <v>0</v>
      </c>
      <c r="W66" s="223">
        <v>0</v>
      </c>
      <c r="X66" s="223"/>
      <c r="Y66" s="234">
        <v>78.25</v>
      </c>
      <c r="Z66" s="223"/>
      <c r="AA66" s="223"/>
      <c r="AB66" s="223">
        <v>100</v>
      </c>
      <c r="AC66" s="223"/>
      <c r="AD66" s="223"/>
      <c r="AE66" s="223">
        <v>100</v>
      </c>
      <c r="AF66" s="223"/>
      <c r="AG66" s="223"/>
      <c r="AH66" s="223">
        <v>100</v>
      </c>
      <c r="AI66" s="223"/>
      <c r="AJ66" s="223"/>
      <c r="AK66" s="223">
        <v>100</v>
      </c>
    </row>
    <row r="67" spans="1:37" x14ac:dyDescent="0.25">
      <c r="A67" s="227" t="s">
        <v>109</v>
      </c>
      <c r="B67" s="221">
        <v>43838</v>
      </c>
      <c r="C67" s="222">
        <v>0.33333333333333326</v>
      </c>
      <c r="D67" s="223">
        <v>6.9999999999999991</v>
      </c>
      <c r="E67" s="220" t="s">
        <v>55</v>
      </c>
      <c r="F67" s="220" t="s">
        <v>124</v>
      </c>
      <c r="G67" s="220"/>
      <c r="H67" s="220"/>
      <c r="I67" s="223">
        <v>0</v>
      </c>
      <c r="J67" s="220" t="s">
        <v>81</v>
      </c>
      <c r="K67" s="220">
        <v>95</v>
      </c>
      <c r="L67" s="223">
        <v>6.4166666666666652</v>
      </c>
      <c r="M67" s="223">
        <v>0.72916666666666652</v>
      </c>
      <c r="N67" s="223">
        <v>0</v>
      </c>
      <c r="O67" s="223">
        <v>7.1458333333333321</v>
      </c>
      <c r="P67" s="223"/>
      <c r="Q67" s="223">
        <v>307.69541666666669</v>
      </c>
      <c r="R67" s="223">
        <v>0</v>
      </c>
      <c r="S67" s="223">
        <v>0</v>
      </c>
      <c r="T67" s="223">
        <v>0</v>
      </c>
      <c r="U67" s="223">
        <v>0</v>
      </c>
      <c r="V67" s="223">
        <v>0</v>
      </c>
      <c r="W67" s="223">
        <v>0</v>
      </c>
      <c r="X67" s="223"/>
      <c r="Y67" s="234">
        <v>78.25</v>
      </c>
      <c r="Z67" s="223"/>
      <c r="AA67" s="223"/>
      <c r="AB67" s="223">
        <v>100</v>
      </c>
      <c r="AC67" s="223"/>
      <c r="AD67" s="223"/>
      <c r="AE67" s="223">
        <v>100</v>
      </c>
      <c r="AF67" s="223"/>
      <c r="AG67" s="223"/>
      <c r="AH67" s="223">
        <v>100</v>
      </c>
      <c r="AI67" s="223"/>
      <c r="AJ67" s="223"/>
      <c r="AK67" s="223">
        <v>100</v>
      </c>
    </row>
    <row r="68" spans="1:37" x14ac:dyDescent="0.25">
      <c r="A68" s="227" t="s">
        <v>109</v>
      </c>
      <c r="B68" s="221">
        <v>43838</v>
      </c>
      <c r="C68" s="222">
        <v>0.41666666666666674</v>
      </c>
      <c r="D68" s="223">
        <v>2.0000000000000009</v>
      </c>
      <c r="E68" s="220" t="s">
        <v>55</v>
      </c>
      <c r="F68" s="220" t="s">
        <v>57</v>
      </c>
      <c r="G68" s="220">
        <v>96</v>
      </c>
      <c r="H68" s="220">
        <v>9</v>
      </c>
      <c r="I68" s="223">
        <v>10.666666666666666</v>
      </c>
      <c r="J68" s="220" t="s">
        <v>125</v>
      </c>
      <c r="K68" s="220">
        <v>95</v>
      </c>
      <c r="L68" s="223">
        <v>1.8333333333333339</v>
      </c>
      <c r="M68" s="223">
        <v>0.20833333333333345</v>
      </c>
      <c r="N68" s="223">
        <v>0</v>
      </c>
      <c r="O68" s="223">
        <v>2.0416666666666674</v>
      </c>
      <c r="P68" s="223"/>
      <c r="Q68" s="223">
        <v>305.65375</v>
      </c>
      <c r="R68" s="223">
        <v>0</v>
      </c>
      <c r="S68" s="223">
        <v>0</v>
      </c>
      <c r="T68" s="223">
        <v>0</v>
      </c>
      <c r="U68" s="223">
        <v>0</v>
      </c>
      <c r="V68" s="223">
        <v>0</v>
      </c>
      <c r="W68" s="223">
        <v>0</v>
      </c>
      <c r="X68" s="223"/>
      <c r="Y68" s="234">
        <v>78.25</v>
      </c>
      <c r="Z68" s="223"/>
      <c r="AA68" s="223"/>
      <c r="AB68" s="223">
        <v>100</v>
      </c>
      <c r="AC68" s="223"/>
      <c r="AD68" s="223"/>
      <c r="AE68" s="223">
        <v>100</v>
      </c>
      <c r="AF68" s="223"/>
      <c r="AG68" s="223"/>
      <c r="AH68" s="223">
        <v>100</v>
      </c>
      <c r="AI68" s="223"/>
      <c r="AJ68" s="223"/>
      <c r="AK68" s="223">
        <v>100</v>
      </c>
    </row>
    <row r="69" spans="1:37" x14ac:dyDescent="0.25">
      <c r="A69" s="227" t="s">
        <v>109</v>
      </c>
      <c r="B69" s="221">
        <v>43838</v>
      </c>
      <c r="C69" s="222">
        <v>0.49583333333333335</v>
      </c>
      <c r="D69" s="223">
        <v>1.9</v>
      </c>
      <c r="E69" s="220" t="s">
        <v>47</v>
      </c>
      <c r="F69" s="220" t="s">
        <v>126</v>
      </c>
      <c r="G69" s="220"/>
      <c r="H69" s="220"/>
      <c r="I69" s="223">
        <v>0</v>
      </c>
      <c r="J69" s="220"/>
      <c r="K69" s="220"/>
      <c r="L69" s="223">
        <v>0.15833333333333333</v>
      </c>
      <c r="M69" s="223">
        <v>0.19791666666666663</v>
      </c>
      <c r="N69" s="223">
        <v>0.15833333333333333</v>
      </c>
      <c r="O69" s="223">
        <v>0.51458333333333328</v>
      </c>
      <c r="P69" s="223"/>
      <c r="Q69" s="223">
        <v>305.13916666666665</v>
      </c>
      <c r="R69" s="223">
        <v>0</v>
      </c>
      <c r="S69" s="223">
        <v>0</v>
      </c>
      <c r="T69" s="223">
        <v>0</v>
      </c>
      <c r="U69" s="223">
        <v>0</v>
      </c>
      <c r="V69" s="223">
        <v>0</v>
      </c>
      <c r="W69" s="223">
        <v>0</v>
      </c>
      <c r="X69" s="223"/>
      <c r="Y69" s="234">
        <v>78.25</v>
      </c>
      <c r="Z69" s="223"/>
      <c r="AA69" s="223"/>
      <c r="AB69" s="223">
        <v>100</v>
      </c>
      <c r="AC69" s="223"/>
      <c r="AD69" s="223"/>
      <c r="AE69" s="223">
        <v>100</v>
      </c>
      <c r="AF69" s="223"/>
      <c r="AG69" s="223"/>
      <c r="AH69" s="223">
        <v>100</v>
      </c>
      <c r="AI69" s="223"/>
      <c r="AJ69" s="223"/>
      <c r="AK69" s="223">
        <v>100</v>
      </c>
    </row>
    <row r="70" spans="1:37" x14ac:dyDescent="0.25">
      <c r="A70" s="227" t="s">
        <v>109</v>
      </c>
      <c r="B70" s="221">
        <v>43838</v>
      </c>
      <c r="C70" s="222">
        <v>0.67500000000000004</v>
      </c>
      <c r="D70" s="223">
        <v>4.299999999999998</v>
      </c>
      <c r="E70" s="220" t="s">
        <v>49</v>
      </c>
      <c r="F70" s="220" t="s">
        <v>127</v>
      </c>
      <c r="G70" s="220"/>
      <c r="H70" s="220"/>
      <c r="I70" s="223">
        <v>0</v>
      </c>
      <c r="J70" s="220"/>
      <c r="K70" s="220"/>
      <c r="L70" s="223">
        <v>0</v>
      </c>
      <c r="M70" s="223">
        <v>0.44791666666666646</v>
      </c>
      <c r="N70" s="223">
        <v>0.35833333333333317</v>
      </c>
      <c r="O70" s="223">
        <v>0.80624999999999969</v>
      </c>
      <c r="P70" s="223"/>
      <c r="Q70" s="223">
        <v>304.33291666666668</v>
      </c>
      <c r="R70" s="223">
        <v>0</v>
      </c>
      <c r="S70" s="223">
        <v>0</v>
      </c>
      <c r="T70" s="223">
        <v>0</v>
      </c>
      <c r="U70" s="223">
        <v>0</v>
      </c>
      <c r="V70" s="223">
        <v>0</v>
      </c>
      <c r="W70" s="223">
        <v>0</v>
      </c>
      <c r="X70" s="223"/>
      <c r="Y70" s="234">
        <v>78.25</v>
      </c>
      <c r="Z70" s="223"/>
      <c r="AA70" s="223"/>
      <c r="AB70" s="223">
        <v>100</v>
      </c>
      <c r="AC70" s="223"/>
      <c r="AD70" s="223"/>
      <c r="AE70" s="223">
        <v>100</v>
      </c>
      <c r="AF70" s="223"/>
      <c r="AG70" s="223"/>
      <c r="AH70" s="223">
        <v>100</v>
      </c>
      <c r="AI70" s="223"/>
      <c r="AJ70" s="223"/>
      <c r="AK70" s="223">
        <v>100</v>
      </c>
    </row>
    <row r="71" spans="1:37" x14ac:dyDescent="0.25">
      <c r="A71" s="227" t="s">
        <v>109</v>
      </c>
      <c r="B71" s="221">
        <v>43839</v>
      </c>
      <c r="C71" s="222">
        <v>0.33333333333333326</v>
      </c>
      <c r="D71" s="223">
        <v>15.8</v>
      </c>
      <c r="E71" s="220" t="s">
        <v>51</v>
      </c>
      <c r="F71" s="220" t="s">
        <v>51</v>
      </c>
      <c r="G71" s="220"/>
      <c r="H71" s="220"/>
      <c r="I71" s="223">
        <v>0</v>
      </c>
      <c r="J71" s="220"/>
      <c r="K71" s="220"/>
      <c r="L71" s="223">
        <v>0</v>
      </c>
      <c r="M71" s="223">
        <v>1.6458333333333337</v>
      </c>
      <c r="N71" s="223">
        <v>1.3166666666666669</v>
      </c>
      <c r="O71" s="223">
        <v>2.9625000000000004</v>
      </c>
      <c r="P71" s="223"/>
      <c r="Q71" s="223">
        <v>301.3704166666667</v>
      </c>
      <c r="R71" s="223">
        <v>0</v>
      </c>
      <c r="S71" s="223">
        <v>0</v>
      </c>
      <c r="T71" s="223">
        <v>0</v>
      </c>
      <c r="U71" s="223">
        <v>0</v>
      </c>
      <c r="V71" s="223">
        <v>2.6</v>
      </c>
      <c r="W71" s="223">
        <v>2.6</v>
      </c>
      <c r="X71" s="223"/>
      <c r="Y71" s="234">
        <v>75.650000000000006</v>
      </c>
      <c r="Z71" s="223"/>
      <c r="AA71" s="223"/>
      <c r="AB71" s="223">
        <v>100</v>
      </c>
      <c r="AC71" s="223"/>
      <c r="AD71" s="223"/>
      <c r="AE71" s="223">
        <v>100</v>
      </c>
      <c r="AF71" s="223"/>
      <c r="AG71" s="223"/>
      <c r="AH71" s="223">
        <v>100</v>
      </c>
      <c r="AI71" s="223"/>
      <c r="AJ71" s="223"/>
      <c r="AK71" s="223">
        <v>100</v>
      </c>
    </row>
    <row r="72" spans="1:37" x14ac:dyDescent="0.25">
      <c r="A72" s="227" t="s">
        <v>109</v>
      </c>
      <c r="B72" s="221">
        <v>43839</v>
      </c>
      <c r="C72" s="222">
        <v>0.42500000000000004</v>
      </c>
      <c r="D72" s="223">
        <v>2.2000000000000002</v>
      </c>
      <c r="E72" s="220" t="s">
        <v>51</v>
      </c>
      <c r="F72" s="220" t="s">
        <v>128</v>
      </c>
      <c r="G72" s="220"/>
      <c r="H72" s="220"/>
      <c r="I72" s="223">
        <v>0</v>
      </c>
      <c r="J72" s="220"/>
      <c r="K72" s="220"/>
      <c r="L72" s="223">
        <v>0</v>
      </c>
      <c r="M72" s="223">
        <v>0.22916666666666669</v>
      </c>
      <c r="N72" s="223">
        <v>0.18333333333333335</v>
      </c>
      <c r="O72" s="223">
        <v>0.41250000000000003</v>
      </c>
      <c r="P72" s="223"/>
      <c r="Q72" s="223">
        <v>300.95791666666668</v>
      </c>
      <c r="R72" s="223">
        <v>0</v>
      </c>
      <c r="S72" s="223">
        <v>0</v>
      </c>
      <c r="T72" s="223">
        <v>0</v>
      </c>
      <c r="U72" s="223">
        <v>0</v>
      </c>
      <c r="V72" s="223">
        <v>0.3</v>
      </c>
      <c r="W72" s="223">
        <v>0.3</v>
      </c>
      <c r="X72" s="223"/>
      <c r="Y72" s="234">
        <v>75.350000000000009</v>
      </c>
      <c r="Z72" s="223"/>
      <c r="AA72" s="223"/>
      <c r="AB72" s="223">
        <v>100</v>
      </c>
      <c r="AC72" s="223"/>
      <c r="AD72" s="223"/>
      <c r="AE72" s="223">
        <v>100</v>
      </c>
      <c r="AF72" s="223"/>
      <c r="AG72" s="223"/>
      <c r="AH72" s="223">
        <v>100</v>
      </c>
      <c r="AI72" s="223"/>
      <c r="AJ72" s="223"/>
      <c r="AK72" s="223">
        <v>100</v>
      </c>
    </row>
    <row r="73" spans="1:37" x14ac:dyDescent="0.25">
      <c r="A73" s="227" t="s">
        <v>109</v>
      </c>
      <c r="B73" s="221">
        <v>43839</v>
      </c>
      <c r="C73" s="222">
        <v>0.57499999999999996</v>
      </c>
      <c r="D73" s="223">
        <v>3.6000000000000019</v>
      </c>
      <c r="E73" s="220" t="s">
        <v>49</v>
      </c>
      <c r="F73" s="220" t="s">
        <v>129</v>
      </c>
      <c r="G73" s="220"/>
      <c r="H73" s="220"/>
      <c r="I73" s="223">
        <v>0</v>
      </c>
      <c r="J73" s="220"/>
      <c r="K73" s="220"/>
      <c r="L73" s="223">
        <v>0</v>
      </c>
      <c r="M73" s="223">
        <v>0.37500000000000022</v>
      </c>
      <c r="N73" s="223">
        <v>0.30000000000000016</v>
      </c>
      <c r="O73" s="223">
        <v>0.67500000000000038</v>
      </c>
      <c r="P73" s="223"/>
      <c r="Q73" s="223">
        <v>300.28291666666667</v>
      </c>
      <c r="R73" s="223">
        <v>0</v>
      </c>
      <c r="S73" s="223">
        <v>0</v>
      </c>
      <c r="T73" s="223">
        <v>0</v>
      </c>
      <c r="U73" s="223">
        <v>0</v>
      </c>
      <c r="V73" s="223">
        <v>0</v>
      </c>
      <c r="W73" s="223">
        <v>0</v>
      </c>
      <c r="X73" s="223"/>
      <c r="Y73" s="234">
        <v>75.350000000000009</v>
      </c>
      <c r="Z73" s="223"/>
      <c r="AA73" s="223"/>
      <c r="AB73" s="223">
        <v>100</v>
      </c>
      <c r="AC73" s="223"/>
      <c r="AD73" s="223"/>
      <c r="AE73" s="223">
        <v>100</v>
      </c>
      <c r="AF73" s="223"/>
      <c r="AG73" s="223"/>
      <c r="AH73" s="223">
        <v>100</v>
      </c>
      <c r="AI73" s="223"/>
      <c r="AJ73" s="223"/>
      <c r="AK73" s="223">
        <v>100</v>
      </c>
    </row>
    <row r="74" spans="1:37" x14ac:dyDescent="0.25">
      <c r="A74" s="227" t="s">
        <v>109</v>
      </c>
      <c r="B74" s="221">
        <v>43839</v>
      </c>
      <c r="C74" s="222">
        <v>0.60416666666666674</v>
      </c>
      <c r="D74" s="223">
        <v>0.69999999999999751</v>
      </c>
      <c r="E74" s="220" t="s">
        <v>47</v>
      </c>
      <c r="F74" s="220" t="s">
        <v>60</v>
      </c>
      <c r="G74" s="220"/>
      <c r="H74" s="220"/>
      <c r="I74" s="223">
        <v>0</v>
      </c>
      <c r="J74" s="220"/>
      <c r="K74" s="220"/>
      <c r="L74" s="223">
        <v>0.14583333333333282</v>
      </c>
      <c r="M74" s="223">
        <v>7.2916666666666394E-2</v>
      </c>
      <c r="N74" s="223">
        <v>5.8333333333333126E-2</v>
      </c>
      <c r="O74" s="223">
        <v>0.27708333333333235</v>
      </c>
      <c r="P74" s="223"/>
      <c r="Q74" s="223">
        <v>300.00583333333333</v>
      </c>
      <c r="R74" s="223">
        <v>0</v>
      </c>
      <c r="S74" s="223">
        <v>0</v>
      </c>
      <c r="T74" s="223">
        <v>0</v>
      </c>
      <c r="U74" s="223">
        <v>0</v>
      </c>
      <c r="V74" s="223">
        <v>0</v>
      </c>
      <c r="W74" s="223">
        <v>0</v>
      </c>
      <c r="X74" s="223"/>
      <c r="Y74" s="234">
        <v>75.350000000000009</v>
      </c>
      <c r="Z74" s="223"/>
      <c r="AA74" s="223"/>
      <c r="AB74" s="223">
        <v>100</v>
      </c>
      <c r="AC74" s="223"/>
      <c r="AD74" s="223"/>
      <c r="AE74" s="223">
        <v>100</v>
      </c>
      <c r="AF74" s="223"/>
      <c r="AG74" s="223"/>
      <c r="AH74" s="223">
        <v>100</v>
      </c>
      <c r="AI74" s="223"/>
      <c r="AJ74" s="223"/>
      <c r="AK74" s="223">
        <v>100</v>
      </c>
    </row>
    <row r="75" spans="1:37" x14ac:dyDescent="0.25">
      <c r="A75" s="227" t="s">
        <v>109</v>
      </c>
      <c r="B75" s="221">
        <v>43840</v>
      </c>
      <c r="C75" s="222">
        <v>0.33333333333333326</v>
      </c>
      <c r="D75" s="223">
        <v>17.5</v>
      </c>
      <c r="E75" s="220" t="s">
        <v>61</v>
      </c>
      <c r="F75" s="220" t="s">
        <v>130</v>
      </c>
      <c r="G75" s="220"/>
      <c r="H75" s="220"/>
      <c r="I75" s="223">
        <v>0</v>
      </c>
      <c r="J75" s="220" t="s">
        <v>131</v>
      </c>
      <c r="K75" s="220">
        <v>95</v>
      </c>
      <c r="L75" s="223">
        <v>16.041666666666664</v>
      </c>
      <c r="M75" s="223">
        <v>1.8229166666666667</v>
      </c>
      <c r="N75" s="223">
        <v>0</v>
      </c>
      <c r="O75" s="223">
        <v>17.864583333333332</v>
      </c>
      <c r="P75" s="223"/>
      <c r="Q75" s="223">
        <v>282.14125000000001</v>
      </c>
      <c r="R75" s="223">
        <v>0</v>
      </c>
      <c r="S75" s="223">
        <v>0</v>
      </c>
      <c r="T75" s="223">
        <v>0</v>
      </c>
      <c r="U75" s="223">
        <v>0</v>
      </c>
      <c r="V75" s="223">
        <v>0</v>
      </c>
      <c r="W75" s="223">
        <v>0</v>
      </c>
      <c r="X75" s="223"/>
      <c r="Y75" s="234">
        <v>75.350000000000009</v>
      </c>
      <c r="Z75" s="223"/>
      <c r="AA75" s="223"/>
      <c r="AB75" s="223">
        <v>100</v>
      </c>
      <c r="AC75" s="223"/>
      <c r="AD75" s="223"/>
      <c r="AE75" s="223">
        <v>100</v>
      </c>
      <c r="AF75" s="223"/>
      <c r="AG75" s="223"/>
      <c r="AH75" s="223">
        <v>100</v>
      </c>
      <c r="AI75" s="223"/>
      <c r="AJ75" s="223"/>
      <c r="AK75" s="223">
        <v>100</v>
      </c>
    </row>
    <row r="76" spans="1:37" x14ac:dyDescent="0.25">
      <c r="A76" s="227" t="s">
        <v>109</v>
      </c>
      <c r="B76" s="221">
        <v>43840</v>
      </c>
      <c r="C76" s="222">
        <v>0.625</v>
      </c>
      <c r="D76" s="223">
        <v>7</v>
      </c>
      <c r="E76" s="220" t="s">
        <v>61</v>
      </c>
      <c r="F76" s="220" t="s">
        <v>62</v>
      </c>
      <c r="G76" s="220">
        <v>265</v>
      </c>
      <c r="H76" s="220">
        <v>24.5</v>
      </c>
      <c r="I76" s="223">
        <v>10.816326530612244</v>
      </c>
      <c r="J76" s="220" t="s">
        <v>132</v>
      </c>
      <c r="K76" s="220">
        <v>95</v>
      </c>
      <c r="L76" s="223">
        <v>6.4166666666666661</v>
      </c>
      <c r="M76" s="223">
        <v>0.72916666666666674</v>
      </c>
      <c r="N76" s="223">
        <v>0</v>
      </c>
      <c r="O76" s="223">
        <v>7.145833333333333</v>
      </c>
      <c r="P76" s="223"/>
      <c r="Q76" s="223">
        <v>274.9954166666667</v>
      </c>
      <c r="R76" s="223">
        <v>0</v>
      </c>
      <c r="S76" s="223">
        <v>0</v>
      </c>
      <c r="T76" s="223">
        <v>0</v>
      </c>
      <c r="U76" s="223">
        <v>0</v>
      </c>
      <c r="V76" s="223">
        <v>0</v>
      </c>
      <c r="W76" s="223">
        <v>0</v>
      </c>
      <c r="X76" s="223"/>
      <c r="Y76" s="234">
        <v>75.350000000000009</v>
      </c>
      <c r="Z76" s="223"/>
      <c r="AA76" s="223"/>
      <c r="AB76" s="223">
        <v>100</v>
      </c>
      <c r="AC76" s="223"/>
      <c r="AD76" s="223"/>
      <c r="AE76" s="223">
        <v>100</v>
      </c>
      <c r="AF76" s="223"/>
      <c r="AG76" s="223"/>
      <c r="AH76" s="223">
        <v>100</v>
      </c>
      <c r="AI76" s="223"/>
      <c r="AJ76" s="223"/>
      <c r="AK76" s="223">
        <v>100</v>
      </c>
    </row>
    <row r="77" spans="1:37" x14ac:dyDescent="0.25">
      <c r="A77" s="227" t="s">
        <v>133</v>
      </c>
      <c r="B77" s="221">
        <v>43840</v>
      </c>
      <c r="C77" s="222">
        <v>0.64583333333333326</v>
      </c>
      <c r="D77" s="223">
        <v>0.50000000000000089</v>
      </c>
      <c r="E77" s="220" t="s">
        <v>47</v>
      </c>
      <c r="F77" s="220" t="s">
        <v>83</v>
      </c>
      <c r="G77" s="220"/>
      <c r="H77" s="220"/>
      <c r="I77" s="223">
        <v>0</v>
      </c>
      <c r="J77" s="220"/>
      <c r="K77" s="220"/>
      <c r="L77" s="223">
        <v>0.10416666666666684</v>
      </c>
      <c r="M77" s="223">
        <v>5.2083333333333426E-2</v>
      </c>
      <c r="N77" s="223">
        <v>4.1666666666666741E-2</v>
      </c>
      <c r="O77" s="223">
        <v>0.19791666666666702</v>
      </c>
      <c r="P77" s="223"/>
      <c r="Q77" s="223">
        <v>274.80208333333331</v>
      </c>
      <c r="R77" s="223">
        <v>0</v>
      </c>
      <c r="S77" s="223">
        <v>0</v>
      </c>
      <c r="T77" s="223">
        <v>0</v>
      </c>
      <c r="U77" s="223">
        <v>0</v>
      </c>
      <c r="V77" s="223">
        <v>0</v>
      </c>
      <c r="W77" s="223">
        <v>0</v>
      </c>
      <c r="X77" s="223"/>
      <c r="Y77" s="234">
        <v>75.349999999999994</v>
      </c>
      <c r="Z77" s="223"/>
      <c r="AA77" s="223"/>
      <c r="AB77" s="223">
        <v>100</v>
      </c>
      <c r="AC77" s="223"/>
      <c r="AD77" s="223"/>
      <c r="AE77" s="223">
        <v>100</v>
      </c>
      <c r="AF77" s="223"/>
      <c r="AG77" s="223"/>
      <c r="AH77" s="223">
        <v>100</v>
      </c>
      <c r="AI77" s="223"/>
      <c r="AJ77" s="223"/>
      <c r="AK77" s="223">
        <v>100</v>
      </c>
    </row>
    <row r="78" spans="1:37" x14ac:dyDescent="0.25">
      <c r="A78" s="227" t="s">
        <v>133</v>
      </c>
      <c r="B78" s="221">
        <v>43840</v>
      </c>
      <c r="C78" s="222">
        <v>0.6791666666666667</v>
      </c>
      <c r="D78" s="223">
        <v>0.79999999999999982</v>
      </c>
      <c r="E78" s="220" t="s">
        <v>49</v>
      </c>
      <c r="F78" s="220" t="s">
        <v>134</v>
      </c>
      <c r="G78" s="220"/>
      <c r="H78" s="220"/>
      <c r="I78" s="223">
        <v>0</v>
      </c>
      <c r="J78" s="220"/>
      <c r="K78" s="220"/>
      <c r="L78" s="223">
        <v>0</v>
      </c>
      <c r="M78" s="223">
        <v>8.3333333333333315E-2</v>
      </c>
      <c r="N78" s="223">
        <v>6.6666666666666652E-2</v>
      </c>
      <c r="O78" s="223">
        <v>0.14999999999999997</v>
      </c>
      <c r="P78" s="223"/>
      <c r="Q78" s="223">
        <v>274.65208333333334</v>
      </c>
      <c r="R78" s="223">
        <v>0</v>
      </c>
      <c r="S78" s="223">
        <v>0</v>
      </c>
      <c r="T78" s="223">
        <v>0</v>
      </c>
      <c r="U78" s="223">
        <v>0</v>
      </c>
      <c r="V78" s="223">
        <v>0</v>
      </c>
      <c r="W78" s="223">
        <v>0</v>
      </c>
      <c r="X78" s="223"/>
      <c r="Y78" s="234">
        <v>75.349999999999994</v>
      </c>
      <c r="Z78" s="223"/>
      <c r="AA78" s="223"/>
      <c r="AB78" s="223">
        <v>100</v>
      </c>
      <c r="AC78" s="223"/>
      <c r="AD78" s="223"/>
      <c r="AE78" s="223">
        <v>100</v>
      </c>
      <c r="AF78" s="223"/>
      <c r="AG78" s="223"/>
      <c r="AH78" s="223">
        <v>100</v>
      </c>
      <c r="AI78" s="223"/>
      <c r="AJ78" s="223"/>
      <c r="AK78" s="223">
        <v>100</v>
      </c>
    </row>
    <row r="79" spans="1:37" x14ac:dyDescent="0.25">
      <c r="A79" s="227" t="s">
        <v>133</v>
      </c>
      <c r="B79" s="221">
        <v>43840</v>
      </c>
      <c r="C79" s="222">
        <v>0.85000000000000009</v>
      </c>
      <c r="D79" s="223">
        <v>4.0999999999999988</v>
      </c>
      <c r="E79" s="220" t="s">
        <v>47</v>
      </c>
      <c r="F79" s="220" t="s">
        <v>83</v>
      </c>
      <c r="G79" s="220"/>
      <c r="H79" s="220"/>
      <c r="I79" s="223">
        <v>0</v>
      </c>
      <c r="J79" s="220"/>
      <c r="K79" s="220"/>
      <c r="L79" s="223">
        <v>0.51249999999999984</v>
      </c>
      <c r="M79" s="223">
        <v>0.4270833333333332</v>
      </c>
      <c r="N79" s="223">
        <v>0.34166666666666656</v>
      </c>
      <c r="O79" s="223">
        <v>1.2812499999999996</v>
      </c>
      <c r="P79" s="223"/>
      <c r="Q79" s="223">
        <v>273.37083333333334</v>
      </c>
      <c r="R79" s="223">
        <v>0</v>
      </c>
      <c r="S79" s="223">
        <v>0</v>
      </c>
      <c r="T79" s="223">
        <v>0</v>
      </c>
      <c r="U79" s="223">
        <v>0</v>
      </c>
      <c r="V79" s="223">
        <v>0</v>
      </c>
      <c r="W79" s="223">
        <v>0</v>
      </c>
      <c r="X79" s="223"/>
      <c r="Y79" s="234">
        <v>75.349999999999994</v>
      </c>
      <c r="Z79" s="223"/>
      <c r="AA79" s="223"/>
      <c r="AB79" s="223">
        <v>100</v>
      </c>
      <c r="AC79" s="223"/>
      <c r="AD79" s="223"/>
      <c r="AE79" s="223">
        <v>100</v>
      </c>
      <c r="AF79" s="223"/>
      <c r="AG79" s="223"/>
      <c r="AH79" s="223">
        <v>100</v>
      </c>
      <c r="AI79" s="223"/>
      <c r="AJ79" s="223"/>
      <c r="AK79" s="223">
        <v>100</v>
      </c>
    </row>
    <row r="80" spans="1:37" x14ac:dyDescent="0.25">
      <c r="A80" s="227" t="s">
        <v>133</v>
      </c>
      <c r="B80" s="221">
        <v>43841</v>
      </c>
      <c r="C80" s="222">
        <v>0.33333333333333326</v>
      </c>
      <c r="D80" s="223">
        <v>11.600000000000001</v>
      </c>
      <c r="E80" s="220" t="s">
        <v>45</v>
      </c>
      <c r="F80" s="220" t="s">
        <v>130</v>
      </c>
      <c r="G80" s="220"/>
      <c r="H80" s="220"/>
      <c r="I80" s="223">
        <v>0</v>
      </c>
      <c r="J80" s="220"/>
      <c r="K80" s="220"/>
      <c r="L80" s="223">
        <v>0</v>
      </c>
      <c r="M80" s="223">
        <v>1.2083333333333337</v>
      </c>
      <c r="N80" s="223">
        <v>0.96666666666666667</v>
      </c>
      <c r="O80" s="223">
        <v>2.1750000000000003</v>
      </c>
      <c r="P80" s="223"/>
      <c r="Q80" s="223">
        <v>271.19583333333333</v>
      </c>
      <c r="R80" s="223">
        <v>0</v>
      </c>
      <c r="S80" s="223">
        <v>0</v>
      </c>
      <c r="T80" s="223">
        <v>0</v>
      </c>
      <c r="U80" s="223">
        <v>0</v>
      </c>
      <c r="V80" s="223">
        <v>0</v>
      </c>
      <c r="W80" s="223">
        <v>0</v>
      </c>
      <c r="X80" s="223"/>
      <c r="Y80" s="234">
        <v>75.349999999999994</v>
      </c>
      <c r="Z80" s="223"/>
      <c r="AA80" s="223"/>
      <c r="AB80" s="223">
        <v>100</v>
      </c>
      <c r="AC80" s="223"/>
      <c r="AD80" s="223"/>
      <c r="AE80" s="223">
        <v>100</v>
      </c>
      <c r="AF80" s="223"/>
      <c r="AG80" s="223"/>
      <c r="AH80" s="223">
        <v>100</v>
      </c>
      <c r="AI80" s="223"/>
      <c r="AJ80" s="223"/>
      <c r="AK80" s="223">
        <v>100</v>
      </c>
    </row>
    <row r="81" spans="1:37" x14ac:dyDescent="0.25">
      <c r="A81" s="227" t="s">
        <v>133</v>
      </c>
      <c r="B81" s="221">
        <v>43841</v>
      </c>
      <c r="C81" s="222">
        <v>0.5541666666666667</v>
      </c>
      <c r="D81" s="223">
        <v>5.3000000000000007</v>
      </c>
      <c r="E81" s="220" t="s">
        <v>45</v>
      </c>
      <c r="F81" s="220" t="s">
        <v>134</v>
      </c>
      <c r="G81" s="220"/>
      <c r="H81" s="220"/>
      <c r="I81" s="223">
        <v>0</v>
      </c>
      <c r="J81" s="220"/>
      <c r="K81" s="220"/>
      <c r="L81" s="223">
        <v>0</v>
      </c>
      <c r="M81" s="223">
        <v>0.55208333333333348</v>
      </c>
      <c r="N81" s="223">
        <v>0.44166666666666671</v>
      </c>
      <c r="O81" s="223">
        <v>0.99375000000000013</v>
      </c>
      <c r="P81" s="223"/>
      <c r="Q81" s="223">
        <v>270.20208333333335</v>
      </c>
      <c r="R81" s="223">
        <v>0</v>
      </c>
      <c r="S81" s="223">
        <v>0</v>
      </c>
      <c r="T81" s="223">
        <v>0</v>
      </c>
      <c r="U81" s="223">
        <v>0</v>
      </c>
      <c r="V81" s="223">
        <v>0</v>
      </c>
      <c r="W81" s="223">
        <v>0</v>
      </c>
      <c r="X81" s="223"/>
      <c r="Y81" s="234">
        <v>75.349999999999994</v>
      </c>
      <c r="Z81" s="223"/>
      <c r="AA81" s="223"/>
      <c r="AB81" s="223">
        <v>100</v>
      </c>
      <c r="AC81" s="223"/>
      <c r="AD81" s="223"/>
      <c r="AE81" s="223">
        <v>100</v>
      </c>
      <c r="AF81" s="223"/>
      <c r="AG81" s="223"/>
      <c r="AH81" s="223">
        <v>100</v>
      </c>
      <c r="AI81" s="223"/>
      <c r="AJ81" s="223"/>
      <c r="AK81" s="223">
        <v>100</v>
      </c>
    </row>
    <row r="82" spans="1:37" x14ac:dyDescent="0.25">
      <c r="A82" s="227" t="s">
        <v>133</v>
      </c>
      <c r="B82" s="221">
        <v>43841</v>
      </c>
      <c r="C82" s="222">
        <v>0.65416666666666656</v>
      </c>
      <c r="D82" s="223">
        <v>2.3999999999999995</v>
      </c>
      <c r="E82" s="220" t="s">
        <v>47</v>
      </c>
      <c r="F82" s="220" t="s">
        <v>83</v>
      </c>
      <c r="G82" s="220"/>
      <c r="H82" s="220"/>
      <c r="I82" s="223">
        <v>0</v>
      </c>
      <c r="J82" s="220"/>
      <c r="K82" s="220"/>
      <c r="L82" s="223">
        <v>0.29999999999999993</v>
      </c>
      <c r="M82" s="223">
        <v>0.24999999999999992</v>
      </c>
      <c r="N82" s="223">
        <v>0.19999999999999996</v>
      </c>
      <c r="O82" s="223">
        <v>0.74999999999999978</v>
      </c>
      <c r="P82" s="223"/>
      <c r="Q82" s="223">
        <v>269.45208333333335</v>
      </c>
      <c r="R82" s="223">
        <v>0</v>
      </c>
      <c r="S82" s="223">
        <v>0</v>
      </c>
      <c r="T82" s="223">
        <v>0</v>
      </c>
      <c r="U82" s="223">
        <v>0</v>
      </c>
      <c r="V82" s="223">
        <v>0</v>
      </c>
      <c r="W82" s="223">
        <v>0</v>
      </c>
      <c r="X82" s="223"/>
      <c r="Y82" s="234">
        <v>75.349999999999994</v>
      </c>
      <c r="Z82" s="223"/>
      <c r="AA82" s="223"/>
      <c r="AB82" s="223">
        <v>100</v>
      </c>
      <c r="AC82" s="223"/>
      <c r="AD82" s="223"/>
      <c r="AE82" s="223">
        <v>100</v>
      </c>
      <c r="AF82" s="223"/>
      <c r="AG82" s="223"/>
      <c r="AH82" s="223">
        <v>100</v>
      </c>
      <c r="AI82" s="223"/>
      <c r="AJ82" s="223"/>
      <c r="AK82" s="223">
        <v>100</v>
      </c>
    </row>
    <row r="83" spans="1:37" x14ac:dyDescent="0.25">
      <c r="A83" s="227" t="s">
        <v>133</v>
      </c>
      <c r="B83" s="221">
        <v>43841</v>
      </c>
      <c r="C83" s="222">
        <v>0.91250000000000009</v>
      </c>
      <c r="D83" s="223">
        <v>6.1999999999999993</v>
      </c>
      <c r="E83" s="220" t="s">
        <v>49</v>
      </c>
      <c r="F83" s="220" t="s">
        <v>135</v>
      </c>
      <c r="G83" s="220"/>
      <c r="H83" s="220"/>
      <c r="I83" s="223">
        <v>0</v>
      </c>
      <c r="J83" s="220"/>
      <c r="K83" s="220"/>
      <c r="L83" s="223">
        <v>0</v>
      </c>
      <c r="M83" s="223">
        <v>0.64583333333333326</v>
      </c>
      <c r="N83" s="223">
        <v>0.51666666666666661</v>
      </c>
      <c r="O83" s="223">
        <v>1.1624999999999999</v>
      </c>
      <c r="P83" s="223"/>
      <c r="Q83" s="223">
        <v>268.28958333333333</v>
      </c>
      <c r="R83" s="223">
        <v>0</v>
      </c>
      <c r="S83" s="223">
        <v>0</v>
      </c>
      <c r="T83" s="223">
        <v>0</v>
      </c>
      <c r="U83" s="223">
        <v>0</v>
      </c>
      <c r="V83" s="223">
        <v>0</v>
      </c>
      <c r="W83" s="223">
        <v>0</v>
      </c>
      <c r="X83" s="223"/>
      <c r="Y83" s="234">
        <v>75.349999999999994</v>
      </c>
      <c r="Z83" s="223"/>
      <c r="AA83" s="223"/>
      <c r="AB83" s="223">
        <v>100</v>
      </c>
      <c r="AC83" s="223"/>
      <c r="AD83" s="223"/>
      <c r="AE83" s="223">
        <v>100</v>
      </c>
      <c r="AF83" s="223"/>
      <c r="AG83" s="223"/>
      <c r="AH83" s="223">
        <v>100</v>
      </c>
      <c r="AI83" s="223"/>
      <c r="AJ83" s="223"/>
      <c r="AK83" s="223">
        <v>100</v>
      </c>
    </row>
    <row r="84" spans="1:37" x14ac:dyDescent="0.25">
      <c r="A84" s="227" t="s">
        <v>133</v>
      </c>
      <c r="B84" s="221">
        <v>43842</v>
      </c>
      <c r="C84" s="222">
        <v>0.33333333333333326</v>
      </c>
      <c r="D84" s="223">
        <v>10.100000000000001</v>
      </c>
      <c r="E84" s="220" t="s">
        <v>71</v>
      </c>
      <c r="F84" s="220" t="s">
        <v>130</v>
      </c>
      <c r="G84" s="220"/>
      <c r="H84" s="220"/>
      <c r="I84" s="223">
        <v>0</v>
      </c>
      <c r="J84" s="220"/>
      <c r="K84" s="220"/>
      <c r="L84" s="223">
        <v>0</v>
      </c>
      <c r="M84" s="223">
        <v>1.0520833333333337</v>
      </c>
      <c r="N84" s="223">
        <v>0.84166666666666667</v>
      </c>
      <c r="O84" s="223">
        <v>1.8937500000000003</v>
      </c>
      <c r="P84" s="223"/>
      <c r="Q84" s="223">
        <v>266.39583333333331</v>
      </c>
      <c r="R84" s="223">
        <v>0</v>
      </c>
      <c r="S84" s="223">
        <v>0</v>
      </c>
      <c r="T84" s="223">
        <v>0</v>
      </c>
      <c r="U84" s="223">
        <v>0</v>
      </c>
      <c r="V84" s="223">
        <v>0</v>
      </c>
      <c r="W84" s="223">
        <v>0</v>
      </c>
      <c r="X84" s="223"/>
      <c r="Y84" s="234">
        <v>75.349999999999994</v>
      </c>
      <c r="Z84" s="223"/>
      <c r="AA84" s="223"/>
      <c r="AB84" s="223">
        <v>100</v>
      </c>
      <c r="AC84" s="223"/>
      <c r="AD84" s="223"/>
      <c r="AE84" s="223">
        <v>100</v>
      </c>
      <c r="AF84" s="223"/>
      <c r="AG84" s="223"/>
      <c r="AH84" s="223">
        <v>100</v>
      </c>
      <c r="AI84" s="223"/>
      <c r="AJ84" s="223"/>
      <c r="AK84" s="223">
        <v>100</v>
      </c>
    </row>
    <row r="85" spans="1:37" x14ac:dyDescent="0.25">
      <c r="A85" s="227" t="s">
        <v>133</v>
      </c>
      <c r="B85" s="221">
        <v>43843</v>
      </c>
      <c r="C85" s="222">
        <v>0.33333333333333326</v>
      </c>
      <c r="D85" s="223">
        <v>24</v>
      </c>
      <c r="E85" s="220" t="s">
        <v>71</v>
      </c>
      <c r="F85" s="220" t="s">
        <v>130</v>
      </c>
      <c r="G85" s="220"/>
      <c r="H85" s="220"/>
      <c r="I85" s="223">
        <v>0</v>
      </c>
      <c r="J85" s="220"/>
      <c r="K85" s="220"/>
      <c r="L85" s="223">
        <v>0</v>
      </c>
      <c r="M85" s="223">
        <v>2.5</v>
      </c>
      <c r="N85" s="223">
        <v>2</v>
      </c>
      <c r="O85" s="223">
        <v>4.5</v>
      </c>
      <c r="P85" s="223"/>
      <c r="Q85" s="223">
        <v>261.89583333333331</v>
      </c>
      <c r="R85" s="223">
        <v>0</v>
      </c>
      <c r="S85" s="223">
        <v>0</v>
      </c>
      <c r="T85" s="223">
        <v>0</v>
      </c>
      <c r="U85" s="223">
        <v>0</v>
      </c>
      <c r="V85" s="223">
        <v>0</v>
      </c>
      <c r="W85" s="223">
        <v>0</v>
      </c>
      <c r="X85" s="223"/>
      <c r="Y85" s="234">
        <v>75.349999999999994</v>
      </c>
      <c r="Z85" s="223"/>
      <c r="AA85" s="223"/>
      <c r="AB85" s="223">
        <v>100</v>
      </c>
      <c r="AC85" s="223"/>
      <c r="AD85" s="223"/>
      <c r="AE85" s="223">
        <v>100</v>
      </c>
      <c r="AF85" s="223"/>
      <c r="AG85" s="223"/>
      <c r="AH85" s="223">
        <v>100</v>
      </c>
      <c r="AI85" s="223"/>
      <c r="AJ85" s="223"/>
      <c r="AK85" s="223">
        <v>100</v>
      </c>
    </row>
    <row r="86" spans="1:37" x14ac:dyDescent="0.25">
      <c r="A86" s="227" t="s">
        <v>133</v>
      </c>
      <c r="B86" s="221">
        <v>43843</v>
      </c>
      <c r="C86" s="222">
        <v>0.63749999999999996</v>
      </c>
      <c r="D86" s="223">
        <v>7.3000000000000025</v>
      </c>
      <c r="E86" s="220" t="s">
        <v>71</v>
      </c>
      <c r="F86" s="220" t="s">
        <v>136</v>
      </c>
      <c r="G86" s="220"/>
      <c r="H86" s="220"/>
      <c r="I86" s="223">
        <v>0</v>
      </c>
      <c r="J86" s="220"/>
      <c r="K86" s="220"/>
      <c r="L86" s="223">
        <v>0</v>
      </c>
      <c r="M86" s="223">
        <v>0.76041666666666685</v>
      </c>
      <c r="N86" s="223">
        <v>0.6083333333333335</v>
      </c>
      <c r="O86" s="223">
        <v>1.3687500000000004</v>
      </c>
      <c r="P86" s="223"/>
      <c r="Q86" s="223">
        <v>260.52708333333334</v>
      </c>
      <c r="R86" s="223">
        <v>0</v>
      </c>
      <c r="S86" s="223">
        <v>0</v>
      </c>
      <c r="T86" s="223">
        <v>0</v>
      </c>
      <c r="U86" s="223">
        <v>0</v>
      </c>
      <c r="V86" s="223">
        <v>0</v>
      </c>
      <c r="W86" s="223">
        <v>0</v>
      </c>
      <c r="X86" s="223"/>
      <c r="Y86" s="234">
        <v>75.349999999999994</v>
      </c>
      <c r="Z86" s="223"/>
      <c r="AA86" s="223"/>
      <c r="AB86" s="223">
        <v>100</v>
      </c>
      <c r="AC86" s="223"/>
      <c r="AD86" s="223"/>
      <c r="AE86" s="223">
        <v>100</v>
      </c>
      <c r="AF86" s="223"/>
      <c r="AG86" s="223"/>
      <c r="AH86" s="223">
        <v>100</v>
      </c>
      <c r="AI86" s="223"/>
      <c r="AJ86" s="223"/>
      <c r="AK86" s="223">
        <v>100</v>
      </c>
    </row>
    <row r="87" spans="1:37" x14ac:dyDescent="0.25">
      <c r="A87" s="227" t="s">
        <v>133</v>
      </c>
      <c r="B87" s="221">
        <v>43843</v>
      </c>
      <c r="C87" s="222">
        <v>0.8125</v>
      </c>
      <c r="D87" s="223">
        <v>4.1999999999999984</v>
      </c>
      <c r="E87" s="220" t="s">
        <v>49</v>
      </c>
      <c r="F87" s="220" t="s">
        <v>134</v>
      </c>
      <c r="G87" s="220"/>
      <c r="H87" s="220"/>
      <c r="I87" s="223">
        <v>0</v>
      </c>
      <c r="J87" s="220"/>
      <c r="K87" s="220"/>
      <c r="L87" s="223">
        <v>0</v>
      </c>
      <c r="M87" s="223">
        <v>0.43749999999999983</v>
      </c>
      <c r="N87" s="223">
        <v>0.34999999999999987</v>
      </c>
      <c r="O87" s="223">
        <v>0.78749999999999964</v>
      </c>
      <c r="P87" s="223"/>
      <c r="Q87" s="223">
        <v>259.73958333333331</v>
      </c>
      <c r="R87" s="223">
        <v>0</v>
      </c>
      <c r="S87" s="223">
        <v>0</v>
      </c>
      <c r="T87" s="223">
        <v>0</v>
      </c>
      <c r="U87" s="223">
        <v>0</v>
      </c>
      <c r="V87" s="223">
        <v>0</v>
      </c>
      <c r="W87" s="223">
        <v>0</v>
      </c>
      <c r="X87" s="223"/>
      <c r="Y87" s="234">
        <v>75.349999999999994</v>
      </c>
      <c r="Z87" s="223"/>
      <c r="AA87" s="223"/>
      <c r="AB87" s="223">
        <v>100</v>
      </c>
      <c r="AC87" s="223"/>
      <c r="AD87" s="223"/>
      <c r="AE87" s="223">
        <v>100</v>
      </c>
      <c r="AF87" s="223"/>
      <c r="AG87" s="223"/>
      <c r="AH87" s="223">
        <v>100</v>
      </c>
      <c r="AI87" s="223"/>
      <c r="AJ87" s="223"/>
      <c r="AK87" s="223">
        <v>100</v>
      </c>
    </row>
    <row r="88" spans="1:37" x14ac:dyDescent="0.25">
      <c r="A88" s="227" t="s">
        <v>133</v>
      </c>
      <c r="B88" s="221">
        <v>43843</v>
      </c>
      <c r="C88" s="222">
        <v>0.84166666666666656</v>
      </c>
      <c r="D88" s="223">
        <v>0.70000000000000018</v>
      </c>
      <c r="E88" s="220" t="s">
        <v>47</v>
      </c>
      <c r="F88" s="220" t="s">
        <v>83</v>
      </c>
      <c r="G88" s="220"/>
      <c r="H88" s="220"/>
      <c r="I88" s="223">
        <v>0</v>
      </c>
      <c r="J88" s="220"/>
      <c r="K88" s="220"/>
      <c r="L88" s="223">
        <v>5.8333333333333341E-2</v>
      </c>
      <c r="M88" s="223">
        <v>7.2916666666666685E-2</v>
      </c>
      <c r="N88" s="223">
        <v>5.8333333333333341E-2</v>
      </c>
      <c r="O88" s="223">
        <v>0.18958333333333338</v>
      </c>
      <c r="P88" s="223"/>
      <c r="Q88" s="223">
        <v>259.54999999999995</v>
      </c>
      <c r="R88" s="223">
        <v>0</v>
      </c>
      <c r="S88" s="223">
        <v>0</v>
      </c>
      <c r="T88" s="223">
        <v>0</v>
      </c>
      <c r="U88" s="223">
        <v>0</v>
      </c>
      <c r="V88" s="223">
        <v>0</v>
      </c>
      <c r="W88" s="223">
        <v>0</v>
      </c>
      <c r="X88" s="223"/>
      <c r="Y88" s="234">
        <v>75.349999999999994</v>
      </c>
      <c r="Z88" s="223"/>
      <c r="AA88" s="223"/>
      <c r="AB88" s="223">
        <v>100</v>
      </c>
      <c r="AC88" s="223"/>
      <c r="AD88" s="223"/>
      <c r="AE88" s="223">
        <v>100</v>
      </c>
      <c r="AF88" s="223"/>
      <c r="AG88" s="223"/>
      <c r="AH88" s="223">
        <v>100</v>
      </c>
      <c r="AI88" s="223"/>
      <c r="AJ88" s="223"/>
      <c r="AK88" s="223">
        <v>100</v>
      </c>
    </row>
    <row r="89" spans="1:37" x14ac:dyDescent="0.25">
      <c r="A89" s="227" t="s">
        <v>133</v>
      </c>
      <c r="B89" s="221">
        <v>43844</v>
      </c>
      <c r="C89" s="222">
        <v>0.3041666666666667</v>
      </c>
      <c r="D89" s="223">
        <v>11.099999999999998</v>
      </c>
      <c r="E89" s="220" t="s">
        <v>45</v>
      </c>
      <c r="F89" s="220" t="s">
        <v>134</v>
      </c>
      <c r="G89" s="220"/>
      <c r="H89" s="220"/>
      <c r="I89" s="223">
        <v>0</v>
      </c>
      <c r="J89" s="220"/>
      <c r="K89" s="220"/>
      <c r="L89" s="223">
        <v>0</v>
      </c>
      <c r="M89" s="223">
        <v>1.1562499999999998</v>
      </c>
      <c r="N89" s="223">
        <v>0.92499999999999982</v>
      </c>
      <c r="O89" s="223">
        <v>2.0812499999999998</v>
      </c>
      <c r="P89" s="223"/>
      <c r="Q89" s="223">
        <v>257.46874999999994</v>
      </c>
      <c r="R89" s="223">
        <v>0</v>
      </c>
      <c r="S89" s="223">
        <v>0</v>
      </c>
      <c r="T89" s="223">
        <v>0</v>
      </c>
      <c r="U89" s="223">
        <v>0</v>
      </c>
      <c r="V89" s="223">
        <v>0</v>
      </c>
      <c r="W89" s="223">
        <v>0</v>
      </c>
      <c r="X89" s="223"/>
      <c r="Y89" s="234">
        <v>75.349999999999994</v>
      </c>
      <c r="Z89" s="223"/>
      <c r="AA89" s="223"/>
      <c r="AB89" s="223">
        <v>100</v>
      </c>
      <c r="AC89" s="223"/>
      <c r="AD89" s="223"/>
      <c r="AE89" s="223">
        <v>100</v>
      </c>
      <c r="AF89" s="223"/>
      <c r="AG89" s="223"/>
      <c r="AH89" s="223">
        <v>100</v>
      </c>
      <c r="AI89" s="223"/>
      <c r="AJ89" s="223"/>
      <c r="AK89" s="223">
        <v>100</v>
      </c>
    </row>
    <row r="90" spans="1:37" x14ac:dyDescent="0.25">
      <c r="A90" s="227" t="s">
        <v>133</v>
      </c>
      <c r="B90" s="221">
        <v>43844</v>
      </c>
      <c r="C90" s="222">
        <v>0.3208333333333333</v>
      </c>
      <c r="D90" s="223">
        <v>0.40000000000000124</v>
      </c>
      <c r="E90" s="220" t="s">
        <v>47</v>
      </c>
      <c r="F90" s="220" t="s">
        <v>75</v>
      </c>
      <c r="G90" s="220"/>
      <c r="H90" s="220"/>
      <c r="I90" s="223">
        <v>0</v>
      </c>
      <c r="J90" s="220"/>
      <c r="K90" s="220"/>
      <c r="L90" s="223">
        <v>8.3333333333333606E-2</v>
      </c>
      <c r="M90" s="223">
        <v>4.1666666666666803E-2</v>
      </c>
      <c r="N90" s="223">
        <v>3.3333333333333437E-2</v>
      </c>
      <c r="O90" s="223">
        <v>0.15833333333333383</v>
      </c>
      <c r="P90" s="223"/>
      <c r="Q90" s="223">
        <v>257.31041666666658</v>
      </c>
      <c r="R90" s="223">
        <v>0</v>
      </c>
      <c r="S90" s="223">
        <v>0</v>
      </c>
      <c r="T90" s="223">
        <v>0</v>
      </c>
      <c r="U90" s="223">
        <v>0</v>
      </c>
      <c r="V90" s="223">
        <v>0</v>
      </c>
      <c r="W90" s="223">
        <v>0</v>
      </c>
      <c r="X90" s="223"/>
      <c r="Y90" s="234">
        <v>75.349999999999994</v>
      </c>
      <c r="Z90" s="223"/>
      <c r="AA90" s="223"/>
      <c r="AB90" s="223">
        <v>100</v>
      </c>
      <c r="AC90" s="223"/>
      <c r="AD90" s="223"/>
      <c r="AE90" s="223">
        <v>100</v>
      </c>
      <c r="AF90" s="223"/>
      <c r="AG90" s="223"/>
      <c r="AH90" s="223">
        <v>100</v>
      </c>
      <c r="AI90" s="223"/>
      <c r="AJ90" s="223"/>
      <c r="AK90" s="223">
        <v>100</v>
      </c>
    </row>
    <row r="91" spans="1:37" x14ac:dyDescent="0.25">
      <c r="A91" s="227" t="s">
        <v>133</v>
      </c>
      <c r="B91" s="221">
        <v>43844</v>
      </c>
      <c r="C91" s="222">
        <v>0.33333333333333326</v>
      </c>
      <c r="D91" s="223">
        <v>0.29999999999999893</v>
      </c>
      <c r="E91" s="220" t="s">
        <v>55</v>
      </c>
      <c r="F91" s="220" t="s">
        <v>110</v>
      </c>
      <c r="G91" s="220"/>
      <c r="H91" s="220"/>
      <c r="I91" s="223">
        <v>0</v>
      </c>
      <c r="J91" s="220" t="s">
        <v>54</v>
      </c>
      <c r="K91" s="220">
        <v>95</v>
      </c>
      <c r="L91" s="223">
        <v>0.27499999999999902</v>
      </c>
      <c r="M91" s="223">
        <v>3.1249999999999889E-2</v>
      </c>
      <c r="N91" s="223">
        <v>0</v>
      </c>
      <c r="O91" s="223">
        <v>0.30624999999999891</v>
      </c>
      <c r="P91" s="223"/>
      <c r="Q91" s="223">
        <v>257.00416666666661</v>
      </c>
      <c r="R91" s="223">
        <v>0</v>
      </c>
      <c r="S91" s="223">
        <v>0</v>
      </c>
      <c r="T91" s="223">
        <v>0</v>
      </c>
      <c r="U91" s="223">
        <v>0</v>
      </c>
      <c r="V91" s="223">
        <v>0</v>
      </c>
      <c r="W91" s="223">
        <v>0</v>
      </c>
      <c r="X91" s="223"/>
      <c r="Y91" s="234">
        <v>75.349999999999994</v>
      </c>
      <c r="Z91" s="223"/>
      <c r="AA91" s="223"/>
      <c r="AB91" s="223">
        <v>100</v>
      </c>
      <c r="AC91" s="223"/>
      <c r="AD91" s="223"/>
      <c r="AE91" s="223">
        <v>100</v>
      </c>
      <c r="AF91" s="223"/>
      <c r="AG91" s="223"/>
      <c r="AH91" s="223">
        <v>100</v>
      </c>
      <c r="AI91" s="223"/>
      <c r="AJ91" s="223"/>
      <c r="AK91" s="223">
        <v>100</v>
      </c>
    </row>
    <row r="92" spans="1:37" x14ac:dyDescent="0.25">
      <c r="A92" s="227" t="s">
        <v>133</v>
      </c>
      <c r="B92" s="221">
        <v>43844</v>
      </c>
      <c r="C92" s="222">
        <v>0.64583333333333326</v>
      </c>
      <c r="D92" s="223">
        <v>7.5000000000000018</v>
      </c>
      <c r="E92" s="220" t="s">
        <v>55</v>
      </c>
      <c r="F92" s="220" t="s">
        <v>76</v>
      </c>
      <c r="G92" s="220">
        <v>91</v>
      </c>
      <c r="H92" s="220">
        <v>7.8</v>
      </c>
      <c r="I92" s="223">
        <v>11.666666666666666</v>
      </c>
      <c r="J92" s="220" t="s">
        <v>117</v>
      </c>
      <c r="K92" s="220">
        <v>95</v>
      </c>
      <c r="L92" s="223">
        <v>6.8750000000000018</v>
      </c>
      <c r="M92" s="223">
        <v>0.78125000000000011</v>
      </c>
      <c r="N92" s="223">
        <v>0</v>
      </c>
      <c r="O92" s="223">
        <v>7.6562500000000018</v>
      </c>
      <c r="P92" s="223"/>
      <c r="Q92" s="223">
        <v>249.34791666666661</v>
      </c>
      <c r="R92" s="223">
        <v>0</v>
      </c>
      <c r="S92" s="223">
        <v>0</v>
      </c>
      <c r="T92" s="223">
        <v>0</v>
      </c>
      <c r="U92" s="223">
        <v>0</v>
      </c>
      <c r="V92" s="223">
        <v>0</v>
      </c>
      <c r="W92" s="223">
        <v>0</v>
      </c>
      <c r="X92" s="223"/>
      <c r="Y92" s="234">
        <v>75.349999999999994</v>
      </c>
      <c r="Z92" s="223"/>
      <c r="AA92" s="223"/>
      <c r="AB92" s="223">
        <v>100</v>
      </c>
      <c r="AC92" s="223"/>
      <c r="AD92" s="223"/>
      <c r="AE92" s="223">
        <v>100</v>
      </c>
      <c r="AF92" s="223"/>
      <c r="AG92" s="223"/>
      <c r="AH92" s="223">
        <v>100</v>
      </c>
      <c r="AI92" s="223"/>
      <c r="AJ92" s="223"/>
      <c r="AK92" s="223">
        <v>100</v>
      </c>
    </row>
    <row r="93" spans="1:37" x14ac:dyDescent="0.25">
      <c r="A93" s="227" t="s">
        <v>133</v>
      </c>
      <c r="B93" s="221">
        <v>43844</v>
      </c>
      <c r="C93" s="222">
        <v>0.65416666666666656</v>
      </c>
      <c r="D93" s="223">
        <v>0.19999999999999929</v>
      </c>
      <c r="E93" s="220" t="s">
        <v>47</v>
      </c>
      <c r="F93" s="220" t="s">
        <v>78</v>
      </c>
      <c r="G93" s="220"/>
      <c r="H93" s="220"/>
      <c r="I93" s="223">
        <v>0</v>
      </c>
      <c r="J93" s="220"/>
      <c r="K93" s="220"/>
      <c r="L93" s="223">
        <v>4.1666666666666519E-2</v>
      </c>
      <c r="M93" s="223">
        <v>2.0833333333333259E-2</v>
      </c>
      <c r="N93" s="223">
        <v>1.6666666666666607E-2</v>
      </c>
      <c r="O93" s="223">
        <v>7.9166666666666385E-2</v>
      </c>
      <c r="P93" s="223"/>
      <c r="Q93" s="223">
        <v>249.26874999999993</v>
      </c>
      <c r="R93" s="223">
        <v>0</v>
      </c>
      <c r="S93" s="223">
        <v>0</v>
      </c>
      <c r="T93" s="223">
        <v>0</v>
      </c>
      <c r="U93" s="223">
        <v>0</v>
      </c>
      <c r="V93" s="223">
        <v>0</v>
      </c>
      <c r="W93" s="223">
        <v>0</v>
      </c>
      <c r="X93" s="223"/>
      <c r="Y93" s="234">
        <v>75.349999999999994</v>
      </c>
      <c r="Z93" s="223"/>
      <c r="AA93" s="223"/>
      <c r="AB93" s="223">
        <v>100</v>
      </c>
      <c r="AC93" s="223"/>
      <c r="AD93" s="223"/>
      <c r="AE93" s="223">
        <v>100</v>
      </c>
      <c r="AF93" s="223"/>
      <c r="AG93" s="223"/>
      <c r="AH93" s="223">
        <v>100</v>
      </c>
      <c r="AI93" s="223"/>
      <c r="AJ93" s="223"/>
      <c r="AK93" s="223">
        <v>100</v>
      </c>
    </row>
    <row r="94" spans="1:37" x14ac:dyDescent="0.25">
      <c r="A94" s="227" t="s">
        <v>133</v>
      </c>
      <c r="B94" s="221">
        <v>43844</v>
      </c>
      <c r="C94" s="222">
        <v>0.8666666666666667</v>
      </c>
      <c r="D94" s="223">
        <v>5.1000000000000005</v>
      </c>
      <c r="E94" s="220" t="s">
        <v>45</v>
      </c>
      <c r="F94" s="220" t="s">
        <v>137</v>
      </c>
      <c r="G94" s="220"/>
      <c r="H94" s="220"/>
      <c r="I94" s="223">
        <v>0</v>
      </c>
      <c r="J94" s="220"/>
      <c r="K94" s="220"/>
      <c r="L94" s="223">
        <v>0</v>
      </c>
      <c r="M94" s="223">
        <v>0.53125000000000011</v>
      </c>
      <c r="N94" s="223">
        <v>0.42499999999999999</v>
      </c>
      <c r="O94" s="223">
        <v>0.95625000000000016</v>
      </c>
      <c r="P94" s="223"/>
      <c r="Q94" s="223">
        <v>248.31249999999991</v>
      </c>
      <c r="R94" s="223">
        <v>0</v>
      </c>
      <c r="S94" s="223">
        <v>0</v>
      </c>
      <c r="T94" s="223">
        <v>0</v>
      </c>
      <c r="U94" s="223">
        <v>0</v>
      </c>
      <c r="V94" s="223">
        <v>0</v>
      </c>
      <c r="W94" s="223">
        <v>0</v>
      </c>
      <c r="X94" s="223"/>
      <c r="Y94" s="234">
        <v>75.349999999999994</v>
      </c>
      <c r="Z94" s="223"/>
      <c r="AA94" s="223"/>
      <c r="AB94" s="223">
        <v>100</v>
      </c>
      <c r="AC94" s="223"/>
      <c r="AD94" s="223"/>
      <c r="AE94" s="223">
        <v>100</v>
      </c>
      <c r="AF94" s="223"/>
      <c r="AG94" s="223"/>
      <c r="AH94" s="223">
        <v>100</v>
      </c>
      <c r="AI94" s="223"/>
      <c r="AJ94" s="223"/>
      <c r="AK94" s="223">
        <v>100</v>
      </c>
    </row>
    <row r="95" spans="1:37" x14ac:dyDescent="0.25">
      <c r="A95" s="227" t="s">
        <v>133</v>
      </c>
      <c r="B95" s="221">
        <v>43844</v>
      </c>
      <c r="C95" s="222">
        <v>0.94166666666666665</v>
      </c>
      <c r="D95" s="223">
        <v>1.8000000000000016</v>
      </c>
      <c r="E95" s="220" t="s">
        <v>47</v>
      </c>
      <c r="F95" s="220" t="s">
        <v>78</v>
      </c>
      <c r="G95" s="220"/>
      <c r="H95" s="220"/>
      <c r="I95" s="223">
        <v>0</v>
      </c>
      <c r="J95" s="220"/>
      <c r="K95" s="220"/>
      <c r="L95" s="223">
        <v>0.15000000000000013</v>
      </c>
      <c r="M95" s="223">
        <v>0.18750000000000017</v>
      </c>
      <c r="N95" s="223">
        <v>0.15000000000000013</v>
      </c>
      <c r="O95" s="223">
        <v>0.48750000000000043</v>
      </c>
      <c r="P95" s="223"/>
      <c r="Q95" s="223">
        <v>247.8249999999999</v>
      </c>
      <c r="R95" s="223">
        <v>0</v>
      </c>
      <c r="S95" s="223">
        <v>0</v>
      </c>
      <c r="T95" s="223">
        <v>0</v>
      </c>
      <c r="U95" s="223">
        <v>0</v>
      </c>
      <c r="V95" s="223">
        <v>0</v>
      </c>
      <c r="W95" s="223">
        <v>0</v>
      </c>
      <c r="X95" s="223"/>
      <c r="Y95" s="234">
        <v>75.349999999999994</v>
      </c>
      <c r="Z95" s="223"/>
      <c r="AA95" s="223"/>
      <c r="AB95" s="223">
        <v>100</v>
      </c>
      <c r="AC95" s="223"/>
      <c r="AD95" s="223"/>
      <c r="AE95" s="223">
        <v>100</v>
      </c>
      <c r="AF95" s="223"/>
      <c r="AG95" s="223"/>
      <c r="AH95" s="223">
        <v>100</v>
      </c>
      <c r="AI95" s="223"/>
      <c r="AJ95" s="223"/>
      <c r="AK95" s="223">
        <v>100</v>
      </c>
    </row>
    <row r="96" spans="1:37" x14ac:dyDescent="0.25">
      <c r="A96" s="227" t="s">
        <v>133</v>
      </c>
      <c r="B96" s="221">
        <v>43844</v>
      </c>
      <c r="C96" s="222">
        <v>0.99583333333333335</v>
      </c>
      <c r="D96" s="223">
        <v>1.2999999999999954</v>
      </c>
      <c r="E96" s="220" t="s">
        <v>49</v>
      </c>
      <c r="F96" s="220" t="s">
        <v>112</v>
      </c>
      <c r="G96" s="220"/>
      <c r="H96" s="220"/>
      <c r="I96" s="223">
        <v>0</v>
      </c>
      <c r="J96" s="220"/>
      <c r="K96" s="220"/>
      <c r="L96" s="223">
        <v>0</v>
      </c>
      <c r="M96" s="223">
        <v>0.14583333333333309</v>
      </c>
      <c r="N96" s="223">
        <v>0.11666666666666647</v>
      </c>
      <c r="O96" s="223">
        <v>0.26249999999999957</v>
      </c>
      <c r="P96" s="223"/>
      <c r="Q96" s="223">
        <v>247.56249999999991</v>
      </c>
      <c r="R96" s="223">
        <v>0</v>
      </c>
      <c r="S96" s="223">
        <v>0</v>
      </c>
      <c r="T96" s="223">
        <v>0</v>
      </c>
      <c r="U96" s="223">
        <v>0</v>
      </c>
      <c r="V96" s="223">
        <v>0</v>
      </c>
      <c r="W96" s="223">
        <v>0</v>
      </c>
      <c r="X96" s="223"/>
      <c r="Y96" s="234">
        <v>75.349999999999994</v>
      </c>
      <c r="Z96" s="223"/>
      <c r="AA96" s="223"/>
      <c r="AB96" s="223">
        <v>100</v>
      </c>
      <c r="AC96" s="223"/>
      <c r="AD96" s="223"/>
      <c r="AE96" s="223">
        <v>100</v>
      </c>
      <c r="AF96" s="223"/>
      <c r="AG96" s="223"/>
      <c r="AH96" s="223">
        <v>100</v>
      </c>
      <c r="AI96" s="223"/>
      <c r="AJ96" s="223"/>
      <c r="AK96" s="223">
        <v>100</v>
      </c>
    </row>
    <row r="97" spans="1:37" x14ac:dyDescent="0.25">
      <c r="A97" s="227" t="s">
        <v>133</v>
      </c>
      <c r="B97" s="221">
        <v>43845</v>
      </c>
      <c r="C97" s="222">
        <v>0.33333333333333326</v>
      </c>
      <c r="D97" s="223">
        <v>8.1000000000000032</v>
      </c>
      <c r="E97" s="220" t="s">
        <v>51</v>
      </c>
      <c r="F97" s="220" t="s">
        <v>110</v>
      </c>
      <c r="G97" s="220"/>
      <c r="H97" s="220"/>
      <c r="I97" s="223">
        <v>0</v>
      </c>
      <c r="J97" s="220"/>
      <c r="K97" s="220"/>
      <c r="L97" s="223">
        <v>0</v>
      </c>
      <c r="M97" s="223">
        <v>0.83333333333333348</v>
      </c>
      <c r="N97" s="223">
        <v>0.66666666666666663</v>
      </c>
      <c r="O97" s="223">
        <v>1.5</v>
      </c>
      <c r="P97" s="223"/>
      <c r="Q97" s="223">
        <v>246.06249999999991</v>
      </c>
      <c r="R97" s="223">
        <v>0</v>
      </c>
      <c r="S97" s="223">
        <v>0</v>
      </c>
      <c r="T97" s="223">
        <v>0</v>
      </c>
      <c r="U97" s="223">
        <v>0</v>
      </c>
      <c r="V97" s="223">
        <v>1.3</v>
      </c>
      <c r="W97" s="223">
        <v>1.3</v>
      </c>
      <c r="X97" s="223"/>
      <c r="Y97" s="234">
        <v>74.05</v>
      </c>
      <c r="Z97" s="223"/>
      <c r="AA97" s="223"/>
      <c r="AB97" s="223">
        <v>100</v>
      </c>
      <c r="AC97" s="223"/>
      <c r="AD97" s="223"/>
      <c r="AE97" s="223">
        <v>100</v>
      </c>
      <c r="AF97" s="223"/>
      <c r="AG97" s="223"/>
      <c r="AH97" s="223">
        <v>100</v>
      </c>
      <c r="AI97" s="223"/>
      <c r="AJ97" s="223"/>
      <c r="AK97" s="223">
        <v>100</v>
      </c>
    </row>
    <row r="98" spans="1:37" x14ac:dyDescent="0.25">
      <c r="A98" s="227" t="s">
        <v>133</v>
      </c>
      <c r="B98" s="221">
        <v>43845</v>
      </c>
      <c r="C98" s="222">
        <v>0.42083333333333339</v>
      </c>
      <c r="D98" s="223">
        <v>2.1000000000000005</v>
      </c>
      <c r="E98" s="220" t="s">
        <v>51</v>
      </c>
      <c r="F98" s="220" t="s">
        <v>138</v>
      </c>
      <c r="G98" s="220"/>
      <c r="H98" s="220"/>
      <c r="I98" s="223">
        <v>0</v>
      </c>
      <c r="J98" s="220"/>
      <c r="K98" s="220"/>
      <c r="L98" s="223">
        <v>0</v>
      </c>
      <c r="M98" s="223">
        <v>0.21875000000000008</v>
      </c>
      <c r="N98" s="223">
        <v>0.17500000000000004</v>
      </c>
      <c r="O98" s="223">
        <v>0.3937500000000001</v>
      </c>
      <c r="P98" s="223"/>
      <c r="Q98" s="223">
        <v>245.6687499999999</v>
      </c>
      <c r="R98" s="223">
        <v>0</v>
      </c>
      <c r="S98" s="223">
        <v>0</v>
      </c>
      <c r="T98" s="223">
        <v>0</v>
      </c>
      <c r="U98" s="223">
        <v>0</v>
      </c>
      <c r="V98" s="223">
        <v>0.3</v>
      </c>
      <c r="W98" s="223">
        <v>0.3</v>
      </c>
      <c r="X98" s="223"/>
      <c r="Y98" s="234">
        <v>73.75</v>
      </c>
      <c r="Z98" s="223"/>
      <c r="AA98" s="223"/>
      <c r="AB98" s="223">
        <v>100</v>
      </c>
      <c r="AC98" s="223"/>
      <c r="AD98" s="223"/>
      <c r="AE98" s="223">
        <v>100</v>
      </c>
      <c r="AF98" s="223"/>
      <c r="AG98" s="223"/>
      <c r="AH98" s="223">
        <v>100</v>
      </c>
      <c r="AI98" s="223"/>
      <c r="AJ98" s="223"/>
      <c r="AK98" s="223">
        <v>100</v>
      </c>
    </row>
    <row r="99" spans="1:37" x14ac:dyDescent="0.25">
      <c r="A99" s="227" t="s">
        <v>133</v>
      </c>
      <c r="B99" s="221">
        <v>43845</v>
      </c>
      <c r="C99" s="222">
        <v>0.57499999999999996</v>
      </c>
      <c r="D99" s="223">
        <v>3.7000000000000015</v>
      </c>
      <c r="E99" s="220" t="s">
        <v>49</v>
      </c>
      <c r="F99" s="220" t="s">
        <v>137</v>
      </c>
      <c r="G99" s="220"/>
      <c r="H99" s="220"/>
      <c r="I99" s="223">
        <v>0</v>
      </c>
      <c r="J99" s="220"/>
      <c r="K99" s="220"/>
      <c r="L99" s="223">
        <v>0</v>
      </c>
      <c r="M99" s="223">
        <v>0.38541666666666691</v>
      </c>
      <c r="N99" s="223">
        <v>0.30833333333333346</v>
      </c>
      <c r="O99" s="223">
        <v>0.69375000000000031</v>
      </c>
      <c r="P99" s="223"/>
      <c r="Q99" s="223">
        <v>244.97499999999991</v>
      </c>
      <c r="R99" s="223">
        <v>0</v>
      </c>
      <c r="S99" s="223">
        <v>0</v>
      </c>
      <c r="T99" s="223">
        <v>0</v>
      </c>
      <c r="U99" s="223">
        <v>0</v>
      </c>
      <c r="V99" s="223">
        <v>0</v>
      </c>
      <c r="W99" s="223">
        <v>0</v>
      </c>
      <c r="X99" s="223"/>
      <c r="Y99" s="234">
        <v>73.75</v>
      </c>
      <c r="Z99" s="223"/>
      <c r="AA99" s="223"/>
      <c r="AB99" s="223">
        <v>100</v>
      </c>
      <c r="AC99" s="223"/>
      <c r="AD99" s="223"/>
      <c r="AE99" s="223">
        <v>100</v>
      </c>
      <c r="AF99" s="223"/>
      <c r="AG99" s="223"/>
      <c r="AH99" s="223">
        <v>100</v>
      </c>
      <c r="AI99" s="223"/>
      <c r="AJ99" s="223"/>
      <c r="AK99" s="223">
        <v>100</v>
      </c>
    </row>
    <row r="100" spans="1:37" x14ac:dyDescent="0.25">
      <c r="A100" s="227" t="s">
        <v>133</v>
      </c>
      <c r="B100" s="221">
        <v>43845</v>
      </c>
      <c r="C100" s="222">
        <v>0.60416666666666674</v>
      </c>
      <c r="D100" s="223">
        <v>0.69999999999999751</v>
      </c>
      <c r="E100" s="220" t="s">
        <v>47</v>
      </c>
      <c r="F100" s="220" t="s">
        <v>79</v>
      </c>
      <c r="G100" s="220"/>
      <c r="H100" s="220"/>
      <c r="I100" s="223">
        <v>0</v>
      </c>
      <c r="J100" s="220"/>
      <c r="K100" s="220"/>
      <c r="L100" s="223">
        <v>5.8333333333333126E-2</v>
      </c>
      <c r="M100" s="223">
        <v>7.2916666666666394E-2</v>
      </c>
      <c r="N100" s="223">
        <v>5.8333333333333126E-2</v>
      </c>
      <c r="O100" s="223">
        <v>0.18958333333333266</v>
      </c>
      <c r="P100" s="223"/>
      <c r="Q100" s="223">
        <v>244.78541666666658</v>
      </c>
      <c r="R100" s="223">
        <v>0</v>
      </c>
      <c r="S100" s="223">
        <v>0</v>
      </c>
      <c r="T100" s="223">
        <v>0</v>
      </c>
      <c r="U100" s="223">
        <v>0</v>
      </c>
      <c r="V100" s="223">
        <v>0</v>
      </c>
      <c r="W100" s="223">
        <v>0</v>
      </c>
      <c r="X100" s="223"/>
      <c r="Y100" s="234">
        <v>73.75</v>
      </c>
      <c r="Z100" s="223"/>
      <c r="AA100" s="223"/>
      <c r="AB100" s="223">
        <v>100</v>
      </c>
      <c r="AC100" s="223"/>
      <c r="AD100" s="223"/>
      <c r="AE100" s="223">
        <v>100</v>
      </c>
      <c r="AF100" s="223"/>
      <c r="AG100" s="223"/>
      <c r="AH100" s="223">
        <v>100</v>
      </c>
      <c r="AI100" s="223"/>
      <c r="AJ100" s="223"/>
      <c r="AK100" s="223">
        <v>100</v>
      </c>
    </row>
    <row r="101" spans="1:37" x14ac:dyDescent="0.25">
      <c r="A101" s="227" t="s">
        <v>133</v>
      </c>
      <c r="B101" s="221">
        <v>43846</v>
      </c>
      <c r="C101" s="222">
        <v>0.33333333333333326</v>
      </c>
      <c r="D101" s="223">
        <v>17.5</v>
      </c>
      <c r="E101" s="220" t="s">
        <v>55</v>
      </c>
      <c r="F101" s="220" t="s">
        <v>119</v>
      </c>
      <c r="G101" s="220"/>
      <c r="H101" s="220"/>
      <c r="I101" s="223">
        <v>0</v>
      </c>
      <c r="J101" s="220" t="s">
        <v>54</v>
      </c>
      <c r="K101" s="220">
        <v>95</v>
      </c>
      <c r="L101" s="223">
        <v>16.041666666666664</v>
      </c>
      <c r="M101" s="223">
        <v>1.8229166666666667</v>
      </c>
      <c r="N101" s="223">
        <v>0</v>
      </c>
      <c r="O101" s="223">
        <v>17.864583333333332</v>
      </c>
      <c r="P101" s="223"/>
      <c r="Q101" s="223">
        <v>226.92083333333323</v>
      </c>
      <c r="R101" s="223">
        <v>0</v>
      </c>
      <c r="S101" s="223">
        <v>0</v>
      </c>
      <c r="T101" s="223">
        <v>0</v>
      </c>
      <c r="U101" s="223">
        <v>0</v>
      </c>
      <c r="V101" s="223">
        <v>0</v>
      </c>
      <c r="W101" s="223">
        <v>0</v>
      </c>
      <c r="X101" s="223"/>
      <c r="Y101" s="234">
        <v>73.75</v>
      </c>
      <c r="Z101" s="223"/>
      <c r="AA101" s="223"/>
      <c r="AB101" s="223">
        <v>100</v>
      </c>
      <c r="AC101" s="223"/>
      <c r="AD101" s="223"/>
      <c r="AE101" s="223">
        <v>100</v>
      </c>
      <c r="AF101" s="223"/>
      <c r="AG101" s="223"/>
      <c r="AH101" s="223">
        <v>100</v>
      </c>
      <c r="AI101" s="223"/>
      <c r="AJ101" s="223"/>
      <c r="AK101" s="223">
        <v>100</v>
      </c>
    </row>
    <row r="102" spans="1:37" x14ac:dyDescent="0.25">
      <c r="A102" s="227" t="s">
        <v>133</v>
      </c>
      <c r="B102" s="221">
        <v>43846</v>
      </c>
      <c r="C102" s="222">
        <v>0.54166666666666674</v>
      </c>
      <c r="D102" s="223">
        <v>5</v>
      </c>
      <c r="E102" s="220" t="s">
        <v>55</v>
      </c>
      <c r="F102" s="220" t="s">
        <v>139</v>
      </c>
      <c r="G102" s="220">
        <v>266</v>
      </c>
      <c r="H102" s="220">
        <v>22.5</v>
      </c>
      <c r="I102" s="223">
        <v>11.822222222222225</v>
      </c>
      <c r="J102" s="220" t="s">
        <v>117</v>
      </c>
      <c r="K102" s="220">
        <v>95</v>
      </c>
      <c r="L102" s="223">
        <v>4.583333333333333</v>
      </c>
      <c r="M102" s="223">
        <v>0.52083333333333337</v>
      </c>
      <c r="N102" s="223">
        <v>0</v>
      </c>
      <c r="O102" s="223">
        <v>5.1041666666666661</v>
      </c>
      <c r="P102" s="223"/>
      <c r="Q102" s="223">
        <v>221.81666666666658</v>
      </c>
      <c r="R102" s="223">
        <v>0</v>
      </c>
      <c r="S102" s="223">
        <v>0</v>
      </c>
      <c r="T102" s="223">
        <v>0</v>
      </c>
      <c r="U102" s="223">
        <v>0</v>
      </c>
      <c r="V102" s="223">
        <v>0</v>
      </c>
      <c r="W102" s="223">
        <v>0</v>
      </c>
      <c r="X102" s="223"/>
      <c r="Y102" s="234">
        <v>73.75</v>
      </c>
      <c r="Z102" s="223"/>
      <c r="AA102" s="223"/>
      <c r="AB102" s="223">
        <v>100</v>
      </c>
      <c r="AC102" s="223"/>
      <c r="AD102" s="223"/>
      <c r="AE102" s="223">
        <v>100</v>
      </c>
      <c r="AF102" s="223"/>
      <c r="AG102" s="223"/>
      <c r="AH102" s="223">
        <v>100</v>
      </c>
      <c r="AI102" s="223"/>
      <c r="AJ102" s="223"/>
      <c r="AK102" s="223">
        <v>100</v>
      </c>
    </row>
    <row r="103" spans="1:37" x14ac:dyDescent="0.25">
      <c r="A103" s="227" t="s">
        <v>133</v>
      </c>
      <c r="B103" s="221">
        <v>43846</v>
      </c>
      <c r="C103" s="222">
        <v>0.5625</v>
      </c>
      <c r="D103" s="223">
        <v>0.50000000000000089</v>
      </c>
      <c r="E103" s="220" t="s">
        <v>47</v>
      </c>
      <c r="F103" s="220" t="s">
        <v>121</v>
      </c>
      <c r="G103" s="220"/>
      <c r="H103" s="220"/>
      <c r="I103" s="223">
        <v>0</v>
      </c>
      <c r="J103" s="220"/>
      <c r="K103" s="220"/>
      <c r="L103" s="223">
        <v>4.1666666666666741E-2</v>
      </c>
      <c r="M103" s="223">
        <v>5.2083333333333426E-2</v>
      </c>
      <c r="N103" s="223">
        <v>4.1666666666666741E-2</v>
      </c>
      <c r="O103" s="223">
        <v>0.13541666666666691</v>
      </c>
      <c r="P103" s="223"/>
      <c r="Q103" s="223">
        <v>221.68124999999992</v>
      </c>
      <c r="R103" s="223">
        <v>0</v>
      </c>
      <c r="S103" s="223">
        <v>0</v>
      </c>
      <c r="T103" s="223">
        <v>0</v>
      </c>
      <c r="U103" s="223">
        <v>0</v>
      </c>
      <c r="V103" s="223">
        <v>0</v>
      </c>
      <c r="W103" s="223">
        <v>0</v>
      </c>
      <c r="X103" s="223"/>
      <c r="Y103" s="234">
        <v>73.75</v>
      </c>
      <c r="Z103" s="223"/>
      <c r="AA103" s="223"/>
      <c r="AB103" s="223">
        <v>100</v>
      </c>
      <c r="AC103" s="223"/>
      <c r="AD103" s="223"/>
      <c r="AE103" s="223">
        <v>100</v>
      </c>
      <c r="AF103" s="223"/>
      <c r="AG103" s="223"/>
      <c r="AH103" s="223">
        <v>100</v>
      </c>
      <c r="AI103" s="223"/>
      <c r="AJ103" s="223"/>
      <c r="AK103" s="223">
        <v>100</v>
      </c>
    </row>
    <row r="104" spans="1:37" x14ac:dyDescent="0.25">
      <c r="A104" s="227" t="s">
        <v>133</v>
      </c>
      <c r="B104" s="221">
        <v>43847</v>
      </c>
      <c r="C104" s="222">
        <v>0.33333333333333326</v>
      </c>
      <c r="D104" s="223">
        <v>18.5</v>
      </c>
      <c r="E104" s="220" t="s">
        <v>45</v>
      </c>
      <c r="F104" s="220" t="s">
        <v>119</v>
      </c>
      <c r="G104" s="220"/>
      <c r="H104" s="220"/>
      <c r="I104" s="223">
        <v>0</v>
      </c>
      <c r="J104" s="220"/>
      <c r="K104" s="220"/>
      <c r="L104" s="223">
        <v>0</v>
      </c>
      <c r="M104" s="223">
        <v>1.9270833333333337</v>
      </c>
      <c r="N104" s="223">
        <v>1.5416666666666663</v>
      </c>
      <c r="O104" s="223">
        <v>3.46875</v>
      </c>
      <c r="P104" s="223"/>
      <c r="Q104" s="223">
        <v>218.21249999999992</v>
      </c>
      <c r="R104" s="223">
        <v>0</v>
      </c>
      <c r="S104" s="223">
        <v>0</v>
      </c>
      <c r="T104" s="223">
        <v>0</v>
      </c>
      <c r="U104" s="223">
        <v>0</v>
      </c>
      <c r="V104" s="223">
        <v>0</v>
      </c>
      <c r="W104" s="223">
        <v>0</v>
      </c>
      <c r="X104" s="223"/>
      <c r="Y104" s="234">
        <v>73.75</v>
      </c>
      <c r="Z104" s="223"/>
      <c r="AA104" s="223"/>
      <c r="AB104" s="223">
        <v>100</v>
      </c>
      <c r="AC104" s="223"/>
      <c r="AD104" s="223"/>
      <c r="AE104" s="223">
        <v>100</v>
      </c>
      <c r="AF104" s="223"/>
      <c r="AG104" s="223"/>
      <c r="AH104" s="223">
        <v>100</v>
      </c>
      <c r="AI104" s="223"/>
      <c r="AJ104" s="223"/>
      <c r="AK104" s="223">
        <v>100</v>
      </c>
    </row>
    <row r="105" spans="1:37" x14ac:dyDescent="0.25">
      <c r="A105" s="227" t="s">
        <v>133</v>
      </c>
      <c r="B105" s="221">
        <v>43848</v>
      </c>
      <c r="C105" s="222">
        <v>0.28333333333333344</v>
      </c>
      <c r="D105" s="223">
        <v>22.8</v>
      </c>
      <c r="E105" s="220" t="s">
        <v>45</v>
      </c>
      <c r="F105" s="220" t="s">
        <v>120</v>
      </c>
      <c r="G105" s="220"/>
      <c r="H105" s="220"/>
      <c r="I105" s="223">
        <v>0</v>
      </c>
      <c r="J105" s="220"/>
      <c r="K105" s="220"/>
      <c r="L105" s="223">
        <v>0</v>
      </c>
      <c r="M105" s="223">
        <v>2.375</v>
      </c>
      <c r="N105" s="223">
        <v>1.9</v>
      </c>
      <c r="O105" s="223">
        <v>4.2750000000000004</v>
      </c>
      <c r="P105" s="223"/>
      <c r="Q105" s="223">
        <v>213.93749999999991</v>
      </c>
      <c r="R105" s="223">
        <v>0</v>
      </c>
      <c r="S105" s="223">
        <v>0</v>
      </c>
      <c r="T105" s="223">
        <v>0</v>
      </c>
      <c r="U105" s="223">
        <v>0</v>
      </c>
      <c r="V105" s="223">
        <v>0</v>
      </c>
      <c r="W105" s="223">
        <v>0</v>
      </c>
      <c r="X105" s="223"/>
      <c r="Y105" s="234">
        <v>73.75</v>
      </c>
      <c r="Z105" s="223"/>
      <c r="AA105" s="223"/>
      <c r="AB105" s="223">
        <v>100</v>
      </c>
      <c r="AC105" s="223"/>
      <c r="AD105" s="223"/>
      <c r="AE105" s="223">
        <v>100</v>
      </c>
      <c r="AF105" s="223"/>
      <c r="AG105" s="223"/>
      <c r="AH105" s="223">
        <v>100</v>
      </c>
      <c r="AI105" s="223"/>
      <c r="AJ105" s="223"/>
      <c r="AK105" s="223">
        <v>100</v>
      </c>
    </row>
    <row r="106" spans="1:37" x14ac:dyDescent="0.25">
      <c r="A106" s="227" t="s">
        <v>133</v>
      </c>
      <c r="B106" s="221">
        <v>43848</v>
      </c>
      <c r="C106" s="222">
        <v>0.33333333333333326</v>
      </c>
      <c r="D106" s="223">
        <v>1.1999999999999997</v>
      </c>
      <c r="E106" s="220" t="s">
        <v>47</v>
      </c>
      <c r="F106" s="220" t="s">
        <v>119</v>
      </c>
      <c r="G106" s="220"/>
      <c r="H106" s="220"/>
      <c r="I106" s="223">
        <v>0</v>
      </c>
      <c r="J106" s="220"/>
      <c r="K106" s="220"/>
      <c r="L106" s="223">
        <v>9.9999999999999978E-2</v>
      </c>
      <c r="M106" s="223">
        <v>0.12499999999999996</v>
      </c>
      <c r="N106" s="223">
        <v>9.9999999999999978E-2</v>
      </c>
      <c r="O106" s="223">
        <v>0.32499999999999996</v>
      </c>
      <c r="P106" s="223"/>
      <c r="Q106" s="223">
        <v>213.61249999999993</v>
      </c>
      <c r="R106" s="223">
        <v>0</v>
      </c>
      <c r="S106" s="223">
        <v>0</v>
      </c>
      <c r="T106" s="223">
        <v>0</v>
      </c>
      <c r="U106" s="223">
        <v>0</v>
      </c>
      <c r="V106" s="223">
        <v>0</v>
      </c>
      <c r="W106" s="223">
        <v>0</v>
      </c>
      <c r="X106" s="223"/>
      <c r="Y106" s="234">
        <v>73.75</v>
      </c>
      <c r="Z106" s="223"/>
      <c r="AA106" s="223"/>
      <c r="AB106" s="223">
        <v>100</v>
      </c>
      <c r="AC106" s="223"/>
      <c r="AD106" s="223"/>
      <c r="AE106" s="223">
        <v>100</v>
      </c>
      <c r="AF106" s="223"/>
      <c r="AG106" s="223"/>
      <c r="AH106" s="223">
        <v>100</v>
      </c>
      <c r="AI106" s="223"/>
      <c r="AJ106" s="223"/>
      <c r="AK106" s="223">
        <v>100</v>
      </c>
    </row>
    <row r="107" spans="1:37" x14ac:dyDescent="0.25">
      <c r="A107" s="227" t="s">
        <v>133</v>
      </c>
      <c r="B107" s="221">
        <v>43848</v>
      </c>
      <c r="C107" s="222">
        <v>0.35416666666666674</v>
      </c>
      <c r="D107" s="223">
        <v>0.50000000000000089</v>
      </c>
      <c r="E107" s="220" t="s">
        <v>47</v>
      </c>
      <c r="F107" s="220" t="s">
        <v>121</v>
      </c>
      <c r="G107" s="220"/>
      <c r="H107" s="220"/>
      <c r="I107" s="223">
        <v>0</v>
      </c>
      <c r="J107" s="220"/>
      <c r="K107" s="220"/>
      <c r="L107" s="223">
        <v>4.1666666666666741E-2</v>
      </c>
      <c r="M107" s="223">
        <v>5.2083333333333426E-2</v>
      </c>
      <c r="N107" s="223">
        <v>4.1666666666666741E-2</v>
      </c>
      <c r="O107" s="223">
        <v>0.13541666666666691</v>
      </c>
      <c r="P107" s="223"/>
      <c r="Q107" s="223">
        <v>213.47708333333327</v>
      </c>
      <c r="R107" s="223">
        <v>0</v>
      </c>
      <c r="S107" s="223">
        <v>0</v>
      </c>
      <c r="T107" s="223">
        <v>0</v>
      </c>
      <c r="U107" s="223">
        <v>0</v>
      </c>
      <c r="V107" s="223">
        <v>0</v>
      </c>
      <c r="W107" s="223">
        <v>0</v>
      </c>
      <c r="X107" s="223"/>
      <c r="Y107" s="234">
        <v>73.75</v>
      </c>
      <c r="Z107" s="223"/>
      <c r="AA107" s="223"/>
      <c r="AB107" s="223">
        <v>100</v>
      </c>
      <c r="AC107" s="223"/>
      <c r="AD107" s="223"/>
      <c r="AE107" s="223">
        <v>100</v>
      </c>
      <c r="AF107" s="223"/>
      <c r="AG107" s="223"/>
      <c r="AH107" s="223">
        <v>100</v>
      </c>
      <c r="AI107" s="223"/>
      <c r="AJ107" s="223"/>
      <c r="AK107" s="223">
        <v>100</v>
      </c>
    </row>
    <row r="108" spans="1:37" x14ac:dyDescent="0.25">
      <c r="A108" s="227" t="s">
        <v>133</v>
      </c>
      <c r="B108" s="221">
        <v>43848</v>
      </c>
      <c r="C108" s="222">
        <v>0.47916666666666674</v>
      </c>
      <c r="D108" s="223">
        <v>3</v>
      </c>
      <c r="E108" s="220" t="s">
        <v>49</v>
      </c>
      <c r="F108" s="220" t="s">
        <v>140</v>
      </c>
      <c r="G108" s="220"/>
      <c r="H108" s="220"/>
      <c r="I108" s="223">
        <v>0</v>
      </c>
      <c r="J108" s="220"/>
      <c r="K108" s="220"/>
      <c r="L108" s="223">
        <v>0</v>
      </c>
      <c r="M108" s="223">
        <v>0.3125</v>
      </c>
      <c r="N108" s="223">
        <v>0.25</v>
      </c>
      <c r="O108" s="223">
        <v>0.5625</v>
      </c>
      <c r="P108" s="223"/>
      <c r="Q108" s="223">
        <v>212.91458333333327</v>
      </c>
      <c r="R108" s="223">
        <v>0</v>
      </c>
      <c r="S108" s="223">
        <v>0</v>
      </c>
      <c r="T108" s="223">
        <v>0</v>
      </c>
      <c r="U108" s="223">
        <v>0</v>
      </c>
      <c r="V108" s="223">
        <v>0</v>
      </c>
      <c r="W108" s="223">
        <v>0</v>
      </c>
      <c r="X108" s="223"/>
      <c r="Y108" s="234">
        <v>73.75</v>
      </c>
      <c r="Z108" s="223"/>
      <c r="AA108" s="223"/>
      <c r="AB108" s="223">
        <v>100</v>
      </c>
      <c r="AC108" s="223"/>
      <c r="AD108" s="223"/>
      <c r="AE108" s="223">
        <v>100</v>
      </c>
      <c r="AF108" s="223"/>
      <c r="AG108" s="223"/>
      <c r="AH108" s="223">
        <v>100</v>
      </c>
      <c r="AI108" s="223"/>
      <c r="AJ108" s="223"/>
      <c r="AK108" s="223">
        <v>100</v>
      </c>
    </row>
    <row r="109" spans="1:37" x14ac:dyDescent="0.25">
      <c r="A109" s="227" t="s">
        <v>133</v>
      </c>
      <c r="B109" s="221">
        <v>43849</v>
      </c>
      <c r="C109" s="222">
        <v>0.33333333333333326</v>
      </c>
      <c r="D109" s="223">
        <v>20.5</v>
      </c>
      <c r="E109" s="220" t="s">
        <v>51</v>
      </c>
      <c r="F109" s="220" t="s">
        <v>119</v>
      </c>
      <c r="G109" s="220"/>
      <c r="H109" s="220"/>
      <c r="I109" s="223">
        <v>0</v>
      </c>
      <c r="J109" s="220"/>
      <c r="K109" s="220"/>
      <c r="L109" s="223">
        <v>0</v>
      </c>
      <c r="M109" s="223">
        <v>2.135416666666667</v>
      </c>
      <c r="N109" s="223">
        <v>1.7083333333333333</v>
      </c>
      <c r="O109" s="223">
        <v>3.84375</v>
      </c>
      <c r="P109" s="223"/>
      <c r="Q109" s="223">
        <v>209.07083333333327</v>
      </c>
      <c r="R109" s="223">
        <v>0</v>
      </c>
      <c r="S109" s="223">
        <v>0</v>
      </c>
      <c r="T109" s="223">
        <v>0</v>
      </c>
      <c r="U109" s="223">
        <v>0</v>
      </c>
      <c r="V109" s="223">
        <v>3.35</v>
      </c>
      <c r="W109" s="223">
        <v>3.35</v>
      </c>
      <c r="X109" s="223"/>
      <c r="Y109" s="234">
        <v>70.400000000000006</v>
      </c>
      <c r="Z109" s="223"/>
      <c r="AA109" s="223"/>
      <c r="AB109" s="223">
        <v>100</v>
      </c>
      <c r="AC109" s="223"/>
      <c r="AD109" s="223"/>
      <c r="AE109" s="223">
        <v>100</v>
      </c>
      <c r="AF109" s="223"/>
      <c r="AG109" s="223"/>
      <c r="AH109" s="223">
        <v>100</v>
      </c>
      <c r="AI109" s="223"/>
      <c r="AJ109" s="223"/>
      <c r="AK109" s="223">
        <v>100</v>
      </c>
    </row>
    <row r="110" spans="1:37" x14ac:dyDescent="0.25">
      <c r="A110" s="227" t="s">
        <v>133</v>
      </c>
      <c r="B110" s="221">
        <v>43849</v>
      </c>
      <c r="C110" s="222">
        <v>0.48750000000000004</v>
      </c>
      <c r="D110" s="223">
        <v>3.7</v>
      </c>
      <c r="E110" s="220" t="s">
        <v>51</v>
      </c>
      <c r="F110" s="220" t="s">
        <v>123</v>
      </c>
      <c r="G110" s="220"/>
      <c r="H110" s="220"/>
      <c r="I110" s="223">
        <v>0</v>
      </c>
      <c r="J110" s="220"/>
      <c r="K110" s="220"/>
      <c r="L110" s="223">
        <v>0</v>
      </c>
      <c r="M110" s="223">
        <v>0.38541666666666674</v>
      </c>
      <c r="N110" s="223">
        <v>0.30833333333333335</v>
      </c>
      <c r="O110" s="223">
        <v>0.69375000000000009</v>
      </c>
      <c r="P110" s="223"/>
      <c r="Q110" s="223">
        <v>208.37708333333327</v>
      </c>
      <c r="R110" s="223">
        <v>0</v>
      </c>
      <c r="S110" s="223">
        <v>0</v>
      </c>
      <c r="T110" s="223">
        <v>0</v>
      </c>
      <c r="U110" s="223">
        <v>0</v>
      </c>
      <c r="V110" s="223">
        <v>0.6</v>
      </c>
      <c r="W110" s="223">
        <v>0.6</v>
      </c>
      <c r="X110" s="223"/>
      <c r="Y110" s="234">
        <v>69.800000000000011</v>
      </c>
      <c r="Z110" s="223"/>
      <c r="AA110" s="223"/>
      <c r="AB110" s="223">
        <v>100</v>
      </c>
      <c r="AC110" s="223"/>
      <c r="AD110" s="223"/>
      <c r="AE110" s="223">
        <v>100</v>
      </c>
      <c r="AF110" s="223"/>
      <c r="AG110" s="223"/>
      <c r="AH110" s="223">
        <v>100</v>
      </c>
      <c r="AI110" s="223"/>
      <c r="AJ110" s="223"/>
      <c r="AK110" s="223">
        <v>100</v>
      </c>
    </row>
    <row r="111" spans="1:37" x14ac:dyDescent="0.25">
      <c r="A111" s="227" t="s">
        <v>133</v>
      </c>
      <c r="B111" s="221">
        <v>43849</v>
      </c>
      <c r="C111" s="222">
        <v>0.625</v>
      </c>
      <c r="D111" s="223">
        <v>3.3000000000000003</v>
      </c>
      <c r="E111" s="220" t="s">
        <v>49</v>
      </c>
      <c r="F111" s="220" t="s">
        <v>120</v>
      </c>
      <c r="G111" s="220"/>
      <c r="H111" s="220"/>
      <c r="I111" s="223">
        <v>0</v>
      </c>
      <c r="J111" s="220"/>
      <c r="K111" s="220"/>
      <c r="L111" s="223">
        <v>0</v>
      </c>
      <c r="M111" s="223">
        <v>0.34375000000000006</v>
      </c>
      <c r="N111" s="223">
        <v>0.27500000000000002</v>
      </c>
      <c r="O111" s="223">
        <v>0.61875000000000013</v>
      </c>
      <c r="P111" s="223"/>
      <c r="Q111" s="223">
        <v>207.75833333333327</v>
      </c>
      <c r="R111" s="223">
        <v>0</v>
      </c>
      <c r="S111" s="223">
        <v>0</v>
      </c>
      <c r="T111" s="223">
        <v>0</v>
      </c>
      <c r="U111" s="223">
        <v>0</v>
      </c>
      <c r="V111" s="223">
        <v>0</v>
      </c>
      <c r="W111" s="223">
        <v>0</v>
      </c>
      <c r="X111" s="223"/>
      <c r="Y111" s="234">
        <v>69.800000000000011</v>
      </c>
      <c r="Z111" s="223"/>
      <c r="AA111" s="223"/>
      <c r="AB111" s="223">
        <v>100</v>
      </c>
      <c r="AC111" s="223"/>
      <c r="AD111" s="223"/>
      <c r="AE111" s="223">
        <v>100</v>
      </c>
      <c r="AF111" s="223"/>
      <c r="AG111" s="223"/>
      <c r="AH111" s="223">
        <v>100</v>
      </c>
      <c r="AI111" s="223"/>
      <c r="AJ111" s="223"/>
      <c r="AK111" s="223">
        <v>100</v>
      </c>
    </row>
    <row r="112" spans="1:37" x14ac:dyDescent="0.25">
      <c r="A112" s="227" t="s">
        <v>133</v>
      </c>
      <c r="B112" s="221">
        <v>43849</v>
      </c>
      <c r="C112" s="222">
        <v>0.64583333333333326</v>
      </c>
      <c r="D112" s="223">
        <v>0.50000000000000089</v>
      </c>
      <c r="E112" s="220" t="s">
        <v>47</v>
      </c>
      <c r="F112" s="220" t="s">
        <v>141</v>
      </c>
      <c r="G112" s="220"/>
      <c r="H112" s="220"/>
      <c r="I112" s="223">
        <v>0</v>
      </c>
      <c r="J112" s="220" t="s">
        <v>54</v>
      </c>
      <c r="K112" s="220">
        <v>95</v>
      </c>
      <c r="L112" s="223">
        <v>0.10416666666666684</v>
      </c>
      <c r="M112" s="223">
        <v>5.2083333333333426E-2</v>
      </c>
      <c r="N112" s="223">
        <v>4.1666666666666741E-2</v>
      </c>
      <c r="O112" s="223">
        <v>0.19791666666666702</v>
      </c>
      <c r="P112" s="223"/>
      <c r="Q112" s="223">
        <v>207.56041666666661</v>
      </c>
      <c r="R112" s="223">
        <v>0</v>
      </c>
      <c r="S112" s="223">
        <v>0</v>
      </c>
      <c r="T112" s="223">
        <v>0</v>
      </c>
      <c r="U112" s="223">
        <v>0</v>
      </c>
      <c r="V112" s="223">
        <v>0</v>
      </c>
      <c r="W112" s="223">
        <v>0</v>
      </c>
      <c r="X112" s="223"/>
      <c r="Y112" s="234">
        <v>69.800000000000011</v>
      </c>
      <c r="Z112" s="223"/>
      <c r="AA112" s="223"/>
      <c r="AB112" s="223">
        <v>100</v>
      </c>
      <c r="AC112" s="223"/>
      <c r="AD112" s="223"/>
      <c r="AE112" s="223">
        <v>100</v>
      </c>
      <c r="AF112" s="223"/>
      <c r="AG112" s="223"/>
      <c r="AH112" s="223">
        <v>100</v>
      </c>
      <c r="AI112" s="223"/>
      <c r="AJ112" s="223"/>
      <c r="AK112" s="223">
        <v>100</v>
      </c>
    </row>
    <row r="113" spans="1:37" x14ac:dyDescent="0.25">
      <c r="A113" s="227" t="s">
        <v>133</v>
      </c>
      <c r="B113" s="221">
        <v>43850</v>
      </c>
      <c r="C113" s="222">
        <v>1.2499999999999956E-2</v>
      </c>
      <c r="D113" s="223">
        <v>8.7999999999999972</v>
      </c>
      <c r="E113" s="220" t="s">
        <v>55</v>
      </c>
      <c r="F113" s="220" t="s">
        <v>57</v>
      </c>
      <c r="G113" s="220">
        <v>96</v>
      </c>
      <c r="H113" s="220">
        <v>8.8000000000000007</v>
      </c>
      <c r="I113" s="223">
        <v>10.909090909090908</v>
      </c>
      <c r="J113" s="220" t="s">
        <v>117</v>
      </c>
      <c r="K113" s="220">
        <v>95</v>
      </c>
      <c r="L113" s="223">
        <v>8.0666666666666629</v>
      </c>
      <c r="M113" s="223">
        <v>0.91666666666666641</v>
      </c>
      <c r="N113" s="223">
        <v>0</v>
      </c>
      <c r="O113" s="223">
        <v>8.983333333333329</v>
      </c>
      <c r="P113" s="223"/>
      <c r="Q113" s="223">
        <v>198.57708333333329</v>
      </c>
      <c r="R113" s="223">
        <v>0</v>
      </c>
      <c r="S113" s="223">
        <v>0</v>
      </c>
      <c r="T113" s="223">
        <v>0</v>
      </c>
      <c r="U113" s="223">
        <v>0</v>
      </c>
      <c r="V113" s="223">
        <v>0</v>
      </c>
      <c r="W113" s="223">
        <v>0</v>
      </c>
      <c r="X113" s="223"/>
      <c r="Y113" s="234">
        <v>69.800000000000011</v>
      </c>
      <c r="Z113" s="223"/>
      <c r="AA113" s="223"/>
      <c r="AB113" s="223">
        <v>100</v>
      </c>
      <c r="AC113" s="223"/>
      <c r="AD113" s="223"/>
      <c r="AE113" s="223">
        <v>100</v>
      </c>
      <c r="AF113" s="223"/>
      <c r="AG113" s="223"/>
      <c r="AH113" s="223">
        <v>100</v>
      </c>
      <c r="AI113" s="223"/>
      <c r="AJ113" s="223"/>
      <c r="AK113" s="223">
        <v>100</v>
      </c>
    </row>
    <row r="114" spans="1:37" x14ac:dyDescent="0.25">
      <c r="A114" s="227" t="s">
        <v>133</v>
      </c>
      <c r="B114" s="221">
        <v>43850</v>
      </c>
      <c r="C114" s="222">
        <v>0.10000000000000009</v>
      </c>
      <c r="D114" s="223">
        <v>2.0999999999999996</v>
      </c>
      <c r="E114" s="220" t="s">
        <v>47</v>
      </c>
      <c r="F114" s="220" t="s">
        <v>126</v>
      </c>
      <c r="G114" s="220"/>
      <c r="H114" s="220"/>
      <c r="I114" s="223">
        <v>0</v>
      </c>
      <c r="J114" s="220"/>
      <c r="K114" s="220"/>
      <c r="L114" s="223">
        <v>0.17499999999999996</v>
      </c>
      <c r="M114" s="223">
        <v>0.21874999999999997</v>
      </c>
      <c r="N114" s="223">
        <v>0.17499999999999996</v>
      </c>
      <c r="O114" s="223">
        <v>0.56874999999999987</v>
      </c>
      <c r="P114" s="223"/>
      <c r="Q114" s="223">
        <v>198.0083333333333</v>
      </c>
      <c r="R114" s="223">
        <v>0</v>
      </c>
      <c r="S114" s="223">
        <v>0</v>
      </c>
      <c r="T114" s="223">
        <v>0</v>
      </c>
      <c r="U114" s="223">
        <v>0</v>
      </c>
      <c r="V114" s="223">
        <v>0</v>
      </c>
      <c r="W114" s="223">
        <v>0</v>
      </c>
      <c r="X114" s="223"/>
      <c r="Y114" s="234">
        <v>69.800000000000011</v>
      </c>
      <c r="Z114" s="223"/>
      <c r="AA114" s="223"/>
      <c r="AB114" s="223">
        <v>100</v>
      </c>
      <c r="AC114" s="223"/>
      <c r="AD114" s="223"/>
      <c r="AE114" s="223">
        <v>100</v>
      </c>
      <c r="AF114" s="223"/>
      <c r="AG114" s="223"/>
      <c r="AH114" s="223">
        <v>100</v>
      </c>
      <c r="AI114" s="223"/>
      <c r="AJ114" s="223"/>
      <c r="AK114" s="223">
        <v>100</v>
      </c>
    </row>
    <row r="115" spans="1:37" x14ac:dyDescent="0.25">
      <c r="A115" s="227" t="s">
        <v>133</v>
      </c>
      <c r="B115" s="221">
        <v>43850</v>
      </c>
      <c r="C115" s="222">
        <v>0.30000000000000004</v>
      </c>
      <c r="D115" s="223">
        <v>4.8000000000000007</v>
      </c>
      <c r="E115" s="220" t="s">
        <v>49</v>
      </c>
      <c r="F115" s="220" t="s">
        <v>127</v>
      </c>
      <c r="G115" s="220"/>
      <c r="H115" s="220"/>
      <c r="I115" s="223">
        <v>0</v>
      </c>
      <c r="J115" s="220"/>
      <c r="K115" s="220"/>
      <c r="L115" s="223">
        <v>0</v>
      </c>
      <c r="M115" s="223">
        <v>0.50000000000000011</v>
      </c>
      <c r="N115" s="223">
        <v>0.4</v>
      </c>
      <c r="O115" s="223">
        <v>0.90000000000000013</v>
      </c>
      <c r="P115" s="223"/>
      <c r="Q115" s="223">
        <v>197.10833333333329</v>
      </c>
      <c r="R115" s="223">
        <v>0</v>
      </c>
      <c r="S115" s="223">
        <v>0</v>
      </c>
      <c r="T115" s="223">
        <v>0</v>
      </c>
      <c r="U115" s="223">
        <v>0</v>
      </c>
      <c r="V115" s="223">
        <v>0</v>
      </c>
      <c r="W115" s="223">
        <v>0</v>
      </c>
      <c r="X115" s="223"/>
      <c r="Y115" s="234">
        <v>69.800000000000011</v>
      </c>
      <c r="Z115" s="223"/>
      <c r="AA115" s="223"/>
      <c r="AB115" s="223">
        <v>100</v>
      </c>
      <c r="AC115" s="223"/>
      <c r="AD115" s="223"/>
      <c r="AE115" s="223">
        <v>100</v>
      </c>
      <c r="AF115" s="223"/>
      <c r="AG115" s="223"/>
      <c r="AH115" s="223">
        <v>100</v>
      </c>
      <c r="AI115" s="223"/>
      <c r="AJ115" s="223"/>
      <c r="AK115" s="223">
        <v>100</v>
      </c>
    </row>
    <row r="116" spans="1:37" x14ac:dyDescent="0.25">
      <c r="A116" s="227" t="s">
        <v>133</v>
      </c>
      <c r="B116" s="221">
        <v>43850</v>
      </c>
      <c r="C116" s="222">
        <v>0.33333333333333326</v>
      </c>
      <c r="D116" s="223">
        <v>0.79999999999999982</v>
      </c>
      <c r="E116" s="220" t="s">
        <v>51</v>
      </c>
      <c r="F116" s="220" t="s">
        <v>124</v>
      </c>
      <c r="G116" s="220"/>
      <c r="H116" s="220"/>
      <c r="I116" s="223">
        <v>0</v>
      </c>
      <c r="J116" s="220"/>
      <c r="K116" s="220"/>
      <c r="L116" s="223">
        <v>0</v>
      </c>
      <c r="M116" s="223">
        <v>8.3333333333333315E-2</v>
      </c>
      <c r="N116" s="223">
        <v>6.6666666666666652E-2</v>
      </c>
      <c r="O116" s="223">
        <v>0.14999999999999997</v>
      </c>
      <c r="P116" s="223"/>
      <c r="Q116" s="223">
        <v>196.95833333333329</v>
      </c>
      <c r="R116" s="223">
        <v>0</v>
      </c>
      <c r="S116" s="223">
        <v>0</v>
      </c>
      <c r="T116" s="223">
        <v>0</v>
      </c>
      <c r="U116" s="223">
        <v>0</v>
      </c>
      <c r="V116" s="223">
        <v>0.1</v>
      </c>
      <c r="W116" s="223">
        <v>0.1</v>
      </c>
      <c r="X116" s="223"/>
      <c r="Y116" s="234">
        <v>69.700000000000017</v>
      </c>
      <c r="Z116" s="223"/>
      <c r="AA116" s="223"/>
      <c r="AB116" s="223">
        <v>100</v>
      </c>
      <c r="AC116" s="223"/>
      <c r="AD116" s="223"/>
      <c r="AE116" s="223">
        <v>100</v>
      </c>
      <c r="AF116" s="223"/>
      <c r="AG116" s="223"/>
      <c r="AH116" s="223">
        <v>100</v>
      </c>
      <c r="AI116" s="223"/>
      <c r="AJ116" s="223"/>
      <c r="AK116" s="223">
        <v>100</v>
      </c>
    </row>
    <row r="117" spans="1:37" x14ac:dyDescent="0.25">
      <c r="A117" s="227" t="s">
        <v>133</v>
      </c>
      <c r="B117" s="221">
        <v>43850</v>
      </c>
      <c r="C117" s="222">
        <v>0.90833333333333344</v>
      </c>
      <c r="D117" s="223">
        <v>13.799999999999999</v>
      </c>
      <c r="E117" s="220" t="s">
        <v>51</v>
      </c>
      <c r="F117" s="220" t="s">
        <v>128</v>
      </c>
      <c r="G117" s="220"/>
      <c r="H117" s="220"/>
      <c r="I117" s="223">
        <v>0</v>
      </c>
      <c r="J117" s="220"/>
      <c r="K117" s="220"/>
      <c r="L117" s="223">
        <v>0</v>
      </c>
      <c r="M117" s="223">
        <v>1.4375</v>
      </c>
      <c r="N117" s="223">
        <v>1.1499999999999999</v>
      </c>
      <c r="O117" s="223">
        <v>2.5874999999999999</v>
      </c>
      <c r="P117" s="223"/>
      <c r="Q117" s="223">
        <v>194.37083333333328</v>
      </c>
      <c r="R117" s="223">
        <v>0</v>
      </c>
      <c r="S117" s="223">
        <v>0</v>
      </c>
      <c r="T117" s="223">
        <v>0</v>
      </c>
      <c r="U117" s="223">
        <v>0</v>
      </c>
      <c r="V117" s="223">
        <v>2.2999999999999998</v>
      </c>
      <c r="W117" s="223">
        <v>2.2999999999999998</v>
      </c>
      <c r="X117" s="223"/>
      <c r="Y117" s="234">
        <v>67.40000000000002</v>
      </c>
      <c r="Z117" s="223"/>
      <c r="AA117" s="223"/>
      <c r="AB117" s="223">
        <v>100</v>
      </c>
      <c r="AC117" s="223"/>
      <c r="AD117" s="223"/>
      <c r="AE117" s="223">
        <v>100</v>
      </c>
      <c r="AF117" s="223"/>
      <c r="AG117" s="223"/>
      <c r="AH117" s="223">
        <v>100</v>
      </c>
      <c r="AI117" s="223"/>
      <c r="AJ117" s="223"/>
      <c r="AK117" s="223">
        <v>100</v>
      </c>
    </row>
    <row r="118" spans="1:37" x14ac:dyDescent="0.25">
      <c r="A118" s="227" t="s">
        <v>133</v>
      </c>
      <c r="B118" s="221">
        <v>43851</v>
      </c>
      <c r="C118" s="222">
        <v>2.4999999999999911E-2</v>
      </c>
      <c r="D118" s="223">
        <v>2.8000000000000007</v>
      </c>
      <c r="E118" s="220" t="s">
        <v>49</v>
      </c>
      <c r="F118" s="220" t="s">
        <v>129</v>
      </c>
      <c r="G118" s="220"/>
      <c r="H118" s="220"/>
      <c r="I118" s="223">
        <v>0</v>
      </c>
      <c r="J118" s="220"/>
      <c r="K118" s="220"/>
      <c r="L118" s="223">
        <v>0</v>
      </c>
      <c r="M118" s="223">
        <v>0.29166666666666674</v>
      </c>
      <c r="N118" s="223">
        <v>0.23333333333333339</v>
      </c>
      <c r="O118" s="223">
        <v>0.52500000000000013</v>
      </c>
      <c r="P118" s="223"/>
      <c r="Q118" s="223">
        <v>193.84583333333327</v>
      </c>
      <c r="R118" s="223">
        <v>0</v>
      </c>
      <c r="S118" s="223">
        <v>0</v>
      </c>
      <c r="T118" s="223">
        <v>0</v>
      </c>
      <c r="U118" s="223">
        <v>0</v>
      </c>
      <c r="V118" s="223">
        <v>0</v>
      </c>
      <c r="W118" s="223">
        <v>0</v>
      </c>
      <c r="X118" s="223"/>
      <c r="Y118" s="234">
        <v>67.40000000000002</v>
      </c>
      <c r="Z118" s="223"/>
      <c r="AA118" s="223"/>
      <c r="AB118" s="223">
        <v>100</v>
      </c>
      <c r="AC118" s="223"/>
      <c r="AD118" s="223"/>
      <c r="AE118" s="223">
        <v>100</v>
      </c>
      <c r="AF118" s="223"/>
      <c r="AG118" s="223"/>
      <c r="AH118" s="223">
        <v>100</v>
      </c>
      <c r="AI118" s="223"/>
      <c r="AJ118" s="223"/>
      <c r="AK118" s="223">
        <v>100</v>
      </c>
    </row>
    <row r="119" spans="1:37" x14ac:dyDescent="0.25">
      <c r="A119" s="227" t="s">
        <v>133</v>
      </c>
      <c r="B119" s="221">
        <v>43851</v>
      </c>
      <c r="C119" s="222">
        <v>5.0000000000000044E-2</v>
      </c>
      <c r="D119" s="223">
        <v>0.6</v>
      </c>
      <c r="E119" s="220" t="s">
        <v>47</v>
      </c>
      <c r="F119" s="220" t="s">
        <v>87</v>
      </c>
      <c r="G119" s="220"/>
      <c r="H119" s="220"/>
      <c r="I119" s="223">
        <v>0</v>
      </c>
      <c r="J119" s="220" t="s">
        <v>54</v>
      </c>
      <c r="K119" s="220">
        <v>95</v>
      </c>
      <c r="L119" s="223">
        <v>0.125</v>
      </c>
      <c r="M119" s="223">
        <v>6.25E-2</v>
      </c>
      <c r="N119" s="223">
        <v>0.05</v>
      </c>
      <c r="O119" s="223">
        <v>0.23749999999999999</v>
      </c>
      <c r="P119" s="223"/>
      <c r="Q119" s="223">
        <v>193.60833333333326</v>
      </c>
      <c r="R119" s="223">
        <v>0</v>
      </c>
      <c r="S119" s="223">
        <v>0</v>
      </c>
      <c r="T119" s="223">
        <v>0</v>
      </c>
      <c r="U119" s="223">
        <v>0</v>
      </c>
      <c r="V119" s="223">
        <v>0</v>
      </c>
      <c r="W119" s="223">
        <v>0</v>
      </c>
      <c r="X119" s="223"/>
      <c r="Y119" s="234">
        <v>67.40000000000002</v>
      </c>
      <c r="Z119" s="223"/>
      <c r="AA119" s="223"/>
      <c r="AB119" s="223">
        <v>100</v>
      </c>
      <c r="AC119" s="223"/>
      <c r="AD119" s="223"/>
      <c r="AE119" s="223">
        <v>100</v>
      </c>
      <c r="AF119" s="223"/>
      <c r="AG119" s="223"/>
      <c r="AH119" s="223">
        <v>100</v>
      </c>
      <c r="AI119" s="223"/>
      <c r="AJ119" s="223"/>
      <c r="AK119" s="223">
        <v>100</v>
      </c>
    </row>
    <row r="120" spans="1:37" x14ac:dyDescent="0.25">
      <c r="A120" s="227" t="s">
        <v>133</v>
      </c>
      <c r="B120" s="221">
        <v>43851</v>
      </c>
      <c r="C120" s="222">
        <v>0.30000000000000004</v>
      </c>
      <c r="D120" s="223">
        <v>6</v>
      </c>
      <c r="E120" s="220" t="s">
        <v>55</v>
      </c>
      <c r="F120" s="220" t="s">
        <v>142</v>
      </c>
      <c r="G120" s="220">
        <v>62</v>
      </c>
      <c r="H120" s="220">
        <v>6</v>
      </c>
      <c r="I120" s="223">
        <v>10.333333333333334</v>
      </c>
      <c r="J120" s="220" t="s">
        <v>117</v>
      </c>
      <c r="K120" s="220">
        <v>95</v>
      </c>
      <c r="L120" s="223">
        <v>5.5</v>
      </c>
      <c r="M120" s="223">
        <v>0.625</v>
      </c>
      <c r="N120" s="223">
        <v>0</v>
      </c>
      <c r="O120" s="223">
        <v>6.125</v>
      </c>
      <c r="P120" s="223"/>
      <c r="Q120" s="223">
        <v>187.48333333333326</v>
      </c>
      <c r="R120" s="223">
        <v>0</v>
      </c>
      <c r="S120" s="223">
        <v>0</v>
      </c>
      <c r="T120" s="223">
        <v>0</v>
      </c>
      <c r="U120" s="223">
        <v>0</v>
      </c>
      <c r="V120" s="223">
        <v>0</v>
      </c>
      <c r="W120" s="223">
        <v>0</v>
      </c>
      <c r="X120" s="223"/>
      <c r="Y120" s="234">
        <v>67.40000000000002</v>
      </c>
      <c r="Z120" s="223"/>
      <c r="AA120" s="223"/>
      <c r="AB120" s="223">
        <v>100</v>
      </c>
      <c r="AC120" s="223"/>
      <c r="AD120" s="223"/>
      <c r="AE120" s="223">
        <v>100</v>
      </c>
      <c r="AF120" s="223"/>
      <c r="AG120" s="223"/>
      <c r="AH120" s="223">
        <v>100</v>
      </c>
      <c r="AI120" s="223"/>
      <c r="AJ120" s="223"/>
      <c r="AK120" s="223">
        <v>100</v>
      </c>
    </row>
    <row r="121" spans="1:37" x14ac:dyDescent="0.25">
      <c r="A121" s="227" t="s">
        <v>133</v>
      </c>
      <c r="B121" s="221">
        <v>43851</v>
      </c>
      <c r="C121" s="222">
        <v>0.33333333333333326</v>
      </c>
      <c r="D121" s="223">
        <v>0.79999999999999982</v>
      </c>
      <c r="E121" s="220" t="s">
        <v>47</v>
      </c>
      <c r="F121" s="220" t="s">
        <v>143</v>
      </c>
      <c r="G121" s="220"/>
      <c r="H121" s="220"/>
      <c r="I121" s="223">
        <v>0</v>
      </c>
      <c r="J121" s="220"/>
      <c r="K121" s="220"/>
      <c r="L121" s="223">
        <v>6.6666666666666652E-2</v>
      </c>
      <c r="M121" s="223">
        <v>8.3333333333333315E-2</v>
      </c>
      <c r="N121" s="223">
        <v>6.6666666666666652E-2</v>
      </c>
      <c r="O121" s="223">
        <v>0.21666666666666662</v>
      </c>
      <c r="P121" s="223"/>
      <c r="Q121" s="223">
        <v>187.26666666666659</v>
      </c>
      <c r="R121" s="223">
        <v>0</v>
      </c>
      <c r="S121" s="223">
        <v>0</v>
      </c>
      <c r="T121" s="223">
        <v>0</v>
      </c>
      <c r="U121" s="223">
        <v>0</v>
      </c>
      <c r="V121" s="223">
        <v>0</v>
      </c>
      <c r="W121" s="223">
        <v>0</v>
      </c>
      <c r="X121" s="223"/>
      <c r="Y121" s="234">
        <v>67.40000000000002</v>
      </c>
      <c r="Z121" s="223"/>
      <c r="AA121" s="223"/>
      <c r="AB121" s="223">
        <v>100</v>
      </c>
      <c r="AC121" s="223"/>
      <c r="AD121" s="223"/>
      <c r="AE121" s="223">
        <v>100</v>
      </c>
      <c r="AF121" s="223"/>
      <c r="AG121" s="223"/>
      <c r="AH121" s="223">
        <v>100</v>
      </c>
      <c r="AI121" s="223"/>
      <c r="AJ121" s="223"/>
      <c r="AK121" s="223">
        <v>100</v>
      </c>
    </row>
    <row r="122" spans="1:37" x14ac:dyDescent="0.25">
      <c r="A122" s="227" t="s">
        <v>133</v>
      </c>
      <c r="B122" s="221">
        <v>43851</v>
      </c>
      <c r="C122" s="222">
        <v>0.4375</v>
      </c>
      <c r="D122" s="223">
        <v>2.5000000000000004</v>
      </c>
      <c r="E122" s="220" t="s">
        <v>47</v>
      </c>
      <c r="F122" s="220" t="s">
        <v>144</v>
      </c>
      <c r="G122" s="220"/>
      <c r="H122" s="220"/>
      <c r="I122" s="223">
        <v>0</v>
      </c>
      <c r="J122" s="220"/>
      <c r="K122" s="220"/>
      <c r="L122" s="223">
        <v>0.20833333333333337</v>
      </c>
      <c r="M122" s="223">
        <v>0.26041666666666674</v>
      </c>
      <c r="N122" s="223">
        <v>0.20833333333333337</v>
      </c>
      <c r="O122" s="223">
        <v>0.67708333333333348</v>
      </c>
      <c r="P122" s="223"/>
      <c r="Q122" s="223">
        <v>186.58958333333325</v>
      </c>
      <c r="R122" s="223">
        <v>0</v>
      </c>
      <c r="S122" s="223">
        <v>0</v>
      </c>
      <c r="T122" s="223">
        <v>0</v>
      </c>
      <c r="U122" s="223">
        <v>0</v>
      </c>
      <c r="V122" s="223">
        <v>0</v>
      </c>
      <c r="W122" s="223">
        <v>0</v>
      </c>
      <c r="X122" s="223"/>
      <c r="Y122" s="234">
        <v>67.40000000000002</v>
      </c>
      <c r="Z122" s="223"/>
      <c r="AA122" s="223"/>
      <c r="AB122" s="223">
        <v>100</v>
      </c>
      <c r="AC122" s="223"/>
      <c r="AD122" s="223"/>
      <c r="AE122" s="223">
        <v>100</v>
      </c>
      <c r="AF122" s="223"/>
      <c r="AG122" s="223"/>
      <c r="AH122" s="223">
        <v>100</v>
      </c>
      <c r="AI122" s="223"/>
      <c r="AJ122" s="223"/>
      <c r="AK122" s="223">
        <v>100</v>
      </c>
    </row>
    <row r="123" spans="1:37" x14ac:dyDescent="0.25">
      <c r="A123" s="227" t="s">
        <v>133</v>
      </c>
      <c r="B123" s="221">
        <v>43851</v>
      </c>
      <c r="C123" s="222">
        <v>0.97500000000000009</v>
      </c>
      <c r="D123" s="223">
        <v>12.899999999999999</v>
      </c>
      <c r="E123" s="220" t="s">
        <v>51</v>
      </c>
      <c r="F123" s="220" t="s">
        <v>143</v>
      </c>
      <c r="G123" s="220"/>
      <c r="H123" s="220"/>
      <c r="I123" s="223">
        <v>0</v>
      </c>
      <c r="J123" s="220"/>
      <c r="K123" s="220"/>
      <c r="L123" s="223">
        <v>0</v>
      </c>
      <c r="M123" s="223">
        <v>1.34375</v>
      </c>
      <c r="N123" s="223">
        <v>1.0749999999999995</v>
      </c>
      <c r="O123" s="223">
        <v>2.4187499999999997</v>
      </c>
      <c r="P123" s="223"/>
      <c r="Q123" s="223">
        <v>184.17083333333326</v>
      </c>
      <c r="R123" s="223">
        <v>0</v>
      </c>
      <c r="S123" s="223">
        <v>0</v>
      </c>
      <c r="T123" s="223">
        <v>0</v>
      </c>
      <c r="U123" s="223">
        <v>0</v>
      </c>
      <c r="V123" s="223">
        <v>2.1</v>
      </c>
      <c r="W123" s="223">
        <v>2.1</v>
      </c>
      <c r="X123" s="223"/>
      <c r="Y123" s="234">
        <v>65.300000000000026</v>
      </c>
      <c r="Z123" s="223"/>
      <c r="AA123" s="223"/>
      <c r="AB123" s="223">
        <v>100</v>
      </c>
      <c r="AC123" s="223"/>
      <c r="AD123" s="223"/>
      <c r="AE123" s="223">
        <v>100</v>
      </c>
      <c r="AF123" s="223"/>
      <c r="AG123" s="223"/>
      <c r="AH123" s="223">
        <v>100</v>
      </c>
      <c r="AI123" s="223"/>
      <c r="AJ123" s="223"/>
      <c r="AK123" s="223">
        <v>100</v>
      </c>
    </row>
    <row r="124" spans="1:37" x14ac:dyDescent="0.25">
      <c r="A124" s="227" t="s">
        <v>133</v>
      </c>
      <c r="B124" s="221">
        <v>43852</v>
      </c>
      <c r="C124" s="222">
        <v>0.1166666666666667</v>
      </c>
      <c r="D124" s="223">
        <v>3.4000000000000021</v>
      </c>
      <c r="E124" s="220" t="s">
        <v>49</v>
      </c>
      <c r="F124" s="220" t="s">
        <v>145</v>
      </c>
      <c r="G124" s="220"/>
      <c r="H124" s="220"/>
      <c r="I124" s="223">
        <v>0</v>
      </c>
      <c r="J124" s="220"/>
      <c r="K124" s="220"/>
      <c r="L124" s="223">
        <v>0</v>
      </c>
      <c r="M124" s="223">
        <v>0.35416666666666691</v>
      </c>
      <c r="N124" s="223">
        <v>0.28333333333333349</v>
      </c>
      <c r="O124" s="223">
        <v>0.6375000000000004</v>
      </c>
      <c r="P124" s="223"/>
      <c r="Q124" s="223">
        <v>183.53333333333327</v>
      </c>
      <c r="R124" s="223">
        <v>0</v>
      </c>
      <c r="S124" s="223">
        <v>0</v>
      </c>
      <c r="T124" s="223">
        <v>0</v>
      </c>
      <c r="U124" s="223">
        <v>0</v>
      </c>
      <c r="V124" s="223">
        <v>0</v>
      </c>
      <c r="W124" s="223">
        <v>0</v>
      </c>
      <c r="X124" s="223"/>
      <c r="Y124" s="234">
        <v>65.300000000000026</v>
      </c>
      <c r="Z124" s="223"/>
      <c r="AA124" s="223"/>
      <c r="AB124" s="223">
        <v>100</v>
      </c>
      <c r="AC124" s="223"/>
      <c r="AD124" s="223"/>
      <c r="AE124" s="223">
        <v>100</v>
      </c>
      <c r="AF124" s="223"/>
      <c r="AG124" s="223"/>
      <c r="AH124" s="223">
        <v>100</v>
      </c>
      <c r="AI124" s="223"/>
      <c r="AJ124" s="223"/>
      <c r="AK124" s="223">
        <v>100</v>
      </c>
    </row>
    <row r="125" spans="1:37" x14ac:dyDescent="0.25">
      <c r="A125" s="227" t="s">
        <v>133</v>
      </c>
      <c r="B125" s="221">
        <v>43852</v>
      </c>
      <c r="C125" s="222">
        <v>0.15416666666666656</v>
      </c>
      <c r="D125" s="223">
        <v>0.90000000000000047</v>
      </c>
      <c r="E125" s="220" t="s">
        <v>47</v>
      </c>
      <c r="F125" s="220" t="s">
        <v>60</v>
      </c>
      <c r="G125" s="220"/>
      <c r="H125" s="220"/>
      <c r="I125" s="223">
        <v>0</v>
      </c>
      <c r="J125" s="220" t="s">
        <v>54</v>
      </c>
      <c r="K125" s="220">
        <v>95</v>
      </c>
      <c r="L125" s="223">
        <v>0.18750000000000011</v>
      </c>
      <c r="M125" s="223">
        <v>9.3750000000000069E-2</v>
      </c>
      <c r="N125" s="223">
        <v>7.5000000000000039E-2</v>
      </c>
      <c r="O125" s="223">
        <v>0.35625000000000018</v>
      </c>
      <c r="P125" s="223"/>
      <c r="Q125" s="223">
        <v>183.17708333333329</v>
      </c>
      <c r="R125" s="223">
        <v>0</v>
      </c>
      <c r="S125" s="223">
        <v>0</v>
      </c>
      <c r="T125" s="223">
        <v>0</v>
      </c>
      <c r="U125" s="223">
        <v>0</v>
      </c>
      <c r="V125" s="223">
        <v>0</v>
      </c>
      <c r="W125" s="223">
        <v>0</v>
      </c>
      <c r="X125" s="223"/>
      <c r="Y125" s="234">
        <v>65.300000000000026</v>
      </c>
      <c r="Z125" s="223"/>
      <c r="AA125" s="223"/>
      <c r="AB125" s="223">
        <v>100</v>
      </c>
      <c r="AC125" s="223"/>
      <c r="AD125" s="223"/>
      <c r="AE125" s="223">
        <v>100</v>
      </c>
      <c r="AF125" s="223"/>
      <c r="AG125" s="223"/>
      <c r="AH125" s="223">
        <v>100</v>
      </c>
      <c r="AI125" s="223"/>
      <c r="AJ125" s="223"/>
      <c r="AK125" s="223">
        <v>100</v>
      </c>
    </row>
    <row r="126" spans="1:37" x14ac:dyDescent="0.25">
      <c r="A126" s="227" t="s">
        <v>133</v>
      </c>
      <c r="B126" s="221">
        <v>43852</v>
      </c>
      <c r="C126" s="222">
        <v>0.33333333333333326</v>
      </c>
      <c r="D126" s="223">
        <v>4.2999999999999989</v>
      </c>
      <c r="E126" s="220" t="s">
        <v>61</v>
      </c>
      <c r="F126" s="220" t="s">
        <v>130</v>
      </c>
      <c r="G126" s="220"/>
      <c r="H126" s="220"/>
      <c r="I126" s="223">
        <v>0</v>
      </c>
      <c r="J126" s="220" t="s">
        <v>54</v>
      </c>
      <c r="K126" s="220">
        <v>95</v>
      </c>
      <c r="L126" s="223">
        <v>3.9416666666666655</v>
      </c>
      <c r="M126" s="223">
        <v>0.44791666666666657</v>
      </c>
      <c r="N126" s="223">
        <v>0</v>
      </c>
      <c r="O126" s="223">
        <v>4.3895833333333325</v>
      </c>
      <c r="P126" s="223"/>
      <c r="Q126" s="223">
        <v>178.78749999999997</v>
      </c>
      <c r="R126" s="223">
        <v>0</v>
      </c>
      <c r="S126" s="223">
        <v>0</v>
      </c>
      <c r="T126" s="223">
        <v>0</v>
      </c>
      <c r="U126" s="223">
        <v>0</v>
      </c>
      <c r="V126" s="223">
        <v>0</v>
      </c>
      <c r="W126" s="223">
        <v>0</v>
      </c>
      <c r="X126" s="223"/>
      <c r="Y126" s="234">
        <v>65.300000000000026</v>
      </c>
      <c r="Z126" s="223"/>
      <c r="AA126" s="223"/>
      <c r="AB126" s="223">
        <v>100</v>
      </c>
      <c r="AC126" s="223"/>
      <c r="AD126" s="223"/>
      <c r="AE126" s="223">
        <v>100</v>
      </c>
      <c r="AF126" s="223"/>
      <c r="AG126" s="223"/>
      <c r="AH126" s="223">
        <v>100</v>
      </c>
      <c r="AI126" s="223"/>
      <c r="AJ126" s="223"/>
      <c r="AK126" s="223">
        <v>100</v>
      </c>
    </row>
    <row r="127" spans="1:37" x14ac:dyDescent="0.25">
      <c r="A127" s="227" t="s">
        <v>133</v>
      </c>
      <c r="B127" s="221">
        <v>43852</v>
      </c>
      <c r="C127" s="222">
        <v>0.85416666666666674</v>
      </c>
      <c r="D127" s="223">
        <v>12.499999999999998</v>
      </c>
      <c r="E127" s="220" t="s">
        <v>61</v>
      </c>
      <c r="F127" s="220" t="s">
        <v>62</v>
      </c>
      <c r="G127" s="220">
        <v>201</v>
      </c>
      <c r="H127" s="220">
        <v>16.8</v>
      </c>
      <c r="I127" s="223">
        <v>11.964285714285714</v>
      </c>
      <c r="J127" s="220" t="s">
        <v>117</v>
      </c>
      <c r="K127" s="220">
        <v>95</v>
      </c>
      <c r="L127" s="223">
        <v>11.45833333333333</v>
      </c>
      <c r="M127" s="223">
        <v>1.3020833333333333</v>
      </c>
      <c r="N127" s="223">
        <v>0</v>
      </c>
      <c r="O127" s="223">
        <v>12.760416666666664</v>
      </c>
      <c r="P127" s="223"/>
      <c r="Q127" s="223">
        <v>166.02708333333331</v>
      </c>
      <c r="R127" s="223">
        <v>0</v>
      </c>
      <c r="S127" s="223">
        <v>0</v>
      </c>
      <c r="T127" s="223">
        <v>0</v>
      </c>
      <c r="U127" s="223">
        <v>0</v>
      </c>
      <c r="V127" s="223">
        <v>0</v>
      </c>
      <c r="W127" s="223">
        <v>0</v>
      </c>
      <c r="X127" s="223"/>
      <c r="Y127" s="234">
        <v>65.300000000000026</v>
      </c>
      <c r="Z127" s="223"/>
      <c r="AA127" s="223"/>
      <c r="AB127" s="223">
        <v>100</v>
      </c>
      <c r="AC127" s="223"/>
      <c r="AD127" s="223"/>
      <c r="AE127" s="223">
        <v>100</v>
      </c>
      <c r="AF127" s="223"/>
      <c r="AG127" s="223"/>
      <c r="AH127" s="223">
        <v>100</v>
      </c>
      <c r="AI127" s="223"/>
      <c r="AJ127" s="223"/>
      <c r="AK127" s="223">
        <v>100</v>
      </c>
    </row>
    <row r="128" spans="1:37" x14ac:dyDescent="0.25">
      <c r="A128" s="227" t="s">
        <v>44</v>
      </c>
      <c r="B128" s="221">
        <v>43852</v>
      </c>
      <c r="C128" s="222">
        <v>0.875</v>
      </c>
      <c r="D128" s="223">
        <v>0.50000000000000089</v>
      </c>
      <c r="E128" s="220" t="s">
        <v>47</v>
      </c>
      <c r="F128" s="220" t="s">
        <v>130</v>
      </c>
      <c r="G128" s="220"/>
      <c r="H128" s="220"/>
      <c r="I128" s="223">
        <v>0</v>
      </c>
      <c r="J128" s="220"/>
      <c r="K128" s="220"/>
      <c r="L128" s="223">
        <v>0.10416666666666684</v>
      </c>
      <c r="M128" s="223">
        <v>5.2083333333333426E-2</v>
      </c>
      <c r="N128" s="223">
        <v>4.1666666666666741E-2</v>
      </c>
      <c r="O128" s="223">
        <v>0.19791666666666702</v>
      </c>
      <c r="P128" s="223"/>
      <c r="Q128" s="223">
        <v>165.82208333333335</v>
      </c>
      <c r="R128" s="223">
        <v>0</v>
      </c>
      <c r="S128" s="223">
        <v>0</v>
      </c>
      <c r="T128" s="223">
        <v>0</v>
      </c>
      <c r="U128" s="223">
        <v>0</v>
      </c>
      <c r="V128" s="223">
        <v>0</v>
      </c>
      <c r="W128" s="223">
        <v>0</v>
      </c>
      <c r="X128" s="223"/>
      <c r="Y128" s="234">
        <v>65.3</v>
      </c>
      <c r="Z128" s="223"/>
      <c r="AA128" s="223"/>
      <c r="AB128" s="223">
        <v>100</v>
      </c>
      <c r="AC128" s="223"/>
      <c r="AD128" s="223"/>
      <c r="AE128" s="223">
        <v>100</v>
      </c>
      <c r="AF128" s="223"/>
      <c r="AG128" s="223"/>
      <c r="AH128" s="223">
        <v>100</v>
      </c>
      <c r="AI128" s="223"/>
      <c r="AJ128" s="223"/>
      <c r="AK128" s="223">
        <v>100</v>
      </c>
    </row>
    <row r="129" spans="1:37" x14ac:dyDescent="0.25">
      <c r="A129" s="227" t="s">
        <v>44</v>
      </c>
      <c r="B129" s="221">
        <v>43852</v>
      </c>
      <c r="C129" s="222">
        <v>0.93333333333333324</v>
      </c>
      <c r="D129" s="223">
        <v>1.3999999999999977</v>
      </c>
      <c r="E129" s="220" t="s">
        <v>45</v>
      </c>
      <c r="F129" s="220" t="s">
        <v>134</v>
      </c>
      <c r="G129" s="220"/>
      <c r="H129" s="220"/>
      <c r="I129" s="223">
        <v>0</v>
      </c>
      <c r="J129" s="220"/>
      <c r="K129" s="220"/>
      <c r="L129" s="223">
        <v>0</v>
      </c>
      <c r="M129" s="223">
        <v>0.14583333333333309</v>
      </c>
      <c r="N129" s="223">
        <v>0.11666666666666647</v>
      </c>
      <c r="O129" s="223">
        <v>0.26249999999999957</v>
      </c>
      <c r="P129" s="223"/>
      <c r="Q129" s="223">
        <v>165.55958333333336</v>
      </c>
      <c r="R129" s="223">
        <v>0</v>
      </c>
      <c r="S129" s="223">
        <v>0</v>
      </c>
      <c r="T129" s="223">
        <v>0</v>
      </c>
      <c r="U129" s="223">
        <v>0</v>
      </c>
      <c r="V129" s="223">
        <v>0</v>
      </c>
      <c r="W129" s="223">
        <v>0</v>
      </c>
      <c r="X129" s="223"/>
      <c r="Y129" s="234">
        <v>65.3</v>
      </c>
      <c r="Z129" s="223"/>
      <c r="AA129" s="223"/>
      <c r="AB129" s="223">
        <v>100</v>
      </c>
      <c r="AC129" s="223"/>
      <c r="AD129" s="223"/>
      <c r="AE129" s="223">
        <v>100</v>
      </c>
      <c r="AF129" s="223"/>
      <c r="AG129" s="223"/>
      <c r="AH129" s="223">
        <v>100</v>
      </c>
      <c r="AI129" s="223"/>
      <c r="AJ129" s="223"/>
      <c r="AK129" s="223">
        <v>100</v>
      </c>
    </row>
    <row r="130" spans="1:37" x14ac:dyDescent="0.25">
      <c r="A130" s="227" t="s">
        <v>44</v>
      </c>
      <c r="B130" s="221">
        <v>43853</v>
      </c>
      <c r="C130" s="222">
        <v>2.0833333333333332E-2</v>
      </c>
      <c r="D130" s="223">
        <v>2.1000000000000014</v>
      </c>
      <c r="E130" s="220" t="s">
        <v>47</v>
      </c>
      <c r="F130" s="220" t="s">
        <v>83</v>
      </c>
      <c r="G130" s="220"/>
      <c r="H130" s="220"/>
      <c r="I130" s="223">
        <v>0</v>
      </c>
      <c r="J130" s="220"/>
      <c r="K130" s="220"/>
      <c r="L130" s="223">
        <v>0.43750000000000033</v>
      </c>
      <c r="M130" s="223">
        <v>0.21875000000000017</v>
      </c>
      <c r="N130" s="223">
        <v>0.1750000000000001</v>
      </c>
      <c r="O130" s="223">
        <v>0.83125000000000049</v>
      </c>
      <c r="P130" s="223"/>
      <c r="Q130" s="223">
        <v>164.72833333333335</v>
      </c>
      <c r="R130" s="223">
        <v>0</v>
      </c>
      <c r="S130" s="223">
        <v>0</v>
      </c>
      <c r="T130" s="223">
        <v>0</v>
      </c>
      <c r="U130" s="223">
        <v>0</v>
      </c>
      <c r="V130" s="223">
        <v>0</v>
      </c>
      <c r="W130" s="223">
        <v>0</v>
      </c>
      <c r="X130" s="223"/>
      <c r="Y130" s="234">
        <v>65.3</v>
      </c>
      <c r="Z130" s="223"/>
      <c r="AA130" s="223"/>
      <c r="AB130" s="223">
        <v>100</v>
      </c>
      <c r="AC130" s="223"/>
      <c r="AD130" s="223"/>
      <c r="AE130" s="223">
        <v>100</v>
      </c>
      <c r="AF130" s="223"/>
      <c r="AG130" s="223"/>
      <c r="AH130" s="223">
        <v>100</v>
      </c>
      <c r="AI130" s="223"/>
      <c r="AJ130" s="223"/>
      <c r="AK130" s="223">
        <v>100</v>
      </c>
    </row>
    <row r="131" spans="1:37" x14ac:dyDescent="0.25">
      <c r="A131" s="227" t="s">
        <v>44</v>
      </c>
      <c r="B131" s="221">
        <v>43853</v>
      </c>
      <c r="C131" s="222">
        <v>0.23750000000000002</v>
      </c>
      <c r="D131" s="223">
        <v>5.2</v>
      </c>
      <c r="E131" s="220" t="s">
        <v>49</v>
      </c>
      <c r="F131" s="220" t="s">
        <v>135</v>
      </c>
      <c r="G131" s="220"/>
      <c r="H131" s="220"/>
      <c r="I131" s="223">
        <v>0</v>
      </c>
      <c r="J131" s="220"/>
      <c r="K131" s="220"/>
      <c r="L131" s="223">
        <v>0</v>
      </c>
      <c r="M131" s="223">
        <v>0.54166666666666674</v>
      </c>
      <c r="N131" s="223">
        <v>0.43333333333333335</v>
      </c>
      <c r="O131" s="223">
        <v>0.97500000000000009</v>
      </c>
      <c r="P131" s="223"/>
      <c r="Q131" s="223">
        <v>163.75333333333336</v>
      </c>
      <c r="R131" s="223">
        <v>0</v>
      </c>
      <c r="S131" s="223">
        <v>0</v>
      </c>
      <c r="T131" s="223">
        <v>0</v>
      </c>
      <c r="U131" s="223">
        <v>0</v>
      </c>
      <c r="V131" s="223">
        <v>0</v>
      </c>
      <c r="W131" s="223">
        <v>0</v>
      </c>
      <c r="X131" s="223"/>
      <c r="Y131" s="234">
        <v>65.3</v>
      </c>
      <c r="Z131" s="223"/>
      <c r="AA131" s="223"/>
      <c r="AB131" s="223">
        <v>100</v>
      </c>
      <c r="AC131" s="223"/>
      <c r="AD131" s="223"/>
      <c r="AE131" s="223">
        <v>100</v>
      </c>
      <c r="AF131" s="223"/>
      <c r="AG131" s="223"/>
      <c r="AH131" s="223">
        <v>100</v>
      </c>
      <c r="AI131" s="223"/>
      <c r="AJ131" s="223"/>
      <c r="AK131" s="223">
        <v>100</v>
      </c>
    </row>
    <row r="132" spans="1:37" x14ac:dyDescent="0.25">
      <c r="A132" s="227" t="s">
        <v>44</v>
      </c>
      <c r="B132" s="221">
        <v>43853</v>
      </c>
      <c r="C132" s="222">
        <v>0.33333333333333331</v>
      </c>
      <c r="D132" s="223">
        <v>2.2999999999999989</v>
      </c>
      <c r="E132" s="220" t="s">
        <v>71</v>
      </c>
      <c r="F132" s="220" t="s">
        <v>130</v>
      </c>
      <c r="G132" s="220"/>
      <c r="H132" s="220"/>
      <c r="I132" s="223">
        <v>0</v>
      </c>
      <c r="J132" s="220"/>
      <c r="K132" s="220"/>
      <c r="L132" s="223">
        <v>0</v>
      </c>
      <c r="M132" s="223">
        <v>0.23958333333333323</v>
      </c>
      <c r="N132" s="223">
        <v>0.19166666666666657</v>
      </c>
      <c r="O132" s="223">
        <v>0.4312499999999998</v>
      </c>
      <c r="P132" s="223"/>
      <c r="Q132" s="223">
        <v>163.32208333333335</v>
      </c>
      <c r="R132" s="223">
        <v>0</v>
      </c>
      <c r="S132" s="223">
        <v>0</v>
      </c>
      <c r="T132" s="223">
        <v>0</v>
      </c>
      <c r="U132" s="223">
        <v>0</v>
      </c>
      <c r="V132" s="223">
        <v>0</v>
      </c>
      <c r="W132" s="223">
        <v>0</v>
      </c>
      <c r="X132" s="223"/>
      <c r="Y132" s="234">
        <v>65.3</v>
      </c>
      <c r="Z132" s="223"/>
      <c r="AA132" s="223"/>
      <c r="AB132" s="223">
        <v>100</v>
      </c>
      <c r="AC132" s="223"/>
      <c r="AD132" s="223"/>
      <c r="AE132" s="223">
        <v>100</v>
      </c>
      <c r="AF132" s="223"/>
      <c r="AG132" s="223"/>
      <c r="AH132" s="223">
        <v>100</v>
      </c>
      <c r="AI132" s="223"/>
      <c r="AJ132" s="223"/>
      <c r="AK132" s="223">
        <v>100</v>
      </c>
    </row>
    <row r="133" spans="1:37" x14ac:dyDescent="0.25">
      <c r="A133" s="227" t="s">
        <v>44</v>
      </c>
      <c r="B133" s="221">
        <v>43854</v>
      </c>
      <c r="C133" s="222">
        <v>0.33333333333333331</v>
      </c>
      <c r="D133" s="223">
        <v>24</v>
      </c>
      <c r="E133" s="220" t="s">
        <v>71</v>
      </c>
      <c r="F133" s="220" t="s">
        <v>130</v>
      </c>
      <c r="G133" s="220"/>
      <c r="H133" s="220"/>
      <c r="I133" s="223">
        <v>0</v>
      </c>
      <c r="J133" s="220"/>
      <c r="K133" s="220"/>
      <c r="L133" s="223">
        <v>0</v>
      </c>
      <c r="M133" s="223">
        <v>2.5</v>
      </c>
      <c r="N133" s="223">
        <v>2</v>
      </c>
      <c r="O133" s="223">
        <v>4.5</v>
      </c>
      <c r="P133" s="223"/>
      <c r="Q133" s="223">
        <v>158.82208333333335</v>
      </c>
      <c r="R133" s="223">
        <v>0</v>
      </c>
      <c r="S133" s="223">
        <v>0</v>
      </c>
      <c r="T133" s="223">
        <v>0</v>
      </c>
      <c r="U133" s="223">
        <v>0</v>
      </c>
      <c r="V133" s="223">
        <v>0</v>
      </c>
      <c r="W133" s="223">
        <v>0</v>
      </c>
      <c r="X133" s="223"/>
      <c r="Y133" s="234">
        <v>65.3</v>
      </c>
      <c r="Z133" s="223"/>
      <c r="AA133" s="223"/>
      <c r="AB133" s="223">
        <v>100</v>
      </c>
      <c r="AC133" s="223"/>
      <c r="AD133" s="223"/>
      <c r="AE133" s="223">
        <v>100</v>
      </c>
      <c r="AF133" s="223"/>
      <c r="AG133" s="223"/>
      <c r="AH133" s="223">
        <v>100</v>
      </c>
      <c r="AI133" s="223"/>
      <c r="AJ133" s="223"/>
      <c r="AK133" s="223">
        <v>100</v>
      </c>
    </row>
    <row r="134" spans="1:37" x14ac:dyDescent="0.25">
      <c r="A134" s="227" t="s">
        <v>44</v>
      </c>
      <c r="B134" s="221">
        <v>43854</v>
      </c>
      <c r="C134" s="222">
        <v>0.82500000000000007</v>
      </c>
      <c r="D134" s="223">
        <v>11.800000000000002</v>
      </c>
      <c r="E134" s="220" t="s">
        <v>71</v>
      </c>
      <c r="F134" s="220" t="s">
        <v>136</v>
      </c>
      <c r="G134" s="220"/>
      <c r="H134" s="220"/>
      <c r="I134" s="223">
        <v>0</v>
      </c>
      <c r="J134" s="220"/>
      <c r="K134" s="220"/>
      <c r="L134" s="223">
        <v>0</v>
      </c>
      <c r="M134" s="223">
        <v>1.229166666666667</v>
      </c>
      <c r="N134" s="223">
        <v>0.9833333333333335</v>
      </c>
      <c r="O134" s="223">
        <v>2.2125000000000004</v>
      </c>
      <c r="P134" s="223"/>
      <c r="Q134" s="223">
        <v>156.60958333333335</v>
      </c>
      <c r="R134" s="223">
        <v>0</v>
      </c>
      <c r="S134" s="223">
        <v>0</v>
      </c>
      <c r="T134" s="223">
        <v>0</v>
      </c>
      <c r="U134" s="223">
        <v>0</v>
      </c>
      <c r="V134" s="223">
        <v>0</v>
      </c>
      <c r="W134" s="223">
        <v>0</v>
      </c>
      <c r="X134" s="223"/>
      <c r="Y134" s="234">
        <v>65.3</v>
      </c>
      <c r="Z134" s="223"/>
      <c r="AA134" s="223"/>
      <c r="AB134" s="223">
        <v>100</v>
      </c>
      <c r="AC134" s="223"/>
      <c r="AD134" s="223"/>
      <c r="AE134" s="223">
        <v>100</v>
      </c>
      <c r="AF134" s="223"/>
      <c r="AG134" s="223"/>
      <c r="AH134" s="223">
        <v>100</v>
      </c>
      <c r="AI134" s="223"/>
      <c r="AJ134" s="223"/>
      <c r="AK134" s="223">
        <v>100</v>
      </c>
    </row>
    <row r="135" spans="1:37" x14ac:dyDescent="0.25">
      <c r="A135" s="227" t="s">
        <v>44</v>
      </c>
      <c r="B135" s="221">
        <v>43855</v>
      </c>
      <c r="C135" s="222">
        <v>0.14166666666666666</v>
      </c>
      <c r="D135" s="223">
        <v>7.6000000000000014</v>
      </c>
      <c r="E135" s="220" t="s">
        <v>49</v>
      </c>
      <c r="F135" s="220" t="s">
        <v>134</v>
      </c>
      <c r="G135" s="220"/>
      <c r="H135" s="220"/>
      <c r="I135" s="223">
        <v>0</v>
      </c>
      <c r="J135" s="220"/>
      <c r="K135" s="220"/>
      <c r="L135" s="223">
        <v>0</v>
      </c>
      <c r="M135" s="223">
        <v>0.79166666666666685</v>
      </c>
      <c r="N135" s="223">
        <v>0.63333333333333341</v>
      </c>
      <c r="O135" s="223">
        <v>1.4250000000000003</v>
      </c>
      <c r="P135" s="223"/>
      <c r="Q135" s="223">
        <v>155.18458333333334</v>
      </c>
      <c r="R135" s="223">
        <v>0</v>
      </c>
      <c r="S135" s="223">
        <v>0</v>
      </c>
      <c r="T135" s="223">
        <v>0</v>
      </c>
      <c r="U135" s="223">
        <v>0</v>
      </c>
      <c r="V135" s="223">
        <v>0</v>
      </c>
      <c r="W135" s="223">
        <v>0</v>
      </c>
      <c r="X135" s="223"/>
      <c r="Y135" s="234">
        <v>65.3</v>
      </c>
      <c r="Z135" s="223"/>
      <c r="AA135" s="223"/>
      <c r="AB135" s="223">
        <v>100</v>
      </c>
      <c r="AC135" s="223"/>
      <c r="AD135" s="223"/>
      <c r="AE135" s="223">
        <v>100</v>
      </c>
      <c r="AF135" s="223"/>
      <c r="AG135" s="223"/>
      <c r="AH135" s="223">
        <v>100</v>
      </c>
      <c r="AI135" s="223"/>
      <c r="AJ135" s="223"/>
      <c r="AK135" s="223">
        <v>100</v>
      </c>
    </row>
    <row r="136" spans="1:37" x14ac:dyDescent="0.25">
      <c r="A136" s="227" t="s">
        <v>44</v>
      </c>
      <c r="B136" s="221">
        <v>43855</v>
      </c>
      <c r="C136" s="222">
        <v>0.19166666666666665</v>
      </c>
      <c r="D136" s="223">
        <v>1.1999999999999997</v>
      </c>
      <c r="E136" s="220" t="s">
        <v>47</v>
      </c>
      <c r="F136" s="220" t="s">
        <v>146</v>
      </c>
      <c r="G136" s="220"/>
      <c r="H136" s="220"/>
      <c r="I136" s="223">
        <v>0</v>
      </c>
      <c r="J136" s="220"/>
      <c r="K136" s="220"/>
      <c r="L136" s="223">
        <v>0.24999999999999994</v>
      </c>
      <c r="M136" s="223">
        <v>0.12499999999999997</v>
      </c>
      <c r="N136" s="223">
        <v>9.9999999999999978E-2</v>
      </c>
      <c r="O136" s="223">
        <v>0.47499999999999987</v>
      </c>
      <c r="P136" s="223"/>
      <c r="Q136" s="223">
        <v>154.70958333333334</v>
      </c>
      <c r="R136" s="223">
        <v>0</v>
      </c>
      <c r="S136" s="223">
        <v>0</v>
      </c>
      <c r="T136" s="223">
        <v>0</v>
      </c>
      <c r="U136" s="223">
        <v>0</v>
      </c>
      <c r="V136" s="223">
        <v>0</v>
      </c>
      <c r="W136" s="223">
        <v>0</v>
      </c>
      <c r="X136" s="223"/>
      <c r="Y136" s="234">
        <v>65.3</v>
      </c>
      <c r="Z136" s="223"/>
      <c r="AA136" s="223"/>
      <c r="AB136" s="223">
        <v>100</v>
      </c>
      <c r="AC136" s="223"/>
      <c r="AD136" s="223"/>
      <c r="AE136" s="223">
        <v>100</v>
      </c>
      <c r="AF136" s="223"/>
      <c r="AG136" s="223"/>
      <c r="AH136" s="223">
        <v>100</v>
      </c>
      <c r="AI136" s="223"/>
      <c r="AJ136" s="223"/>
      <c r="AK136" s="223">
        <v>100</v>
      </c>
    </row>
    <row r="137" spans="1:37" x14ac:dyDescent="0.25">
      <c r="A137" s="227" t="s">
        <v>44</v>
      </c>
      <c r="B137" s="221">
        <v>43855</v>
      </c>
      <c r="C137" s="222">
        <v>0.29166666666666669</v>
      </c>
      <c r="D137" s="223">
        <v>2.4000000000000008</v>
      </c>
      <c r="E137" s="220" t="s">
        <v>45</v>
      </c>
      <c r="F137" s="220" t="s">
        <v>134</v>
      </c>
      <c r="G137" s="220"/>
      <c r="H137" s="220"/>
      <c r="I137" s="223">
        <v>0</v>
      </c>
      <c r="J137" s="220"/>
      <c r="K137" s="220"/>
      <c r="L137" s="223">
        <v>0</v>
      </c>
      <c r="M137" s="223">
        <v>0.25000000000000011</v>
      </c>
      <c r="N137" s="223">
        <v>0.20000000000000007</v>
      </c>
      <c r="O137" s="223">
        <v>0.45000000000000018</v>
      </c>
      <c r="P137" s="223"/>
      <c r="Q137" s="223">
        <v>154.25958333333335</v>
      </c>
      <c r="R137" s="223">
        <v>0</v>
      </c>
      <c r="S137" s="223">
        <v>0</v>
      </c>
      <c r="T137" s="223">
        <v>0</v>
      </c>
      <c r="U137" s="223">
        <v>0</v>
      </c>
      <c r="V137" s="223">
        <v>0</v>
      </c>
      <c r="W137" s="223">
        <v>0</v>
      </c>
      <c r="X137" s="223"/>
      <c r="Y137" s="234">
        <v>65.3</v>
      </c>
      <c r="Z137" s="223"/>
      <c r="AA137" s="223"/>
      <c r="AB137" s="223">
        <v>100</v>
      </c>
      <c r="AC137" s="223"/>
      <c r="AD137" s="223"/>
      <c r="AE137" s="223">
        <v>100</v>
      </c>
      <c r="AF137" s="223"/>
      <c r="AG137" s="223"/>
      <c r="AH137" s="223">
        <v>100</v>
      </c>
      <c r="AI137" s="223"/>
      <c r="AJ137" s="223"/>
      <c r="AK137" s="223">
        <v>100</v>
      </c>
    </row>
    <row r="138" spans="1:37" x14ac:dyDescent="0.25">
      <c r="A138" s="227" t="s">
        <v>44</v>
      </c>
      <c r="B138" s="221">
        <v>43855</v>
      </c>
      <c r="C138" s="222">
        <v>0.3</v>
      </c>
      <c r="D138" s="223">
        <v>0.19999999999999929</v>
      </c>
      <c r="E138" s="220" t="s">
        <v>47</v>
      </c>
      <c r="F138" s="220" t="s">
        <v>75</v>
      </c>
      <c r="G138" s="220"/>
      <c r="H138" s="220"/>
      <c r="I138" s="223">
        <v>0</v>
      </c>
      <c r="J138" s="220"/>
      <c r="K138" s="220"/>
      <c r="L138" s="223">
        <v>8.3333333333333037E-2</v>
      </c>
      <c r="M138" s="223">
        <v>2.0833333333333259E-2</v>
      </c>
      <c r="N138" s="223">
        <v>1.6666666666666607E-2</v>
      </c>
      <c r="O138" s="223">
        <v>0.1208333333333329</v>
      </c>
      <c r="P138" s="223"/>
      <c r="Q138" s="223">
        <v>154.13875000000002</v>
      </c>
      <c r="R138" s="223">
        <v>0</v>
      </c>
      <c r="S138" s="223">
        <v>0</v>
      </c>
      <c r="T138" s="223">
        <v>0</v>
      </c>
      <c r="U138" s="223">
        <v>0</v>
      </c>
      <c r="V138" s="223">
        <v>0</v>
      </c>
      <c r="W138" s="223">
        <v>0</v>
      </c>
      <c r="X138" s="223"/>
      <c r="Y138" s="234">
        <v>65.3</v>
      </c>
      <c r="Z138" s="223"/>
      <c r="AA138" s="223"/>
      <c r="AB138" s="223">
        <v>100</v>
      </c>
      <c r="AC138" s="223"/>
      <c r="AD138" s="223"/>
      <c r="AE138" s="223">
        <v>100</v>
      </c>
      <c r="AF138" s="223"/>
      <c r="AG138" s="223"/>
      <c r="AH138" s="223">
        <v>100</v>
      </c>
      <c r="AI138" s="223"/>
      <c r="AJ138" s="223"/>
      <c r="AK138" s="223">
        <v>100</v>
      </c>
    </row>
    <row r="139" spans="1:37" x14ac:dyDescent="0.25">
      <c r="A139" s="227" t="s">
        <v>44</v>
      </c>
      <c r="B139" s="221">
        <v>43855</v>
      </c>
      <c r="C139" s="222">
        <v>0.33333333333333331</v>
      </c>
      <c r="D139" s="223">
        <v>0.79999999999999982</v>
      </c>
      <c r="E139" s="220" t="s">
        <v>55</v>
      </c>
      <c r="F139" s="220" t="s">
        <v>110</v>
      </c>
      <c r="G139" s="220"/>
      <c r="H139" s="220"/>
      <c r="I139" s="223">
        <v>0</v>
      </c>
      <c r="J139" s="220" t="s">
        <v>54</v>
      </c>
      <c r="K139" s="220">
        <v>95</v>
      </c>
      <c r="L139" s="223">
        <v>0.73333333333333317</v>
      </c>
      <c r="M139" s="223">
        <v>8.3333333333333315E-2</v>
      </c>
      <c r="N139" s="223">
        <v>0</v>
      </c>
      <c r="O139" s="223">
        <v>0.81666666666666643</v>
      </c>
      <c r="P139" s="223"/>
      <c r="Q139" s="223">
        <v>153.32208333333335</v>
      </c>
      <c r="R139" s="223">
        <v>0</v>
      </c>
      <c r="S139" s="223">
        <v>0</v>
      </c>
      <c r="T139" s="223">
        <v>0</v>
      </c>
      <c r="U139" s="223">
        <v>0</v>
      </c>
      <c r="V139" s="223">
        <v>0</v>
      </c>
      <c r="W139" s="223">
        <v>0</v>
      </c>
      <c r="X139" s="223"/>
      <c r="Y139" s="234">
        <v>65.3</v>
      </c>
      <c r="Z139" s="223"/>
      <c r="AA139" s="223"/>
      <c r="AB139" s="223">
        <v>100</v>
      </c>
      <c r="AC139" s="223"/>
      <c r="AD139" s="223"/>
      <c r="AE139" s="223">
        <v>100</v>
      </c>
      <c r="AF139" s="223"/>
      <c r="AG139" s="223"/>
      <c r="AH139" s="223">
        <v>100</v>
      </c>
      <c r="AI139" s="223"/>
      <c r="AJ139" s="223"/>
      <c r="AK139" s="223">
        <v>100</v>
      </c>
    </row>
    <row r="140" spans="1:37" x14ac:dyDescent="0.25">
      <c r="A140" s="227" t="s">
        <v>44</v>
      </c>
      <c r="B140" s="221">
        <v>43855</v>
      </c>
      <c r="C140" s="222">
        <v>0.63750000000000007</v>
      </c>
      <c r="D140" s="223">
        <v>7.3000000000000025</v>
      </c>
      <c r="E140" s="220" t="s">
        <v>55</v>
      </c>
      <c r="F140" s="220" t="s">
        <v>76</v>
      </c>
      <c r="G140" s="220">
        <v>91</v>
      </c>
      <c r="H140" s="220">
        <v>8.1</v>
      </c>
      <c r="I140" s="223">
        <v>11.234567901234568</v>
      </c>
      <c r="J140" s="220" t="s">
        <v>117</v>
      </c>
      <c r="K140" s="220">
        <v>95</v>
      </c>
      <c r="L140" s="223">
        <v>6.6916666666666691</v>
      </c>
      <c r="M140" s="223">
        <v>0.76041666666666696</v>
      </c>
      <c r="N140" s="223">
        <v>0</v>
      </c>
      <c r="O140" s="223">
        <v>7.4520833333333361</v>
      </c>
      <c r="P140" s="223"/>
      <c r="Q140" s="223">
        <v>145.87</v>
      </c>
      <c r="R140" s="223">
        <v>0</v>
      </c>
      <c r="S140" s="223">
        <v>0</v>
      </c>
      <c r="T140" s="223">
        <v>0</v>
      </c>
      <c r="U140" s="223">
        <v>0</v>
      </c>
      <c r="V140" s="223">
        <v>0</v>
      </c>
      <c r="W140" s="223">
        <v>0</v>
      </c>
      <c r="X140" s="223"/>
      <c r="Y140" s="234">
        <v>65.3</v>
      </c>
      <c r="Z140" s="223"/>
      <c r="AA140" s="223"/>
      <c r="AB140" s="223">
        <v>100</v>
      </c>
      <c r="AC140" s="223"/>
      <c r="AD140" s="223"/>
      <c r="AE140" s="223">
        <v>100</v>
      </c>
      <c r="AF140" s="223"/>
      <c r="AG140" s="223"/>
      <c r="AH140" s="223">
        <v>100</v>
      </c>
      <c r="AI140" s="223"/>
      <c r="AJ140" s="223"/>
      <c r="AK140" s="223">
        <v>100</v>
      </c>
    </row>
    <row r="141" spans="1:37" x14ac:dyDescent="0.25">
      <c r="A141" s="227" t="s">
        <v>44</v>
      </c>
      <c r="B141" s="221">
        <v>43855</v>
      </c>
      <c r="C141" s="222">
        <v>0.71250000000000002</v>
      </c>
      <c r="D141" s="223">
        <v>1.7999999999999989</v>
      </c>
      <c r="E141" s="220" t="s">
        <v>47</v>
      </c>
      <c r="F141" s="220" t="s">
        <v>78</v>
      </c>
      <c r="G141" s="220"/>
      <c r="H141" s="220"/>
      <c r="I141" s="223">
        <v>0</v>
      </c>
      <c r="J141" s="220"/>
      <c r="K141" s="220"/>
      <c r="L141" s="223">
        <v>0.22499999999999987</v>
      </c>
      <c r="M141" s="223">
        <v>0.18749999999999989</v>
      </c>
      <c r="N141" s="223">
        <v>0.14999999999999991</v>
      </c>
      <c r="O141" s="223">
        <v>0.56249999999999967</v>
      </c>
      <c r="P141" s="223"/>
      <c r="Q141" s="223">
        <v>145.3075</v>
      </c>
      <c r="R141" s="223">
        <v>0</v>
      </c>
      <c r="S141" s="223">
        <v>0</v>
      </c>
      <c r="T141" s="223">
        <v>0</v>
      </c>
      <c r="U141" s="223">
        <v>0</v>
      </c>
      <c r="V141" s="223">
        <v>0</v>
      </c>
      <c r="W141" s="223">
        <v>0</v>
      </c>
      <c r="X141" s="223"/>
      <c r="Y141" s="234">
        <v>65.3</v>
      </c>
      <c r="Z141" s="223"/>
      <c r="AA141" s="223"/>
      <c r="AB141" s="223">
        <v>100</v>
      </c>
      <c r="AC141" s="223"/>
      <c r="AD141" s="223"/>
      <c r="AE141" s="223">
        <v>100</v>
      </c>
      <c r="AF141" s="223"/>
      <c r="AG141" s="223"/>
      <c r="AH141" s="223">
        <v>100</v>
      </c>
      <c r="AI141" s="223"/>
      <c r="AJ141" s="223"/>
      <c r="AK141" s="223">
        <v>100</v>
      </c>
    </row>
    <row r="142" spans="1:37" x14ac:dyDescent="0.25">
      <c r="A142" s="227" t="s">
        <v>44</v>
      </c>
      <c r="B142" s="221">
        <v>43855</v>
      </c>
      <c r="C142" s="222">
        <v>0.85416666666666663</v>
      </c>
      <c r="D142" s="223">
        <v>3.3999999999999986</v>
      </c>
      <c r="E142" s="220" t="s">
        <v>49</v>
      </c>
      <c r="F142" s="220" t="s">
        <v>147</v>
      </c>
      <c r="G142" s="220"/>
      <c r="H142" s="220"/>
      <c r="I142" s="223">
        <v>0</v>
      </c>
      <c r="J142" s="220"/>
      <c r="K142" s="220"/>
      <c r="L142" s="223">
        <v>0</v>
      </c>
      <c r="M142" s="223">
        <v>0.35416666666666652</v>
      </c>
      <c r="N142" s="223">
        <v>0.28333333333333321</v>
      </c>
      <c r="O142" s="223">
        <v>0.63749999999999973</v>
      </c>
      <c r="P142" s="223"/>
      <c r="Q142" s="223">
        <v>144.67000000000002</v>
      </c>
      <c r="R142" s="223">
        <v>0</v>
      </c>
      <c r="S142" s="223">
        <v>0</v>
      </c>
      <c r="T142" s="223">
        <v>0</v>
      </c>
      <c r="U142" s="223">
        <v>0</v>
      </c>
      <c r="V142" s="223">
        <v>0</v>
      </c>
      <c r="W142" s="223">
        <v>0</v>
      </c>
      <c r="X142" s="223"/>
      <c r="Y142" s="234">
        <v>65.3</v>
      </c>
      <c r="Z142" s="223"/>
      <c r="AA142" s="223"/>
      <c r="AB142" s="223">
        <v>100</v>
      </c>
      <c r="AC142" s="223"/>
      <c r="AD142" s="223"/>
      <c r="AE142" s="223">
        <v>100</v>
      </c>
      <c r="AF142" s="223"/>
      <c r="AG142" s="223"/>
      <c r="AH142" s="223">
        <v>100</v>
      </c>
      <c r="AI142" s="223"/>
      <c r="AJ142" s="223"/>
      <c r="AK142" s="223">
        <v>100</v>
      </c>
    </row>
    <row r="143" spans="1:37" x14ac:dyDescent="0.25">
      <c r="A143" s="227" t="s">
        <v>44</v>
      </c>
      <c r="B143" s="221">
        <v>43856</v>
      </c>
      <c r="C143" s="222">
        <v>0.33333333333333331</v>
      </c>
      <c r="D143" s="223">
        <v>11.500000000000002</v>
      </c>
      <c r="E143" s="220" t="s">
        <v>51</v>
      </c>
      <c r="F143" s="220" t="s">
        <v>110</v>
      </c>
      <c r="G143" s="220"/>
      <c r="H143" s="220"/>
      <c r="I143" s="223">
        <v>0</v>
      </c>
      <c r="J143" s="220"/>
      <c r="K143" s="220"/>
      <c r="L143" s="223">
        <v>0</v>
      </c>
      <c r="M143" s="223">
        <v>1.197916666666667</v>
      </c>
      <c r="N143" s="223">
        <v>0.95833333333333348</v>
      </c>
      <c r="O143" s="223">
        <v>2.1562500000000004</v>
      </c>
      <c r="P143" s="223"/>
      <c r="Q143" s="223">
        <v>142.51375000000002</v>
      </c>
      <c r="R143" s="223">
        <v>0</v>
      </c>
      <c r="S143" s="223">
        <v>0</v>
      </c>
      <c r="T143" s="223">
        <v>0</v>
      </c>
      <c r="U143" s="223">
        <v>0</v>
      </c>
      <c r="V143" s="223">
        <v>0</v>
      </c>
      <c r="W143" s="223">
        <v>0</v>
      </c>
      <c r="X143" s="223"/>
      <c r="Y143" s="234">
        <v>65.3</v>
      </c>
      <c r="Z143" s="223"/>
      <c r="AA143" s="223"/>
      <c r="AB143" s="223">
        <v>100</v>
      </c>
      <c r="AC143" s="223"/>
      <c r="AD143" s="223"/>
      <c r="AE143" s="223">
        <v>100</v>
      </c>
      <c r="AF143" s="223"/>
      <c r="AG143" s="223"/>
      <c r="AH143" s="223">
        <v>100</v>
      </c>
      <c r="AI143" s="223"/>
      <c r="AJ143" s="223"/>
      <c r="AK143" s="223">
        <v>100</v>
      </c>
    </row>
    <row r="144" spans="1:37" x14ac:dyDescent="0.25">
      <c r="A144" s="227" t="s">
        <v>44</v>
      </c>
      <c r="B144" s="221">
        <v>43857</v>
      </c>
      <c r="C144" s="222">
        <v>0.33333333333333331</v>
      </c>
      <c r="D144" s="223">
        <v>24</v>
      </c>
      <c r="E144" s="220" t="s">
        <v>51</v>
      </c>
      <c r="F144" s="220" t="s">
        <v>110</v>
      </c>
      <c r="G144" s="220"/>
      <c r="H144" s="220"/>
      <c r="I144" s="223">
        <v>0</v>
      </c>
      <c r="J144" s="220"/>
      <c r="K144" s="220"/>
      <c r="L144" s="223">
        <v>0</v>
      </c>
      <c r="M144" s="223">
        <v>2.5</v>
      </c>
      <c r="N144" s="223">
        <v>2</v>
      </c>
      <c r="O144" s="223">
        <v>4.5</v>
      </c>
      <c r="P144" s="223"/>
      <c r="Q144" s="223">
        <v>138.01375000000002</v>
      </c>
      <c r="R144" s="223">
        <v>0</v>
      </c>
      <c r="S144" s="223">
        <v>0</v>
      </c>
      <c r="T144" s="223">
        <v>0</v>
      </c>
      <c r="U144" s="223">
        <v>0</v>
      </c>
      <c r="V144" s="223">
        <v>0</v>
      </c>
      <c r="W144" s="223">
        <v>0</v>
      </c>
      <c r="X144" s="223"/>
      <c r="Y144" s="234">
        <v>65.3</v>
      </c>
      <c r="Z144" s="223"/>
      <c r="AA144" s="223"/>
      <c r="AB144" s="223">
        <v>100</v>
      </c>
      <c r="AC144" s="223"/>
      <c r="AD144" s="223"/>
      <c r="AE144" s="223">
        <v>100</v>
      </c>
      <c r="AF144" s="223"/>
      <c r="AG144" s="223"/>
      <c r="AH144" s="223">
        <v>100</v>
      </c>
      <c r="AI144" s="223"/>
      <c r="AJ144" s="223"/>
      <c r="AK144" s="223">
        <v>100</v>
      </c>
    </row>
    <row r="145" spans="1:37" x14ac:dyDescent="0.25">
      <c r="A145" s="227" t="s">
        <v>44</v>
      </c>
      <c r="B145" s="221">
        <v>43857</v>
      </c>
      <c r="C145" s="222">
        <v>0.97916666666666663</v>
      </c>
      <c r="D145" s="223">
        <v>15.499999999999998</v>
      </c>
      <c r="E145" s="220" t="s">
        <v>51</v>
      </c>
      <c r="F145" s="220" t="s">
        <v>138</v>
      </c>
      <c r="G145" s="220"/>
      <c r="H145" s="220"/>
      <c r="I145" s="223">
        <v>0</v>
      </c>
      <c r="J145" s="220"/>
      <c r="K145" s="220"/>
      <c r="L145" s="223">
        <v>0</v>
      </c>
      <c r="M145" s="223">
        <v>1.6145833333333333</v>
      </c>
      <c r="N145" s="223">
        <v>1.2916666666666665</v>
      </c>
      <c r="O145" s="223">
        <v>2.90625</v>
      </c>
      <c r="P145" s="223"/>
      <c r="Q145" s="223">
        <v>135.10750000000002</v>
      </c>
      <c r="R145" s="223">
        <v>0</v>
      </c>
      <c r="S145" s="223">
        <v>0</v>
      </c>
      <c r="T145" s="223">
        <v>0</v>
      </c>
      <c r="U145" s="223">
        <v>0</v>
      </c>
      <c r="V145" s="223">
        <v>1.9</v>
      </c>
      <c r="W145" s="223">
        <v>1.9</v>
      </c>
      <c r="X145" s="223"/>
      <c r="Y145" s="234">
        <v>63.4</v>
      </c>
      <c r="Z145" s="223"/>
      <c r="AA145" s="223"/>
      <c r="AB145" s="223">
        <v>100</v>
      </c>
      <c r="AC145" s="223"/>
      <c r="AD145" s="223"/>
      <c r="AE145" s="223">
        <v>100</v>
      </c>
      <c r="AF145" s="223"/>
      <c r="AG145" s="223"/>
      <c r="AH145" s="223">
        <v>100</v>
      </c>
      <c r="AI145" s="223"/>
      <c r="AJ145" s="223"/>
      <c r="AK145" s="223">
        <v>100</v>
      </c>
    </row>
    <row r="146" spans="1:37" x14ac:dyDescent="0.25">
      <c r="A146" s="227" t="s">
        <v>44</v>
      </c>
      <c r="B146" s="221">
        <v>43858</v>
      </c>
      <c r="C146" s="222">
        <v>0.1125</v>
      </c>
      <c r="D146" s="223">
        <v>3.2000000000000028</v>
      </c>
      <c r="E146" s="220" t="s">
        <v>49</v>
      </c>
      <c r="F146" s="220" t="s">
        <v>137</v>
      </c>
      <c r="G146" s="220"/>
      <c r="H146" s="220"/>
      <c r="I146" s="223">
        <v>0</v>
      </c>
      <c r="J146" s="220"/>
      <c r="K146" s="220"/>
      <c r="L146" s="223">
        <v>0</v>
      </c>
      <c r="M146" s="223">
        <v>0.33333333333333365</v>
      </c>
      <c r="N146" s="223">
        <v>0.26666666666666689</v>
      </c>
      <c r="O146" s="223">
        <v>0.60000000000000053</v>
      </c>
      <c r="P146" s="223"/>
      <c r="Q146" s="223">
        <v>134.50750000000002</v>
      </c>
      <c r="R146" s="223">
        <v>0</v>
      </c>
      <c r="S146" s="223">
        <v>0</v>
      </c>
      <c r="T146" s="223">
        <v>0</v>
      </c>
      <c r="U146" s="223">
        <v>0</v>
      </c>
      <c r="V146" s="223">
        <v>0</v>
      </c>
      <c r="W146" s="223">
        <v>0</v>
      </c>
      <c r="X146" s="223"/>
      <c r="Y146" s="234">
        <v>63.4</v>
      </c>
      <c r="Z146" s="223"/>
      <c r="AA146" s="223"/>
      <c r="AB146" s="223">
        <v>100</v>
      </c>
      <c r="AC146" s="223"/>
      <c r="AD146" s="223"/>
      <c r="AE146" s="223">
        <v>100</v>
      </c>
      <c r="AF146" s="223"/>
      <c r="AG146" s="223"/>
      <c r="AH146" s="223">
        <v>100</v>
      </c>
      <c r="AI146" s="223"/>
      <c r="AJ146" s="223"/>
      <c r="AK146" s="223">
        <v>100</v>
      </c>
    </row>
    <row r="147" spans="1:37" x14ac:dyDescent="0.25">
      <c r="A147" s="227" t="s">
        <v>44</v>
      </c>
      <c r="B147" s="221">
        <v>43858</v>
      </c>
      <c r="C147" s="222">
        <v>0.13749999999999998</v>
      </c>
      <c r="D147" s="223">
        <v>0.59999999999999953</v>
      </c>
      <c r="E147" s="220" t="s">
        <v>47</v>
      </c>
      <c r="F147" s="220" t="s">
        <v>79</v>
      </c>
      <c r="G147" s="220"/>
      <c r="H147" s="220"/>
      <c r="I147" s="223">
        <v>0</v>
      </c>
      <c r="J147" s="220"/>
      <c r="K147" s="220"/>
      <c r="L147" s="223">
        <v>2.4999999999999981E-2</v>
      </c>
      <c r="M147" s="223">
        <v>6.2499999999999951E-2</v>
      </c>
      <c r="N147" s="223">
        <v>4.9999999999999961E-2</v>
      </c>
      <c r="O147" s="223">
        <v>0.1374999999999999</v>
      </c>
      <c r="P147" s="223"/>
      <c r="Q147" s="223">
        <v>134.37000000000003</v>
      </c>
      <c r="R147" s="223">
        <v>0</v>
      </c>
      <c r="S147" s="223">
        <v>0</v>
      </c>
      <c r="T147" s="223">
        <v>0</v>
      </c>
      <c r="U147" s="223">
        <v>0</v>
      </c>
      <c r="V147" s="223">
        <v>0</v>
      </c>
      <c r="W147" s="223">
        <v>0</v>
      </c>
      <c r="X147" s="223"/>
      <c r="Y147" s="234">
        <v>63.4</v>
      </c>
      <c r="Z147" s="223"/>
      <c r="AA147" s="223"/>
      <c r="AB147" s="223">
        <v>100</v>
      </c>
      <c r="AC147" s="223"/>
      <c r="AD147" s="223"/>
      <c r="AE147" s="223">
        <v>100</v>
      </c>
      <c r="AF147" s="223"/>
      <c r="AG147" s="223"/>
      <c r="AH147" s="223">
        <v>100</v>
      </c>
      <c r="AI147" s="223"/>
      <c r="AJ147" s="223"/>
      <c r="AK147" s="223">
        <v>100</v>
      </c>
    </row>
    <row r="148" spans="1:37" x14ac:dyDescent="0.25">
      <c r="A148" s="227" t="s">
        <v>44</v>
      </c>
      <c r="B148" s="221">
        <v>43858</v>
      </c>
      <c r="C148" s="222">
        <v>0.33333333333333331</v>
      </c>
      <c r="D148" s="223">
        <v>4.7</v>
      </c>
      <c r="E148" s="220" t="s">
        <v>55</v>
      </c>
      <c r="F148" s="220" t="s">
        <v>119</v>
      </c>
      <c r="G148" s="220"/>
      <c r="H148" s="220"/>
      <c r="I148" s="223">
        <v>0</v>
      </c>
      <c r="J148" s="220" t="s">
        <v>54</v>
      </c>
      <c r="K148" s="220">
        <v>95</v>
      </c>
      <c r="L148" s="223">
        <v>3.916666666666667</v>
      </c>
      <c r="M148" s="223">
        <v>0.48958333333333337</v>
      </c>
      <c r="N148" s="223">
        <v>0</v>
      </c>
      <c r="O148" s="223">
        <v>4.40625</v>
      </c>
      <c r="P148" s="223"/>
      <c r="Q148" s="223">
        <v>129.96375000000003</v>
      </c>
      <c r="R148" s="223">
        <v>0</v>
      </c>
      <c r="S148" s="223">
        <v>0</v>
      </c>
      <c r="T148" s="223">
        <v>0</v>
      </c>
      <c r="U148" s="223">
        <v>0</v>
      </c>
      <c r="V148" s="223">
        <v>0</v>
      </c>
      <c r="W148" s="223">
        <v>0</v>
      </c>
      <c r="X148" s="223"/>
      <c r="Y148" s="234">
        <v>63.4</v>
      </c>
      <c r="Z148" s="223"/>
      <c r="AA148" s="223"/>
      <c r="AB148" s="223">
        <v>100</v>
      </c>
      <c r="AC148" s="223"/>
      <c r="AD148" s="223"/>
      <c r="AE148" s="223">
        <v>100</v>
      </c>
      <c r="AF148" s="223"/>
      <c r="AG148" s="223"/>
      <c r="AH148" s="223">
        <v>100</v>
      </c>
      <c r="AI148" s="223"/>
      <c r="AJ148" s="223"/>
      <c r="AK148" s="223">
        <v>100</v>
      </c>
    </row>
    <row r="149" spans="1:37" x14ac:dyDescent="0.25">
      <c r="A149" s="227" t="s">
        <v>44</v>
      </c>
      <c r="B149" s="221">
        <v>43859</v>
      </c>
      <c r="C149" s="222">
        <v>0.14583333333333334</v>
      </c>
      <c r="D149" s="223">
        <v>19.5</v>
      </c>
      <c r="E149" s="220" t="s">
        <v>55</v>
      </c>
      <c r="F149" s="220" t="s">
        <v>80</v>
      </c>
      <c r="G149" s="220">
        <v>266</v>
      </c>
      <c r="H149" s="220">
        <v>24.2</v>
      </c>
      <c r="I149" s="223">
        <v>10.991735537190083</v>
      </c>
      <c r="J149" s="220" t="s">
        <v>117</v>
      </c>
      <c r="K149" s="220">
        <v>95</v>
      </c>
      <c r="L149" s="223">
        <v>16.25</v>
      </c>
      <c r="M149" s="223">
        <v>2.03125</v>
      </c>
      <c r="N149" s="223">
        <v>0</v>
      </c>
      <c r="O149" s="223">
        <v>18.28125</v>
      </c>
      <c r="P149" s="223"/>
      <c r="Q149" s="223">
        <v>111.68250000000003</v>
      </c>
      <c r="R149" s="223">
        <v>0</v>
      </c>
      <c r="S149" s="223">
        <v>0</v>
      </c>
      <c r="T149" s="223">
        <v>0</v>
      </c>
      <c r="U149" s="223">
        <v>0</v>
      </c>
      <c r="V149" s="223">
        <v>0</v>
      </c>
      <c r="W149" s="223">
        <v>0</v>
      </c>
      <c r="X149" s="223"/>
      <c r="Y149" s="234">
        <v>63.4</v>
      </c>
      <c r="Z149" s="223"/>
      <c r="AA149" s="223"/>
      <c r="AB149" s="223">
        <v>100</v>
      </c>
      <c r="AC149" s="223"/>
      <c r="AD149" s="223"/>
      <c r="AE149" s="223">
        <v>100</v>
      </c>
      <c r="AF149" s="223"/>
      <c r="AG149" s="223"/>
      <c r="AH149" s="223">
        <v>100</v>
      </c>
      <c r="AI149" s="223"/>
      <c r="AJ149" s="223"/>
      <c r="AK149" s="223">
        <v>100</v>
      </c>
    </row>
    <row r="150" spans="1:37" x14ac:dyDescent="0.25">
      <c r="A150" s="227" t="s">
        <v>44</v>
      </c>
      <c r="B150" s="221">
        <v>43859</v>
      </c>
      <c r="C150" s="222">
        <v>0.16666666666666666</v>
      </c>
      <c r="D150" s="223">
        <v>0.49999999999999956</v>
      </c>
      <c r="E150" s="220" t="s">
        <v>47</v>
      </c>
      <c r="F150" s="220" t="s">
        <v>148</v>
      </c>
      <c r="G150" s="220"/>
      <c r="H150" s="220"/>
      <c r="I150" s="223">
        <v>0</v>
      </c>
      <c r="J150" s="220"/>
      <c r="K150" s="220"/>
      <c r="L150" s="223">
        <v>2.0833333333333315E-2</v>
      </c>
      <c r="M150" s="223">
        <v>5.2083333333333287E-2</v>
      </c>
      <c r="N150" s="223">
        <v>4.166666666666663E-2</v>
      </c>
      <c r="O150" s="223">
        <v>0.11458333333333323</v>
      </c>
      <c r="P150" s="223"/>
      <c r="Q150" s="223">
        <v>111.5679166666667</v>
      </c>
      <c r="R150" s="223">
        <v>0</v>
      </c>
      <c r="S150" s="223">
        <v>0</v>
      </c>
      <c r="T150" s="223">
        <v>0</v>
      </c>
      <c r="U150" s="223">
        <v>0</v>
      </c>
      <c r="V150" s="223">
        <v>0</v>
      </c>
      <c r="W150" s="223">
        <v>0</v>
      </c>
      <c r="X150" s="223"/>
      <c r="Y150" s="234">
        <v>63.4</v>
      </c>
      <c r="Z150" s="223"/>
      <c r="AA150" s="223"/>
      <c r="AB150" s="223">
        <v>100</v>
      </c>
      <c r="AC150" s="223"/>
      <c r="AD150" s="223"/>
      <c r="AE150" s="223">
        <v>100</v>
      </c>
      <c r="AF150" s="223"/>
      <c r="AG150" s="223"/>
      <c r="AH150" s="223">
        <v>100</v>
      </c>
      <c r="AI150" s="223"/>
      <c r="AJ150" s="223"/>
      <c r="AK150" s="223">
        <v>100</v>
      </c>
    </row>
    <row r="151" spans="1:37" x14ac:dyDescent="0.25">
      <c r="A151" s="227" t="s">
        <v>44</v>
      </c>
      <c r="B151" s="221">
        <v>43859</v>
      </c>
      <c r="C151" s="222">
        <v>0.33333333333333331</v>
      </c>
      <c r="D151" s="223">
        <v>4</v>
      </c>
      <c r="E151" s="220" t="s">
        <v>45</v>
      </c>
      <c r="F151" s="220" t="s">
        <v>119</v>
      </c>
      <c r="G151" s="220"/>
      <c r="H151" s="220"/>
      <c r="I151" s="223">
        <v>0</v>
      </c>
      <c r="J151" s="220"/>
      <c r="K151" s="220"/>
      <c r="L151" s="223">
        <v>0</v>
      </c>
      <c r="M151" s="223">
        <v>0.41666666666666669</v>
      </c>
      <c r="N151" s="223">
        <v>0.33333333333333331</v>
      </c>
      <c r="O151" s="223">
        <v>0.75</v>
      </c>
      <c r="P151" s="223"/>
      <c r="Q151" s="223">
        <v>110.8179166666667</v>
      </c>
      <c r="R151" s="223">
        <v>0</v>
      </c>
      <c r="S151" s="223">
        <v>0</v>
      </c>
      <c r="T151" s="223">
        <v>0</v>
      </c>
      <c r="U151" s="223">
        <v>0</v>
      </c>
      <c r="V151" s="223">
        <v>0</v>
      </c>
      <c r="W151" s="223">
        <v>0</v>
      </c>
      <c r="X151" s="223"/>
      <c r="Y151" s="234">
        <v>63.4</v>
      </c>
      <c r="Z151" s="223"/>
      <c r="AA151" s="223"/>
      <c r="AB151" s="223">
        <v>100</v>
      </c>
      <c r="AC151" s="223"/>
      <c r="AD151" s="223"/>
      <c r="AE151" s="223">
        <v>100</v>
      </c>
      <c r="AF151" s="223"/>
      <c r="AG151" s="223"/>
      <c r="AH151" s="223">
        <v>100</v>
      </c>
      <c r="AI151" s="223"/>
      <c r="AJ151" s="223"/>
      <c r="AK151" s="223">
        <v>100</v>
      </c>
    </row>
    <row r="152" spans="1:37" x14ac:dyDescent="0.25">
      <c r="A152" s="227" t="s">
        <v>44</v>
      </c>
      <c r="B152" s="221">
        <v>43860</v>
      </c>
      <c r="C152" s="222">
        <v>0.33333333333333331</v>
      </c>
      <c r="D152" s="223">
        <v>24</v>
      </c>
      <c r="E152" s="220" t="s">
        <v>45</v>
      </c>
      <c r="F152" s="220" t="s">
        <v>119</v>
      </c>
      <c r="G152" s="220"/>
      <c r="H152" s="220"/>
      <c r="I152" s="223">
        <v>0</v>
      </c>
      <c r="J152" s="220"/>
      <c r="K152" s="220"/>
      <c r="L152" s="223">
        <v>0</v>
      </c>
      <c r="M152" s="223">
        <v>2.5</v>
      </c>
      <c r="N152" s="223">
        <v>2</v>
      </c>
      <c r="O152" s="223">
        <v>4.5</v>
      </c>
      <c r="P152" s="223"/>
      <c r="Q152" s="223">
        <v>106.3179166666667</v>
      </c>
      <c r="R152" s="223">
        <v>0</v>
      </c>
      <c r="S152" s="223">
        <v>0</v>
      </c>
      <c r="T152" s="223">
        <v>0</v>
      </c>
      <c r="U152" s="223">
        <v>0</v>
      </c>
      <c r="V152" s="223">
        <v>0</v>
      </c>
      <c r="W152" s="223">
        <v>0</v>
      </c>
      <c r="X152" s="223"/>
      <c r="Y152" s="234">
        <v>63.4</v>
      </c>
      <c r="Z152" s="223"/>
      <c r="AA152" s="223"/>
      <c r="AB152" s="223">
        <v>100</v>
      </c>
      <c r="AC152" s="223"/>
      <c r="AD152" s="223"/>
      <c r="AE152" s="223">
        <v>100</v>
      </c>
      <c r="AF152" s="223"/>
      <c r="AG152" s="223"/>
      <c r="AH152" s="223">
        <v>100</v>
      </c>
      <c r="AI152" s="223"/>
      <c r="AJ152" s="223"/>
      <c r="AK152" s="223">
        <v>100</v>
      </c>
    </row>
    <row r="153" spans="1:37" x14ac:dyDescent="0.25">
      <c r="A153" s="227" t="s">
        <v>44</v>
      </c>
      <c r="B153" s="221">
        <v>43861</v>
      </c>
      <c r="C153" s="222">
        <v>0.33333333333333331</v>
      </c>
      <c r="D153" s="223">
        <v>24</v>
      </c>
      <c r="E153" s="220" t="s">
        <v>45</v>
      </c>
      <c r="F153" s="220" t="s">
        <v>119</v>
      </c>
      <c r="G153" s="220"/>
      <c r="H153" s="220"/>
      <c r="I153" s="223">
        <v>0</v>
      </c>
      <c r="J153" s="220"/>
      <c r="K153" s="220"/>
      <c r="L153" s="223">
        <v>0</v>
      </c>
      <c r="M153" s="223">
        <v>2.5</v>
      </c>
      <c r="N153" s="223">
        <v>2</v>
      </c>
      <c r="O153" s="223">
        <v>4.5</v>
      </c>
      <c r="P153" s="223"/>
      <c r="Q153" s="223">
        <v>101.8179166666667</v>
      </c>
      <c r="R153" s="223">
        <v>0</v>
      </c>
      <c r="S153" s="223">
        <v>0</v>
      </c>
      <c r="T153" s="223">
        <v>0</v>
      </c>
      <c r="U153" s="223">
        <v>0</v>
      </c>
      <c r="V153" s="223">
        <v>0</v>
      </c>
      <c r="W153" s="223">
        <v>0</v>
      </c>
      <c r="X153" s="223"/>
      <c r="Y153" s="234">
        <v>63.4</v>
      </c>
      <c r="Z153" s="223"/>
      <c r="AA153" s="223"/>
      <c r="AB153" s="223">
        <v>100</v>
      </c>
      <c r="AC153" s="223"/>
      <c r="AD153" s="223"/>
      <c r="AE153" s="223">
        <v>100</v>
      </c>
      <c r="AF153" s="223"/>
      <c r="AG153" s="223"/>
      <c r="AH153" s="223">
        <v>100</v>
      </c>
      <c r="AI153" s="223"/>
      <c r="AJ153" s="223"/>
      <c r="AK153" s="223">
        <v>100</v>
      </c>
    </row>
    <row r="154" spans="1:37" x14ac:dyDescent="0.25">
      <c r="A154" s="227" t="s">
        <v>44</v>
      </c>
      <c r="B154" s="221">
        <v>43862</v>
      </c>
      <c r="C154" s="222">
        <v>0</v>
      </c>
      <c r="D154" s="223">
        <v>16</v>
      </c>
      <c r="E154" s="220" t="s">
        <v>45</v>
      </c>
      <c r="F154" s="220" t="s">
        <v>119</v>
      </c>
      <c r="G154" s="220"/>
      <c r="H154" s="220"/>
      <c r="I154" s="223">
        <v>0</v>
      </c>
      <c r="J154" s="220"/>
      <c r="K154" s="220"/>
      <c r="L154" s="223">
        <v>0</v>
      </c>
      <c r="M154" s="223">
        <v>1.25</v>
      </c>
      <c r="N154" s="223">
        <v>1</v>
      </c>
      <c r="O154" s="223">
        <v>2.25</v>
      </c>
      <c r="P154" s="223"/>
      <c r="Q154" s="223">
        <v>99.567916666666704</v>
      </c>
      <c r="R154" s="223">
        <v>0</v>
      </c>
      <c r="S154" s="223">
        <v>0</v>
      </c>
      <c r="T154" s="223">
        <v>0</v>
      </c>
      <c r="U154" s="223">
        <v>0</v>
      </c>
      <c r="V154" s="223">
        <v>0</v>
      </c>
      <c r="W154" s="223">
        <v>0</v>
      </c>
      <c r="X154" s="223"/>
      <c r="Y154" s="234">
        <v>63.4</v>
      </c>
      <c r="Z154" s="223"/>
      <c r="AA154" s="223"/>
      <c r="AB154" s="223">
        <v>100</v>
      </c>
      <c r="AC154" s="223"/>
      <c r="AD154" s="223"/>
      <c r="AE154" s="223">
        <v>100</v>
      </c>
      <c r="AF154" s="223"/>
      <c r="AG154" s="223"/>
      <c r="AH154" s="223">
        <v>100</v>
      </c>
      <c r="AI154" s="223"/>
      <c r="AJ154" s="223"/>
      <c r="AK154" s="223">
        <v>100</v>
      </c>
    </row>
    <row r="155" spans="1:37" x14ac:dyDescent="0.25">
      <c r="A155" s="227" t="s">
        <v>44</v>
      </c>
      <c r="B155" s="221">
        <v>43862</v>
      </c>
      <c r="C155" s="222">
        <v>0</v>
      </c>
      <c r="D155" s="223">
        <v>0</v>
      </c>
      <c r="E155" s="220" t="s">
        <v>45</v>
      </c>
      <c r="F155" s="220" t="s">
        <v>45</v>
      </c>
      <c r="G155" s="220"/>
      <c r="H155" s="220"/>
      <c r="I155" s="223">
        <v>0</v>
      </c>
      <c r="J155" s="220"/>
      <c r="K155" s="220"/>
      <c r="L155" s="223">
        <v>0</v>
      </c>
      <c r="M155" s="223">
        <v>0</v>
      </c>
      <c r="N155" s="223">
        <v>0</v>
      </c>
      <c r="O155" s="223">
        <v>0</v>
      </c>
      <c r="P155" s="223"/>
      <c r="Q155" s="223">
        <v>99.567916666666704</v>
      </c>
      <c r="R155" s="223">
        <v>0</v>
      </c>
      <c r="S155" s="223">
        <v>0</v>
      </c>
      <c r="T155" s="223">
        <v>0</v>
      </c>
      <c r="U155" s="223">
        <v>0</v>
      </c>
      <c r="V155" s="223">
        <v>0</v>
      </c>
      <c r="W155" s="223">
        <v>0</v>
      </c>
      <c r="X155" s="223">
        <v>0</v>
      </c>
      <c r="Y155" s="234">
        <v>63.4</v>
      </c>
      <c r="Z155" s="223"/>
      <c r="AA155" s="223"/>
      <c r="AB155" s="223">
        <v>100</v>
      </c>
      <c r="AC155" s="223"/>
      <c r="AD155" s="223"/>
      <c r="AE155" s="223">
        <v>100</v>
      </c>
      <c r="AF155" s="223"/>
      <c r="AG155" s="223"/>
      <c r="AH155" s="223">
        <v>100</v>
      </c>
      <c r="AI155" s="223"/>
      <c r="AJ155" s="223"/>
      <c r="AK155" s="223">
        <v>100</v>
      </c>
    </row>
    <row r="156" spans="1:37" x14ac:dyDescent="0.25">
      <c r="A156" s="227" t="s">
        <v>44</v>
      </c>
      <c r="B156" s="221">
        <v>43862</v>
      </c>
      <c r="C156" s="222">
        <v>0.33333333333333331</v>
      </c>
      <c r="D156" s="223">
        <v>8</v>
      </c>
      <c r="E156" s="220" t="s">
        <v>45</v>
      </c>
      <c r="F156" s="220" t="s">
        <v>45</v>
      </c>
      <c r="G156" s="220"/>
      <c r="H156" s="220"/>
      <c r="I156" s="223">
        <v>0</v>
      </c>
      <c r="J156" s="220"/>
      <c r="K156" s="220"/>
      <c r="L156" s="223">
        <v>0</v>
      </c>
      <c r="M156" s="223">
        <v>1.25</v>
      </c>
      <c r="N156" s="223">
        <v>1</v>
      </c>
      <c r="O156" s="223">
        <v>2.25</v>
      </c>
      <c r="P156" s="223"/>
      <c r="Q156" s="223">
        <v>97.317916666666704</v>
      </c>
      <c r="R156" s="223">
        <v>0</v>
      </c>
      <c r="S156" s="223">
        <v>0</v>
      </c>
      <c r="T156" s="223">
        <v>0</v>
      </c>
      <c r="U156" s="223">
        <v>0</v>
      </c>
      <c r="V156" s="223">
        <v>0</v>
      </c>
      <c r="W156" s="223">
        <v>0</v>
      </c>
      <c r="X156" s="223">
        <v>0</v>
      </c>
      <c r="Y156" s="234">
        <v>63.4</v>
      </c>
      <c r="Z156" s="223"/>
      <c r="AA156" s="223"/>
      <c r="AB156" s="223">
        <v>100</v>
      </c>
      <c r="AC156" s="223"/>
      <c r="AD156" s="223"/>
      <c r="AE156" s="223">
        <v>100</v>
      </c>
      <c r="AF156" s="223"/>
      <c r="AG156" s="223"/>
      <c r="AH156" s="223">
        <v>100</v>
      </c>
      <c r="AI156" s="223"/>
      <c r="AJ156" s="223"/>
      <c r="AK156" s="223">
        <v>100</v>
      </c>
    </row>
    <row r="157" spans="1:37" x14ac:dyDescent="0.25">
      <c r="A157" s="227" t="s">
        <v>44</v>
      </c>
      <c r="B157" s="221">
        <v>43862</v>
      </c>
      <c r="C157" s="222">
        <v>0.61249999999999993</v>
      </c>
      <c r="D157" s="223">
        <v>6.6999999999999993</v>
      </c>
      <c r="E157" s="220" t="s">
        <v>45</v>
      </c>
      <c r="F157" s="220" t="s">
        <v>46</v>
      </c>
      <c r="G157" s="220"/>
      <c r="H157" s="220"/>
      <c r="I157" s="223">
        <v>0</v>
      </c>
      <c r="J157" s="220"/>
      <c r="K157" s="220"/>
      <c r="L157" s="223">
        <v>0</v>
      </c>
      <c r="M157" s="223">
        <v>0.69791666666666663</v>
      </c>
      <c r="N157" s="223">
        <v>0.55833333333333324</v>
      </c>
      <c r="O157" s="223">
        <v>1.2562499999999999</v>
      </c>
      <c r="P157" s="223"/>
      <c r="Q157" s="223">
        <v>96.06166666666671</v>
      </c>
      <c r="R157" s="223">
        <v>0</v>
      </c>
      <c r="S157" s="223">
        <v>0</v>
      </c>
      <c r="T157" s="223">
        <v>0</v>
      </c>
      <c r="U157" s="223">
        <v>0</v>
      </c>
      <c r="V157" s="223">
        <v>0</v>
      </c>
      <c r="W157" s="223">
        <v>0</v>
      </c>
      <c r="X157" s="223">
        <v>0</v>
      </c>
      <c r="Y157" s="234">
        <v>63.4</v>
      </c>
      <c r="Z157" s="223"/>
      <c r="AA157" s="223"/>
      <c r="AB157" s="223">
        <v>100</v>
      </c>
      <c r="AC157" s="223"/>
      <c r="AD157" s="223"/>
      <c r="AE157" s="223">
        <v>100</v>
      </c>
      <c r="AF157" s="223"/>
      <c r="AG157" s="223"/>
      <c r="AH157" s="223">
        <v>100</v>
      </c>
      <c r="AI157" s="223"/>
      <c r="AJ157" s="223"/>
      <c r="AK157" s="223">
        <v>100</v>
      </c>
    </row>
    <row r="158" spans="1:37" x14ac:dyDescent="0.25">
      <c r="A158" s="227" t="s">
        <v>44</v>
      </c>
      <c r="B158" s="221">
        <v>43862</v>
      </c>
      <c r="C158" s="222">
        <v>0.68333333333333324</v>
      </c>
      <c r="D158" s="223">
        <v>1.6999999999999993</v>
      </c>
      <c r="E158" s="220" t="s">
        <v>47</v>
      </c>
      <c r="F158" s="220" t="s">
        <v>48</v>
      </c>
      <c r="G158" s="220"/>
      <c r="H158" s="220"/>
      <c r="I158" s="223">
        <v>0</v>
      </c>
      <c r="J158" s="220"/>
      <c r="K158" s="220"/>
      <c r="L158" s="223">
        <v>0.14166666666666661</v>
      </c>
      <c r="M158" s="223">
        <v>0.17708333333333326</v>
      </c>
      <c r="N158" s="223">
        <v>0.14166666666666661</v>
      </c>
      <c r="O158" s="223">
        <v>0.46041666666666647</v>
      </c>
      <c r="P158" s="223"/>
      <c r="Q158" s="223">
        <v>95.60125000000005</v>
      </c>
      <c r="R158" s="223">
        <v>0</v>
      </c>
      <c r="S158" s="223">
        <v>0</v>
      </c>
      <c r="T158" s="223">
        <v>0</v>
      </c>
      <c r="U158" s="223">
        <v>0</v>
      </c>
      <c r="V158" s="223">
        <v>0</v>
      </c>
      <c r="W158" s="223">
        <v>0</v>
      </c>
      <c r="X158" s="223">
        <v>0</v>
      </c>
      <c r="Y158" s="234">
        <v>63.4</v>
      </c>
      <c r="Z158" s="223"/>
      <c r="AA158" s="223"/>
      <c r="AB158" s="223">
        <v>100</v>
      </c>
      <c r="AC158" s="223"/>
      <c r="AD158" s="223"/>
      <c r="AE158" s="223">
        <v>100</v>
      </c>
      <c r="AF158" s="223"/>
      <c r="AG158" s="223"/>
      <c r="AH158" s="223">
        <v>100</v>
      </c>
      <c r="AI158" s="223"/>
      <c r="AJ158" s="223"/>
      <c r="AK158" s="223">
        <v>100</v>
      </c>
    </row>
    <row r="159" spans="1:37" x14ac:dyDescent="0.25">
      <c r="A159" s="227" t="s">
        <v>44</v>
      </c>
      <c r="B159" s="221">
        <v>43862</v>
      </c>
      <c r="C159" s="222">
        <v>0.875</v>
      </c>
      <c r="D159" s="223">
        <v>4.6000000000000023</v>
      </c>
      <c r="E159" s="220" t="s">
        <v>49</v>
      </c>
      <c r="F159" s="220" t="s">
        <v>50</v>
      </c>
      <c r="G159" s="220"/>
      <c r="H159" s="220"/>
      <c r="I159" s="223">
        <v>0</v>
      </c>
      <c r="J159" s="220"/>
      <c r="K159" s="220"/>
      <c r="L159" s="223">
        <v>0</v>
      </c>
      <c r="M159" s="223">
        <v>0.47916666666666691</v>
      </c>
      <c r="N159" s="223">
        <v>0.38333333333333353</v>
      </c>
      <c r="O159" s="223">
        <v>0.86250000000000049</v>
      </c>
      <c r="P159" s="223"/>
      <c r="Q159" s="223">
        <v>94.738750000000053</v>
      </c>
      <c r="R159" s="223">
        <v>0</v>
      </c>
      <c r="S159" s="223">
        <v>0</v>
      </c>
      <c r="T159" s="223">
        <v>0</v>
      </c>
      <c r="U159" s="223">
        <v>0</v>
      </c>
      <c r="V159" s="223">
        <v>0</v>
      </c>
      <c r="W159" s="223">
        <v>0</v>
      </c>
      <c r="X159" s="223">
        <v>0</v>
      </c>
      <c r="Y159" s="234">
        <v>63.4</v>
      </c>
      <c r="Z159" s="223"/>
      <c r="AA159" s="223"/>
      <c r="AB159" s="223">
        <v>100</v>
      </c>
      <c r="AC159" s="223"/>
      <c r="AD159" s="223"/>
      <c r="AE159" s="223">
        <v>100</v>
      </c>
      <c r="AF159" s="223"/>
      <c r="AG159" s="223"/>
      <c r="AH159" s="223">
        <v>100</v>
      </c>
      <c r="AI159" s="223"/>
      <c r="AJ159" s="223"/>
      <c r="AK159" s="223">
        <v>100</v>
      </c>
    </row>
    <row r="160" spans="1:37" x14ac:dyDescent="0.25">
      <c r="A160" s="227" t="s">
        <v>44</v>
      </c>
      <c r="B160" s="221">
        <v>43863</v>
      </c>
      <c r="C160" s="222">
        <v>0.33333333333333331</v>
      </c>
      <c r="D160" s="223">
        <v>10.999999999999998</v>
      </c>
      <c r="E160" s="220" t="s">
        <v>51</v>
      </c>
      <c r="F160" s="220" t="s">
        <v>51</v>
      </c>
      <c r="G160" s="220"/>
      <c r="H160" s="220"/>
      <c r="I160" s="223">
        <v>0</v>
      </c>
      <c r="J160" s="220"/>
      <c r="K160" s="220"/>
      <c r="L160" s="223">
        <v>0</v>
      </c>
      <c r="M160" s="223">
        <v>1.1458333333333333</v>
      </c>
      <c r="N160" s="223">
        <v>0.91666666666666652</v>
      </c>
      <c r="O160" s="223">
        <v>2.0625</v>
      </c>
      <c r="P160" s="223"/>
      <c r="Q160" s="223">
        <v>92.676250000000053</v>
      </c>
      <c r="R160" s="223">
        <v>0</v>
      </c>
      <c r="S160" s="223">
        <v>0</v>
      </c>
      <c r="T160" s="223">
        <v>0</v>
      </c>
      <c r="U160" s="223">
        <v>0</v>
      </c>
      <c r="V160" s="223">
        <v>1.8</v>
      </c>
      <c r="W160" s="223">
        <v>1.8</v>
      </c>
      <c r="X160" s="223">
        <v>0</v>
      </c>
      <c r="Y160" s="234">
        <v>61.6</v>
      </c>
      <c r="Z160" s="223"/>
      <c r="AA160" s="223"/>
      <c r="AB160" s="223">
        <v>100</v>
      </c>
      <c r="AC160" s="223"/>
      <c r="AD160" s="223"/>
      <c r="AE160" s="223">
        <v>100</v>
      </c>
      <c r="AF160" s="223"/>
      <c r="AG160" s="223"/>
      <c r="AH160" s="223">
        <v>100</v>
      </c>
      <c r="AI160" s="223"/>
      <c r="AJ160" s="223"/>
      <c r="AK160" s="223">
        <v>100</v>
      </c>
    </row>
    <row r="161" spans="1:37" x14ac:dyDescent="0.25">
      <c r="A161" s="227" t="s">
        <v>44</v>
      </c>
      <c r="B161" s="221">
        <v>43863</v>
      </c>
      <c r="C161" s="222">
        <v>0.8833333333333333</v>
      </c>
      <c r="D161" s="223">
        <v>13.200000000000001</v>
      </c>
      <c r="E161" s="220" t="s">
        <v>51</v>
      </c>
      <c r="F161" s="220" t="s">
        <v>52</v>
      </c>
      <c r="G161" s="220"/>
      <c r="H161" s="220"/>
      <c r="I161" s="223">
        <v>0</v>
      </c>
      <c r="J161" s="220"/>
      <c r="K161" s="220"/>
      <c r="L161" s="223">
        <v>0</v>
      </c>
      <c r="M161" s="223">
        <v>1.3750000000000002</v>
      </c>
      <c r="N161" s="223">
        <v>1.1000000000000001</v>
      </c>
      <c r="O161" s="223">
        <v>2.4750000000000005</v>
      </c>
      <c r="P161" s="223"/>
      <c r="Q161" s="223">
        <v>90.201250000000059</v>
      </c>
      <c r="R161" s="223">
        <v>0</v>
      </c>
      <c r="S161" s="223">
        <v>0</v>
      </c>
      <c r="T161" s="223">
        <v>0</v>
      </c>
      <c r="U161" s="223">
        <v>0</v>
      </c>
      <c r="V161" s="223">
        <v>2.2000000000000002</v>
      </c>
      <c r="W161" s="223">
        <v>2.2000000000000002</v>
      </c>
      <c r="X161" s="223">
        <v>0</v>
      </c>
      <c r="Y161" s="234">
        <v>59.4</v>
      </c>
      <c r="Z161" s="223"/>
      <c r="AA161" s="223"/>
      <c r="AB161" s="223">
        <v>100</v>
      </c>
      <c r="AC161" s="223"/>
      <c r="AD161" s="223"/>
      <c r="AE161" s="223">
        <v>100</v>
      </c>
      <c r="AF161" s="223"/>
      <c r="AG161" s="223"/>
      <c r="AH161" s="223">
        <v>100</v>
      </c>
      <c r="AI161" s="223"/>
      <c r="AJ161" s="223"/>
      <c r="AK161" s="223">
        <v>100</v>
      </c>
    </row>
    <row r="162" spans="1:37" x14ac:dyDescent="0.25">
      <c r="A162" s="227" t="s">
        <v>44</v>
      </c>
      <c r="B162" s="221">
        <v>43864</v>
      </c>
      <c r="C162" s="222">
        <v>8.3333333333333332E-3</v>
      </c>
      <c r="D162" s="223">
        <v>3</v>
      </c>
      <c r="E162" s="220" t="s">
        <v>49</v>
      </c>
      <c r="F162" s="220" t="s">
        <v>46</v>
      </c>
      <c r="G162" s="220"/>
      <c r="H162" s="220"/>
      <c r="I162" s="223">
        <v>0</v>
      </c>
      <c r="J162" s="220"/>
      <c r="K162" s="220"/>
      <c r="L162" s="223">
        <v>0</v>
      </c>
      <c r="M162" s="223">
        <v>0.3125</v>
      </c>
      <c r="N162" s="223">
        <v>0.25</v>
      </c>
      <c r="O162" s="223">
        <v>0.5625</v>
      </c>
      <c r="P162" s="223"/>
      <c r="Q162" s="223">
        <v>89.638750000000059</v>
      </c>
      <c r="R162" s="223">
        <v>0</v>
      </c>
      <c r="S162" s="223">
        <v>0</v>
      </c>
      <c r="T162" s="223">
        <v>0</v>
      </c>
      <c r="U162" s="223">
        <v>0</v>
      </c>
      <c r="V162" s="223">
        <v>0</v>
      </c>
      <c r="W162" s="223">
        <v>0</v>
      </c>
      <c r="X162" s="223">
        <v>0</v>
      </c>
      <c r="Y162" s="234">
        <v>59.4</v>
      </c>
      <c r="Z162" s="223"/>
      <c r="AA162" s="223"/>
      <c r="AB162" s="223">
        <v>100</v>
      </c>
      <c r="AC162" s="223"/>
      <c r="AD162" s="223"/>
      <c r="AE162" s="223">
        <v>100</v>
      </c>
      <c r="AF162" s="223"/>
      <c r="AG162" s="223"/>
      <c r="AH162" s="223">
        <v>100</v>
      </c>
      <c r="AI162" s="223"/>
      <c r="AJ162" s="223"/>
      <c r="AK162" s="223">
        <v>100</v>
      </c>
    </row>
    <row r="163" spans="1:37" x14ac:dyDescent="0.25">
      <c r="A163" s="227" t="s">
        <v>44</v>
      </c>
      <c r="B163" s="221">
        <v>43864</v>
      </c>
      <c r="C163" s="222">
        <v>3.3333333333333333E-2</v>
      </c>
      <c r="D163" s="223">
        <v>0.60000000000000009</v>
      </c>
      <c r="E163" s="220" t="s">
        <v>47</v>
      </c>
      <c r="F163" s="220" t="s">
        <v>53</v>
      </c>
      <c r="G163" s="220"/>
      <c r="H163" s="220"/>
      <c r="I163" s="223">
        <v>0</v>
      </c>
      <c r="J163" s="220" t="s">
        <v>54</v>
      </c>
      <c r="K163" s="220">
        <v>95</v>
      </c>
      <c r="L163" s="223">
        <v>0.12500000000000003</v>
      </c>
      <c r="M163" s="223">
        <v>6.2500000000000014E-2</v>
      </c>
      <c r="N163" s="223">
        <v>0.05</v>
      </c>
      <c r="O163" s="223">
        <v>0.23750000000000004</v>
      </c>
      <c r="P163" s="223"/>
      <c r="Q163" s="223">
        <v>89.401250000000061</v>
      </c>
      <c r="R163" s="223">
        <v>0</v>
      </c>
      <c r="S163" s="223">
        <v>0</v>
      </c>
      <c r="T163" s="223">
        <v>0</v>
      </c>
      <c r="U163" s="223">
        <v>0</v>
      </c>
      <c r="V163" s="223">
        <v>0</v>
      </c>
      <c r="W163" s="223">
        <v>0</v>
      </c>
      <c r="X163" s="223">
        <v>0</v>
      </c>
      <c r="Y163" s="234">
        <v>59.4</v>
      </c>
      <c r="Z163" s="223"/>
      <c r="AA163" s="223"/>
      <c r="AB163" s="223">
        <v>100</v>
      </c>
      <c r="AC163" s="223"/>
      <c r="AD163" s="223"/>
      <c r="AE163" s="223">
        <v>100</v>
      </c>
      <c r="AF163" s="223"/>
      <c r="AG163" s="223"/>
      <c r="AH163" s="223">
        <v>100</v>
      </c>
      <c r="AI163" s="223"/>
      <c r="AJ163" s="223"/>
      <c r="AK163" s="223">
        <v>100</v>
      </c>
    </row>
    <row r="164" spans="1:37" x14ac:dyDescent="0.25">
      <c r="A164" s="227" t="s">
        <v>44</v>
      </c>
      <c r="B164" s="221">
        <v>43864</v>
      </c>
      <c r="C164" s="222">
        <v>0.33333333333333331</v>
      </c>
      <c r="D164" s="223">
        <v>7.1999999999999993</v>
      </c>
      <c r="E164" s="220" t="s">
        <v>55</v>
      </c>
      <c r="F164" s="220" t="s">
        <v>56</v>
      </c>
      <c r="G164" s="220"/>
      <c r="H164" s="220"/>
      <c r="I164" s="223">
        <v>0</v>
      </c>
      <c r="J164" s="220" t="s">
        <v>54</v>
      </c>
      <c r="K164" s="220">
        <v>95</v>
      </c>
      <c r="L164" s="223">
        <v>6</v>
      </c>
      <c r="M164" s="223">
        <v>0.75</v>
      </c>
      <c r="N164" s="223">
        <v>0</v>
      </c>
      <c r="O164" s="223">
        <v>6.75</v>
      </c>
      <c r="P164" s="223"/>
      <c r="Q164" s="223">
        <v>82.651250000000061</v>
      </c>
      <c r="R164" s="223">
        <v>0</v>
      </c>
      <c r="S164" s="223">
        <v>0</v>
      </c>
      <c r="T164" s="223">
        <v>0</v>
      </c>
      <c r="U164" s="223">
        <v>0</v>
      </c>
      <c r="V164" s="223">
        <v>0</v>
      </c>
      <c r="W164" s="223">
        <v>0</v>
      </c>
      <c r="X164" s="223">
        <v>0</v>
      </c>
      <c r="Y164" s="234">
        <v>59.4</v>
      </c>
      <c r="Z164" s="223"/>
      <c r="AA164" s="223"/>
      <c r="AB164" s="223">
        <v>100</v>
      </c>
      <c r="AC164" s="223"/>
      <c r="AD164" s="223"/>
      <c r="AE164" s="223">
        <v>100</v>
      </c>
      <c r="AF164" s="223"/>
      <c r="AG164" s="223"/>
      <c r="AH164" s="223">
        <v>100</v>
      </c>
      <c r="AI164" s="223"/>
      <c r="AJ164" s="223"/>
      <c r="AK164" s="223">
        <v>100</v>
      </c>
    </row>
    <row r="165" spans="1:37" x14ac:dyDescent="0.25">
      <c r="A165" s="227" t="s">
        <v>44</v>
      </c>
      <c r="B165" s="221">
        <v>43864</v>
      </c>
      <c r="C165" s="222">
        <v>0.38750000000000001</v>
      </c>
      <c r="D165" s="223">
        <v>1.3000000000000007</v>
      </c>
      <c r="E165" s="220" t="s">
        <v>55</v>
      </c>
      <c r="F165" s="220" t="s">
        <v>57</v>
      </c>
      <c r="G165" s="220">
        <v>96</v>
      </c>
      <c r="H165" s="220">
        <v>8.5</v>
      </c>
      <c r="I165" s="223">
        <v>11.294117647058824</v>
      </c>
      <c r="J165" s="220" t="s">
        <v>54</v>
      </c>
      <c r="K165" s="220">
        <v>95</v>
      </c>
      <c r="L165" s="223">
        <v>1.0833333333333339</v>
      </c>
      <c r="M165" s="223">
        <v>0.13541666666666674</v>
      </c>
      <c r="N165" s="223">
        <v>0</v>
      </c>
      <c r="O165" s="223">
        <v>1.2187500000000007</v>
      </c>
      <c r="P165" s="223"/>
      <c r="Q165" s="223">
        <v>81.432500000000061</v>
      </c>
      <c r="R165" s="223">
        <v>0</v>
      </c>
      <c r="S165" s="223">
        <v>0</v>
      </c>
      <c r="T165" s="223">
        <v>0</v>
      </c>
      <c r="U165" s="223">
        <v>0</v>
      </c>
      <c r="V165" s="223">
        <v>0</v>
      </c>
      <c r="W165" s="223">
        <v>0</v>
      </c>
      <c r="X165" s="223">
        <v>0</v>
      </c>
      <c r="Y165" s="234">
        <v>59.4</v>
      </c>
      <c r="Z165" s="223"/>
      <c r="AA165" s="223"/>
      <c r="AB165" s="223">
        <v>100</v>
      </c>
      <c r="AC165" s="223"/>
      <c r="AD165" s="223"/>
      <c r="AE165" s="223">
        <v>100</v>
      </c>
      <c r="AF165" s="223"/>
      <c r="AG165" s="223"/>
      <c r="AH165" s="223">
        <v>100</v>
      </c>
      <c r="AI165" s="223"/>
      <c r="AJ165" s="223"/>
      <c r="AK165" s="223">
        <v>100</v>
      </c>
    </row>
    <row r="166" spans="1:37" x14ac:dyDescent="0.25">
      <c r="A166" s="227" t="s">
        <v>44</v>
      </c>
      <c r="B166" s="221">
        <v>43864</v>
      </c>
      <c r="C166" s="222">
        <v>0.48333333333333334</v>
      </c>
      <c r="D166" s="223">
        <v>2.2999999999999998</v>
      </c>
      <c r="E166" s="220" t="s">
        <v>47</v>
      </c>
      <c r="F166" s="220" t="s">
        <v>48</v>
      </c>
      <c r="G166" s="220"/>
      <c r="H166" s="220"/>
      <c r="I166" s="223">
        <v>0</v>
      </c>
      <c r="J166" s="220"/>
      <c r="K166" s="220"/>
      <c r="L166" s="223">
        <v>0.19166666666666665</v>
      </c>
      <c r="M166" s="223">
        <v>0.23958333333333331</v>
      </c>
      <c r="N166" s="223">
        <v>0.19166666666666665</v>
      </c>
      <c r="O166" s="223">
        <v>0.62291666666666656</v>
      </c>
      <c r="P166" s="223"/>
      <c r="Q166" s="223">
        <v>80.809583333333393</v>
      </c>
      <c r="R166" s="223">
        <v>0</v>
      </c>
      <c r="S166" s="223">
        <v>0</v>
      </c>
      <c r="T166" s="223">
        <v>0</v>
      </c>
      <c r="U166" s="223">
        <v>0</v>
      </c>
      <c r="V166" s="223">
        <v>0</v>
      </c>
      <c r="W166" s="223">
        <v>0</v>
      </c>
      <c r="X166" s="223">
        <v>0</v>
      </c>
      <c r="Y166" s="234">
        <v>59.4</v>
      </c>
      <c r="Z166" s="223"/>
      <c r="AA166" s="223"/>
      <c r="AB166" s="223">
        <v>100</v>
      </c>
      <c r="AC166" s="223"/>
      <c r="AD166" s="223"/>
      <c r="AE166" s="223">
        <v>100</v>
      </c>
      <c r="AF166" s="223"/>
      <c r="AG166" s="223"/>
      <c r="AH166" s="223">
        <v>100</v>
      </c>
      <c r="AI166" s="223"/>
      <c r="AJ166" s="223"/>
      <c r="AK166" s="223">
        <v>100</v>
      </c>
    </row>
    <row r="167" spans="1:37" x14ac:dyDescent="0.25">
      <c r="A167" s="227" t="s">
        <v>44</v>
      </c>
      <c r="B167" s="221">
        <v>43864</v>
      </c>
      <c r="C167" s="222">
        <v>0.6791666666666667</v>
      </c>
      <c r="D167" s="223">
        <v>4.7000000000000011</v>
      </c>
      <c r="E167" s="220" t="s">
        <v>49</v>
      </c>
      <c r="F167" s="220" t="s">
        <v>58</v>
      </c>
      <c r="G167" s="220"/>
      <c r="H167" s="220"/>
      <c r="I167" s="223">
        <v>0</v>
      </c>
      <c r="J167" s="220"/>
      <c r="K167" s="220"/>
      <c r="L167" s="223">
        <v>0</v>
      </c>
      <c r="M167" s="223">
        <v>0.48958333333333348</v>
      </c>
      <c r="N167" s="223">
        <v>0.39166666666666672</v>
      </c>
      <c r="O167" s="223">
        <v>0.8812500000000002</v>
      </c>
      <c r="P167" s="223"/>
      <c r="Q167" s="223">
        <v>79.928333333333399</v>
      </c>
      <c r="R167" s="223">
        <v>0</v>
      </c>
      <c r="S167" s="223">
        <v>0</v>
      </c>
      <c r="T167" s="223">
        <v>0</v>
      </c>
      <c r="U167" s="223">
        <v>0</v>
      </c>
      <c r="V167" s="223">
        <v>0</v>
      </c>
      <c r="W167" s="223">
        <v>0</v>
      </c>
      <c r="X167" s="223">
        <v>0</v>
      </c>
      <c r="Y167" s="234">
        <v>59.4</v>
      </c>
      <c r="Z167" s="223"/>
      <c r="AA167" s="223"/>
      <c r="AB167" s="223">
        <v>100</v>
      </c>
      <c r="AC167" s="223"/>
      <c r="AD167" s="223"/>
      <c r="AE167" s="223">
        <v>100</v>
      </c>
      <c r="AF167" s="223"/>
      <c r="AG167" s="223"/>
      <c r="AH167" s="223">
        <v>100</v>
      </c>
      <c r="AI167" s="223"/>
      <c r="AJ167" s="223"/>
      <c r="AK167" s="223">
        <v>100</v>
      </c>
    </row>
    <row r="168" spans="1:37" x14ac:dyDescent="0.25">
      <c r="A168" s="227" t="s">
        <v>44</v>
      </c>
      <c r="B168" s="221">
        <v>43865</v>
      </c>
      <c r="C168" s="222">
        <v>0.26250000000000001</v>
      </c>
      <c r="D168" s="223">
        <v>14</v>
      </c>
      <c r="E168" s="220" t="s">
        <v>51</v>
      </c>
      <c r="F168" s="220" t="s">
        <v>52</v>
      </c>
      <c r="G168" s="220"/>
      <c r="H168" s="220"/>
      <c r="I168" s="223">
        <v>0</v>
      </c>
      <c r="J168" s="220"/>
      <c r="K168" s="220"/>
      <c r="L168" s="223">
        <v>0</v>
      </c>
      <c r="M168" s="223">
        <v>1.4583333333333335</v>
      </c>
      <c r="N168" s="223">
        <v>1.1666666666666665</v>
      </c>
      <c r="O168" s="223">
        <v>2.625</v>
      </c>
      <c r="P168" s="223"/>
      <c r="Q168" s="223">
        <v>77.303333333333399</v>
      </c>
      <c r="R168" s="223">
        <v>0</v>
      </c>
      <c r="S168" s="223">
        <v>0</v>
      </c>
      <c r="T168" s="223">
        <v>0</v>
      </c>
      <c r="U168" s="223">
        <v>0</v>
      </c>
      <c r="V168" s="223">
        <v>3.5</v>
      </c>
      <c r="W168" s="223">
        <v>3.5</v>
      </c>
      <c r="X168" s="223">
        <v>0</v>
      </c>
      <c r="Y168" s="234">
        <v>55.9</v>
      </c>
      <c r="Z168" s="223"/>
      <c r="AA168" s="223"/>
      <c r="AB168" s="223">
        <v>100</v>
      </c>
      <c r="AC168" s="223"/>
      <c r="AD168" s="223"/>
      <c r="AE168" s="223">
        <v>100</v>
      </c>
      <c r="AF168" s="223"/>
      <c r="AG168" s="223"/>
      <c r="AH168" s="223">
        <v>100</v>
      </c>
      <c r="AI168" s="223"/>
      <c r="AJ168" s="223"/>
      <c r="AK168" s="223">
        <v>100</v>
      </c>
    </row>
    <row r="169" spans="1:37" x14ac:dyDescent="0.25">
      <c r="A169" s="227" t="s">
        <v>44</v>
      </c>
      <c r="B169" s="221">
        <v>43865</v>
      </c>
      <c r="C169" s="222">
        <v>0.33333333333333331</v>
      </c>
      <c r="D169" s="223">
        <v>1.6999999999999993</v>
      </c>
      <c r="E169" s="220" t="s">
        <v>49</v>
      </c>
      <c r="F169" s="220" t="s">
        <v>59</v>
      </c>
      <c r="G169" s="220"/>
      <c r="H169" s="220"/>
      <c r="I169" s="223">
        <v>0</v>
      </c>
      <c r="J169" s="220"/>
      <c r="K169" s="220"/>
      <c r="L169" s="223">
        <v>0</v>
      </c>
      <c r="M169" s="223">
        <v>0.17708333333333326</v>
      </c>
      <c r="N169" s="223">
        <v>0.14166666666666661</v>
      </c>
      <c r="O169" s="223">
        <v>0.31874999999999987</v>
      </c>
      <c r="P169" s="223"/>
      <c r="Q169" s="223">
        <v>76.984583333333404</v>
      </c>
      <c r="R169" s="223">
        <v>0</v>
      </c>
      <c r="S169" s="223">
        <v>0</v>
      </c>
      <c r="T169" s="223">
        <v>0</v>
      </c>
      <c r="U169" s="223">
        <v>0</v>
      </c>
      <c r="V169" s="223">
        <v>0</v>
      </c>
      <c r="W169" s="223">
        <v>0</v>
      </c>
      <c r="X169" s="223">
        <v>0</v>
      </c>
      <c r="Y169" s="234">
        <v>55.9</v>
      </c>
      <c r="Z169" s="223"/>
      <c r="AA169" s="223"/>
      <c r="AB169" s="223">
        <v>100</v>
      </c>
      <c r="AC169" s="223"/>
      <c r="AD169" s="223"/>
      <c r="AE169" s="223">
        <v>100</v>
      </c>
      <c r="AF169" s="223"/>
      <c r="AG169" s="223"/>
      <c r="AH169" s="223">
        <v>100</v>
      </c>
      <c r="AI169" s="223"/>
      <c r="AJ169" s="223"/>
      <c r="AK169" s="223">
        <v>100</v>
      </c>
    </row>
    <row r="170" spans="1:37" x14ac:dyDescent="0.25">
      <c r="A170" s="227" t="s">
        <v>44</v>
      </c>
      <c r="B170" s="221">
        <v>43865</v>
      </c>
      <c r="C170" s="222">
        <v>0.45416666666666666</v>
      </c>
      <c r="D170" s="223">
        <v>2.9000000000000004</v>
      </c>
      <c r="E170" s="220" t="s">
        <v>49</v>
      </c>
      <c r="F170" s="220" t="s">
        <v>46</v>
      </c>
      <c r="G170" s="220"/>
      <c r="H170" s="220"/>
      <c r="I170" s="223">
        <v>0</v>
      </c>
      <c r="J170" s="220"/>
      <c r="K170" s="220"/>
      <c r="L170" s="223">
        <v>0</v>
      </c>
      <c r="M170" s="223">
        <v>0.30208333333333337</v>
      </c>
      <c r="N170" s="223">
        <v>0.2416666666666667</v>
      </c>
      <c r="O170" s="223">
        <v>0.54375000000000007</v>
      </c>
      <c r="P170" s="223"/>
      <c r="Q170" s="223">
        <v>76.440833333333401</v>
      </c>
      <c r="R170" s="223">
        <v>0</v>
      </c>
      <c r="S170" s="223">
        <v>0</v>
      </c>
      <c r="T170" s="223">
        <v>0</v>
      </c>
      <c r="U170" s="223">
        <v>0</v>
      </c>
      <c r="V170" s="223">
        <v>0</v>
      </c>
      <c r="W170" s="223">
        <v>0</v>
      </c>
      <c r="X170" s="223">
        <v>0</v>
      </c>
      <c r="Y170" s="234">
        <v>55.9</v>
      </c>
      <c r="Z170" s="223"/>
      <c r="AA170" s="223"/>
      <c r="AB170" s="223">
        <v>100</v>
      </c>
      <c r="AC170" s="223"/>
      <c r="AD170" s="223"/>
      <c r="AE170" s="223">
        <v>100</v>
      </c>
      <c r="AF170" s="223"/>
      <c r="AG170" s="223"/>
      <c r="AH170" s="223">
        <v>100</v>
      </c>
      <c r="AI170" s="223"/>
      <c r="AJ170" s="223"/>
      <c r="AK170" s="223">
        <v>100</v>
      </c>
    </row>
    <row r="171" spans="1:37" x14ac:dyDescent="0.25">
      <c r="A171" s="227" t="s">
        <v>44</v>
      </c>
      <c r="B171" s="221">
        <v>43865</v>
      </c>
      <c r="C171" s="222">
        <v>0.5</v>
      </c>
      <c r="D171" s="223">
        <v>1.1000000000000001</v>
      </c>
      <c r="E171" s="220" t="s">
        <v>47</v>
      </c>
      <c r="F171" s="220" t="s">
        <v>60</v>
      </c>
      <c r="G171" s="220"/>
      <c r="H171" s="220"/>
      <c r="I171" s="223">
        <v>0</v>
      </c>
      <c r="J171" s="220" t="s">
        <v>54</v>
      </c>
      <c r="K171" s="220">
        <v>95</v>
      </c>
      <c r="L171" s="223">
        <v>0.13750000000000001</v>
      </c>
      <c r="M171" s="223">
        <v>0.11458333333333334</v>
      </c>
      <c r="N171" s="223">
        <v>9.1666666666666674E-2</v>
      </c>
      <c r="O171" s="223">
        <v>0.34375</v>
      </c>
      <c r="P171" s="223"/>
      <c r="Q171" s="223">
        <v>76.097083333333401</v>
      </c>
      <c r="R171" s="223">
        <v>0</v>
      </c>
      <c r="S171" s="223">
        <v>0</v>
      </c>
      <c r="T171" s="223">
        <v>0</v>
      </c>
      <c r="U171" s="223">
        <v>0</v>
      </c>
      <c r="V171" s="223">
        <v>0</v>
      </c>
      <c r="W171" s="223">
        <v>0</v>
      </c>
      <c r="X171" s="223">
        <v>0</v>
      </c>
      <c r="Y171" s="234">
        <v>55.9</v>
      </c>
      <c r="Z171" s="223"/>
      <c r="AA171" s="223"/>
      <c r="AB171" s="223">
        <v>100</v>
      </c>
      <c r="AC171" s="223"/>
      <c r="AD171" s="223"/>
      <c r="AE171" s="223">
        <v>100</v>
      </c>
      <c r="AF171" s="223"/>
      <c r="AG171" s="223"/>
      <c r="AH171" s="223">
        <v>100</v>
      </c>
      <c r="AI171" s="223"/>
      <c r="AJ171" s="223"/>
      <c r="AK171" s="223">
        <v>100</v>
      </c>
    </row>
    <row r="172" spans="1:37" x14ac:dyDescent="0.25">
      <c r="A172" s="227" t="s">
        <v>44</v>
      </c>
      <c r="B172" s="221">
        <v>43866</v>
      </c>
      <c r="C172" s="222">
        <v>0.33333333333333331</v>
      </c>
      <c r="D172" s="223">
        <v>20</v>
      </c>
      <c r="E172" s="220" t="s">
        <v>61</v>
      </c>
      <c r="F172" s="220" t="s">
        <v>56</v>
      </c>
      <c r="G172" s="220"/>
      <c r="H172" s="220"/>
      <c r="I172" s="223">
        <v>0</v>
      </c>
      <c r="J172" s="220" t="s">
        <v>54</v>
      </c>
      <c r="K172" s="220">
        <v>95</v>
      </c>
      <c r="L172" s="223">
        <v>16.666666666666668</v>
      </c>
      <c r="M172" s="223">
        <v>2.0833333333333335</v>
      </c>
      <c r="N172" s="223">
        <v>0</v>
      </c>
      <c r="O172" s="223">
        <v>18.75</v>
      </c>
      <c r="P172" s="223"/>
      <c r="Q172" s="223">
        <v>57.347083333333401</v>
      </c>
      <c r="R172" s="223">
        <v>0</v>
      </c>
      <c r="S172" s="223">
        <v>0</v>
      </c>
      <c r="T172" s="223">
        <v>0</v>
      </c>
      <c r="U172" s="223">
        <v>0</v>
      </c>
      <c r="V172" s="223">
        <v>0</v>
      </c>
      <c r="W172" s="223">
        <v>0</v>
      </c>
      <c r="X172" s="223">
        <v>0</v>
      </c>
      <c r="Y172" s="234">
        <v>55.9</v>
      </c>
      <c r="Z172" s="223"/>
      <c r="AA172" s="223"/>
      <c r="AB172" s="223">
        <v>100</v>
      </c>
      <c r="AC172" s="223"/>
      <c r="AD172" s="223"/>
      <c r="AE172" s="223">
        <v>100</v>
      </c>
      <c r="AF172" s="223"/>
      <c r="AG172" s="223"/>
      <c r="AH172" s="223">
        <v>100</v>
      </c>
      <c r="AI172" s="223"/>
      <c r="AJ172" s="223"/>
      <c r="AK172" s="223">
        <v>100</v>
      </c>
    </row>
    <row r="173" spans="1:37" x14ac:dyDescent="0.25">
      <c r="A173" s="227" t="s">
        <v>44</v>
      </c>
      <c r="B173" s="221">
        <v>43866</v>
      </c>
      <c r="C173" s="222">
        <v>0.5</v>
      </c>
      <c r="D173" s="223">
        <v>4</v>
      </c>
      <c r="E173" s="220" t="s">
        <v>61</v>
      </c>
      <c r="F173" s="220" t="s">
        <v>62</v>
      </c>
      <c r="G173" s="220">
        <v>265</v>
      </c>
      <c r="H173" s="220">
        <v>24</v>
      </c>
      <c r="I173" s="223">
        <v>11.041666666666666</v>
      </c>
      <c r="J173" s="220" t="s">
        <v>54</v>
      </c>
      <c r="K173" s="220">
        <v>95</v>
      </c>
      <c r="L173" s="223">
        <v>3.3333333333333335</v>
      </c>
      <c r="M173" s="223">
        <v>0.41666666666666669</v>
      </c>
      <c r="N173" s="223">
        <v>0</v>
      </c>
      <c r="O173" s="223">
        <v>3.75</v>
      </c>
      <c r="P173" s="223"/>
      <c r="Q173" s="223">
        <v>53.597083333333401</v>
      </c>
      <c r="R173" s="223">
        <v>0</v>
      </c>
      <c r="S173" s="223">
        <v>0</v>
      </c>
      <c r="T173" s="223">
        <v>0</v>
      </c>
      <c r="U173" s="223">
        <v>0</v>
      </c>
      <c r="V173" s="223">
        <v>0</v>
      </c>
      <c r="W173" s="223">
        <v>0</v>
      </c>
      <c r="X173" s="223">
        <v>0</v>
      </c>
      <c r="Y173" s="234">
        <v>55.9</v>
      </c>
      <c r="Z173" s="223"/>
      <c r="AA173" s="223"/>
      <c r="AB173" s="223">
        <v>100</v>
      </c>
      <c r="AC173" s="223"/>
      <c r="AD173" s="223"/>
      <c r="AE173" s="223">
        <v>100</v>
      </c>
      <c r="AF173" s="223"/>
      <c r="AG173" s="223"/>
      <c r="AH173" s="223">
        <v>100</v>
      </c>
      <c r="AI173" s="223"/>
      <c r="AJ173" s="223"/>
      <c r="AK173" s="223">
        <v>100</v>
      </c>
    </row>
    <row r="174" spans="1:37" x14ac:dyDescent="0.25">
      <c r="A174" s="227" t="s">
        <v>63</v>
      </c>
      <c r="B174" s="221">
        <v>43866</v>
      </c>
      <c r="C174" s="222">
        <v>0.52083333333333326</v>
      </c>
      <c r="D174" s="223">
        <v>1</v>
      </c>
      <c r="E174" s="220" t="s">
        <v>47</v>
      </c>
      <c r="F174" s="220" t="s">
        <v>64</v>
      </c>
      <c r="G174" s="220"/>
      <c r="H174" s="220"/>
      <c r="I174" s="223">
        <v>0</v>
      </c>
      <c r="J174" s="220"/>
      <c r="K174" s="220"/>
      <c r="L174" s="223">
        <v>0</v>
      </c>
      <c r="M174" s="223">
        <v>0</v>
      </c>
      <c r="N174" s="223">
        <v>0</v>
      </c>
      <c r="O174" s="223">
        <v>0</v>
      </c>
      <c r="P174" s="223"/>
      <c r="Q174" s="280">
        <v>53</v>
      </c>
      <c r="R174" s="223">
        <v>0</v>
      </c>
      <c r="S174" s="223">
        <v>0</v>
      </c>
      <c r="T174" s="223">
        <v>0</v>
      </c>
      <c r="U174" s="223">
        <v>0</v>
      </c>
      <c r="V174" s="223">
        <v>0</v>
      </c>
      <c r="W174" s="223">
        <v>0</v>
      </c>
      <c r="X174" s="223">
        <v>0</v>
      </c>
      <c r="Y174" s="234">
        <v>56</v>
      </c>
      <c r="Z174" s="223"/>
      <c r="AA174" s="223"/>
      <c r="AB174" s="223">
        <v>100</v>
      </c>
      <c r="AC174" s="223"/>
      <c r="AD174" s="223"/>
      <c r="AE174" s="223">
        <v>100</v>
      </c>
      <c r="AF174" s="223"/>
      <c r="AG174" s="223"/>
      <c r="AH174" s="223">
        <v>100</v>
      </c>
      <c r="AI174" s="223"/>
      <c r="AJ174" s="223"/>
      <c r="AK174" s="223">
        <v>100</v>
      </c>
    </row>
    <row r="175" spans="1:37" x14ac:dyDescent="0.25">
      <c r="A175" s="227" t="s">
        <v>63</v>
      </c>
      <c r="B175" s="221">
        <v>43867</v>
      </c>
      <c r="C175" s="222">
        <v>0.33333333333333331</v>
      </c>
      <c r="D175" s="223">
        <v>20</v>
      </c>
      <c r="E175" s="220" t="s">
        <v>45</v>
      </c>
      <c r="F175" s="220" t="s">
        <v>45</v>
      </c>
      <c r="G175" s="220"/>
      <c r="H175" s="220"/>
      <c r="I175" s="223">
        <v>0</v>
      </c>
      <c r="J175" s="220"/>
      <c r="K175" s="220"/>
      <c r="L175" s="223">
        <v>0</v>
      </c>
      <c r="M175" s="223">
        <v>2</v>
      </c>
      <c r="N175" s="223">
        <v>0</v>
      </c>
      <c r="O175" s="223">
        <v>2</v>
      </c>
      <c r="P175" s="223"/>
      <c r="Q175" s="280">
        <v>51</v>
      </c>
      <c r="R175" s="223">
        <v>0</v>
      </c>
      <c r="S175" s="223">
        <v>0</v>
      </c>
      <c r="T175" s="223">
        <v>0</v>
      </c>
      <c r="U175" s="223">
        <v>0</v>
      </c>
      <c r="V175" s="223">
        <v>0</v>
      </c>
      <c r="W175" s="223">
        <v>0</v>
      </c>
      <c r="X175" s="223">
        <v>0</v>
      </c>
      <c r="Y175" s="234">
        <v>56</v>
      </c>
      <c r="Z175" s="223"/>
      <c r="AA175" s="223"/>
      <c r="AB175" s="223">
        <v>100</v>
      </c>
      <c r="AC175" s="223"/>
      <c r="AD175" s="223"/>
      <c r="AE175" s="223">
        <v>100</v>
      </c>
      <c r="AF175" s="223"/>
      <c r="AG175" s="223"/>
      <c r="AH175" s="223">
        <v>100</v>
      </c>
      <c r="AI175" s="223"/>
      <c r="AJ175" s="223"/>
      <c r="AK175" s="223">
        <v>100</v>
      </c>
    </row>
    <row r="176" spans="1:37" x14ac:dyDescent="0.25">
      <c r="A176" s="227" t="s">
        <v>63</v>
      </c>
      <c r="B176" s="221">
        <v>43867</v>
      </c>
      <c r="C176" s="222">
        <v>0.37916666666666665</v>
      </c>
      <c r="D176" s="223">
        <v>1</v>
      </c>
      <c r="E176" s="220" t="s">
        <v>45</v>
      </c>
      <c r="F176" s="220" t="s">
        <v>65</v>
      </c>
      <c r="G176" s="220"/>
      <c r="H176" s="220"/>
      <c r="I176" s="223">
        <v>0</v>
      </c>
      <c r="J176" s="220"/>
      <c r="K176" s="220"/>
      <c r="L176" s="223">
        <v>0</v>
      </c>
      <c r="M176" s="223">
        <v>0</v>
      </c>
      <c r="N176" s="223">
        <v>0</v>
      </c>
      <c r="O176" s="223">
        <v>0</v>
      </c>
      <c r="P176" s="223">
        <v>800</v>
      </c>
      <c r="Q176" s="280">
        <v>851</v>
      </c>
      <c r="R176" s="223">
        <v>0</v>
      </c>
      <c r="S176" s="223">
        <v>0</v>
      </c>
      <c r="T176" s="223">
        <v>0</v>
      </c>
      <c r="U176" s="223">
        <v>0</v>
      </c>
      <c r="V176" s="223">
        <v>0</v>
      </c>
      <c r="W176" s="223">
        <v>0</v>
      </c>
      <c r="X176" s="223">
        <v>0</v>
      </c>
      <c r="Y176" s="234">
        <v>56</v>
      </c>
      <c r="Z176" s="223"/>
      <c r="AA176" s="223"/>
      <c r="AB176" s="223">
        <v>100</v>
      </c>
      <c r="AC176" s="223"/>
      <c r="AD176" s="223"/>
      <c r="AE176" s="223">
        <v>100</v>
      </c>
      <c r="AF176" s="223"/>
      <c r="AG176" s="223"/>
      <c r="AH176" s="223">
        <v>100</v>
      </c>
      <c r="AI176" s="223"/>
      <c r="AJ176" s="223"/>
      <c r="AK176" s="223">
        <v>100</v>
      </c>
    </row>
    <row r="177" spans="1:37" x14ac:dyDescent="0.25">
      <c r="A177" s="227" t="s">
        <v>63</v>
      </c>
      <c r="B177" s="221">
        <v>43867</v>
      </c>
      <c r="C177" s="222">
        <v>0.85972222222222217</v>
      </c>
      <c r="D177" s="223">
        <v>12</v>
      </c>
      <c r="E177" s="220" t="s">
        <v>45</v>
      </c>
      <c r="F177" s="220" t="s">
        <v>66</v>
      </c>
      <c r="G177" s="220"/>
      <c r="H177" s="220"/>
      <c r="I177" s="223">
        <v>0</v>
      </c>
      <c r="J177" s="220"/>
      <c r="K177" s="220"/>
      <c r="L177" s="223">
        <v>0</v>
      </c>
      <c r="M177" s="223">
        <v>1</v>
      </c>
      <c r="N177" s="223">
        <v>0</v>
      </c>
      <c r="O177" s="223">
        <v>1</v>
      </c>
      <c r="P177" s="223"/>
      <c r="Q177" s="280">
        <v>850</v>
      </c>
      <c r="R177" s="223">
        <v>0</v>
      </c>
      <c r="S177" s="223">
        <v>0</v>
      </c>
      <c r="T177" s="223">
        <v>0</v>
      </c>
      <c r="U177" s="223">
        <v>0</v>
      </c>
      <c r="V177" s="223">
        <v>1</v>
      </c>
      <c r="W177" s="223">
        <v>1</v>
      </c>
      <c r="X177" s="223">
        <v>0</v>
      </c>
      <c r="Y177" s="234">
        <v>55</v>
      </c>
      <c r="Z177" s="223"/>
      <c r="AA177" s="223"/>
      <c r="AB177" s="223">
        <v>100</v>
      </c>
      <c r="AC177" s="223"/>
      <c r="AD177" s="223"/>
      <c r="AE177" s="223">
        <v>100</v>
      </c>
      <c r="AF177" s="223"/>
      <c r="AG177" s="223"/>
      <c r="AH177" s="223">
        <v>100</v>
      </c>
      <c r="AI177" s="223"/>
      <c r="AJ177" s="223"/>
      <c r="AK177" s="223">
        <v>100</v>
      </c>
    </row>
    <row r="178" spans="1:37" x14ac:dyDescent="0.25">
      <c r="A178" s="227" t="s">
        <v>63</v>
      </c>
      <c r="B178" s="221">
        <v>43867</v>
      </c>
      <c r="C178" s="222">
        <v>0.875</v>
      </c>
      <c r="D178" s="223">
        <v>0</v>
      </c>
      <c r="E178" s="220" t="s">
        <v>47</v>
      </c>
      <c r="F178" s="220" t="s">
        <v>67</v>
      </c>
      <c r="G178" s="220"/>
      <c r="H178" s="220"/>
      <c r="I178" s="223">
        <v>0</v>
      </c>
      <c r="J178" s="220"/>
      <c r="K178" s="220"/>
      <c r="L178" s="223">
        <v>0</v>
      </c>
      <c r="M178" s="223">
        <v>0</v>
      </c>
      <c r="N178" s="223">
        <v>0</v>
      </c>
      <c r="O178" s="223">
        <v>0</v>
      </c>
      <c r="P178" s="223"/>
      <c r="Q178" s="280">
        <v>850</v>
      </c>
      <c r="R178" s="223">
        <v>0</v>
      </c>
      <c r="S178" s="223">
        <v>0</v>
      </c>
      <c r="T178" s="223">
        <v>0</v>
      </c>
      <c r="U178" s="223">
        <v>0</v>
      </c>
      <c r="V178" s="223">
        <v>0</v>
      </c>
      <c r="W178" s="223">
        <v>0</v>
      </c>
      <c r="X178" s="223">
        <v>0</v>
      </c>
      <c r="Y178" s="234">
        <v>55</v>
      </c>
      <c r="Z178" s="223"/>
      <c r="AA178" s="223"/>
      <c r="AB178" s="223">
        <v>100</v>
      </c>
      <c r="AC178" s="223"/>
      <c r="AD178" s="223"/>
      <c r="AE178" s="223">
        <v>100</v>
      </c>
      <c r="AF178" s="223"/>
      <c r="AG178" s="223"/>
      <c r="AH178" s="223">
        <v>100</v>
      </c>
      <c r="AI178" s="223"/>
      <c r="AJ178" s="223"/>
      <c r="AK178" s="223">
        <v>100</v>
      </c>
    </row>
    <row r="179" spans="1:37" x14ac:dyDescent="0.25">
      <c r="A179" s="227" t="s">
        <v>63</v>
      </c>
      <c r="B179" s="221">
        <v>43867</v>
      </c>
      <c r="C179" s="222">
        <v>0.91249999999999998</v>
      </c>
      <c r="D179" s="223">
        <v>1</v>
      </c>
      <c r="E179" s="220" t="s">
        <v>47</v>
      </c>
      <c r="F179" s="220" t="s">
        <v>68</v>
      </c>
      <c r="G179" s="220"/>
      <c r="H179" s="220"/>
      <c r="I179" s="223">
        <v>0</v>
      </c>
      <c r="J179" s="220"/>
      <c r="K179" s="220"/>
      <c r="L179" s="223">
        <v>1</v>
      </c>
      <c r="M179" s="223">
        <v>0</v>
      </c>
      <c r="N179" s="223">
        <v>0</v>
      </c>
      <c r="O179" s="223">
        <v>1</v>
      </c>
      <c r="P179" s="223"/>
      <c r="Q179" s="280">
        <v>849</v>
      </c>
      <c r="R179" s="223">
        <v>0</v>
      </c>
      <c r="S179" s="223">
        <v>0</v>
      </c>
      <c r="T179" s="223">
        <v>0</v>
      </c>
      <c r="U179" s="223">
        <v>0</v>
      </c>
      <c r="V179" s="223">
        <v>0</v>
      </c>
      <c r="W179" s="223">
        <v>0</v>
      </c>
      <c r="X179" s="223">
        <v>0</v>
      </c>
      <c r="Y179" s="234">
        <v>55</v>
      </c>
      <c r="Z179" s="223"/>
      <c r="AA179" s="223"/>
      <c r="AB179" s="223">
        <v>100</v>
      </c>
      <c r="AC179" s="223"/>
      <c r="AD179" s="223"/>
      <c r="AE179" s="223">
        <v>100</v>
      </c>
      <c r="AF179" s="223"/>
      <c r="AG179" s="223"/>
      <c r="AH179" s="223">
        <v>100</v>
      </c>
      <c r="AI179" s="223"/>
      <c r="AJ179" s="223"/>
      <c r="AK179" s="223">
        <v>100</v>
      </c>
    </row>
    <row r="180" spans="1:37" x14ac:dyDescent="0.25">
      <c r="A180" s="227" t="s">
        <v>63</v>
      </c>
      <c r="B180" s="221">
        <v>43867</v>
      </c>
      <c r="C180" s="222">
        <v>0.94166666666666676</v>
      </c>
      <c r="D180" s="223">
        <v>1</v>
      </c>
      <c r="E180" s="220" t="s">
        <v>47</v>
      </c>
      <c r="F180" s="220" t="s">
        <v>69</v>
      </c>
      <c r="G180" s="220"/>
      <c r="H180" s="220"/>
      <c r="I180" s="223">
        <v>0</v>
      </c>
      <c r="J180" s="220"/>
      <c r="K180" s="220"/>
      <c r="L180" s="223">
        <v>0</v>
      </c>
      <c r="M180" s="223">
        <v>0</v>
      </c>
      <c r="N180" s="223">
        <v>0</v>
      </c>
      <c r="O180" s="223">
        <v>0</v>
      </c>
      <c r="P180" s="223"/>
      <c r="Q180" s="280">
        <v>848</v>
      </c>
      <c r="R180" s="223">
        <v>0</v>
      </c>
      <c r="S180" s="223">
        <v>0</v>
      </c>
      <c r="T180" s="223">
        <v>0</v>
      </c>
      <c r="U180" s="223">
        <v>0</v>
      </c>
      <c r="V180" s="223">
        <v>0</v>
      </c>
      <c r="W180" s="223">
        <v>0</v>
      </c>
      <c r="X180" s="223">
        <v>0</v>
      </c>
      <c r="Y180" s="234">
        <v>55</v>
      </c>
      <c r="Z180" s="223"/>
      <c r="AA180" s="223"/>
      <c r="AB180" s="223">
        <v>100</v>
      </c>
      <c r="AC180" s="223"/>
      <c r="AD180" s="223"/>
      <c r="AE180" s="223">
        <v>100</v>
      </c>
      <c r="AF180" s="223"/>
      <c r="AG180" s="223"/>
      <c r="AH180" s="223">
        <v>100</v>
      </c>
      <c r="AI180" s="223"/>
      <c r="AJ180" s="223"/>
      <c r="AK180" s="223">
        <v>100</v>
      </c>
    </row>
    <row r="181" spans="1:37" x14ac:dyDescent="0.25">
      <c r="A181" s="227" t="s">
        <v>63</v>
      </c>
      <c r="B181" s="221">
        <v>43867</v>
      </c>
      <c r="C181" s="222">
        <v>0.98333333333333339</v>
      </c>
      <c r="D181" s="223">
        <v>1</v>
      </c>
      <c r="E181" s="220" t="s">
        <v>47</v>
      </c>
      <c r="F181" s="220" t="s">
        <v>48</v>
      </c>
      <c r="G181" s="220"/>
      <c r="H181" s="220"/>
      <c r="I181" s="223">
        <v>0</v>
      </c>
      <c r="J181" s="220"/>
      <c r="K181" s="220"/>
      <c r="L181" s="223">
        <v>0</v>
      </c>
      <c r="M181" s="223">
        <v>0</v>
      </c>
      <c r="N181" s="223">
        <v>0</v>
      </c>
      <c r="O181" s="223">
        <v>1</v>
      </c>
      <c r="P181" s="223"/>
      <c r="Q181" s="280">
        <v>848</v>
      </c>
      <c r="R181" s="223">
        <v>0</v>
      </c>
      <c r="S181" s="223">
        <v>0</v>
      </c>
      <c r="T181" s="223">
        <v>0</v>
      </c>
      <c r="U181" s="223">
        <v>0</v>
      </c>
      <c r="V181" s="223">
        <v>0</v>
      </c>
      <c r="W181" s="223">
        <v>0</v>
      </c>
      <c r="X181" s="223">
        <v>0</v>
      </c>
      <c r="Y181" s="234">
        <v>55</v>
      </c>
      <c r="Z181" s="223"/>
      <c r="AA181" s="223"/>
      <c r="AB181" s="223">
        <v>100</v>
      </c>
      <c r="AC181" s="223"/>
      <c r="AD181" s="223"/>
      <c r="AE181" s="223">
        <v>100</v>
      </c>
      <c r="AF181" s="223"/>
      <c r="AG181" s="223"/>
      <c r="AH181" s="223">
        <v>100</v>
      </c>
      <c r="AI181" s="223"/>
      <c r="AJ181" s="223"/>
      <c r="AK181" s="223">
        <v>100</v>
      </c>
    </row>
    <row r="182" spans="1:37" x14ac:dyDescent="0.25">
      <c r="A182" s="227" t="s">
        <v>63</v>
      </c>
      <c r="B182" s="221">
        <v>43868</v>
      </c>
      <c r="C182" s="222">
        <v>0.33333333333333331</v>
      </c>
      <c r="D182" s="223">
        <v>8</v>
      </c>
      <c r="E182" s="220" t="s">
        <v>49</v>
      </c>
      <c r="F182" s="220" t="s">
        <v>70</v>
      </c>
      <c r="G182" s="220"/>
      <c r="H182" s="220"/>
      <c r="I182" s="223">
        <v>0</v>
      </c>
      <c r="J182" s="220"/>
      <c r="K182" s="220"/>
      <c r="L182" s="223">
        <v>0</v>
      </c>
      <c r="M182" s="223">
        <v>1</v>
      </c>
      <c r="N182" s="223">
        <v>0</v>
      </c>
      <c r="O182" s="223">
        <v>1</v>
      </c>
      <c r="P182" s="223"/>
      <c r="Q182" s="280">
        <v>847</v>
      </c>
      <c r="R182" s="223">
        <v>0</v>
      </c>
      <c r="S182" s="223">
        <v>0</v>
      </c>
      <c r="T182" s="223">
        <v>0</v>
      </c>
      <c r="U182" s="223">
        <v>0</v>
      </c>
      <c r="V182" s="223">
        <v>0</v>
      </c>
      <c r="W182" s="223">
        <v>0</v>
      </c>
      <c r="X182" s="223">
        <v>0</v>
      </c>
      <c r="Y182" s="234">
        <v>55</v>
      </c>
      <c r="Z182" s="223"/>
      <c r="AA182" s="223"/>
      <c r="AB182" s="223">
        <v>100</v>
      </c>
      <c r="AC182" s="223"/>
      <c r="AD182" s="223"/>
      <c r="AE182" s="223">
        <v>100</v>
      </c>
      <c r="AF182" s="223"/>
      <c r="AG182" s="223"/>
      <c r="AH182" s="223">
        <v>100</v>
      </c>
      <c r="AI182" s="223"/>
      <c r="AJ182" s="223"/>
      <c r="AK182" s="223">
        <v>100</v>
      </c>
    </row>
    <row r="183" spans="1:37" x14ac:dyDescent="0.25">
      <c r="A183" s="227" t="s">
        <v>63</v>
      </c>
      <c r="B183" s="221">
        <v>43869</v>
      </c>
      <c r="C183" s="222">
        <v>0.33333333333333331</v>
      </c>
      <c r="D183" s="223">
        <v>24</v>
      </c>
      <c r="E183" s="220" t="s">
        <v>71</v>
      </c>
      <c r="F183" s="220" t="s">
        <v>72</v>
      </c>
      <c r="G183" s="220"/>
      <c r="H183" s="220"/>
      <c r="I183" s="223">
        <v>0</v>
      </c>
      <c r="J183" s="220"/>
      <c r="K183" s="220"/>
      <c r="L183" s="223">
        <v>0</v>
      </c>
      <c r="M183" s="223">
        <v>2</v>
      </c>
      <c r="N183" s="223">
        <v>2</v>
      </c>
      <c r="O183" s="223">
        <v>4</v>
      </c>
      <c r="P183" s="223"/>
      <c r="Q183" s="280">
        <v>843</v>
      </c>
      <c r="R183" s="223">
        <v>0</v>
      </c>
      <c r="S183" s="223">
        <v>0</v>
      </c>
      <c r="T183" s="223">
        <v>0</v>
      </c>
      <c r="U183" s="223">
        <v>0</v>
      </c>
      <c r="V183" s="223">
        <v>0</v>
      </c>
      <c r="W183" s="223">
        <v>0</v>
      </c>
      <c r="X183" s="223">
        <v>0</v>
      </c>
      <c r="Y183" s="234">
        <v>55</v>
      </c>
      <c r="Z183" s="223"/>
      <c r="AA183" s="223"/>
      <c r="AB183" s="223">
        <v>100</v>
      </c>
      <c r="AC183" s="223"/>
      <c r="AD183" s="223"/>
      <c r="AE183" s="223">
        <v>100</v>
      </c>
      <c r="AF183" s="223"/>
      <c r="AG183" s="223"/>
      <c r="AH183" s="223">
        <v>100</v>
      </c>
      <c r="AI183" s="223"/>
      <c r="AJ183" s="223"/>
      <c r="AK183" s="223">
        <v>100</v>
      </c>
    </row>
    <row r="184" spans="1:37" x14ac:dyDescent="0.25">
      <c r="A184" s="227" t="s">
        <v>63</v>
      </c>
      <c r="B184" s="221">
        <v>43869</v>
      </c>
      <c r="C184" s="222">
        <v>0.70833333333333337</v>
      </c>
      <c r="D184" s="223">
        <v>9</v>
      </c>
      <c r="E184" s="220" t="s">
        <v>71</v>
      </c>
      <c r="F184" s="220" t="s">
        <v>73</v>
      </c>
      <c r="G184" s="220"/>
      <c r="H184" s="220"/>
      <c r="I184" s="223">
        <v>0</v>
      </c>
      <c r="J184" s="220"/>
      <c r="K184" s="220"/>
      <c r="L184" s="223">
        <v>0</v>
      </c>
      <c r="M184" s="223">
        <v>1</v>
      </c>
      <c r="N184" s="223">
        <v>1</v>
      </c>
      <c r="O184" s="223">
        <v>2</v>
      </c>
      <c r="P184" s="223"/>
      <c r="Q184" s="280">
        <v>841</v>
      </c>
      <c r="R184" s="223">
        <v>0</v>
      </c>
      <c r="S184" s="223">
        <v>0</v>
      </c>
      <c r="T184" s="223">
        <v>0</v>
      </c>
      <c r="U184" s="223">
        <v>0</v>
      </c>
      <c r="V184" s="223">
        <v>0</v>
      </c>
      <c r="W184" s="223">
        <v>0</v>
      </c>
      <c r="X184" s="223">
        <v>0</v>
      </c>
      <c r="Y184" s="234">
        <v>55</v>
      </c>
      <c r="Z184" s="223"/>
      <c r="AA184" s="223"/>
      <c r="AB184" s="223">
        <v>100</v>
      </c>
      <c r="AC184" s="223"/>
      <c r="AD184" s="223"/>
      <c r="AE184" s="223">
        <v>100</v>
      </c>
      <c r="AF184" s="223"/>
      <c r="AG184" s="223"/>
      <c r="AH184" s="223">
        <v>100</v>
      </c>
      <c r="AI184" s="223"/>
      <c r="AJ184" s="223"/>
      <c r="AK184" s="223">
        <v>100</v>
      </c>
    </row>
    <row r="185" spans="1:37" x14ac:dyDescent="0.25">
      <c r="A185" s="227" t="s">
        <v>63</v>
      </c>
      <c r="B185" s="221">
        <v>43870</v>
      </c>
      <c r="C185" s="222">
        <v>3.3333333333333333E-2</v>
      </c>
      <c r="D185" s="223">
        <v>8</v>
      </c>
      <c r="E185" s="220" t="s">
        <v>49</v>
      </c>
      <c r="F185" s="220" t="s">
        <v>74</v>
      </c>
      <c r="G185" s="220"/>
      <c r="H185" s="220"/>
      <c r="I185" s="223">
        <v>0</v>
      </c>
      <c r="J185" s="220"/>
      <c r="K185" s="220"/>
      <c r="L185" s="223">
        <v>0</v>
      </c>
      <c r="M185" s="223">
        <v>1</v>
      </c>
      <c r="N185" s="223">
        <v>0</v>
      </c>
      <c r="O185" s="223">
        <v>1</v>
      </c>
      <c r="P185" s="223"/>
      <c r="Q185" s="280">
        <v>840</v>
      </c>
      <c r="R185" s="223">
        <v>0</v>
      </c>
      <c r="S185" s="223">
        <v>0</v>
      </c>
      <c r="T185" s="223">
        <v>0</v>
      </c>
      <c r="U185" s="223">
        <v>0</v>
      </c>
      <c r="V185" s="223">
        <v>0</v>
      </c>
      <c r="W185" s="223">
        <v>0</v>
      </c>
      <c r="X185" s="223">
        <v>0</v>
      </c>
      <c r="Y185" s="234">
        <v>55</v>
      </c>
      <c r="Z185" s="223"/>
      <c r="AA185" s="223"/>
      <c r="AB185" s="223">
        <v>100</v>
      </c>
      <c r="AC185" s="223"/>
      <c r="AD185" s="223"/>
      <c r="AE185" s="223">
        <v>100</v>
      </c>
      <c r="AF185" s="223"/>
      <c r="AG185" s="223"/>
      <c r="AH185" s="223">
        <v>100</v>
      </c>
      <c r="AI185" s="223"/>
      <c r="AJ185" s="223"/>
      <c r="AK185" s="223">
        <v>100</v>
      </c>
    </row>
    <row r="186" spans="1:37" x14ac:dyDescent="0.25">
      <c r="A186" s="227" t="s">
        <v>63</v>
      </c>
      <c r="B186" s="221">
        <v>43870</v>
      </c>
      <c r="C186" s="222">
        <v>5.4166666666666669E-2</v>
      </c>
      <c r="D186" s="223">
        <v>0</v>
      </c>
      <c r="E186" s="220" t="s">
        <v>47</v>
      </c>
      <c r="F186" s="220" t="s">
        <v>75</v>
      </c>
      <c r="G186" s="220"/>
      <c r="H186" s="220"/>
      <c r="I186" s="223">
        <v>0</v>
      </c>
      <c r="J186" s="220" t="s">
        <v>54</v>
      </c>
      <c r="K186" s="220">
        <v>95</v>
      </c>
      <c r="L186" s="223">
        <v>0</v>
      </c>
      <c r="M186" s="223">
        <v>0</v>
      </c>
      <c r="N186" s="223">
        <v>0</v>
      </c>
      <c r="O186" s="223">
        <v>0</v>
      </c>
      <c r="P186" s="223"/>
      <c r="Q186" s="280">
        <v>839</v>
      </c>
      <c r="R186" s="223">
        <v>0</v>
      </c>
      <c r="S186" s="223">
        <v>0</v>
      </c>
      <c r="T186" s="223">
        <v>0</v>
      </c>
      <c r="U186" s="223">
        <v>0</v>
      </c>
      <c r="V186" s="223">
        <v>0</v>
      </c>
      <c r="W186" s="223">
        <v>0</v>
      </c>
      <c r="X186" s="223">
        <v>0</v>
      </c>
      <c r="Y186" s="234">
        <v>55</v>
      </c>
      <c r="Z186" s="223"/>
      <c r="AA186" s="223"/>
      <c r="AB186" s="223">
        <v>100</v>
      </c>
      <c r="AC186" s="223"/>
      <c r="AD186" s="223"/>
      <c r="AE186" s="223">
        <v>100</v>
      </c>
      <c r="AF186" s="223"/>
      <c r="AG186" s="223"/>
      <c r="AH186" s="223">
        <v>100</v>
      </c>
      <c r="AI186" s="223"/>
      <c r="AJ186" s="223"/>
      <c r="AK186" s="223">
        <v>100</v>
      </c>
    </row>
    <row r="187" spans="1:37" x14ac:dyDescent="0.25">
      <c r="A187" s="227" t="s">
        <v>63</v>
      </c>
      <c r="B187" s="221">
        <v>43870</v>
      </c>
      <c r="C187" s="222">
        <v>0.33333333333333331</v>
      </c>
      <c r="D187" s="223">
        <v>7</v>
      </c>
      <c r="E187" s="220" t="s">
        <v>55</v>
      </c>
      <c r="F187" s="220" t="s">
        <v>56</v>
      </c>
      <c r="G187" s="220"/>
      <c r="H187" s="220"/>
      <c r="I187" s="223">
        <v>0</v>
      </c>
      <c r="J187" s="220" t="s">
        <v>54</v>
      </c>
      <c r="K187" s="220">
        <v>95</v>
      </c>
      <c r="L187" s="223">
        <v>6</v>
      </c>
      <c r="M187" s="223">
        <v>1</v>
      </c>
      <c r="N187" s="223">
        <v>1</v>
      </c>
      <c r="O187" s="223">
        <v>7</v>
      </c>
      <c r="P187" s="223"/>
      <c r="Q187" s="280">
        <v>833</v>
      </c>
      <c r="R187" s="223">
        <v>0</v>
      </c>
      <c r="S187" s="223">
        <v>0</v>
      </c>
      <c r="T187" s="223">
        <v>0</v>
      </c>
      <c r="U187" s="223">
        <v>0</v>
      </c>
      <c r="V187" s="223">
        <v>0</v>
      </c>
      <c r="W187" s="223">
        <v>0</v>
      </c>
      <c r="X187" s="223">
        <v>0</v>
      </c>
      <c r="Y187" s="234">
        <v>55</v>
      </c>
      <c r="Z187" s="223"/>
      <c r="AA187" s="223"/>
      <c r="AB187" s="223">
        <v>100</v>
      </c>
      <c r="AC187" s="223"/>
      <c r="AD187" s="223"/>
      <c r="AE187" s="223">
        <v>100</v>
      </c>
      <c r="AF187" s="223"/>
      <c r="AG187" s="223"/>
      <c r="AH187" s="223">
        <v>100</v>
      </c>
      <c r="AI187" s="223"/>
      <c r="AJ187" s="223"/>
      <c r="AK187" s="223">
        <v>100</v>
      </c>
    </row>
    <row r="188" spans="1:37" x14ac:dyDescent="0.25">
      <c r="A188" s="227" t="s">
        <v>63</v>
      </c>
      <c r="B188" s="221">
        <v>43870</v>
      </c>
      <c r="C188" s="222">
        <v>0.38750000000000001</v>
      </c>
      <c r="D188" s="223">
        <v>1</v>
      </c>
      <c r="E188" s="220" t="s">
        <v>55</v>
      </c>
      <c r="F188" s="220" t="s">
        <v>76</v>
      </c>
      <c r="G188" s="220">
        <v>91</v>
      </c>
      <c r="H188" s="220">
        <v>8</v>
      </c>
      <c r="I188" s="223">
        <v>11.375</v>
      </c>
      <c r="J188" s="220" t="s">
        <v>54</v>
      </c>
      <c r="K188" s="220">
        <v>95</v>
      </c>
      <c r="L188" s="223">
        <v>1</v>
      </c>
      <c r="M188" s="223">
        <v>0</v>
      </c>
      <c r="N188" s="223">
        <v>0</v>
      </c>
      <c r="O188" s="223">
        <v>1</v>
      </c>
      <c r="P188" s="223"/>
      <c r="Q188" s="280">
        <v>831</v>
      </c>
      <c r="R188" s="223">
        <v>0</v>
      </c>
      <c r="S188" s="223">
        <v>0</v>
      </c>
      <c r="T188" s="223">
        <v>0</v>
      </c>
      <c r="U188" s="223">
        <v>0</v>
      </c>
      <c r="V188" s="223">
        <v>0</v>
      </c>
      <c r="W188" s="223">
        <v>0</v>
      </c>
      <c r="X188" s="223">
        <v>0</v>
      </c>
      <c r="Y188" s="234">
        <v>55</v>
      </c>
      <c r="Z188" s="223"/>
      <c r="AA188" s="223"/>
      <c r="AB188" s="223">
        <v>100</v>
      </c>
      <c r="AC188" s="223"/>
      <c r="AD188" s="223"/>
      <c r="AE188" s="223">
        <v>100</v>
      </c>
      <c r="AF188" s="223"/>
      <c r="AG188" s="223"/>
      <c r="AH188" s="223">
        <v>100</v>
      </c>
      <c r="AI188" s="223"/>
      <c r="AJ188" s="223"/>
      <c r="AK188" s="223">
        <v>100</v>
      </c>
    </row>
    <row r="189" spans="1:37" x14ac:dyDescent="0.25">
      <c r="A189" s="227" t="s">
        <v>63</v>
      </c>
      <c r="B189" s="221">
        <v>43870</v>
      </c>
      <c r="C189" s="222">
        <v>0.40833333333333338</v>
      </c>
      <c r="D189" s="223">
        <v>1</v>
      </c>
      <c r="E189" s="220" t="s">
        <v>47</v>
      </c>
      <c r="F189" s="220" t="s">
        <v>77</v>
      </c>
      <c r="G189" s="220"/>
      <c r="H189" s="220"/>
      <c r="I189" s="223">
        <v>0</v>
      </c>
      <c r="J189" s="220"/>
      <c r="K189" s="220"/>
      <c r="L189" s="223">
        <v>0</v>
      </c>
      <c r="M189" s="223">
        <v>0</v>
      </c>
      <c r="N189" s="223">
        <v>0</v>
      </c>
      <c r="O189" s="223">
        <v>0</v>
      </c>
      <c r="P189" s="223"/>
      <c r="Q189" s="280">
        <v>831</v>
      </c>
      <c r="R189" s="223">
        <v>0</v>
      </c>
      <c r="S189" s="223">
        <v>0</v>
      </c>
      <c r="T189" s="223">
        <v>0</v>
      </c>
      <c r="U189" s="223">
        <v>0</v>
      </c>
      <c r="V189" s="223">
        <v>0</v>
      </c>
      <c r="W189" s="223">
        <v>0</v>
      </c>
      <c r="X189" s="223">
        <v>0</v>
      </c>
      <c r="Y189" s="234">
        <v>55</v>
      </c>
      <c r="Z189" s="223"/>
      <c r="AA189" s="223"/>
      <c r="AB189" s="223">
        <v>100</v>
      </c>
      <c r="AC189" s="223"/>
      <c r="AD189" s="223"/>
      <c r="AE189" s="223">
        <v>100</v>
      </c>
      <c r="AF189" s="223"/>
      <c r="AG189" s="223"/>
      <c r="AH189" s="223">
        <v>100</v>
      </c>
      <c r="AI189" s="223"/>
      <c r="AJ189" s="223"/>
      <c r="AK189" s="223">
        <v>100</v>
      </c>
    </row>
    <row r="190" spans="1:37" x14ac:dyDescent="0.25">
      <c r="A190" s="227" t="s">
        <v>63</v>
      </c>
      <c r="B190" s="221">
        <v>43870</v>
      </c>
      <c r="C190" s="222">
        <v>0.54583333333333328</v>
      </c>
      <c r="D190" s="223">
        <v>3</v>
      </c>
      <c r="E190" s="220" t="s">
        <v>45</v>
      </c>
      <c r="F190" s="220" t="s">
        <v>74</v>
      </c>
      <c r="G190" s="220"/>
      <c r="H190" s="220"/>
      <c r="I190" s="223">
        <v>0</v>
      </c>
      <c r="J190" s="220"/>
      <c r="K190" s="220"/>
      <c r="L190" s="223">
        <v>0</v>
      </c>
      <c r="M190" s="223">
        <v>0</v>
      </c>
      <c r="N190" s="223">
        <v>0</v>
      </c>
      <c r="O190" s="223">
        <v>1</v>
      </c>
      <c r="P190" s="223"/>
      <c r="Q190" s="280">
        <v>830</v>
      </c>
      <c r="R190" s="223">
        <v>0</v>
      </c>
      <c r="S190" s="223">
        <v>0</v>
      </c>
      <c r="T190" s="223">
        <v>0</v>
      </c>
      <c r="U190" s="223">
        <v>0</v>
      </c>
      <c r="V190" s="223">
        <v>0</v>
      </c>
      <c r="W190" s="223">
        <v>0</v>
      </c>
      <c r="X190" s="223">
        <v>0</v>
      </c>
      <c r="Y190" s="234">
        <v>55</v>
      </c>
      <c r="Z190" s="223"/>
      <c r="AA190" s="223"/>
      <c r="AB190" s="223">
        <v>100</v>
      </c>
      <c r="AC190" s="223"/>
      <c r="AD190" s="223"/>
      <c r="AE190" s="223">
        <v>100</v>
      </c>
      <c r="AF190" s="223"/>
      <c r="AG190" s="223"/>
      <c r="AH190" s="223">
        <v>100</v>
      </c>
      <c r="AI190" s="223"/>
      <c r="AJ190" s="223"/>
      <c r="AK190" s="223">
        <v>100</v>
      </c>
    </row>
    <row r="191" spans="1:37" x14ac:dyDescent="0.25">
      <c r="A191" s="227" t="s">
        <v>63</v>
      </c>
      <c r="B191" s="221">
        <v>43870</v>
      </c>
      <c r="C191" s="222">
        <v>0.57916666666666672</v>
      </c>
      <c r="D191" s="223">
        <v>1</v>
      </c>
      <c r="E191" s="220" t="s">
        <v>47</v>
      </c>
      <c r="F191" s="220" t="s">
        <v>78</v>
      </c>
      <c r="G191" s="220"/>
      <c r="H191" s="220"/>
      <c r="I191" s="223">
        <v>0</v>
      </c>
      <c r="J191" s="220"/>
      <c r="K191" s="220"/>
      <c r="L191" s="223">
        <v>0</v>
      </c>
      <c r="M191" s="223">
        <v>0</v>
      </c>
      <c r="N191" s="223">
        <v>0</v>
      </c>
      <c r="O191" s="223">
        <v>0</v>
      </c>
      <c r="P191" s="223"/>
      <c r="Q191" s="280">
        <v>830</v>
      </c>
      <c r="R191" s="223">
        <v>0</v>
      </c>
      <c r="S191" s="223">
        <v>0</v>
      </c>
      <c r="T191" s="223">
        <v>0</v>
      </c>
      <c r="U191" s="223">
        <v>0</v>
      </c>
      <c r="V191" s="223">
        <v>0</v>
      </c>
      <c r="W191" s="223">
        <v>0</v>
      </c>
      <c r="X191" s="223">
        <v>0</v>
      </c>
      <c r="Y191" s="234">
        <v>55</v>
      </c>
      <c r="Z191" s="223"/>
      <c r="AA191" s="223"/>
      <c r="AB191" s="223">
        <v>100</v>
      </c>
      <c r="AC191" s="223"/>
      <c r="AD191" s="223"/>
      <c r="AE191" s="223">
        <v>100</v>
      </c>
      <c r="AF191" s="223"/>
      <c r="AG191" s="223"/>
      <c r="AH191" s="223">
        <v>100</v>
      </c>
      <c r="AI191" s="223"/>
      <c r="AJ191" s="223"/>
      <c r="AK191" s="223">
        <v>100</v>
      </c>
    </row>
    <row r="192" spans="1:37" x14ac:dyDescent="0.25">
      <c r="A192" s="227" t="s">
        <v>63</v>
      </c>
      <c r="B192" s="221">
        <v>43871</v>
      </c>
      <c r="C192" s="222">
        <v>0.33333333333333331</v>
      </c>
      <c r="D192" s="223">
        <v>18</v>
      </c>
      <c r="E192" s="220" t="s">
        <v>49</v>
      </c>
      <c r="F192" s="220" t="s">
        <v>50</v>
      </c>
      <c r="G192" s="220"/>
      <c r="H192" s="220"/>
      <c r="I192" s="223">
        <v>0</v>
      </c>
      <c r="J192" s="220"/>
      <c r="K192" s="220"/>
      <c r="L192" s="223">
        <v>0</v>
      </c>
      <c r="M192" s="223">
        <v>2</v>
      </c>
      <c r="N192" s="223">
        <v>1</v>
      </c>
      <c r="O192" s="223">
        <v>3</v>
      </c>
      <c r="P192" s="223"/>
      <c r="Q192" s="280">
        <v>827</v>
      </c>
      <c r="R192" s="223">
        <v>0</v>
      </c>
      <c r="S192" s="223">
        <v>0</v>
      </c>
      <c r="T192" s="223">
        <v>0</v>
      </c>
      <c r="U192" s="223">
        <v>0</v>
      </c>
      <c r="V192" s="223">
        <v>4</v>
      </c>
      <c r="W192" s="223">
        <v>4</v>
      </c>
      <c r="X192" s="223">
        <v>0</v>
      </c>
      <c r="Y192" s="234">
        <v>51</v>
      </c>
      <c r="Z192" s="223"/>
      <c r="AA192" s="223"/>
      <c r="AB192" s="223">
        <v>100</v>
      </c>
      <c r="AC192" s="223"/>
      <c r="AD192" s="223"/>
      <c r="AE192" s="223">
        <v>100</v>
      </c>
      <c r="AF192" s="223"/>
      <c r="AG192" s="223"/>
      <c r="AH192" s="223">
        <v>100</v>
      </c>
      <c r="AI192" s="223"/>
      <c r="AJ192" s="223"/>
      <c r="AK192" s="223">
        <v>100</v>
      </c>
    </row>
    <row r="193" spans="1:37" x14ac:dyDescent="0.25">
      <c r="A193" s="227" t="s">
        <v>63</v>
      </c>
      <c r="B193" s="221">
        <v>43872</v>
      </c>
      <c r="C193" s="222">
        <v>0.25</v>
      </c>
      <c r="D193" s="223">
        <v>22</v>
      </c>
      <c r="E193" s="220" t="s">
        <v>51</v>
      </c>
      <c r="F193" s="220" t="s">
        <v>52</v>
      </c>
      <c r="G193" s="220"/>
      <c r="H193" s="220"/>
      <c r="I193" s="223">
        <v>0</v>
      </c>
      <c r="J193" s="220"/>
      <c r="K193" s="220"/>
      <c r="L193" s="223">
        <v>0</v>
      </c>
      <c r="M193" s="223">
        <v>2</v>
      </c>
      <c r="N193" s="223">
        <v>2</v>
      </c>
      <c r="O193" s="223">
        <v>4</v>
      </c>
      <c r="P193" s="223"/>
      <c r="Q193" s="280">
        <v>823</v>
      </c>
      <c r="R193" s="223">
        <v>0</v>
      </c>
      <c r="S193" s="223">
        <v>0</v>
      </c>
      <c r="T193" s="223">
        <v>0</v>
      </c>
      <c r="U193" s="223">
        <v>0</v>
      </c>
      <c r="V193" s="223">
        <v>3</v>
      </c>
      <c r="W193" s="223">
        <v>3</v>
      </c>
      <c r="X193" s="223">
        <v>0</v>
      </c>
      <c r="Y193" s="234">
        <v>48</v>
      </c>
      <c r="Z193" s="223"/>
      <c r="AA193" s="223"/>
      <c r="AB193" s="223">
        <v>100</v>
      </c>
      <c r="AC193" s="223"/>
      <c r="AD193" s="223"/>
      <c r="AE193" s="223">
        <v>100</v>
      </c>
      <c r="AF193" s="223"/>
      <c r="AG193" s="223"/>
      <c r="AH193" s="223">
        <v>100</v>
      </c>
      <c r="AI193" s="223"/>
      <c r="AJ193" s="223"/>
      <c r="AK193" s="223">
        <v>100</v>
      </c>
    </row>
    <row r="194" spans="1:37" x14ac:dyDescent="0.25">
      <c r="A194" s="227" t="s">
        <v>63</v>
      </c>
      <c r="B194" s="221">
        <v>43872</v>
      </c>
      <c r="C194" s="222">
        <v>0.33333333333333331</v>
      </c>
      <c r="D194" s="223">
        <v>2</v>
      </c>
      <c r="E194" s="220" t="s">
        <v>49</v>
      </c>
      <c r="F194" s="220" t="s">
        <v>59</v>
      </c>
      <c r="G194" s="220"/>
      <c r="H194" s="220"/>
      <c r="I194" s="223">
        <v>0</v>
      </c>
      <c r="J194" s="220"/>
      <c r="K194" s="220"/>
      <c r="L194" s="223">
        <v>0</v>
      </c>
      <c r="M194" s="223">
        <v>0</v>
      </c>
      <c r="N194" s="223">
        <v>0</v>
      </c>
      <c r="O194" s="223">
        <v>0</v>
      </c>
      <c r="P194" s="223"/>
      <c r="Q194" s="280">
        <v>822</v>
      </c>
      <c r="R194" s="223">
        <v>0</v>
      </c>
      <c r="S194" s="223">
        <v>0</v>
      </c>
      <c r="T194" s="223">
        <v>0</v>
      </c>
      <c r="U194" s="223">
        <v>0</v>
      </c>
      <c r="V194" s="223">
        <v>0</v>
      </c>
      <c r="W194" s="223">
        <v>0</v>
      </c>
      <c r="X194" s="223">
        <v>0</v>
      </c>
      <c r="Y194" s="234">
        <v>48</v>
      </c>
      <c r="Z194" s="223"/>
      <c r="AA194" s="223"/>
      <c r="AB194" s="223">
        <v>100</v>
      </c>
      <c r="AC194" s="223"/>
      <c r="AD194" s="223"/>
      <c r="AE194" s="223">
        <v>100</v>
      </c>
      <c r="AF194" s="223"/>
      <c r="AG194" s="223"/>
      <c r="AH194" s="223">
        <v>100</v>
      </c>
      <c r="AI194" s="223"/>
      <c r="AJ194" s="223"/>
      <c r="AK194" s="223">
        <v>100</v>
      </c>
    </row>
    <row r="195" spans="1:37" x14ac:dyDescent="0.25">
      <c r="A195" s="227" t="s">
        <v>63</v>
      </c>
      <c r="B195" s="221">
        <v>43872</v>
      </c>
      <c r="C195" s="222">
        <v>0.375</v>
      </c>
      <c r="D195" s="223">
        <v>1</v>
      </c>
      <c r="E195" s="220" t="s">
        <v>49</v>
      </c>
      <c r="F195" s="220" t="s">
        <v>46</v>
      </c>
      <c r="G195" s="220"/>
      <c r="H195" s="220"/>
      <c r="I195" s="223">
        <v>0</v>
      </c>
      <c r="J195" s="220"/>
      <c r="K195" s="220"/>
      <c r="L195" s="223">
        <v>0</v>
      </c>
      <c r="M195" s="223">
        <v>0</v>
      </c>
      <c r="N195" s="223">
        <v>0</v>
      </c>
      <c r="O195" s="223">
        <v>0</v>
      </c>
      <c r="P195" s="223"/>
      <c r="Q195" s="280">
        <v>822</v>
      </c>
      <c r="R195" s="223">
        <v>0</v>
      </c>
      <c r="S195" s="223">
        <v>0</v>
      </c>
      <c r="T195" s="223">
        <v>0</v>
      </c>
      <c r="U195" s="223">
        <v>0</v>
      </c>
      <c r="V195" s="223">
        <v>0</v>
      </c>
      <c r="W195" s="223">
        <v>0</v>
      </c>
      <c r="X195" s="223">
        <v>0</v>
      </c>
      <c r="Y195" s="234">
        <v>48</v>
      </c>
      <c r="Z195" s="223"/>
      <c r="AA195" s="223"/>
      <c r="AB195" s="223">
        <v>100</v>
      </c>
      <c r="AC195" s="223"/>
      <c r="AD195" s="223"/>
      <c r="AE195" s="223">
        <v>100</v>
      </c>
      <c r="AF195" s="223"/>
      <c r="AG195" s="223"/>
      <c r="AH195" s="223">
        <v>100</v>
      </c>
      <c r="AI195" s="223"/>
      <c r="AJ195" s="223"/>
      <c r="AK195" s="223">
        <v>100</v>
      </c>
    </row>
    <row r="196" spans="1:37" x14ac:dyDescent="0.25">
      <c r="A196" s="227" t="s">
        <v>63</v>
      </c>
      <c r="B196" s="221">
        <v>43872</v>
      </c>
      <c r="C196" s="222">
        <v>0.39583333333333331</v>
      </c>
      <c r="D196" s="223">
        <v>0</v>
      </c>
      <c r="E196" s="220" t="s">
        <v>47</v>
      </c>
      <c r="F196" s="220" t="s">
        <v>79</v>
      </c>
      <c r="G196" s="220"/>
      <c r="H196" s="220"/>
      <c r="I196" s="223">
        <v>0</v>
      </c>
      <c r="J196" s="220" t="s">
        <v>54</v>
      </c>
      <c r="K196" s="220">
        <v>95</v>
      </c>
      <c r="L196" s="223">
        <v>0</v>
      </c>
      <c r="M196" s="223">
        <v>0</v>
      </c>
      <c r="N196" s="223">
        <v>0</v>
      </c>
      <c r="O196" s="223">
        <v>0</v>
      </c>
      <c r="P196" s="223"/>
      <c r="Q196" s="280">
        <v>822</v>
      </c>
      <c r="R196" s="223">
        <v>0</v>
      </c>
      <c r="S196" s="223">
        <v>0</v>
      </c>
      <c r="T196" s="223">
        <v>0</v>
      </c>
      <c r="U196" s="223">
        <v>0</v>
      </c>
      <c r="V196" s="223">
        <v>0</v>
      </c>
      <c r="W196" s="223">
        <v>0</v>
      </c>
      <c r="X196" s="223">
        <v>0</v>
      </c>
      <c r="Y196" s="234">
        <v>48</v>
      </c>
      <c r="Z196" s="223"/>
      <c r="AA196" s="223"/>
      <c r="AB196" s="223">
        <v>100</v>
      </c>
      <c r="AC196" s="223"/>
      <c r="AD196" s="223"/>
      <c r="AE196" s="223">
        <v>100</v>
      </c>
      <c r="AF196" s="223"/>
      <c r="AG196" s="223"/>
      <c r="AH196" s="223">
        <v>100</v>
      </c>
      <c r="AI196" s="223"/>
      <c r="AJ196" s="223"/>
      <c r="AK196" s="223">
        <v>100</v>
      </c>
    </row>
    <row r="197" spans="1:37" x14ac:dyDescent="0.25">
      <c r="A197" s="227" t="s">
        <v>63</v>
      </c>
      <c r="B197" s="221">
        <v>43873</v>
      </c>
      <c r="C197" s="222">
        <v>0.33333333333333331</v>
      </c>
      <c r="D197" s="223">
        <v>22</v>
      </c>
      <c r="E197" s="220" t="s">
        <v>55</v>
      </c>
      <c r="F197" s="220" t="s">
        <v>56</v>
      </c>
      <c r="G197" s="220"/>
      <c r="H197" s="220"/>
      <c r="I197" s="223">
        <v>0</v>
      </c>
      <c r="J197" s="220" t="s">
        <v>54</v>
      </c>
      <c r="K197" s="220">
        <v>95</v>
      </c>
      <c r="L197" s="223">
        <v>19</v>
      </c>
      <c r="M197" s="223">
        <v>2</v>
      </c>
      <c r="N197" s="223">
        <v>0</v>
      </c>
      <c r="O197" s="223">
        <v>21</v>
      </c>
      <c r="P197" s="223"/>
      <c r="Q197" s="280">
        <v>801</v>
      </c>
      <c r="R197" s="223">
        <v>0</v>
      </c>
      <c r="S197" s="223">
        <v>0</v>
      </c>
      <c r="T197" s="223">
        <v>0</v>
      </c>
      <c r="U197" s="223">
        <v>0</v>
      </c>
      <c r="V197" s="223">
        <v>0</v>
      </c>
      <c r="W197" s="223">
        <v>0</v>
      </c>
      <c r="X197" s="223">
        <v>0</v>
      </c>
      <c r="Y197" s="234">
        <v>48</v>
      </c>
      <c r="Z197" s="223"/>
      <c r="AA197" s="223"/>
      <c r="AB197" s="223">
        <v>100</v>
      </c>
      <c r="AC197" s="223"/>
      <c r="AD197" s="223"/>
      <c r="AE197" s="223">
        <v>100</v>
      </c>
      <c r="AF197" s="223"/>
      <c r="AG197" s="223"/>
      <c r="AH197" s="223">
        <v>100</v>
      </c>
      <c r="AI197" s="223"/>
      <c r="AJ197" s="223"/>
      <c r="AK197" s="223">
        <v>100</v>
      </c>
    </row>
    <row r="198" spans="1:37" x14ac:dyDescent="0.25">
      <c r="A198" s="227" t="s">
        <v>63</v>
      </c>
      <c r="B198" s="221">
        <v>43873</v>
      </c>
      <c r="C198" s="222">
        <v>0.47916666666666669</v>
      </c>
      <c r="D198" s="223">
        <v>4</v>
      </c>
      <c r="E198" s="220" t="s">
        <v>55</v>
      </c>
      <c r="F198" s="220" t="s">
        <v>80</v>
      </c>
      <c r="G198" s="220">
        <v>266</v>
      </c>
      <c r="H198" s="220">
        <v>26</v>
      </c>
      <c r="I198" s="223">
        <v>10.23076923076923</v>
      </c>
      <c r="J198" s="220" t="s">
        <v>54</v>
      </c>
      <c r="K198" s="220">
        <v>95</v>
      </c>
      <c r="L198" s="223">
        <v>3</v>
      </c>
      <c r="M198" s="223">
        <v>0</v>
      </c>
      <c r="N198" s="223">
        <v>0</v>
      </c>
      <c r="O198" s="223">
        <v>3</v>
      </c>
      <c r="P198" s="223"/>
      <c r="Q198" s="280">
        <v>798</v>
      </c>
      <c r="R198" s="223">
        <v>0</v>
      </c>
      <c r="S198" s="223">
        <v>0</v>
      </c>
      <c r="T198" s="223">
        <v>0</v>
      </c>
      <c r="U198" s="223">
        <v>0</v>
      </c>
      <c r="V198" s="223">
        <v>0</v>
      </c>
      <c r="W198" s="223">
        <v>0</v>
      </c>
      <c r="X198" s="223">
        <v>0</v>
      </c>
      <c r="Y198" s="234">
        <v>48</v>
      </c>
      <c r="Z198" s="223"/>
      <c r="AA198" s="223"/>
      <c r="AB198" s="223">
        <v>100</v>
      </c>
      <c r="AC198" s="223"/>
      <c r="AD198" s="223"/>
      <c r="AE198" s="223">
        <v>100</v>
      </c>
      <c r="AF198" s="223"/>
      <c r="AG198" s="223"/>
      <c r="AH198" s="223">
        <v>100</v>
      </c>
      <c r="AI198" s="223"/>
      <c r="AJ198" s="223"/>
      <c r="AK198" s="223">
        <v>100</v>
      </c>
    </row>
    <row r="199" spans="1:37" x14ac:dyDescent="0.25">
      <c r="A199" s="227" t="s">
        <v>63</v>
      </c>
      <c r="B199" s="221">
        <v>43873</v>
      </c>
      <c r="C199" s="222">
        <v>0.5</v>
      </c>
      <c r="D199" s="223">
        <v>0</v>
      </c>
      <c r="E199" s="220" t="s">
        <v>47</v>
      </c>
      <c r="F199" s="220" t="s">
        <v>48</v>
      </c>
      <c r="G199" s="220"/>
      <c r="H199" s="220"/>
      <c r="I199" s="223">
        <v>0</v>
      </c>
      <c r="J199" s="220"/>
      <c r="K199" s="220"/>
      <c r="L199" s="223">
        <v>0</v>
      </c>
      <c r="M199" s="223">
        <v>0</v>
      </c>
      <c r="N199" s="223">
        <v>0</v>
      </c>
      <c r="O199" s="223">
        <v>0</v>
      </c>
      <c r="P199" s="223"/>
      <c r="Q199" s="280">
        <v>798</v>
      </c>
      <c r="R199" s="223">
        <v>0</v>
      </c>
      <c r="S199" s="223">
        <v>0</v>
      </c>
      <c r="T199" s="223">
        <v>0</v>
      </c>
      <c r="U199" s="223">
        <v>0</v>
      </c>
      <c r="V199" s="223">
        <v>0</v>
      </c>
      <c r="W199" s="223">
        <v>0</v>
      </c>
      <c r="X199" s="223">
        <v>0</v>
      </c>
      <c r="Y199" s="234">
        <v>48</v>
      </c>
      <c r="Z199" s="223"/>
      <c r="AA199" s="223"/>
      <c r="AB199" s="223">
        <v>100</v>
      </c>
      <c r="AC199" s="223"/>
      <c r="AD199" s="223"/>
      <c r="AE199" s="223">
        <v>100</v>
      </c>
      <c r="AF199" s="223"/>
      <c r="AG199" s="223"/>
      <c r="AH199" s="223">
        <v>100</v>
      </c>
      <c r="AI199" s="223"/>
      <c r="AJ199" s="223"/>
      <c r="AK199" s="223">
        <v>100</v>
      </c>
    </row>
    <row r="200" spans="1:37" x14ac:dyDescent="0.25">
      <c r="A200" s="227" t="s">
        <v>63</v>
      </c>
      <c r="B200" s="221">
        <v>43874</v>
      </c>
      <c r="C200" s="222">
        <v>0.33333333333333331</v>
      </c>
      <c r="D200" s="223">
        <v>20</v>
      </c>
      <c r="E200" s="220" t="s">
        <v>45</v>
      </c>
      <c r="F200" s="220" t="s">
        <v>45</v>
      </c>
      <c r="G200" s="220"/>
      <c r="H200" s="220"/>
      <c r="I200" s="223">
        <v>0</v>
      </c>
      <c r="J200" s="220"/>
      <c r="K200" s="220"/>
      <c r="L200" s="223">
        <v>0</v>
      </c>
      <c r="M200" s="223">
        <v>2</v>
      </c>
      <c r="N200" s="223">
        <v>2</v>
      </c>
      <c r="O200" s="223">
        <v>4</v>
      </c>
      <c r="P200" s="223"/>
      <c r="Q200" s="280">
        <v>794</v>
      </c>
      <c r="R200" s="223">
        <v>0</v>
      </c>
      <c r="S200" s="223">
        <v>0</v>
      </c>
      <c r="T200" s="223">
        <v>0</v>
      </c>
      <c r="U200" s="223">
        <v>0</v>
      </c>
      <c r="V200" s="223">
        <v>0</v>
      </c>
      <c r="W200" s="223">
        <v>0</v>
      </c>
      <c r="X200" s="223">
        <v>0</v>
      </c>
      <c r="Y200" s="234">
        <v>48</v>
      </c>
      <c r="Z200" s="223"/>
      <c r="AA200" s="223"/>
      <c r="AB200" s="223">
        <v>100</v>
      </c>
      <c r="AC200" s="223"/>
      <c r="AD200" s="223"/>
      <c r="AE200" s="223">
        <v>100</v>
      </c>
      <c r="AF200" s="223"/>
      <c r="AG200" s="223"/>
      <c r="AH200" s="223">
        <v>100</v>
      </c>
      <c r="AI200" s="223"/>
      <c r="AJ200" s="223"/>
      <c r="AK200" s="223">
        <v>100</v>
      </c>
    </row>
    <row r="201" spans="1:37" x14ac:dyDescent="0.25">
      <c r="A201" s="227" t="s">
        <v>63</v>
      </c>
      <c r="B201" s="221">
        <v>43874</v>
      </c>
      <c r="C201" s="222">
        <v>0.51250000000000007</v>
      </c>
      <c r="D201" s="223">
        <v>4</v>
      </c>
      <c r="E201" s="220" t="s">
        <v>45</v>
      </c>
      <c r="F201" s="220" t="s">
        <v>46</v>
      </c>
      <c r="G201" s="220"/>
      <c r="H201" s="220"/>
      <c r="I201" s="223">
        <v>0</v>
      </c>
      <c r="J201" s="220"/>
      <c r="K201" s="220"/>
      <c r="L201" s="223">
        <v>0</v>
      </c>
      <c r="M201" s="223">
        <v>0</v>
      </c>
      <c r="N201" s="223">
        <v>0</v>
      </c>
      <c r="O201" s="223">
        <v>1</v>
      </c>
      <c r="P201" s="223"/>
      <c r="Q201" s="280">
        <v>793</v>
      </c>
      <c r="R201" s="223">
        <v>0</v>
      </c>
      <c r="S201" s="223">
        <v>0</v>
      </c>
      <c r="T201" s="223">
        <v>0</v>
      </c>
      <c r="U201" s="223">
        <v>0</v>
      </c>
      <c r="V201" s="223">
        <v>0</v>
      </c>
      <c r="W201" s="223">
        <v>0</v>
      </c>
      <c r="X201" s="223">
        <v>0</v>
      </c>
      <c r="Y201" s="234">
        <v>48</v>
      </c>
      <c r="Z201" s="223"/>
      <c r="AA201" s="223"/>
      <c r="AB201" s="223">
        <v>100</v>
      </c>
      <c r="AC201" s="223"/>
      <c r="AD201" s="223"/>
      <c r="AE201" s="223">
        <v>100</v>
      </c>
      <c r="AF201" s="223"/>
      <c r="AG201" s="223"/>
      <c r="AH201" s="223">
        <v>100</v>
      </c>
      <c r="AI201" s="223"/>
      <c r="AJ201" s="223"/>
      <c r="AK201" s="223">
        <v>100</v>
      </c>
    </row>
    <row r="202" spans="1:37" x14ac:dyDescent="0.25">
      <c r="A202" s="227" t="s">
        <v>63</v>
      </c>
      <c r="B202" s="221">
        <v>43874</v>
      </c>
      <c r="C202" s="222">
        <v>0.58333333333333337</v>
      </c>
      <c r="D202" s="223">
        <v>2</v>
      </c>
      <c r="E202" s="220" t="s">
        <v>47</v>
      </c>
      <c r="F202" s="220" t="s">
        <v>48</v>
      </c>
      <c r="G202" s="220"/>
      <c r="H202" s="220"/>
      <c r="I202" s="223">
        <v>0</v>
      </c>
      <c r="J202" s="220"/>
      <c r="K202" s="220"/>
      <c r="L202" s="223">
        <v>0</v>
      </c>
      <c r="M202" s="223">
        <v>0</v>
      </c>
      <c r="N202" s="223">
        <v>0</v>
      </c>
      <c r="O202" s="223">
        <v>0</v>
      </c>
      <c r="P202" s="223"/>
      <c r="Q202" s="280">
        <v>793</v>
      </c>
      <c r="R202" s="223">
        <v>0</v>
      </c>
      <c r="S202" s="223">
        <v>0</v>
      </c>
      <c r="T202" s="223">
        <v>0</v>
      </c>
      <c r="U202" s="223">
        <v>0</v>
      </c>
      <c r="V202" s="223">
        <v>0</v>
      </c>
      <c r="W202" s="223">
        <v>0</v>
      </c>
      <c r="X202" s="223">
        <v>0</v>
      </c>
      <c r="Y202" s="234">
        <v>48</v>
      </c>
      <c r="Z202" s="223"/>
      <c r="AA202" s="223"/>
      <c r="AB202" s="223">
        <v>100</v>
      </c>
      <c r="AC202" s="223"/>
      <c r="AD202" s="223"/>
      <c r="AE202" s="223">
        <v>100</v>
      </c>
      <c r="AF202" s="223"/>
      <c r="AG202" s="223"/>
      <c r="AH202" s="223">
        <v>100</v>
      </c>
      <c r="AI202" s="223"/>
      <c r="AJ202" s="223"/>
      <c r="AK202" s="223">
        <v>100</v>
      </c>
    </row>
    <row r="203" spans="1:37" x14ac:dyDescent="0.25">
      <c r="A203" s="227" t="s">
        <v>63</v>
      </c>
      <c r="B203" s="221">
        <v>43874</v>
      </c>
      <c r="C203" s="222">
        <v>0.79583333333333339</v>
      </c>
      <c r="D203" s="223">
        <v>5</v>
      </c>
      <c r="E203" s="220" t="s">
        <v>49</v>
      </c>
      <c r="F203" s="220" t="s">
        <v>50</v>
      </c>
      <c r="G203" s="220"/>
      <c r="H203" s="220"/>
      <c r="I203" s="223">
        <v>0</v>
      </c>
      <c r="J203" s="220"/>
      <c r="K203" s="220"/>
      <c r="L203" s="223">
        <v>0</v>
      </c>
      <c r="M203" s="223">
        <v>1</v>
      </c>
      <c r="N203" s="223">
        <v>0</v>
      </c>
      <c r="O203" s="223">
        <v>1</v>
      </c>
      <c r="P203" s="223"/>
      <c r="Q203" s="280">
        <v>792</v>
      </c>
      <c r="R203" s="223">
        <v>0</v>
      </c>
      <c r="S203" s="223">
        <v>0</v>
      </c>
      <c r="T203" s="223">
        <v>0</v>
      </c>
      <c r="U203" s="223">
        <v>0</v>
      </c>
      <c r="V203" s="223">
        <v>0</v>
      </c>
      <c r="W203" s="223">
        <v>0</v>
      </c>
      <c r="X203" s="223">
        <v>0</v>
      </c>
      <c r="Y203" s="234">
        <v>48</v>
      </c>
      <c r="Z203" s="223"/>
      <c r="AA203" s="223"/>
      <c r="AB203" s="223">
        <v>100</v>
      </c>
      <c r="AC203" s="223"/>
      <c r="AD203" s="223"/>
      <c r="AE203" s="223">
        <v>100</v>
      </c>
      <c r="AF203" s="223"/>
      <c r="AG203" s="223"/>
      <c r="AH203" s="223">
        <v>100</v>
      </c>
      <c r="AI203" s="223"/>
      <c r="AJ203" s="223"/>
      <c r="AK203" s="223">
        <v>100</v>
      </c>
    </row>
    <row r="204" spans="1:37" x14ac:dyDescent="0.25">
      <c r="A204" s="227" t="s">
        <v>63</v>
      </c>
      <c r="B204" s="221">
        <v>43875</v>
      </c>
      <c r="C204" s="222">
        <v>0.33333333333333331</v>
      </c>
      <c r="D204" s="223">
        <v>13</v>
      </c>
      <c r="E204" s="220" t="s">
        <v>51</v>
      </c>
      <c r="F204" s="220" t="s">
        <v>51</v>
      </c>
      <c r="G204" s="220"/>
      <c r="H204" s="220"/>
      <c r="I204" s="223">
        <v>0</v>
      </c>
      <c r="J204" s="220"/>
      <c r="K204" s="220"/>
      <c r="L204" s="223">
        <v>0</v>
      </c>
      <c r="M204" s="223">
        <v>1</v>
      </c>
      <c r="N204" s="223">
        <v>1</v>
      </c>
      <c r="O204" s="223">
        <v>2</v>
      </c>
      <c r="P204" s="223"/>
      <c r="Q204" s="280">
        <v>789</v>
      </c>
      <c r="R204" s="223">
        <v>0</v>
      </c>
      <c r="S204" s="223">
        <v>0</v>
      </c>
      <c r="T204" s="223">
        <v>0</v>
      </c>
      <c r="U204" s="223">
        <v>0</v>
      </c>
      <c r="V204" s="223">
        <v>3</v>
      </c>
      <c r="W204" s="223">
        <v>3</v>
      </c>
      <c r="X204" s="223">
        <v>0</v>
      </c>
      <c r="Y204" s="234">
        <v>44</v>
      </c>
      <c r="Z204" s="223"/>
      <c r="AA204" s="223"/>
      <c r="AB204" s="223">
        <v>100</v>
      </c>
      <c r="AC204" s="223"/>
      <c r="AD204" s="223"/>
      <c r="AE204" s="223">
        <v>100</v>
      </c>
      <c r="AF204" s="223"/>
      <c r="AG204" s="223"/>
      <c r="AH204" s="223">
        <v>100</v>
      </c>
      <c r="AI204" s="223"/>
      <c r="AJ204" s="223"/>
      <c r="AK204" s="223">
        <v>100</v>
      </c>
    </row>
    <row r="205" spans="1:37" x14ac:dyDescent="0.25">
      <c r="A205" s="227" t="s">
        <v>63</v>
      </c>
      <c r="B205" s="221">
        <v>43875</v>
      </c>
      <c r="C205" s="222">
        <v>0.65</v>
      </c>
      <c r="D205" s="223">
        <v>8</v>
      </c>
      <c r="E205" s="220" t="s">
        <v>51</v>
      </c>
      <c r="F205" s="220" t="s">
        <v>52</v>
      </c>
      <c r="G205" s="220"/>
      <c r="H205" s="220"/>
      <c r="I205" s="223">
        <v>0</v>
      </c>
      <c r="J205" s="220"/>
      <c r="K205" s="220"/>
      <c r="L205" s="223">
        <v>0</v>
      </c>
      <c r="M205" s="223">
        <v>1</v>
      </c>
      <c r="N205" s="223">
        <v>1</v>
      </c>
      <c r="O205" s="223">
        <v>1</v>
      </c>
      <c r="P205" s="223"/>
      <c r="Q205" s="280">
        <v>788</v>
      </c>
      <c r="R205" s="223">
        <v>0</v>
      </c>
      <c r="S205" s="223">
        <v>0</v>
      </c>
      <c r="T205" s="223">
        <v>0</v>
      </c>
      <c r="U205" s="223">
        <v>0</v>
      </c>
      <c r="V205" s="223">
        <v>2</v>
      </c>
      <c r="W205" s="223">
        <v>2</v>
      </c>
      <c r="X205" s="223">
        <v>0</v>
      </c>
      <c r="Y205" s="234">
        <v>42</v>
      </c>
      <c r="Z205" s="223"/>
      <c r="AA205" s="223"/>
      <c r="AB205" s="223">
        <v>100</v>
      </c>
      <c r="AC205" s="223"/>
      <c r="AD205" s="223"/>
      <c r="AE205" s="223">
        <v>100</v>
      </c>
      <c r="AF205" s="223"/>
      <c r="AG205" s="223"/>
      <c r="AH205" s="223">
        <v>100</v>
      </c>
      <c r="AI205" s="223"/>
      <c r="AJ205" s="223"/>
      <c r="AK205" s="223">
        <v>100</v>
      </c>
    </row>
    <row r="206" spans="1:37" x14ac:dyDescent="0.25">
      <c r="A206" s="227" t="s">
        <v>63</v>
      </c>
      <c r="B206" s="221">
        <v>43875</v>
      </c>
      <c r="C206" s="222">
        <v>0.77916666666666667</v>
      </c>
      <c r="D206" s="223">
        <v>3</v>
      </c>
      <c r="E206" s="220" t="s">
        <v>49</v>
      </c>
      <c r="F206" s="220" t="s">
        <v>46</v>
      </c>
      <c r="G206" s="220"/>
      <c r="H206" s="220"/>
      <c r="I206" s="223">
        <v>0</v>
      </c>
      <c r="J206" s="220" t="s">
        <v>81</v>
      </c>
      <c r="K206" s="220">
        <v>95</v>
      </c>
      <c r="L206" s="223">
        <v>0</v>
      </c>
      <c r="M206" s="223">
        <v>0</v>
      </c>
      <c r="N206" s="223">
        <v>0</v>
      </c>
      <c r="O206" s="223">
        <v>1</v>
      </c>
      <c r="P206" s="223"/>
      <c r="Q206" s="280">
        <v>787</v>
      </c>
      <c r="R206" s="223">
        <v>0</v>
      </c>
      <c r="S206" s="223">
        <v>0</v>
      </c>
      <c r="T206" s="223">
        <v>0</v>
      </c>
      <c r="U206" s="223">
        <v>0</v>
      </c>
      <c r="V206" s="223">
        <v>0</v>
      </c>
      <c r="W206" s="223">
        <v>0</v>
      </c>
      <c r="X206" s="223">
        <v>0</v>
      </c>
      <c r="Y206" s="234">
        <v>42</v>
      </c>
      <c r="Z206" s="223"/>
      <c r="AA206" s="223"/>
      <c r="AB206" s="223">
        <v>100</v>
      </c>
      <c r="AC206" s="223"/>
      <c r="AD206" s="223"/>
      <c r="AE206" s="223">
        <v>100</v>
      </c>
      <c r="AF206" s="223"/>
      <c r="AG206" s="223"/>
      <c r="AH206" s="223">
        <v>100</v>
      </c>
      <c r="AI206" s="223"/>
      <c r="AJ206" s="223"/>
      <c r="AK206" s="223">
        <v>100</v>
      </c>
    </row>
    <row r="207" spans="1:37" x14ac:dyDescent="0.25">
      <c r="A207" s="227" t="s">
        <v>63</v>
      </c>
      <c r="B207" s="221">
        <v>43875</v>
      </c>
      <c r="C207" s="222">
        <v>0.8041666666666667</v>
      </c>
      <c r="D207" s="223">
        <v>1</v>
      </c>
      <c r="E207" s="220" t="s">
        <v>47</v>
      </c>
      <c r="F207" s="220" t="s">
        <v>53</v>
      </c>
      <c r="G207" s="220"/>
      <c r="H207" s="220"/>
      <c r="I207" s="223">
        <v>0</v>
      </c>
      <c r="J207" s="220" t="s">
        <v>81</v>
      </c>
      <c r="K207" s="220">
        <v>95</v>
      </c>
      <c r="L207" s="223">
        <v>0</v>
      </c>
      <c r="M207" s="223">
        <v>0</v>
      </c>
      <c r="N207" s="223">
        <v>0</v>
      </c>
      <c r="O207" s="223">
        <v>0</v>
      </c>
      <c r="P207" s="223"/>
      <c r="Q207" s="280">
        <v>787</v>
      </c>
      <c r="R207" s="223">
        <v>0</v>
      </c>
      <c r="S207" s="223">
        <v>0</v>
      </c>
      <c r="T207" s="223">
        <v>0</v>
      </c>
      <c r="U207" s="223">
        <v>0</v>
      </c>
      <c r="V207" s="223">
        <v>0</v>
      </c>
      <c r="W207" s="223">
        <v>0</v>
      </c>
      <c r="X207" s="223">
        <v>0</v>
      </c>
      <c r="Y207" s="234">
        <v>42</v>
      </c>
      <c r="Z207" s="223"/>
      <c r="AA207" s="223"/>
      <c r="AB207" s="223">
        <v>100</v>
      </c>
      <c r="AC207" s="223"/>
      <c r="AD207" s="223"/>
      <c r="AE207" s="223">
        <v>100</v>
      </c>
      <c r="AF207" s="223"/>
      <c r="AG207" s="223"/>
      <c r="AH207" s="223">
        <v>100</v>
      </c>
      <c r="AI207" s="223"/>
      <c r="AJ207" s="223"/>
      <c r="AK207" s="223">
        <v>100</v>
      </c>
    </row>
    <row r="208" spans="1:37" x14ac:dyDescent="0.25">
      <c r="A208" s="227" t="s">
        <v>63</v>
      </c>
      <c r="B208" s="221">
        <v>43876</v>
      </c>
      <c r="C208" s="222">
        <v>0.16666666666666666</v>
      </c>
      <c r="D208" s="223">
        <v>9</v>
      </c>
      <c r="E208" s="220" t="s">
        <v>55</v>
      </c>
      <c r="F208" s="220" t="s">
        <v>57</v>
      </c>
      <c r="G208" s="220">
        <v>96</v>
      </c>
      <c r="H208" s="220">
        <v>9</v>
      </c>
      <c r="I208" s="223">
        <v>10.32258064516129</v>
      </c>
      <c r="J208" s="220" t="s">
        <v>81</v>
      </c>
      <c r="K208" s="220">
        <v>95</v>
      </c>
      <c r="L208" s="223">
        <v>7</v>
      </c>
      <c r="M208" s="223">
        <v>1</v>
      </c>
      <c r="N208" s="223">
        <v>0</v>
      </c>
      <c r="O208" s="223">
        <v>8</v>
      </c>
      <c r="P208" s="223"/>
      <c r="Q208" s="280">
        <v>779</v>
      </c>
      <c r="R208" s="223">
        <v>0</v>
      </c>
      <c r="S208" s="223">
        <v>0</v>
      </c>
      <c r="T208" s="223">
        <v>0</v>
      </c>
      <c r="U208" s="223">
        <v>0</v>
      </c>
      <c r="V208" s="223">
        <v>0</v>
      </c>
      <c r="W208" s="223">
        <v>0</v>
      </c>
      <c r="X208" s="223">
        <v>0</v>
      </c>
      <c r="Y208" s="234">
        <v>42</v>
      </c>
      <c r="Z208" s="223"/>
      <c r="AA208" s="223"/>
      <c r="AB208" s="223">
        <v>100</v>
      </c>
      <c r="AC208" s="223"/>
      <c r="AD208" s="223"/>
      <c r="AE208" s="223">
        <v>100</v>
      </c>
      <c r="AF208" s="223"/>
      <c r="AG208" s="223"/>
      <c r="AH208" s="223">
        <v>100</v>
      </c>
      <c r="AI208" s="223"/>
      <c r="AJ208" s="223"/>
      <c r="AK208" s="223">
        <v>100</v>
      </c>
    </row>
    <row r="209" spans="1:37" x14ac:dyDescent="0.25">
      <c r="A209" s="227" t="s">
        <v>63</v>
      </c>
      <c r="B209" s="221">
        <v>43876</v>
      </c>
      <c r="C209" s="222">
        <v>0.3</v>
      </c>
      <c r="D209" s="223">
        <v>3</v>
      </c>
      <c r="E209" s="220" t="s">
        <v>47</v>
      </c>
      <c r="F209" s="220" t="s">
        <v>48</v>
      </c>
      <c r="G209" s="220"/>
      <c r="H209" s="220"/>
      <c r="I209" s="223">
        <v>0</v>
      </c>
      <c r="J209" s="220"/>
      <c r="K209" s="220"/>
      <c r="L209" s="223">
        <v>0</v>
      </c>
      <c r="M209" s="223">
        <v>0</v>
      </c>
      <c r="N209" s="223">
        <v>0</v>
      </c>
      <c r="O209" s="223">
        <v>1</v>
      </c>
      <c r="P209" s="223"/>
      <c r="Q209" s="280">
        <v>778</v>
      </c>
      <c r="R209" s="223">
        <v>0</v>
      </c>
      <c r="S209" s="223">
        <v>0</v>
      </c>
      <c r="T209" s="223">
        <v>0</v>
      </c>
      <c r="U209" s="223">
        <v>0</v>
      </c>
      <c r="V209" s="223">
        <v>0</v>
      </c>
      <c r="W209" s="223">
        <v>0</v>
      </c>
      <c r="X209" s="223">
        <v>0</v>
      </c>
      <c r="Y209" s="234">
        <v>42</v>
      </c>
      <c r="Z209" s="223"/>
      <c r="AA209" s="223"/>
      <c r="AB209" s="223">
        <v>100</v>
      </c>
      <c r="AC209" s="223"/>
      <c r="AD209" s="223"/>
      <c r="AE209" s="223">
        <v>100</v>
      </c>
      <c r="AF209" s="223"/>
      <c r="AG209" s="223"/>
      <c r="AH209" s="223">
        <v>100</v>
      </c>
      <c r="AI209" s="223"/>
      <c r="AJ209" s="223"/>
      <c r="AK209" s="223">
        <v>100</v>
      </c>
    </row>
    <row r="210" spans="1:37" x14ac:dyDescent="0.25">
      <c r="A210" s="227" t="s">
        <v>63</v>
      </c>
      <c r="B210" s="221">
        <v>43876</v>
      </c>
      <c r="C210" s="222">
        <v>0.33333333333333331</v>
      </c>
      <c r="D210" s="223">
        <v>1</v>
      </c>
      <c r="E210" s="220" t="s">
        <v>49</v>
      </c>
      <c r="F210" s="220" t="s">
        <v>59</v>
      </c>
      <c r="G210" s="220"/>
      <c r="H210" s="220"/>
      <c r="I210" s="223">
        <v>0</v>
      </c>
      <c r="J210" s="220"/>
      <c r="K210" s="220"/>
      <c r="L210" s="223">
        <v>0</v>
      </c>
      <c r="M210" s="223">
        <v>0</v>
      </c>
      <c r="N210" s="223">
        <v>0</v>
      </c>
      <c r="O210" s="223">
        <v>0</v>
      </c>
      <c r="P210" s="223"/>
      <c r="Q210" s="280">
        <v>778</v>
      </c>
      <c r="R210" s="223">
        <v>0</v>
      </c>
      <c r="S210" s="223">
        <v>0</v>
      </c>
      <c r="T210" s="223">
        <v>0</v>
      </c>
      <c r="U210" s="223">
        <v>0</v>
      </c>
      <c r="V210" s="223">
        <v>0</v>
      </c>
      <c r="W210" s="223">
        <v>0</v>
      </c>
      <c r="X210" s="223">
        <v>0</v>
      </c>
      <c r="Y210" s="234">
        <v>42</v>
      </c>
      <c r="Z210" s="223"/>
      <c r="AA210" s="223"/>
      <c r="AB210" s="223">
        <v>100</v>
      </c>
      <c r="AC210" s="223"/>
      <c r="AD210" s="223"/>
      <c r="AE210" s="223">
        <v>100</v>
      </c>
      <c r="AF210" s="223"/>
      <c r="AG210" s="223"/>
      <c r="AH210" s="223">
        <v>100</v>
      </c>
      <c r="AI210" s="223"/>
      <c r="AJ210" s="223"/>
      <c r="AK210" s="223">
        <v>100</v>
      </c>
    </row>
    <row r="211" spans="1:37" x14ac:dyDescent="0.25">
      <c r="A211" s="227" t="s">
        <v>63</v>
      </c>
      <c r="B211" s="221">
        <v>43876</v>
      </c>
      <c r="C211" s="222">
        <v>0.41250000000000003</v>
      </c>
      <c r="D211" s="223">
        <v>2</v>
      </c>
      <c r="E211" s="220" t="s">
        <v>49</v>
      </c>
      <c r="F211" s="220" t="s">
        <v>50</v>
      </c>
      <c r="G211" s="220"/>
      <c r="H211" s="220"/>
      <c r="I211" s="223">
        <v>0</v>
      </c>
      <c r="J211" s="220"/>
      <c r="K211" s="220"/>
      <c r="L211" s="223">
        <v>0</v>
      </c>
      <c r="M211" s="223">
        <v>0</v>
      </c>
      <c r="N211" s="223">
        <v>0</v>
      </c>
      <c r="O211" s="223">
        <v>0</v>
      </c>
      <c r="P211" s="223"/>
      <c r="Q211" s="280">
        <v>778</v>
      </c>
      <c r="R211" s="223">
        <v>0</v>
      </c>
      <c r="S211" s="223">
        <v>0</v>
      </c>
      <c r="T211" s="223">
        <v>0</v>
      </c>
      <c r="U211" s="223">
        <v>0</v>
      </c>
      <c r="V211" s="223">
        <v>0</v>
      </c>
      <c r="W211" s="223">
        <v>0</v>
      </c>
      <c r="X211" s="223">
        <v>0</v>
      </c>
      <c r="Y211" s="234">
        <v>42</v>
      </c>
      <c r="Z211" s="223"/>
      <c r="AA211" s="223"/>
      <c r="AB211" s="223">
        <v>100</v>
      </c>
      <c r="AC211" s="223"/>
      <c r="AD211" s="223"/>
      <c r="AE211" s="223">
        <v>100</v>
      </c>
      <c r="AF211" s="223"/>
      <c r="AG211" s="223"/>
      <c r="AH211" s="223">
        <v>100</v>
      </c>
      <c r="AI211" s="223"/>
      <c r="AJ211" s="223"/>
      <c r="AK211" s="223">
        <v>100</v>
      </c>
    </row>
    <row r="212" spans="1:37" x14ac:dyDescent="0.25">
      <c r="A212" s="227" t="s">
        <v>63</v>
      </c>
      <c r="B212" s="221">
        <v>43876</v>
      </c>
      <c r="C212" s="222">
        <v>0.9458333333333333</v>
      </c>
      <c r="D212" s="223">
        <v>13</v>
      </c>
      <c r="E212" s="220" t="s">
        <v>51</v>
      </c>
      <c r="F212" s="220" t="s">
        <v>52</v>
      </c>
      <c r="G212" s="220"/>
      <c r="H212" s="220"/>
      <c r="I212" s="223">
        <v>0</v>
      </c>
      <c r="J212" s="220"/>
      <c r="K212" s="220"/>
      <c r="L212" s="223">
        <v>0</v>
      </c>
      <c r="M212" s="223">
        <v>1</v>
      </c>
      <c r="N212" s="223">
        <v>1</v>
      </c>
      <c r="O212" s="223">
        <v>2</v>
      </c>
      <c r="P212" s="223"/>
      <c r="Q212" s="280">
        <v>775</v>
      </c>
      <c r="R212" s="223">
        <v>0</v>
      </c>
      <c r="S212" s="223">
        <v>0</v>
      </c>
      <c r="T212" s="223">
        <v>0</v>
      </c>
      <c r="U212" s="223">
        <v>0</v>
      </c>
      <c r="V212" s="223">
        <v>3</v>
      </c>
      <c r="W212" s="223">
        <v>3</v>
      </c>
      <c r="X212" s="223">
        <v>0</v>
      </c>
      <c r="Y212" s="234">
        <v>39</v>
      </c>
      <c r="Z212" s="223"/>
      <c r="AA212" s="223"/>
      <c r="AB212" s="223">
        <v>100</v>
      </c>
      <c r="AC212" s="223"/>
      <c r="AD212" s="223"/>
      <c r="AE212" s="223">
        <v>100</v>
      </c>
      <c r="AF212" s="223"/>
      <c r="AG212" s="223"/>
      <c r="AH212" s="223">
        <v>100</v>
      </c>
      <c r="AI212" s="223"/>
      <c r="AJ212" s="223"/>
      <c r="AK212" s="223">
        <v>100</v>
      </c>
    </row>
    <row r="213" spans="1:37" x14ac:dyDescent="0.25">
      <c r="A213" s="227" t="s">
        <v>63</v>
      </c>
      <c r="B213" s="221">
        <v>43877</v>
      </c>
      <c r="C213" s="222">
        <v>7.4999999999999997E-2</v>
      </c>
      <c r="D213" s="223">
        <v>3</v>
      </c>
      <c r="E213" s="220" t="s">
        <v>49</v>
      </c>
      <c r="F213" s="220" t="s">
        <v>46</v>
      </c>
      <c r="G213" s="220"/>
      <c r="H213" s="220"/>
      <c r="I213" s="223">
        <v>0</v>
      </c>
      <c r="J213" s="220"/>
      <c r="K213" s="220"/>
      <c r="L213" s="223">
        <v>0</v>
      </c>
      <c r="M213" s="223">
        <v>0</v>
      </c>
      <c r="N213" s="223">
        <v>0</v>
      </c>
      <c r="O213" s="223">
        <v>1</v>
      </c>
      <c r="P213" s="223"/>
      <c r="Q213" s="280">
        <v>775</v>
      </c>
      <c r="R213" s="223">
        <v>0</v>
      </c>
      <c r="S213" s="223">
        <v>0</v>
      </c>
      <c r="T213" s="223">
        <v>0</v>
      </c>
      <c r="U213" s="223">
        <v>0</v>
      </c>
      <c r="V213" s="223">
        <v>0</v>
      </c>
      <c r="W213" s="223">
        <v>0</v>
      </c>
      <c r="X213" s="223">
        <v>0</v>
      </c>
      <c r="Y213" s="234">
        <v>39</v>
      </c>
      <c r="Z213" s="223"/>
      <c r="AA213" s="223"/>
      <c r="AB213" s="223">
        <v>100</v>
      </c>
      <c r="AC213" s="223"/>
      <c r="AD213" s="223"/>
      <c r="AE213" s="223">
        <v>100</v>
      </c>
      <c r="AF213" s="223"/>
      <c r="AG213" s="223"/>
      <c r="AH213" s="223">
        <v>100</v>
      </c>
      <c r="AI213" s="223"/>
      <c r="AJ213" s="223"/>
      <c r="AK213" s="223">
        <v>100</v>
      </c>
    </row>
    <row r="214" spans="1:37" x14ac:dyDescent="0.25">
      <c r="A214" s="227" t="s">
        <v>63</v>
      </c>
      <c r="B214" s="221">
        <v>43877</v>
      </c>
      <c r="C214" s="222">
        <v>0.10416666666666667</v>
      </c>
      <c r="D214" s="223">
        <v>1</v>
      </c>
      <c r="E214" s="220" t="s">
        <v>47</v>
      </c>
      <c r="F214" s="220" t="s">
        <v>60</v>
      </c>
      <c r="G214" s="220"/>
      <c r="H214" s="220"/>
      <c r="I214" s="223">
        <v>0</v>
      </c>
      <c r="J214" s="220" t="s">
        <v>54</v>
      </c>
      <c r="K214" s="220">
        <v>95</v>
      </c>
      <c r="L214" s="223">
        <v>0</v>
      </c>
      <c r="M214" s="223">
        <v>0</v>
      </c>
      <c r="N214" s="223">
        <v>0</v>
      </c>
      <c r="O214" s="223">
        <v>0</v>
      </c>
      <c r="P214" s="223"/>
      <c r="Q214" s="280">
        <v>774</v>
      </c>
      <c r="R214" s="223">
        <v>0</v>
      </c>
      <c r="S214" s="223">
        <v>0</v>
      </c>
      <c r="T214" s="223">
        <v>0</v>
      </c>
      <c r="U214" s="223">
        <v>0</v>
      </c>
      <c r="V214" s="223">
        <v>0</v>
      </c>
      <c r="W214" s="223">
        <v>0</v>
      </c>
      <c r="X214" s="223">
        <v>0</v>
      </c>
      <c r="Y214" s="234">
        <v>39</v>
      </c>
      <c r="Z214" s="223"/>
      <c r="AA214" s="223"/>
      <c r="AB214" s="223">
        <v>100</v>
      </c>
      <c r="AC214" s="223"/>
      <c r="AD214" s="223"/>
      <c r="AE214" s="223">
        <v>100</v>
      </c>
      <c r="AF214" s="223"/>
      <c r="AG214" s="223"/>
      <c r="AH214" s="223">
        <v>100</v>
      </c>
      <c r="AI214" s="223"/>
      <c r="AJ214" s="223"/>
      <c r="AK214" s="223">
        <v>100</v>
      </c>
    </row>
    <row r="215" spans="1:37" x14ac:dyDescent="0.25">
      <c r="A215" s="227" t="s">
        <v>63</v>
      </c>
      <c r="B215" s="221">
        <v>43877</v>
      </c>
      <c r="C215" s="222">
        <v>0.33333333333333331</v>
      </c>
      <c r="D215" s="223">
        <v>6</v>
      </c>
      <c r="E215" s="220" t="s">
        <v>61</v>
      </c>
      <c r="F215" s="220" t="s">
        <v>56</v>
      </c>
      <c r="G215" s="220"/>
      <c r="H215" s="220"/>
      <c r="I215" s="223">
        <v>0</v>
      </c>
      <c r="J215" s="220" t="s">
        <v>54</v>
      </c>
      <c r="K215" s="220">
        <v>95</v>
      </c>
      <c r="L215" s="223">
        <v>5</v>
      </c>
      <c r="M215" s="223">
        <v>1</v>
      </c>
      <c r="N215" s="223">
        <v>0</v>
      </c>
      <c r="O215" s="223">
        <v>5</v>
      </c>
      <c r="P215" s="223"/>
      <c r="Q215" s="280">
        <v>769</v>
      </c>
      <c r="R215" s="223">
        <v>0</v>
      </c>
      <c r="S215" s="223">
        <v>0</v>
      </c>
      <c r="T215" s="223">
        <v>0</v>
      </c>
      <c r="U215" s="223">
        <v>0</v>
      </c>
      <c r="V215" s="223">
        <v>0</v>
      </c>
      <c r="W215" s="223">
        <v>0</v>
      </c>
      <c r="X215" s="223">
        <v>0</v>
      </c>
      <c r="Y215" s="234">
        <v>39</v>
      </c>
      <c r="Z215" s="223"/>
      <c r="AA215" s="223"/>
      <c r="AB215" s="223">
        <v>100</v>
      </c>
      <c r="AC215" s="223"/>
      <c r="AD215" s="223"/>
      <c r="AE215" s="223">
        <v>100</v>
      </c>
      <c r="AF215" s="223"/>
      <c r="AG215" s="223"/>
      <c r="AH215" s="223">
        <v>100</v>
      </c>
      <c r="AI215" s="223"/>
      <c r="AJ215" s="223"/>
      <c r="AK215" s="223">
        <v>100</v>
      </c>
    </row>
    <row r="216" spans="1:37" x14ac:dyDescent="0.25">
      <c r="A216" s="227" t="s">
        <v>63</v>
      </c>
      <c r="B216" s="221">
        <v>43878</v>
      </c>
      <c r="C216" s="222">
        <v>0.10416666666666667</v>
      </c>
      <c r="D216" s="223">
        <v>18</v>
      </c>
      <c r="E216" s="220" t="s">
        <v>61</v>
      </c>
      <c r="F216" s="220" t="s">
        <v>62</v>
      </c>
      <c r="G216" s="220">
        <v>265</v>
      </c>
      <c r="H216" s="220">
        <v>24</v>
      </c>
      <c r="I216" s="223">
        <v>11.041666666666666</v>
      </c>
      <c r="J216" s="220" t="s">
        <v>54</v>
      </c>
      <c r="K216" s="220">
        <v>95</v>
      </c>
      <c r="L216" s="223">
        <v>15</v>
      </c>
      <c r="M216" s="223">
        <v>2</v>
      </c>
      <c r="N216" s="223">
        <v>0</v>
      </c>
      <c r="O216" s="223">
        <v>17</v>
      </c>
      <c r="P216" s="223"/>
      <c r="Q216" s="280">
        <v>752</v>
      </c>
      <c r="R216" s="223">
        <v>0</v>
      </c>
      <c r="S216" s="223">
        <v>0</v>
      </c>
      <c r="T216" s="223">
        <v>0</v>
      </c>
      <c r="U216" s="223">
        <v>0</v>
      </c>
      <c r="V216" s="223">
        <v>0</v>
      </c>
      <c r="W216" s="223">
        <v>0</v>
      </c>
      <c r="X216" s="223">
        <v>0</v>
      </c>
      <c r="Y216" s="234">
        <v>39</v>
      </c>
      <c r="Z216" s="223"/>
      <c r="AA216" s="223"/>
      <c r="AB216" s="223">
        <v>100</v>
      </c>
      <c r="AC216" s="223"/>
      <c r="AD216" s="223"/>
      <c r="AE216" s="223">
        <v>100</v>
      </c>
      <c r="AF216" s="223"/>
      <c r="AG216" s="223"/>
      <c r="AH216" s="223">
        <v>100</v>
      </c>
      <c r="AI216" s="223"/>
      <c r="AJ216" s="223"/>
      <c r="AK216" s="223">
        <v>100</v>
      </c>
    </row>
    <row r="217" spans="1:37" x14ac:dyDescent="0.25">
      <c r="A217" s="227" t="s">
        <v>82</v>
      </c>
      <c r="B217" s="221">
        <v>43878</v>
      </c>
      <c r="C217" s="222">
        <v>0.125</v>
      </c>
      <c r="D217" s="223">
        <v>0</v>
      </c>
      <c r="E217" s="220" t="s">
        <v>47</v>
      </c>
      <c r="F217" s="220" t="s">
        <v>83</v>
      </c>
      <c r="G217" s="220"/>
      <c r="H217" s="220"/>
      <c r="I217" s="223">
        <v>0</v>
      </c>
      <c r="J217" s="220"/>
      <c r="K217" s="220"/>
      <c r="L217" s="223">
        <v>0.10416666666666664</v>
      </c>
      <c r="M217" s="223">
        <v>5.2083333333333322E-2</v>
      </c>
      <c r="N217" s="223">
        <v>4.1666666666666657E-2</v>
      </c>
      <c r="O217" s="223">
        <v>0</v>
      </c>
      <c r="P217" s="223"/>
      <c r="Q217" s="223">
        <v>752</v>
      </c>
      <c r="R217" s="223">
        <v>0</v>
      </c>
      <c r="S217" s="223">
        <v>0</v>
      </c>
      <c r="T217" s="223">
        <v>0</v>
      </c>
      <c r="U217" s="223">
        <v>0</v>
      </c>
      <c r="V217" s="223">
        <v>0</v>
      </c>
      <c r="W217" s="223">
        <v>0</v>
      </c>
      <c r="X217" s="223">
        <v>0</v>
      </c>
      <c r="Y217" s="234">
        <v>39</v>
      </c>
      <c r="Z217" s="223"/>
      <c r="AA217" s="223"/>
      <c r="AB217" s="223">
        <v>100</v>
      </c>
      <c r="AC217" s="223"/>
      <c r="AD217" s="223"/>
      <c r="AE217" s="223">
        <v>100</v>
      </c>
      <c r="AF217" s="223"/>
      <c r="AG217" s="223"/>
      <c r="AH217" s="223">
        <v>100</v>
      </c>
      <c r="AI217" s="223"/>
      <c r="AJ217" s="223"/>
      <c r="AK217" s="223">
        <v>100</v>
      </c>
    </row>
    <row r="218" spans="1:37" x14ac:dyDescent="0.25">
      <c r="A218" s="227" t="s">
        <v>82</v>
      </c>
      <c r="B218" s="221">
        <v>43878</v>
      </c>
      <c r="C218" s="222">
        <v>0.16250000000000009</v>
      </c>
      <c r="D218" s="223">
        <v>1</v>
      </c>
      <c r="E218" s="220" t="s">
        <v>45</v>
      </c>
      <c r="F218" s="220" t="s">
        <v>46</v>
      </c>
      <c r="G218" s="220"/>
      <c r="H218" s="220"/>
      <c r="I218" s="223">
        <v>0</v>
      </c>
      <c r="J218" s="220"/>
      <c r="K218" s="220"/>
      <c r="L218" s="223">
        <v>0</v>
      </c>
      <c r="M218" s="223">
        <v>9.3750000000000014E-2</v>
      </c>
      <c r="N218" s="223">
        <v>7.5000000000000011E-2</v>
      </c>
      <c r="O218" s="223">
        <v>0</v>
      </c>
      <c r="P218" s="223"/>
      <c r="Q218" s="223">
        <v>751</v>
      </c>
      <c r="R218" s="223">
        <v>0</v>
      </c>
      <c r="S218" s="223">
        <v>0</v>
      </c>
      <c r="T218" s="223">
        <v>0</v>
      </c>
      <c r="U218" s="223">
        <v>0</v>
      </c>
      <c r="V218" s="223">
        <v>0</v>
      </c>
      <c r="W218" s="223">
        <v>0</v>
      </c>
      <c r="X218" s="223">
        <v>0</v>
      </c>
      <c r="Y218" s="234">
        <v>39</v>
      </c>
      <c r="Z218" s="223"/>
      <c r="AA218" s="223"/>
      <c r="AB218" s="223">
        <v>100</v>
      </c>
      <c r="AC218" s="223"/>
      <c r="AD218" s="223"/>
      <c r="AE218" s="223">
        <v>100</v>
      </c>
      <c r="AF218" s="223"/>
      <c r="AG218" s="223"/>
      <c r="AH218" s="223">
        <v>100</v>
      </c>
      <c r="AI218" s="223"/>
      <c r="AJ218" s="223"/>
      <c r="AK218" s="223">
        <v>100</v>
      </c>
    </row>
    <row r="219" spans="1:37" x14ac:dyDescent="0.25">
      <c r="A219" s="227" t="s">
        <v>82</v>
      </c>
      <c r="B219" s="221">
        <v>43878</v>
      </c>
      <c r="C219" s="222">
        <v>0.27083333333333326</v>
      </c>
      <c r="D219" s="223">
        <v>3</v>
      </c>
      <c r="E219" s="220" t="s">
        <v>47</v>
      </c>
      <c r="F219" s="220" t="s">
        <v>84</v>
      </c>
      <c r="G219" s="220"/>
      <c r="H219" s="220"/>
      <c r="I219" s="223">
        <v>0</v>
      </c>
      <c r="J219" s="220"/>
      <c r="K219" s="220"/>
      <c r="L219" s="223">
        <v>0.21666666666666665</v>
      </c>
      <c r="M219" s="223">
        <v>0.27083333333333331</v>
      </c>
      <c r="N219" s="223">
        <v>0.21666666666666665</v>
      </c>
      <c r="O219" s="223">
        <v>1</v>
      </c>
      <c r="P219" s="223"/>
      <c r="Q219" s="223">
        <v>751</v>
      </c>
      <c r="R219" s="223">
        <v>0</v>
      </c>
      <c r="S219" s="223">
        <v>0</v>
      </c>
      <c r="T219" s="223">
        <v>0</v>
      </c>
      <c r="U219" s="223">
        <v>0</v>
      </c>
      <c r="V219" s="223">
        <v>0</v>
      </c>
      <c r="W219" s="223">
        <v>0</v>
      </c>
      <c r="X219" s="223">
        <v>0</v>
      </c>
      <c r="Y219" s="234">
        <v>39</v>
      </c>
      <c r="Z219" s="223"/>
      <c r="AA219" s="223"/>
      <c r="AB219" s="223">
        <v>100</v>
      </c>
      <c r="AC219" s="223"/>
      <c r="AD219" s="223"/>
      <c r="AE219" s="223">
        <v>100</v>
      </c>
      <c r="AF219" s="223"/>
      <c r="AG219" s="223"/>
      <c r="AH219" s="223">
        <v>100</v>
      </c>
      <c r="AI219" s="223"/>
      <c r="AJ219" s="223"/>
      <c r="AK219" s="223">
        <v>100</v>
      </c>
    </row>
    <row r="220" spans="1:37" x14ac:dyDescent="0.25">
      <c r="A220" s="227" t="s">
        <v>82</v>
      </c>
      <c r="B220" s="221">
        <v>43878</v>
      </c>
      <c r="C220" s="222">
        <v>0.33333333333333326</v>
      </c>
      <c r="D220" s="223">
        <v>2</v>
      </c>
      <c r="E220" s="220" t="s">
        <v>49</v>
      </c>
      <c r="F220" s="220" t="s">
        <v>59</v>
      </c>
      <c r="G220" s="220"/>
      <c r="H220" s="220"/>
      <c r="I220" s="223">
        <v>0</v>
      </c>
      <c r="J220" s="220"/>
      <c r="K220" s="220"/>
      <c r="L220" s="223">
        <v>0</v>
      </c>
      <c r="M220" s="223">
        <v>0.15625</v>
      </c>
      <c r="N220" s="223">
        <v>0.125</v>
      </c>
      <c r="O220" s="223">
        <v>0</v>
      </c>
      <c r="P220" s="223"/>
      <c r="Q220" s="223">
        <v>750</v>
      </c>
      <c r="R220" s="223">
        <v>0</v>
      </c>
      <c r="S220" s="223">
        <v>0</v>
      </c>
      <c r="T220" s="223">
        <v>0</v>
      </c>
      <c r="U220" s="223">
        <v>0</v>
      </c>
      <c r="V220" s="223">
        <v>0</v>
      </c>
      <c r="W220" s="223">
        <v>0</v>
      </c>
      <c r="X220" s="223">
        <v>0</v>
      </c>
      <c r="Y220" s="234">
        <v>39</v>
      </c>
      <c r="Z220" s="223"/>
      <c r="AA220" s="223"/>
      <c r="AB220" s="223">
        <v>100</v>
      </c>
      <c r="AC220" s="223"/>
      <c r="AD220" s="223"/>
      <c r="AE220" s="223">
        <v>100</v>
      </c>
      <c r="AF220" s="223"/>
      <c r="AG220" s="223"/>
      <c r="AH220" s="223">
        <v>100</v>
      </c>
      <c r="AI220" s="223"/>
      <c r="AJ220" s="223"/>
      <c r="AK220" s="223">
        <v>100</v>
      </c>
    </row>
    <row r="221" spans="1:37" x14ac:dyDescent="0.25">
      <c r="A221" s="227" t="s">
        <v>82</v>
      </c>
      <c r="B221" s="221">
        <v>43878</v>
      </c>
      <c r="C221" s="222">
        <v>0.44166666666666665</v>
      </c>
      <c r="D221" s="223">
        <v>3</v>
      </c>
      <c r="E221" s="220" t="s">
        <v>49</v>
      </c>
      <c r="F221" s="220" t="s">
        <v>85</v>
      </c>
      <c r="G221" s="220"/>
      <c r="H221" s="220"/>
      <c r="I221" s="223">
        <v>0</v>
      </c>
      <c r="J221" s="220"/>
      <c r="K221" s="220"/>
      <c r="L221" s="223">
        <v>0</v>
      </c>
      <c r="M221" s="223">
        <v>0.27083333333333337</v>
      </c>
      <c r="N221" s="223">
        <v>0.21666666666666667</v>
      </c>
      <c r="O221" s="223">
        <v>0</v>
      </c>
      <c r="P221" s="223"/>
      <c r="Q221" s="223">
        <v>750</v>
      </c>
      <c r="R221" s="223">
        <v>0</v>
      </c>
      <c r="S221" s="223">
        <v>0</v>
      </c>
      <c r="T221" s="223">
        <v>0</v>
      </c>
      <c r="U221" s="223">
        <v>0</v>
      </c>
      <c r="V221" s="223">
        <v>0</v>
      </c>
      <c r="W221" s="223">
        <v>0</v>
      </c>
      <c r="X221" s="223">
        <v>0</v>
      </c>
      <c r="Y221" s="234">
        <v>39</v>
      </c>
      <c r="Z221" s="223"/>
      <c r="AA221" s="223"/>
      <c r="AB221" s="223">
        <v>100</v>
      </c>
      <c r="AC221" s="223"/>
      <c r="AD221" s="223"/>
      <c r="AE221" s="223">
        <v>100</v>
      </c>
      <c r="AF221" s="223"/>
      <c r="AG221" s="223"/>
      <c r="AH221" s="223">
        <v>100</v>
      </c>
      <c r="AI221" s="223"/>
      <c r="AJ221" s="223"/>
      <c r="AK221" s="223">
        <v>100</v>
      </c>
    </row>
    <row r="222" spans="1:37" x14ac:dyDescent="0.25">
      <c r="A222" s="227" t="s">
        <v>82</v>
      </c>
      <c r="B222" s="221">
        <v>43879</v>
      </c>
      <c r="C222" s="222">
        <v>0.33333333333333326</v>
      </c>
      <c r="D222" s="223">
        <v>21</v>
      </c>
      <c r="E222" s="220" t="s">
        <v>71</v>
      </c>
      <c r="F222" s="220" t="s">
        <v>71</v>
      </c>
      <c r="G222" s="220"/>
      <c r="H222" s="220"/>
      <c r="I222" s="223">
        <v>0</v>
      </c>
      <c r="J222" s="220"/>
      <c r="K222" s="220"/>
      <c r="L222" s="223">
        <v>0</v>
      </c>
      <c r="M222" s="223">
        <v>2.2291666666666665</v>
      </c>
      <c r="N222" s="223">
        <v>1.7833333333333332</v>
      </c>
      <c r="O222" s="223">
        <v>4</v>
      </c>
      <c r="P222" s="223"/>
      <c r="Q222" s="223">
        <v>746</v>
      </c>
      <c r="R222" s="223">
        <v>0</v>
      </c>
      <c r="S222" s="223">
        <v>0</v>
      </c>
      <c r="T222" s="223">
        <v>0</v>
      </c>
      <c r="U222" s="223">
        <v>0</v>
      </c>
      <c r="V222" s="223">
        <v>0</v>
      </c>
      <c r="W222" s="223">
        <v>0</v>
      </c>
      <c r="X222" s="223">
        <v>0</v>
      </c>
      <c r="Y222" s="234">
        <v>39</v>
      </c>
      <c r="Z222" s="223"/>
      <c r="AA222" s="223"/>
      <c r="AB222" s="223">
        <v>100</v>
      </c>
      <c r="AC222" s="223"/>
      <c r="AD222" s="223"/>
      <c r="AE222" s="223">
        <v>100</v>
      </c>
      <c r="AF222" s="223"/>
      <c r="AG222" s="223"/>
      <c r="AH222" s="223">
        <v>100</v>
      </c>
      <c r="AI222" s="223"/>
      <c r="AJ222" s="223"/>
      <c r="AK222" s="223">
        <v>100</v>
      </c>
    </row>
    <row r="223" spans="1:37" x14ac:dyDescent="0.25">
      <c r="A223" s="227" t="s">
        <v>82</v>
      </c>
      <c r="B223" s="221">
        <v>43879</v>
      </c>
      <c r="C223" s="222">
        <v>0.85000000000000009</v>
      </c>
      <c r="D223" s="223">
        <v>12</v>
      </c>
      <c r="E223" s="220" t="s">
        <v>71</v>
      </c>
      <c r="F223" s="220" t="s">
        <v>73</v>
      </c>
      <c r="G223" s="220"/>
      <c r="H223" s="220"/>
      <c r="I223" s="223">
        <v>0</v>
      </c>
      <c r="J223" s="220"/>
      <c r="K223" s="220"/>
      <c r="L223" s="223">
        <v>0</v>
      </c>
      <c r="M223" s="223">
        <v>1.2916666666666663</v>
      </c>
      <c r="N223" s="223">
        <v>1.0333333333333332</v>
      </c>
      <c r="O223" s="223">
        <v>2</v>
      </c>
      <c r="P223" s="223"/>
      <c r="Q223" s="223">
        <v>744</v>
      </c>
      <c r="R223" s="223">
        <v>0</v>
      </c>
      <c r="S223" s="223">
        <v>0</v>
      </c>
      <c r="T223" s="223">
        <v>0</v>
      </c>
      <c r="U223" s="223">
        <v>0</v>
      </c>
      <c r="V223" s="223">
        <v>0</v>
      </c>
      <c r="W223" s="223">
        <v>0</v>
      </c>
      <c r="X223" s="223">
        <v>0</v>
      </c>
      <c r="Y223" s="234">
        <v>39</v>
      </c>
      <c r="Z223" s="223"/>
      <c r="AA223" s="223"/>
      <c r="AB223" s="223">
        <v>100</v>
      </c>
      <c r="AC223" s="223"/>
      <c r="AD223" s="223"/>
      <c r="AE223" s="223">
        <v>100</v>
      </c>
      <c r="AF223" s="223"/>
      <c r="AG223" s="223"/>
      <c r="AH223" s="223">
        <v>100</v>
      </c>
      <c r="AI223" s="223"/>
      <c r="AJ223" s="223"/>
      <c r="AK223" s="223">
        <v>100</v>
      </c>
    </row>
    <row r="224" spans="1:37" x14ac:dyDescent="0.25">
      <c r="A224" s="227" t="s">
        <v>82</v>
      </c>
      <c r="B224" s="221">
        <v>43880</v>
      </c>
      <c r="C224" s="222">
        <v>7.9166666666666607E-2</v>
      </c>
      <c r="D224" s="223">
        <v>6</v>
      </c>
      <c r="E224" s="220" t="s">
        <v>49</v>
      </c>
      <c r="F224" s="220" t="s">
        <v>46</v>
      </c>
      <c r="G224" s="220"/>
      <c r="H224" s="220"/>
      <c r="I224" s="223">
        <v>0</v>
      </c>
      <c r="J224" s="220"/>
      <c r="K224" s="220"/>
      <c r="L224" s="223">
        <v>0</v>
      </c>
      <c r="M224" s="223">
        <v>0.57291666666666674</v>
      </c>
      <c r="N224" s="223">
        <v>0.45833333333333326</v>
      </c>
      <c r="O224" s="223">
        <v>1</v>
      </c>
      <c r="P224" s="223"/>
      <c r="Q224" s="223">
        <v>743</v>
      </c>
      <c r="R224" s="223">
        <v>0</v>
      </c>
      <c r="S224" s="223">
        <v>0</v>
      </c>
      <c r="T224" s="223">
        <v>0</v>
      </c>
      <c r="U224" s="223">
        <v>0</v>
      </c>
      <c r="V224" s="223">
        <v>0</v>
      </c>
      <c r="W224" s="223">
        <v>0</v>
      </c>
      <c r="X224" s="223">
        <v>0</v>
      </c>
      <c r="Y224" s="234">
        <v>39</v>
      </c>
      <c r="Z224" s="223"/>
      <c r="AA224" s="223"/>
      <c r="AB224" s="223">
        <v>100</v>
      </c>
      <c r="AC224" s="223"/>
      <c r="AD224" s="223"/>
      <c r="AE224" s="223">
        <v>100</v>
      </c>
      <c r="AF224" s="223"/>
      <c r="AG224" s="223"/>
      <c r="AH224" s="223">
        <v>100</v>
      </c>
      <c r="AI224" s="223"/>
      <c r="AJ224" s="223"/>
      <c r="AK224" s="223">
        <v>100</v>
      </c>
    </row>
    <row r="225" spans="1:37" x14ac:dyDescent="0.25">
      <c r="A225" s="227" t="s">
        <v>82</v>
      </c>
      <c r="B225" s="221">
        <v>43880</v>
      </c>
      <c r="C225" s="222">
        <v>0.10416666666666674</v>
      </c>
      <c r="D225" s="223">
        <v>1</v>
      </c>
      <c r="E225" s="220" t="s">
        <v>47</v>
      </c>
      <c r="F225" s="220" t="s">
        <v>75</v>
      </c>
      <c r="G225" s="220"/>
      <c r="H225" s="220"/>
      <c r="I225" s="223">
        <v>0</v>
      </c>
      <c r="J225" s="220" t="s">
        <v>54</v>
      </c>
      <c r="K225" s="220">
        <v>95</v>
      </c>
      <c r="L225" s="223">
        <v>0.12500000000000006</v>
      </c>
      <c r="M225" s="223">
        <v>6.2500000000000028E-2</v>
      </c>
      <c r="N225" s="223">
        <v>5.0000000000000017E-2</v>
      </c>
      <c r="O225" s="223">
        <v>0</v>
      </c>
      <c r="P225" s="223"/>
      <c r="Q225" s="223">
        <v>742</v>
      </c>
      <c r="R225" s="223">
        <v>0</v>
      </c>
      <c r="S225" s="223">
        <v>0</v>
      </c>
      <c r="T225" s="223">
        <v>0</v>
      </c>
      <c r="U225" s="223">
        <v>0</v>
      </c>
      <c r="V225" s="223">
        <v>0</v>
      </c>
      <c r="W225" s="223">
        <v>0</v>
      </c>
      <c r="X225" s="223">
        <v>0</v>
      </c>
      <c r="Y225" s="234">
        <v>39</v>
      </c>
      <c r="Z225" s="223"/>
      <c r="AA225" s="223"/>
      <c r="AB225" s="223">
        <v>100</v>
      </c>
      <c r="AC225" s="223"/>
      <c r="AD225" s="223"/>
      <c r="AE225" s="223">
        <v>100</v>
      </c>
      <c r="AF225" s="223"/>
      <c r="AG225" s="223"/>
      <c r="AH225" s="223">
        <v>100</v>
      </c>
      <c r="AI225" s="223"/>
      <c r="AJ225" s="223"/>
      <c r="AK225" s="223">
        <v>100</v>
      </c>
    </row>
    <row r="226" spans="1:37" x14ac:dyDescent="0.25">
      <c r="A226" s="227" t="s">
        <v>82</v>
      </c>
      <c r="B226" s="221">
        <v>43880</v>
      </c>
      <c r="C226" s="222">
        <v>0.33333333333333326</v>
      </c>
      <c r="D226" s="223">
        <v>5</v>
      </c>
      <c r="E226" s="220" t="s">
        <v>55</v>
      </c>
      <c r="F226" s="220" t="s">
        <v>56</v>
      </c>
      <c r="G226" s="220"/>
      <c r="H226" s="220"/>
      <c r="I226" s="223">
        <v>0</v>
      </c>
      <c r="J226" s="220" t="s">
        <v>54</v>
      </c>
      <c r="K226" s="220">
        <v>95</v>
      </c>
      <c r="L226" s="223">
        <v>4.583333333333333</v>
      </c>
      <c r="M226" s="223">
        <v>0.57291666666666663</v>
      </c>
      <c r="N226" s="223">
        <v>0</v>
      </c>
      <c r="O226" s="223">
        <v>5</v>
      </c>
      <c r="P226" s="223"/>
      <c r="Q226" s="223">
        <v>737</v>
      </c>
      <c r="R226" s="223">
        <v>0</v>
      </c>
      <c r="S226" s="223">
        <v>0</v>
      </c>
      <c r="T226" s="223">
        <v>0</v>
      </c>
      <c r="U226" s="223">
        <v>0</v>
      </c>
      <c r="V226" s="223">
        <v>0</v>
      </c>
      <c r="W226" s="223">
        <v>0</v>
      </c>
      <c r="X226" s="223">
        <v>0</v>
      </c>
      <c r="Y226" s="234">
        <v>39</v>
      </c>
      <c r="Z226" s="223"/>
      <c r="AA226" s="223"/>
      <c r="AB226" s="223">
        <v>100</v>
      </c>
      <c r="AC226" s="223"/>
      <c r="AD226" s="223"/>
      <c r="AE226" s="223">
        <v>100</v>
      </c>
      <c r="AF226" s="223"/>
      <c r="AG226" s="223"/>
      <c r="AH226" s="223">
        <v>100</v>
      </c>
      <c r="AI226" s="223"/>
      <c r="AJ226" s="223"/>
      <c r="AK226" s="223">
        <v>100</v>
      </c>
    </row>
    <row r="227" spans="1:37" x14ac:dyDescent="0.25">
      <c r="A227" s="227" t="s">
        <v>82</v>
      </c>
      <c r="B227" s="221">
        <v>43880</v>
      </c>
      <c r="C227" s="222">
        <v>0.4375</v>
      </c>
      <c r="D227" s="223">
        <v>3</v>
      </c>
      <c r="E227" s="220" t="s">
        <v>55</v>
      </c>
      <c r="F227" s="220" t="s">
        <v>76</v>
      </c>
      <c r="G227" s="220">
        <v>91</v>
      </c>
      <c r="H227" s="220">
        <v>8</v>
      </c>
      <c r="I227" s="223">
        <v>0</v>
      </c>
      <c r="J227" s="220" t="s">
        <v>54</v>
      </c>
      <c r="K227" s="220">
        <v>95</v>
      </c>
      <c r="L227" s="223">
        <v>2.0833333333333339</v>
      </c>
      <c r="M227" s="223">
        <v>0.26041666666666674</v>
      </c>
      <c r="N227" s="223">
        <v>0</v>
      </c>
      <c r="O227" s="223">
        <v>2</v>
      </c>
      <c r="P227" s="223"/>
      <c r="Q227" s="223">
        <v>735</v>
      </c>
      <c r="R227" s="223">
        <v>0</v>
      </c>
      <c r="S227" s="223">
        <v>0</v>
      </c>
      <c r="T227" s="223">
        <v>0</v>
      </c>
      <c r="U227" s="223">
        <v>0</v>
      </c>
      <c r="V227" s="223">
        <v>0</v>
      </c>
      <c r="W227" s="223">
        <v>0</v>
      </c>
      <c r="X227" s="223">
        <v>0</v>
      </c>
      <c r="Y227" s="234">
        <v>39</v>
      </c>
      <c r="Z227" s="223"/>
      <c r="AA227" s="223"/>
      <c r="AB227" s="223">
        <v>100</v>
      </c>
      <c r="AC227" s="223"/>
      <c r="AD227" s="223"/>
      <c r="AE227" s="223">
        <v>100</v>
      </c>
      <c r="AF227" s="223"/>
      <c r="AG227" s="223"/>
      <c r="AH227" s="223">
        <v>100</v>
      </c>
      <c r="AI227" s="223"/>
      <c r="AJ227" s="223"/>
      <c r="AK227" s="223">
        <v>100</v>
      </c>
    </row>
    <row r="228" spans="1:37" x14ac:dyDescent="0.25">
      <c r="A228" s="227" t="s">
        <v>82</v>
      </c>
      <c r="B228" s="221">
        <v>43880</v>
      </c>
      <c r="C228" s="222">
        <v>0.51249999999999996</v>
      </c>
      <c r="D228" s="223">
        <v>2</v>
      </c>
      <c r="E228" s="220" t="s">
        <v>47</v>
      </c>
      <c r="F228" s="220" t="s">
        <v>48</v>
      </c>
      <c r="G228" s="220"/>
      <c r="H228" s="220"/>
      <c r="I228" s="223">
        <v>0</v>
      </c>
      <c r="J228" s="220"/>
      <c r="K228" s="220"/>
      <c r="L228" s="223">
        <v>0.15000000000000013</v>
      </c>
      <c r="M228" s="223">
        <v>0.18750000000000017</v>
      </c>
      <c r="N228" s="223">
        <v>0.15000000000000013</v>
      </c>
      <c r="O228" s="223">
        <v>0</v>
      </c>
      <c r="P228" s="223"/>
      <c r="Q228" s="223">
        <v>734</v>
      </c>
      <c r="R228" s="223">
        <v>0</v>
      </c>
      <c r="S228" s="223">
        <v>0</v>
      </c>
      <c r="T228" s="223">
        <v>0</v>
      </c>
      <c r="U228" s="223">
        <v>0</v>
      </c>
      <c r="V228" s="223">
        <v>0</v>
      </c>
      <c r="W228" s="223">
        <v>0</v>
      </c>
      <c r="X228" s="223">
        <v>0</v>
      </c>
      <c r="Y228" s="234">
        <v>39</v>
      </c>
      <c r="Z228" s="223"/>
      <c r="AA228" s="223"/>
      <c r="AB228" s="223">
        <v>100</v>
      </c>
      <c r="AC228" s="223"/>
      <c r="AD228" s="223"/>
      <c r="AE228" s="223">
        <v>100</v>
      </c>
      <c r="AF228" s="223"/>
      <c r="AG228" s="223"/>
      <c r="AH228" s="223">
        <v>100</v>
      </c>
      <c r="AI228" s="223"/>
      <c r="AJ228" s="223"/>
      <c r="AK228" s="223">
        <v>100</v>
      </c>
    </row>
    <row r="229" spans="1:37" x14ac:dyDescent="0.25">
      <c r="A229" s="227" t="s">
        <v>82</v>
      </c>
      <c r="B229" s="221">
        <v>43880</v>
      </c>
      <c r="C229" s="222">
        <v>0.6166666666666667</v>
      </c>
      <c r="D229" s="223">
        <v>2</v>
      </c>
      <c r="E229" s="220" t="s">
        <v>49</v>
      </c>
      <c r="F229" s="220" t="s">
        <v>50</v>
      </c>
      <c r="G229" s="220"/>
      <c r="H229" s="220"/>
      <c r="I229" s="223">
        <v>11</v>
      </c>
      <c r="J229" s="220"/>
      <c r="K229" s="220"/>
      <c r="L229" s="223">
        <v>0</v>
      </c>
      <c r="M229" s="223">
        <v>0.26041666666666657</v>
      </c>
      <c r="N229" s="223">
        <v>0.20833333333333329</v>
      </c>
      <c r="O229" s="223">
        <v>0</v>
      </c>
      <c r="P229" s="223"/>
      <c r="Q229" s="223">
        <v>734</v>
      </c>
      <c r="R229" s="223">
        <v>0</v>
      </c>
      <c r="S229" s="223">
        <v>0</v>
      </c>
      <c r="T229" s="223">
        <v>0</v>
      </c>
      <c r="U229" s="223">
        <v>0</v>
      </c>
      <c r="V229" s="223">
        <v>0</v>
      </c>
      <c r="W229" s="223">
        <v>0</v>
      </c>
      <c r="X229" s="223">
        <v>0</v>
      </c>
      <c r="Y229" s="234">
        <v>39</v>
      </c>
      <c r="Z229" s="223"/>
      <c r="AA229" s="223"/>
      <c r="AB229" s="223">
        <v>100</v>
      </c>
      <c r="AC229" s="223"/>
      <c r="AD229" s="223"/>
      <c r="AE229" s="223">
        <v>100</v>
      </c>
      <c r="AF229" s="223"/>
      <c r="AG229" s="223"/>
      <c r="AH229" s="223">
        <v>100</v>
      </c>
      <c r="AI229" s="223"/>
      <c r="AJ229" s="223"/>
      <c r="AK229" s="223">
        <v>100</v>
      </c>
    </row>
    <row r="230" spans="1:37" x14ac:dyDescent="0.25">
      <c r="A230" s="227" t="s">
        <v>82</v>
      </c>
      <c r="B230" s="221">
        <v>43881</v>
      </c>
      <c r="C230" s="222">
        <v>1</v>
      </c>
      <c r="D230" s="223">
        <v>33</v>
      </c>
      <c r="E230" s="220" t="s">
        <v>51</v>
      </c>
      <c r="F230" s="220" t="s">
        <v>52</v>
      </c>
      <c r="G230" s="220"/>
      <c r="H230" s="220"/>
      <c r="I230" s="223">
        <v>0</v>
      </c>
      <c r="J230" s="220"/>
      <c r="K230" s="220"/>
      <c r="L230" s="223">
        <v>0</v>
      </c>
      <c r="M230" s="223">
        <v>0.95833333333333326</v>
      </c>
      <c r="N230" s="223">
        <v>0.76666666666666661</v>
      </c>
      <c r="O230" s="223">
        <v>2</v>
      </c>
      <c r="P230" s="223"/>
      <c r="Q230" s="223">
        <v>732</v>
      </c>
      <c r="R230" s="223">
        <v>0</v>
      </c>
      <c r="S230" s="223">
        <v>0</v>
      </c>
      <c r="T230" s="223">
        <v>0</v>
      </c>
      <c r="U230" s="223">
        <v>0</v>
      </c>
      <c r="V230" s="223">
        <v>2.2999999999999998</v>
      </c>
      <c r="W230" s="223">
        <v>2</v>
      </c>
      <c r="X230" s="223">
        <v>0</v>
      </c>
      <c r="Y230" s="234">
        <v>37</v>
      </c>
      <c r="Z230" s="223"/>
      <c r="AA230" s="223"/>
      <c r="AB230" s="223">
        <v>100</v>
      </c>
      <c r="AC230" s="223"/>
      <c r="AD230" s="223"/>
      <c r="AE230" s="223">
        <v>100</v>
      </c>
      <c r="AF230" s="223"/>
      <c r="AG230" s="223"/>
      <c r="AH230" s="223">
        <v>100</v>
      </c>
      <c r="AI230" s="223"/>
      <c r="AJ230" s="223"/>
      <c r="AK230" s="223">
        <v>100</v>
      </c>
    </row>
    <row r="231" spans="1:37" x14ac:dyDescent="0.25">
      <c r="A231" s="227" t="s">
        <v>82</v>
      </c>
      <c r="B231" s="221">
        <v>43881</v>
      </c>
      <c r="C231" s="222">
        <v>7.9166666666666607E-2</v>
      </c>
      <c r="D231" s="223">
        <v>-22</v>
      </c>
      <c r="E231" s="220" t="s">
        <v>49</v>
      </c>
      <c r="F231" s="220" t="s">
        <v>46</v>
      </c>
      <c r="G231" s="220"/>
      <c r="H231" s="220"/>
      <c r="I231" s="223">
        <v>0</v>
      </c>
      <c r="J231" s="220"/>
      <c r="K231" s="220"/>
      <c r="L231" s="223">
        <v>0</v>
      </c>
      <c r="M231" s="223">
        <v>0.19791666666666652</v>
      </c>
      <c r="N231" s="223">
        <v>0.15833333333333319</v>
      </c>
      <c r="O231" s="223">
        <v>0</v>
      </c>
      <c r="P231" s="223"/>
      <c r="Q231" s="223">
        <v>732</v>
      </c>
      <c r="R231" s="223">
        <v>0</v>
      </c>
      <c r="S231" s="223">
        <v>0</v>
      </c>
      <c r="T231" s="223">
        <v>0</v>
      </c>
      <c r="U231" s="223">
        <v>0</v>
      </c>
      <c r="V231" s="223">
        <v>0</v>
      </c>
      <c r="W231" s="223">
        <v>0</v>
      </c>
      <c r="X231" s="223">
        <v>0</v>
      </c>
      <c r="Y231" s="234">
        <v>37</v>
      </c>
      <c r="Z231" s="223"/>
      <c r="AA231" s="223"/>
      <c r="AB231" s="223">
        <v>100</v>
      </c>
      <c r="AC231" s="223"/>
      <c r="AD231" s="223"/>
      <c r="AE231" s="223">
        <v>100</v>
      </c>
      <c r="AF231" s="223"/>
      <c r="AG231" s="223"/>
      <c r="AH231" s="223">
        <v>100</v>
      </c>
      <c r="AI231" s="223"/>
      <c r="AJ231" s="223"/>
      <c r="AK231" s="223">
        <v>100</v>
      </c>
    </row>
    <row r="232" spans="1:37" x14ac:dyDescent="0.25">
      <c r="A232" s="227" t="s">
        <v>82</v>
      </c>
      <c r="B232" s="221">
        <v>43881</v>
      </c>
      <c r="C232" s="222">
        <v>0.10416666666666674</v>
      </c>
      <c r="D232" s="223">
        <v>1</v>
      </c>
      <c r="E232" s="220" t="s">
        <v>47</v>
      </c>
      <c r="F232" s="220" t="s">
        <v>79</v>
      </c>
      <c r="G232" s="220"/>
      <c r="H232" s="220"/>
      <c r="I232" s="223">
        <v>0</v>
      </c>
      <c r="J232" s="220" t="s">
        <v>81</v>
      </c>
      <c r="K232" s="220">
        <v>95</v>
      </c>
      <c r="L232" s="223">
        <v>0.12500000000000006</v>
      </c>
      <c r="M232" s="223">
        <v>6.2500000000000028E-2</v>
      </c>
      <c r="N232" s="223">
        <v>5.0000000000000017E-2</v>
      </c>
      <c r="O232" s="223">
        <v>0</v>
      </c>
      <c r="P232" s="223"/>
      <c r="Q232" s="223">
        <v>732</v>
      </c>
      <c r="R232" s="223">
        <v>0</v>
      </c>
      <c r="S232" s="223">
        <v>0</v>
      </c>
      <c r="T232" s="223">
        <v>0</v>
      </c>
      <c r="U232" s="223">
        <v>0</v>
      </c>
      <c r="V232" s="223">
        <v>0</v>
      </c>
      <c r="W232" s="223">
        <v>0</v>
      </c>
      <c r="X232" s="223">
        <v>0</v>
      </c>
      <c r="Y232" s="234">
        <v>37</v>
      </c>
      <c r="Z232" s="223"/>
      <c r="AA232" s="223"/>
      <c r="AB232" s="223">
        <v>100</v>
      </c>
      <c r="AC232" s="223"/>
      <c r="AD232" s="223"/>
      <c r="AE232" s="223">
        <v>100</v>
      </c>
      <c r="AF232" s="223"/>
      <c r="AG232" s="223"/>
      <c r="AH232" s="223">
        <v>100</v>
      </c>
      <c r="AI232" s="223"/>
      <c r="AJ232" s="223"/>
      <c r="AK232" s="223">
        <v>100</v>
      </c>
    </row>
    <row r="233" spans="1:37" x14ac:dyDescent="0.25">
      <c r="A233" s="227" t="s">
        <v>82</v>
      </c>
      <c r="B233" s="221">
        <v>43881</v>
      </c>
      <c r="C233" s="222">
        <v>0.33333333333333326</v>
      </c>
      <c r="D233" s="223">
        <v>5</v>
      </c>
      <c r="E233" s="220" t="s">
        <v>55</v>
      </c>
      <c r="F233" s="220" t="s">
        <v>56</v>
      </c>
      <c r="G233" s="220"/>
      <c r="H233" s="220"/>
      <c r="I233" s="223">
        <v>0</v>
      </c>
      <c r="J233" s="220" t="s">
        <v>81</v>
      </c>
      <c r="K233" s="220">
        <v>95</v>
      </c>
      <c r="L233" s="223">
        <v>4.583333333333333</v>
      </c>
      <c r="M233" s="223">
        <v>0.57291666666666663</v>
      </c>
      <c r="N233" s="223">
        <v>0</v>
      </c>
      <c r="O233" s="223">
        <v>5</v>
      </c>
      <c r="P233" s="223"/>
      <c r="Q233" s="223">
        <v>726</v>
      </c>
      <c r="R233" s="223">
        <v>0</v>
      </c>
      <c r="S233" s="223">
        <v>0</v>
      </c>
      <c r="T233" s="223">
        <v>0</v>
      </c>
      <c r="U233" s="223">
        <v>0</v>
      </c>
      <c r="V233" s="223">
        <v>0</v>
      </c>
      <c r="W233" s="223">
        <v>0</v>
      </c>
      <c r="X233" s="223">
        <v>0</v>
      </c>
      <c r="Y233" s="234">
        <v>37</v>
      </c>
      <c r="Z233" s="223"/>
      <c r="AA233" s="223"/>
      <c r="AB233" s="223">
        <v>100</v>
      </c>
      <c r="AC233" s="223"/>
      <c r="AD233" s="223"/>
      <c r="AE233" s="223">
        <v>100</v>
      </c>
      <c r="AF233" s="223"/>
      <c r="AG233" s="223"/>
      <c r="AH233" s="223">
        <v>100</v>
      </c>
      <c r="AI233" s="223"/>
      <c r="AJ233" s="223"/>
      <c r="AK233" s="223">
        <v>100</v>
      </c>
    </row>
    <row r="234" spans="1:37" x14ac:dyDescent="0.25">
      <c r="A234" s="227" t="s">
        <v>82</v>
      </c>
      <c r="B234" s="221">
        <v>43882</v>
      </c>
      <c r="C234" s="222">
        <v>0.125</v>
      </c>
      <c r="D234" s="223">
        <v>19</v>
      </c>
      <c r="E234" s="220" t="s">
        <v>55</v>
      </c>
      <c r="F234" s="220" t="s">
        <v>80</v>
      </c>
      <c r="G234" s="220">
        <v>266</v>
      </c>
      <c r="H234" s="220">
        <v>24.5</v>
      </c>
      <c r="I234" s="223">
        <v>0</v>
      </c>
      <c r="J234" s="220" t="s">
        <v>81</v>
      </c>
      <c r="K234" s="220">
        <v>95</v>
      </c>
      <c r="L234" s="223">
        <v>15.833333333333334</v>
      </c>
      <c r="M234" s="223">
        <v>1.9791666666666667</v>
      </c>
      <c r="N234" s="223">
        <v>0</v>
      </c>
      <c r="O234" s="223">
        <v>18</v>
      </c>
      <c r="P234" s="223"/>
      <c r="Q234" s="223">
        <v>709</v>
      </c>
      <c r="R234" s="223">
        <v>0</v>
      </c>
      <c r="S234" s="223">
        <v>0</v>
      </c>
      <c r="T234" s="223">
        <v>0</v>
      </c>
      <c r="U234" s="223">
        <v>0</v>
      </c>
      <c r="V234" s="223">
        <v>0</v>
      </c>
      <c r="W234" s="223">
        <v>0</v>
      </c>
      <c r="X234" s="223">
        <v>0</v>
      </c>
      <c r="Y234" s="234">
        <v>37</v>
      </c>
      <c r="Z234" s="223"/>
      <c r="AA234" s="223"/>
      <c r="AB234" s="223">
        <v>100</v>
      </c>
      <c r="AC234" s="223"/>
      <c r="AD234" s="223"/>
      <c r="AE234" s="223">
        <v>100</v>
      </c>
      <c r="AF234" s="223"/>
      <c r="AG234" s="223"/>
      <c r="AH234" s="223">
        <v>100</v>
      </c>
      <c r="AI234" s="223"/>
      <c r="AJ234" s="223"/>
      <c r="AK234" s="223">
        <v>100</v>
      </c>
    </row>
    <row r="235" spans="1:37" x14ac:dyDescent="0.25">
      <c r="A235" s="227" t="s">
        <v>82</v>
      </c>
      <c r="B235" s="221">
        <v>43882</v>
      </c>
      <c r="C235" s="222">
        <v>0.14583333333333326</v>
      </c>
      <c r="D235" s="223">
        <v>1</v>
      </c>
      <c r="E235" s="220" t="s">
        <v>47</v>
      </c>
      <c r="F235" s="220" t="s">
        <v>48</v>
      </c>
      <c r="G235" s="220"/>
      <c r="H235" s="220"/>
      <c r="I235" s="223">
        <v>0</v>
      </c>
      <c r="J235" s="220"/>
      <c r="K235" s="220"/>
      <c r="L235" s="223">
        <v>0.10416666666666673</v>
      </c>
      <c r="M235" s="223">
        <v>5.2083333333333363E-2</v>
      </c>
      <c r="N235" s="223">
        <v>4.1666666666666685E-2</v>
      </c>
      <c r="O235" s="223">
        <v>0</v>
      </c>
      <c r="P235" s="223"/>
      <c r="Q235" s="223">
        <v>708</v>
      </c>
      <c r="R235" s="223">
        <v>0</v>
      </c>
      <c r="S235" s="223">
        <v>0</v>
      </c>
      <c r="T235" s="223">
        <v>0</v>
      </c>
      <c r="U235" s="223">
        <v>0</v>
      </c>
      <c r="V235" s="223">
        <v>0</v>
      </c>
      <c r="W235" s="223">
        <v>0</v>
      </c>
      <c r="X235" s="223">
        <v>0</v>
      </c>
      <c r="Y235" s="234">
        <v>37</v>
      </c>
      <c r="Z235" s="223"/>
      <c r="AA235" s="223"/>
      <c r="AB235" s="223">
        <v>100</v>
      </c>
      <c r="AC235" s="223"/>
      <c r="AD235" s="223"/>
      <c r="AE235" s="223">
        <v>100</v>
      </c>
      <c r="AF235" s="223"/>
      <c r="AG235" s="223"/>
      <c r="AH235" s="223">
        <v>100</v>
      </c>
      <c r="AI235" s="223"/>
      <c r="AJ235" s="223"/>
      <c r="AK235" s="223">
        <v>100</v>
      </c>
    </row>
    <row r="236" spans="1:37" x14ac:dyDescent="0.25">
      <c r="A236" s="227" t="s">
        <v>82</v>
      </c>
      <c r="B236" s="221">
        <v>43882</v>
      </c>
      <c r="C236" s="222">
        <v>0.33333333333333326</v>
      </c>
      <c r="D236" s="223">
        <v>4</v>
      </c>
      <c r="E236" s="220" t="s">
        <v>45</v>
      </c>
      <c r="F236" s="220" t="s">
        <v>45</v>
      </c>
      <c r="G236" s="220"/>
      <c r="H236" s="220"/>
      <c r="I236" s="223">
        <v>0</v>
      </c>
      <c r="J236" s="220"/>
      <c r="K236" s="220"/>
      <c r="L236" s="223">
        <v>0</v>
      </c>
      <c r="M236" s="223">
        <v>0.46874999999999994</v>
      </c>
      <c r="N236" s="223">
        <v>0.37499999999999994</v>
      </c>
      <c r="O236" s="223">
        <v>1</v>
      </c>
      <c r="P236" s="223"/>
      <c r="Q236" s="223">
        <v>708</v>
      </c>
      <c r="R236" s="223">
        <v>0</v>
      </c>
      <c r="S236" s="223">
        <v>0</v>
      </c>
      <c r="T236" s="223">
        <v>0</v>
      </c>
      <c r="U236" s="223">
        <v>0</v>
      </c>
      <c r="V236" s="223">
        <v>0</v>
      </c>
      <c r="W236" s="223">
        <v>0</v>
      </c>
      <c r="X236" s="223">
        <v>0</v>
      </c>
      <c r="Y236" s="234">
        <v>37</v>
      </c>
      <c r="Z236" s="223"/>
      <c r="AA236" s="223"/>
      <c r="AB236" s="223">
        <v>100</v>
      </c>
      <c r="AC236" s="223"/>
      <c r="AD236" s="223"/>
      <c r="AE236" s="223">
        <v>100</v>
      </c>
      <c r="AF236" s="223"/>
      <c r="AG236" s="223"/>
      <c r="AH236" s="223">
        <v>100</v>
      </c>
      <c r="AI236" s="223"/>
      <c r="AJ236" s="223"/>
      <c r="AK236" s="223">
        <v>100</v>
      </c>
    </row>
    <row r="237" spans="1:37" x14ac:dyDescent="0.25">
      <c r="A237" s="227" t="s">
        <v>82</v>
      </c>
      <c r="B237" s="221">
        <v>43883</v>
      </c>
      <c r="C237" s="222">
        <v>0.33333333333333326</v>
      </c>
      <c r="D237" s="223">
        <v>24</v>
      </c>
      <c r="E237" s="220" t="s">
        <v>45</v>
      </c>
      <c r="F237" s="220" t="s">
        <v>45</v>
      </c>
      <c r="G237" s="220"/>
      <c r="H237" s="220"/>
      <c r="I237" s="223">
        <v>0</v>
      </c>
      <c r="J237" s="220"/>
      <c r="K237" s="220"/>
      <c r="L237" s="223">
        <v>0</v>
      </c>
      <c r="M237" s="223">
        <v>2.4</v>
      </c>
      <c r="N237" s="223">
        <v>2</v>
      </c>
      <c r="O237" s="223">
        <v>4</v>
      </c>
      <c r="P237" s="223"/>
      <c r="Q237" s="223">
        <v>703</v>
      </c>
      <c r="R237" s="223">
        <v>0</v>
      </c>
      <c r="S237" s="223">
        <v>0</v>
      </c>
      <c r="T237" s="223">
        <v>0</v>
      </c>
      <c r="U237" s="223">
        <v>0</v>
      </c>
      <c r="V237" s="223">
        <v>0</v>
      </c>
      <c r="W237" s="223">
        <v>0</v>
      </c>
      <c r="X237" s="223">
        <v>0</v>
      </c>
      <c r="Y237" s="234">
        <v>37</v>
      </c>
      <c r="Z237" s="223"/>
      <c r="AA237" s="223"/>
      <c r="AB237" s="223">
        <v>100</v>
      </c>
      <c r="AC237" s="223"/>
      <c r="AD237" s="223"/>
      <c r="AE237" s="223">
        <v>100</v>
      </c>
      <c r="AF237" s="223"/>
      <c r="AG237" s="223"/>
      <c r="AH237" s="223">
        <v>100</v>
      </c>
      <c r="AI237" s="223"/>
      <c r="AJ237" s="223"/>
      <c r="AK237" s="223">
        <v>100</v>
      </c>
    </row>
    <row r="238" spans="1:37" x14ac:dyDescent="0.25">
      <c r="A238" s="227" t="s">
        <v>82</v>
      </c>
      <c r="B238" s="221">
        <v>43884</v>
      </c>
      <c r="C238" s="222">
        <v>0.33333333333333326</v>
      </c>
      <c r="D238" s="223">
        <v>24</v>
      </c>
      <c r="E238" s="220" t="s">
        <v>45</v>
      </c>
      <c r="F238" s="220" t="s">
        <v>45</v>
      </c>
      <c r="G238" s="220"/>
      <c r="H238" s="220"/>
      <c r="I238" s="223">
        <v>11</v>
      </c>
      <c r="J238" s="220"/>
      <c r="K238" s="220"/>
      <c r="L238" s="223">
        <v>0</v>
      </c>
      <c r="M238" s="223">
        <v>2.5</v>
      </c>
      <c r="N238" s="223">
        <v>2</v>
      </c>
      <c r="O238" s="223">
        <v>4</v>
      </c>
      <c r="P238" s="223"/>
      <c r="Q238" s="223">
        <v>699</v>
      </c>
      <c r="R238" s="223">
        <v>0</v>
      </c>
      <c r="S238" s="223">
        <v>0</v>
      </c>
      <c r="T238" s="223">
        <v>0</v>
      </c>
      <c r="U238" s="223">
        <v>0</v>
      </c>
      <c r="V238" s="223">
        <v>0</v>
      </c>
      <c r="W238" s="223">
        <v>0</v>
      </c>
      <c r="X238" s="223">
        <v>0</v>
      </c>
      <c r="Y238" s="234">
        <v>37</v>
      </c>
      <c r="Z238" s="223"/>
      <c r="AA238" s="223"/>
      <c r="AB238" s="223">
        <v>100</v>
      </c>
      <c r="AC238" s="223"/>
      <c r="AD238" s="223"/>
      <c r="AE238" s="223">
        <v>100</v>
      </c>
      <c r="AF238" s="223"/>
      <c r="AG238" s="223"/>
      <c r="AH238" s="223">
        <v>100</v>
      </c>
      <c r="AI238" s="223"/>
      <c r="AJ238" s="223"/>
      <c r="AK238" s="223">
        <v>100</v>
      </c>
    </row>
    <row r="239" spans="1:37" x14ac:dyDescent="0.25">
      <c r="A239" s="227" t="s">
        <v>82</v>
      </c>
      <c r="B239" s="221">
        <v>43885</v>
      </c>
      <c r="C239" s="222">
        <v>0.33333333333333326</v>
      </c>
      <c r="D239" s="223">
        <v>24</v>
      </c>
      <c r="E239" s="220" t="s">
        <v>45</v>
      </c>
      <c r="F239" s="220" t="s">
        <v>45</v>
      </c>
      <c r="G239" s="220"/>
      <c r="H239" s="220"/>
      <c r="I239" s="223">
        <v>0</v>
      </c>
      <c r="J239" s="220"/>
      <c r="K239" s="220"/>
      <c r="L239" s="223">
        <v>0</v>
      </c>
      <c r="M239" s="223">
        <v>2.5</v>
      </c>
      <c r="N239" s="223">
        <v>2</v>
      </c>
      <c r="O239" s="223">
        <v>4</v>
      </c>
      <c r="P239" s="223"/>
      <c r="Q239" s="223">
        <v>694</v>
      </c>
      <c r="R239" s="223">
        <v>0</v>
      </c>
      <c r="S239" s="223">
        <v>0</v>
      </c>
      <c r="T239" s="223">
        <v>0</v>
      </c>
      <c r="U239" s="223">
        <v>0</v>
      </c>
      <c r="V239" s="223">
        <v>0</v>
      </c>
      <c r="W239" s="223">
        <v>0</v>
      </c>
      <c r="X239" s="223">
        <v>0</v>
      </c>
      <c r="Y239" s="234">
        <v>37</v>
      </c>
      <c r="Z239" s="223"/>
      <c r="AA239" s="223"/>
      <c r="AB239" s="223">
        <v>100</v>
      </c>
      <c r="AC239" s="223"/>
      <c r="AD239" s="223"/>
      <c r="AE239" s="223">
        <v>100</v>
      </c>
      <c r="AF239" s="223"/>
      <c r="AG239" s="223"/>
      <c r="AH239" s="223">
        <v>100</v>
      </c>
      <c r="AI239" s="223"/>
      <c r="AJ239" s="223"/>
      <c r="AK239" s="223">
        <v>100</v>
      </c>
    </row>
    <row r="240" spans="1:37" x14ac:dyDescent="0.25">
      <c r="A240" s="227" t="s">
        <v>82</v>
      </c>
      <c r="B240" s="221">
        <v>43886</v>
      </c>
      <c r="C240" s="222">
        <v>0.33333333333333326</v>
      </c>
      <c r="D240" s="223">
        <v>24</v>
      </c>
      <c r="E240" s="220" t="s">
        <v>45</v>
      </c>
      <c r="F240" s="220" t="s">
        <v>45</v>
      </c>
      <c r="G240" s="220"/>
      <c r="H240" s="220"/>
      <c r="I240" s="223">
        <v>0</v>
      </c>
      <c r="J240" s="220"/>
      <c r="K240" s="220"/>
      <c r="L240" s="223">
        <v>0</v>
      </c>
      <c r="M240" s="223">
        <v>2.5</v>
      </c>
      <c r="N240" s="223">
        <v>2</v>
      </c>
      <c r="O240" s="223">
        <v>4</v>
      </c>
      <c r="P240" s="223"/>
      <c r="Q240" s="223">
        <v>690</v>
      </c>
      <c r="R240" s="223">
        <v>0</v>
      </c>
      <c r="S240" s="223">
        <v>0</v>
      </c>
      <c r="T240" s="223">
        <v>0</v>
      </c>
      <c r="U240" s="223">
        <v>0</v>
      </c>
      <c r="V240" s="223">
        <v>0</v>
      </c>
      <c r="W240" s="223">
        <v>0</v>
      </c>
      <c r="X240" s="223">
        <v>0</v>
      </c>
      <c r="Y240" s="234">
        <v>37</v>
      </c>
      <c r="Z240" s="223"/>
      <c r="AA240" s="223"/>
      <c r="AB240" s="223">
        <v>100</v>
      </c>
      <c r="AC240" s="223"/>
      <c r="AD240" s="223"/>
      <c r="AE240" s="223">
        <v>100</v>
      </c>
      <c r="AF240" s="223"/>
      <c r="AG240" s="223"/>
      <c r="AH240" s="223">
        <v>100</v>
      </c>
      <c r="AI240" s="223"/>
      <c r="AJ240" s="223"/>
      <c r="AK240" s="223">
        <v>100</v>
      </c>
    </row>
    <row r="241" spans="1:37" x14ac:dyDescent="0.25">
      <c r="A241" s="227" t="s">
        <v>82</v>
      </c>
      <c r="B241" s="221">
        <v>43887</v>
      </c>
      <c r="C241" s="222">
        <v>0.33333333333333326</v>
      </c>
      <c r="D241" s="223">
        <v>24</v>
      </c>
      <c r="E241" s="220" t="s">
        <v>45</v>
      </c>
      <c r="F241" s="220" t="s">
        <v>45</v>
      </c>
      <c r="G241" s="220"/>
      <c r="H241" s="220"/>
      <c r="I241" s="223">
        <v>0</v>
      </c>
      <c r="J241" s="220"/>
      <c r="K241" s="220"/>
      <c r="L241" s="223">
        <v>0</v>
      </c>
      <c r="M241" s="223">
        <v>2.5</v>
      </c>
      <c r="N241" s="223">
        <v>2</v>
      </c>
      <c r="O241" s="223">
        <v>4</v>
      </c>
      <c r="P241" s="223"/>
      <c r="Q241" s="223">
        <v>685</v>
      </c>
      <c r="R241" s="223">
        <v>0</v>
      </c>
      <c r="S241" s="223">
        <v>0</v>
      </c>
      <c r="T241" s="223">
        <v>0</v>
      </c>
      <c r="U241" s="223">
        <v>0</v>
      </c>
      <c r="V241" s="223">
        <v>0</v>
      </c>
      <c r="W241" s="223">
        <v>0</v>
      </c>
      <c r="X241" s="223">
        <v>0</v>
      </c>
      <c r="Y241" s="234">
        <v>37</v>
      </c>
      <c r="Z241" s="223"/>
      <c r="AA241" s="223"/>
      <c r="AB241" s="223">
        <v>100</v>
      </c>
      <c r="AC241" s="223"/>
      <c r="AD241" s="223"/>
      <c r="AE241" s="223">
        <v>100</v>
      </c>
      <c r="AF241" s="223"/>
      <c r="AG241" s="223"/>
      <c r="AH241" s="223">
        <v>100</v>
      </c>
      <c r="AI241" s="223"/>
      <c r="AJ241" s="223"/>
      <c r="AK241" s="223">
        <v>100</v>
      </c>
    </row>
    <row r="242" spans="1:37" x14ac:dyDescent="0.25">
      <c r="A242" s="227" t="s">
        <v>82</v>
      </c>
      <c r="B242" s="221">
        <v>43888</v>
      </c>
      <c r="C242" s="222">
        <v>0.33333333333333326</v>
      </c>
      <c r="D242" s="223">
        <v>24</v>
      </c>
      <c r="E242" s="220" t="s">
        <v>45</v>
      </c>
      <c r="F242" s="220" t="s">
        <v>45</v>
      </c>
      <c r="G242" s="220"/>
      <c r="H242" s="220"/>
      <c r="I242" s="223">
        <v>0</v>
      </c>
      <c r="J242" s="220"/>
      <c r="K242" s="220"/>
      <c r="L242" s="223">
        <v>0</v>
      </c>
      <c r="M242" s="223">
        <v>2.5</v>
      </c>
      <c r="N242" s="223">
        <v>2</v>
      </c>
      <c r="O242" s="223">
        <v>4</v>
      </c>
      <c r="P242" s="223"/>
      <c r="Q242" s="223">
        <v>681</v>
      </c>
      <c r="R242" s="223">
        <v>0</v>
      </c>
      <c r="S242" s="223">
        <v>0</v>
      </c>
      <c r="T242" s="223">
        <v>0</v>
      </c>
      <c r="U242" s="223">
        <v>0</v>
      </c>
      <c r="V242" s="223">
        <v>0</v>
      </c>
      <c r="W242" s="223">
        <v>0</v>
      </c>
      <c r="X242" s="223">
        <v>0</v>
      </c>
      <c r="Y242" s="234">
        <v>37</v>
      </c>
      <c r="Z242" s="223"/>
      <c r="AA242" s="223"/>
      <c r="AB242" s="223">
        <v>100</v>
      </c>
      <c r="AC242" s="223"/>
      <c r="AD242" s="223"/>
      <c r="AE242" s="223">
        <v>100</v>
      </c>
      <c r="AF242" s="223"/>
      <c r="AG242" s="223"/>
      <c r="AH242" s="223">
        <v>100</v>
      </c>
      <c r="AI242" s="223"/>
      <c r="AJ242" s="223"/>
      <c r="AK242" s="223">
        <v>100</v>
      </c>
    </row>
    <row r="243" spans="1:37" x14ac:dyDescent="0.25">
      <c r="A243" s="227" t="s">
        <v>82</v>
      </c>
      <c r="B243" s="221">
        <v>43888</v>
      </c>
      <c r="C243" s="222">
        <v>0.5083333333333333</v>
      </c>
      <c r="D243" s="223">
        <v>4</v>
      </c>
      <c r="E243" s="220" t="s">
        <v>45</v>
      </c>
      <c r="F243" s="220" t="s">
        <v>46</v>
      </c>
      <c r="G243" s="220"/>
      <c r="H243" s="220"/>
      <c r="I243" s="223">
        <v>0</v>
      </c>
      <c r="J243" s="220"/>
      <c r="K243" s="220"/>
      <c r="L243" s="223">
        <v>0</v>
      </c>
      <c r="M243" s="223">
        <v>0.43749999999999994</v>
      </c>
      <c r="N243" s="223">
        <v>0.34999999999999992</v>
      </c>
      <c r="O243" s="223">
        <v>1</v>
      </c>
      <c r="P243" s="223"/>
      <c r="Q243" s="223">
        <v>680</v>
      </c>
      <c r="R243" s="223">
        <v>0</v>
      </c>
      <c r="S243" s="223">
        <v>0</v>
      </c>
      <c r="T243" s="223">
        <v>0</v>
      </c>
      <c r="U243" s="223">
        <v>0</v>
      </c>
      <c r="V243" s="223">
        <v>0</v>
      </c>
      <c r="W243" s="223">
        <v>0</v>
      </c>
      <c r="X243" s="223">
        <v>0</v>
      </c>
      <c r="Y243" s="234">
        <v>37</v>
      </c>
      <c r="Z243" s="223"/>
      <c r="AA243" s="223"/>
      <c r="AB243" s="223">
        <v>100</v>
      </c>
      <c r="AC243" s="223"/>
      <c r="AD243" s="223"/>
      <c r="AE243" s="223">
        <v>100</v>
      </c>
      <c r="AF243" s="223"/>
      <c r="AG243" s="223"/>
      <c r="AH243" s="223">
        <v>100</v>
      </c>
      <c r="AI243" s="223"/>
      <c r="AJ243" s="223"/>
      <c r="AK243" s="223">
        <v>100</v>
      </c>
    </row>
    <row r="244" spans="1:37" x14ac:dyDescent="0.25">
      <c r="A244" s="227" t="s">
        <v>82</v>
      </c>
      <c r="B244" s="221">
        <v>43888</v>
      </c>
      <c r="C244" s="222">
        <v>0.5625</v>
      </c>
      <c r="D244" s="223">
        <v>1</v>
      </c>
      <c r="E244" s="220" t="s">
        <v>47</v>
      </c>
      <c r="F244" s="220" t="s">
        <v>48</v>
      </c>
      <c r="G244" s="220"/>
      <c r="H244" s="220"/>
      <c r="I244" s="223">
        <v>0</v>
      </c>
      <c r="J244" s="220"/>
      <c r="K244" s="220"/>
      <c r="L244" s="223">
        <v>0.27083333333333348</v>
      </c>
      <c r="M244" s="223">
        <v>0.13541666666666674</v>
      </c>
      <c r="N244" s="223">
        <v>0.10833333333333341</v>
      </c>
      <c r="O244" s="223">
        <v>1</v>
      </c>
      <c r="P244" s="223"/>
      <c r="Q244" s="223">
        <v>679</v>
      </c>
      <c r="R244" s="223">
        <v>0</v>
      </c>
      <c r="S244" s="223">
        <v>0</v>
      </c>
      <c r="T244" s="223">
        <v>0</v>
      </c>
      <c r="U244" s="223">
        <v>0</v>
      </c>
      <c r="V244" s="223">
        <v>0</v>
      </c>
      <c r="W244" s="223">
        <v>0</v>
      </c>
      <c r="X244" s="223">
        <v>0</v>
      </c>
      <c r="Y244" s="234">
        <v>37</v>
      </c>
      <c r="Z244" s="223"/>
      <c r="AA244" s="223"/>
      <c r="AB244" s="223">
        <v>100</v>
      </c>
      <c r="AC244" s="223"/>
      <c r="AD244" s="223"/>
      <c r="AE244" s="223">
        <v>100</v>
      </c>
      <c r="AF244" s="223"/>
      <c r="AG244" s="223"/>
      <c r="AH244" s="223">
        <v>100</v>
      </c>
      <c r="AI244" s="223"/>
      <c r="AJ244" s="223"/>
      <c r="AK244" s="223">
        <v>100</v>
      </c>
    </row>
    <row r="245" spans="1:37" x14ac:dyDescent="0.25">
      <c r="A245" s="227" t="s">
        <v>82</v>
      </c>
      <c r="B245" s="221">
        <v>43888</v>
      </c>
      <c r="C245" s="222">
        <v>0.6958333333333333</v>
      </c>
      <c r="D245" s="223">
        <v>3</v>
      </c>
      <c r="E245" s="220" t="s">
        <v>49</v>
      </c>
      <c r="F245" s="220" t="s">
        <v>50</v>
      </c>
      <c r="G245" s="220"/>
      <c r="H245" s="220"/>
      <c r="I245" s="223">
        <v>0</v>
      </c>
      <c r="J245" s="220"/>
      <c r="K245" s="220"/>
      <c r="L245" s="223">
        <v>0</v>
      </c>
      <c r="M245" s="223">
        <v>0.33333333333333326</v>
      </c>
      <c r="N245" s="223">
        <v>0.26666666666666661</v>
      </c>
      <c r="O245" s="223">
        <v>1</v>
      </c>
      <c r="P245" s="223"/>
      <c r="Q245" s="223">
        <v>679</v>
      </c>
      <c r="R245" s="223">
        <v>0</v>
      </c>
      <c r="S245" s="223">
        <v>0</v>
      </c>
      <c r="T245" s="223">
        <v>0</v>
      </c>
      <c r="U245" s="223">
        <v>0</v>
      </c>
      <c r="V245" s="223">
        <v>0.4</v>
      </c>
      <c r="W245" s="223">
        <v>0</v>
      </c>
      <c r="X245" s="223">
        <v>0</v>
      </c>
      <c r="Y245" s="234">
        <v>37</v>
      </c>
      <c r="Z245" s="223"/>
      <c r="AA245" s="223"/>
      <c r="AB245" s="223">
        <v>100</v>
      </c>
      <c r="AC245" s="223"/>
      <c r="AD245" s="223"/>
      <c r="AE245" s="223">
        <v>100</v>
      </c>
      <c r="AF245" s="223"/>
      <c r="AG245" s="223"/>
      <c r="AH245" s="223">
        <v>100</v>
      </c>
      <c r="AI245" s="223"/>
      <c r="AJ245" s="223"/>
      <c r="AK245" s="223">
        <v>100</v>
      </c>
    </row>
    <row r="246" spans="1:37" x14ac:dyDescent="0.25">
      <c r="A246" s="227" t="s">
        <v>82</v>
      </c>
      <c r="B246" s="221">
        <v>43889</v>
      </c>
      <c r="C246" s="222">
        <v>0.33333333333333326</v>
      </c>
      <c r="D246" s="223">
        <v>15</v>
      </c>
      <c r="E246" s="220" t="s">
        <v>51</v>
      </c>
      <c r="F246" s="220" t="s">
        <v>51</v>
      </c>
      <c r="G246" s="220"/>
      <c r="H246" s="220"/>
      <c r="I246" s="223">
        <v>0</v>
      </c>
      <c r="J246" s="220"/>
      <c r="K246" s="220"/>
      <c r="L246" s="223">
        <v>0</v>
      </c>
      <c r="M246" s="223">
        <v>1.5937500000000002</v>
      </c>
      <c r="N246" s="223">
        <v>1.2749999999999999</v>
      </c>
      <c r="O246" s="223">
        <v>3</v>
      </c>
      <c r="P246" s="223"/>
      <c r="Q246" s="223">
        <v>676</v>
      </c>
      <c r="R246" s="223">
        <v>0</v>
      </c>
      <c r="S246" s="223">
        <v>0</v>
      </c>
      <c r="T246" s="223">
        <v>0</v>
      </c>
      <c r="U246" s="223">
        <v>0</v>
      </c>
      <c r="V246" s="223">
        <v>3.8</v>
      </c>
      <c r="W246" s="223">
        <v>4</v>
      </c>
      <c r="X246" s="223">
        <v>0</v>
      </c>
      <c r="Y246" s="234">
        <v>33</v>
      </c>
      <c r="Z246" s="223"/>
      <c r="AA246" s="223"/>
      <c r="AB246" s="223">
        <v>100</v>
      </c>
      <c r="AC246" s="223"/>
      <c r="AD246" s="223"/>
      <c r="AE246" s="223">
        <v>100</v>
      </c>
      <c r="AF246" s="223"/>
      <c r="AG246" s="223"/>
      <c r="AH246" s="223">
        <v>100</v>
      </c>
      <c r="AI246" s="223"/>
      <c r="AJ246" s="223"/>
      <c r="AK246" s="223">
        <v>100</v>
      </c>
    </row>
    <row r="247" spans="1:37" x14ac:dyDescent="0.25">
      <c r="A247" s="227" t="s">
        <v>82</v>
      </c>
      <c r="B247" s="221">
        <v>43889</v>
      </c>
      <c r="C247" s="222">
        <v>0.48333333333333339</v>
      </c>
      <c r="D247" s="223">
        <v>4</v>
      </c>
      <c r="E247" s="220" t="s">
        <v>51</v>
      </c>
      <c r="F247" s="220" t="s">
        <v>52</v>
      </c>
      <c r="G247" s="220"/>
      <c r="H247" s="220"/>
      <c r="I247" s="223">
        <v>0</v>
      </c>
      <c r="J247" s="220"/>
      <c r="K247" s="220"/>
      <c r="L247" s="223">
        <v>0</v>
      </c>
      <c r="M247" s="223">
        <v>0.37500000000000006</v>
      </c>
      <c r="N247" s="223">
        <v>0.30000000000000004</v>
      </c>
      <c r="O247" s="223">
        <v>1</v>
      </c>
      <c r="P247" s="223"/>
      <c r="Q247" s="223">
        <v>675</v>
      </c>
      <c r="R247" s="223">
        <v>0</v>
      </c>
      <c r="S247" s="223">
        <v>0</v>
      </c>
      <c r="T247" s="223">
        <v>0</v>
      </c>
      <c r="U247" s="223">
        <v>0</v>
      </c>
      <c r="V247" s="223">
        <v>0.9</v>
      </c>
      <c r="W247" s="223">
        <v>1</v>
      </c>
      <c r="X247" s="223">
        <v>0</v>
      </c>
      <c r="Y247" s="234">
        <v>32</v>
      </c>
      <c r="Z247" s="223"/>
      <c r="AA247" s="223"/>
      <c r="AB247" s="223">
        <v>100</v>
      </c>
      <c r="AC247" s="223"/>
      <c r="AD247" s="223"/>
      <c r="AE247" s="223">
        <v>100</v>
      </c>
      <c r="AF247" s="223"/>
      <c r="AG247" s="223"/>
      <c r="AH247" s="223">
        <v>100</v>
      </c>
      <c r="AI247" s="223"/>
      <c r="AJ247" s="223"/>
      <c r="AK247" s="223">
        <v>100</v>
      </c>
    </row>
    <row r="248" spans="1:37" x14ac:dyDescent="0.25">
      <c r="A248" s="227" t="s">
        <v>82</v>
      </c>
      <c r="B248" s="221">
        <v>43889</v>
      </c>
      <c r="C248" s="222">
        <v>0.6166666666666667</v>
      </c>
      <c r="D248" s="223">
        <v>3</v>
      </c>
      <c r="E248" s="220" t="s">
        <v>49</v>
      </c>
      <c r="F248" s="220" t="s">
        <v>46</v>
      </c>
      <c r="G248" s="220"/>
      <c r="H248" s="220"/>
      <c r="I248" s="223">
        <v>0</v>
      </c>
      <c r="J248" s="220"/>
      <c r="K248" s="220"/>
      <c r="L248" s="223">
        <v>0</v>
      </c>
      <c r="M248" s="223">
        <v>0.33333333333333343</v>
      </c>
      <c r="N248" s="223">
        <v>0.26666666666666672</v>
      </c>
      <c r="O248" s="223">
        <v>1</v>
      </c>
      <c r="P248" s="223"/>
      <c r="Q248" s="223">
        <v>675</v>
      </c>
      <c r="R248" s="223">
        <v>0</v>
      </c>
      <c r="S248" s="223">
        <v>0</v>
      </c>
      <c r="T248" s="223">
        <v>0</v>
      </c>
      <c r="U248" s="223">
        <v>0</v>
      </c>
      <c r="V248" s="223">
        <v>0</v>
      </c>
      <c r="W248" s="223">
        <v>0</v>
      </c>
      <c r="X248" s="223">
        <v>0</v>
      </c>
      <c r="Y248" s="234">
        <v>32</v>
      </c>
      <c r="Z248" s="223"/>
      <c r="AA248" s="223"/>
      <c r="AB248" s="223">
        <v>100</v>
      </c>
      <c r="AC248" s="223"/>
      <c r="AD248" s="223"/>
      <c r="AE248" s="223">
        <v>100</v>
      </c>
      <c r="AF248" s="223"/>
      <c r="AG248" s="223"/>
      <c r="AH248" s="223">
        <v>100</v>
      </c>
      <c r="AI248" s="223"/>
      <c r="AJ248" s="223"/>
      <c r="AK248" s="223">
        <v>100</v>
      </c>
    </row>
    <row r="249" spans="1:37" x14ac:dyDescent="0.25">
      <c r="A249" s="227" t="s">
        <v>82</v>
      </c>
      <c r="B249" s="221">
        <v>43889</v>
      </c>
      <c r="C249" s="222">
        <v>0.64166666666666661</v>
      </c>
      <c r="D249" s="223">
        <v>1</v>
      </c>
      <c r="E249" s="220" t="s">
        <v>47</v>
      </c>
      <c r="F249" s="220" t="s">
        <v>53</v>
      </c>
      <c r="G249" s="220"/>
      <c r="H249" s="220"/>
      <c r="I249" s="223">
        <v>0</v>
      </c>
      <c r="J249" s="220" t="s">
        <v>54</v>
      </c>
      <c r="K249" s="220">
        <v>95</v>
      </c>
      <c r="L249" s="223">
        <v>7.5000000000000067E-2</v>
      </c>
      <c r="M249" s="223">
        <v>6.2500000000000056E-2</v>
      </c>
      <c r="N249" s="223">
        <v>5.0000000000000051E-2</v>
      </c>
      <c r="O249" s="223">
        <v>0</v>
      </c>
      <c r="P249" s="223"/>
      <c r="Q249" s="223">
        <v>674</v>
      </c>
      <c r="R249" s="223">
        <v>0</v>
      </c>
      <c r="S249" s="223">
        <v>0</v>
      </c>
      <c r="T249" s="223">
        <v>0</v>
      </c>
      <c r="U249" s="223">
        <v>0</v>
      </c>
      <c r="V249" s="223">
        <v>0</v>
      </c>
      <c r="W249" s="223">
        <v>0</v>
      </c>
      <c r="X249" s="223">
        <v>0</v>
      </c>
      <c r="Y249" s="234">
        <v>32</v>
      </c>
      <c r="Z249" s="223"/>
      <c r="AA249" s="223"/>
      <c r="AB249" s="223">
        <v>100</v>
      </c>
      <c r="AC249" s="223"/>
      <c r="AD249" s="223"/>
      <c r="AE249" s="223">
        <v>100</v>
      </c>
      <c r="AF249" s="223"/>
      <c r="AG249" s="223"/>
      <c r="AH249" s="223">
        <v>100</v>
      </c>
      <c r="AI249" s="223"/>
      <c r="AJ249" s="223"/>
      <c r="AK249" s="223">
        <v>100</v>
      </c>
    </row>
    <row r="250" spans="1:37" x14ac:dyDescent="0.25">
      <c r="A250" s="227" t="s">
        <v>82</v>
      </c>
      <c r="B250" s="221">
        <v>43890</v>
      </c>
      <c r="C250" s="222">
        <v>4.1666666666666741E-2</v>
      </c>
      <c r="D250" s="223">
        <v>10</v>
      </c>
      <c r="E250" s="220" t="s">
        <v>55</v>
      </c>
      <c r="F250" s="220" t="s">
        <v>57</v>
      </c>
      <c r="G250" s="220">
        <v>96</v>
      </c>
      <c r="H250" s="220">
        <v>10.199999999999999</v>
      </c>
      <c r="I250" s="223">
        <v>0</v>
      </c>
      <c r="J250" s="220" t="s">
        <v>54</v>
      </c>
      <c r="K250" s="220">
        <v>95</v>
      </c>
      <c r="L250" s="223">
        <v>7.9999999999999982</v>
      </c>
      <c r="M250" s="223">
        <v>0.99999999999999989</v>
      </c>
      <c r="N250" s="223">
        <v>0</v>
      </c>
      <c r="O250" s="223">
        <v>9</v>
      </c>
      <c r="P250" s="223"/>
      <c r="Q250" s="223">
        <v>665</v>
      </c>
      <c r="R250" s="223">
        <v>0</v>
      </c>
      <c r="S250" s="223">
        <v>0</v>
      </c>
      <c r="T250" s="223">
        <v>0</v>
      </c>
      <c r="U250" s="223">
        <v>0</v>
      </c>
      <c r="V250" s="223">
        <v>0</v>
      </c>
      <c r="W250" s="223">
        <v>0</v>
      </c>
      <c r="X250" s="223">
        <v>0</v>
      </c>
      <c r="Y250" s="234">
        <v>32</v>
      </c>
      <c r="Z250" s="223"/>
      <c r="AA250" s="223"/>
      <c r="AB250" s="223">
        <v>100</v>
      </c>
      <c r="AC250" s="223"/>
      <c r="AD250" s="223"/>
      <c r="AE250" s="223">
        <v>100</v>
      </c>
      <c r="AF250" s="223"/>
      <c r="AG250" s="223"/>
      <c r="AH250" s="223">
        <v>100</v>
      </c>
      <c r="AI250" s="223"/>
      <c r="AJ250" s="223"/>
      <c r="AK250" s="223">
        <v>100</v>
      </c>
    </row>
    <row r="251" spans="1:37" x14ac:dyDescent="0.25">
      <c r="A251" s="227" t="s">
        <v>82</v>
      </c>
      <c r="B251" s="221">
        <v>43890</v>
      </c>
      <c r="C251" s="222">
        <v>0.15833333333333344</v>
      </c>
      <c r="D251" s="223">
        <v>3</v>
      </c>
      <c r="E251" s="220" t="s">
        <v>47</v>
      </c>
      <c r="F251" s="220" t="s">
        <v>48</v>
      </c>
      <c r="G251" s="220"/>
      <c r="H251" s="220"/>
      <c r="I251" s="223">
        <v>0</v>
      </c>
      <c r="J251" s="220"/>
      <c r="K251" s="220"/>
      <c r="L251" s="223">
        <v>0.23333333333333331</v>
      </c>
      <c r="M251" s="223">
        <v>0.29166666666666669</v>
      </c>
      <c r="N251" s="223">
        <v>0.23333333333333331</v>
      </c>
      <c r="O251" s="223">
        <v>1</v>
      </c>
      <c r="P251" s="223"/>
      <c r="Q251" s="223">
        <v>665</v>
      </c>
      <c r="R251" s="223">
        <v>0</v>
      </c>
      <c r="S251" s="223">
        <v>0</v>
      </c>
      <c r="T251" s="223">
        <v>0</v>
      </c>
      <c r="U251" s="223">
        <v>0</v>
      </c>
      <c r="V251" s="223">
        <v>0</v>
      </c>
      <c r="W251" s="223">
        <v>0</v>
      </c>
      <c r="X251" s="223">
        <v>0</v>
      </c>
      <c r="Y251" s="234">
        <v>32</v>
      </c>
      <c r="Z251" s="223"/>
      <c r="AA251" s="223"/>
      <c r="AB251" s="223">
        <v>100</v>
      </c>
      <c r="AC251" s="223"/>
      <c r="AD251" s="223"/>
      <c r="AE251" s="223">
        <v>100</v>
      </c>
      <c r="AF251" s="223"/>
      <c r="AG251" s="223"/>
      <c r="AH251" s="223">
        <v>100</v>
      </c>
      <c r="AI251" s="223"/>
      <c r="AJ251" s="223"/>
      <c r="AK251" s="223">
        <v>100</v>
      </c>
    </row>
    <row r="252" spans="1:37" x14ac:dyDescent="0.25">
      <c r="A252" s="227" t="s">
        <v>82</v>
      </c>
      <c r="B252" s="221">
        <v>43890</v>
      </c>
      <c r="C252" s="222">
        <v>0.30833333333333335</v>
      </c>
      <c r="D252" s="223">
        <v>4</v>
      </c>
      <c r="E252" s="220" t="s">
        <v>49</v>
      </c>
      <c r="F252" s="220" t="s">
        <v>50</v>
      </c>
      <c r="G252" s="220"/>
      <c r="H252" s="220"/>
      <c r="I252" s="223">
        <v>0</v>
      </c>
      <c r="J252" s="220"/>
      <c r="K252" s="220"/>
      <c r="L252" s="223">
        <v>0</v>
      </c>
      <c r="M252" s="223">
        <v>0.37500000000000006</v>
      </c>
      <c r="N252" s="223">
        <v>0.30000000000000004</v>
      </c>
      <c r="O252" s="223">
        <v>1</v>
      </c>
      <c r="P252" s="223"/>
      <c r="Q252" s="223">
        <v>664</v>
      </c>
      <c r="R252" s="223">
        <v>0</v>
      </c>
      <c r="S252" s="223">
        <v>0</v>
      </c>
      <c r="T252" s="223">
        <v>0</v>
      </c>
      <c r="U252" s="223">
        <v>0</v>
      </c>
      <c r="V252" s="223">
        <v>0</v>
      </c>
      <c r="W252" s="223">
        <v>0</v>
      </c>
      <c r="X252" s="223">
        <v>0</v>
      </c>
      <c r="Y252" s="234">
        <v>32</v>
      </c>
      <c r="Z252" s="223"/>
      <c r="AA252" s="223"/>
      <c r="AB252" s="223">
        <v>100</v>
      </c>
      <c r="AC252" s="223"/>
      <c r="AD252" s="223"/>
      <c r="AE252" s="223">
        <v>100</v>
      </c>
      <c r="AF252" s="223"/>
      <c r="AG252" s="223"/>
      <c r="AH252" s="223">
        <v>100</v>
      </c>
      <c r="AI252" s="223"/>
      <c r="AJ252" s="223"/>
      <c r="AK252" s="223">
        <v>100</v>
      </c>
    </row>
    <row r="253" spans="1:37" x14ac:dyDescent="0.25">
      <c r="A253" s="227" t="s">
        <v>82</v>
      </c>
      <c r="B253" s="221">
        <v>43890</v>
      </c>
      <c r="C253" s="222">
        <v>0.33333333333333326</v>
      </c>
      <c r="D253" s="223">
        <v>1</v>
      </c>
      <c r="E253" s="220" t="s">
        <v>51</v>
      </c>
      <c r="F253" s="220" t="s">
        <v>51</v>
      </c>
      <c r="G253" s="220"/>
      <c r="H253" s="220"/>
      <c r="I253" s="223">
        <v>0</v>
      </c>
      <c r="J253" s="220"/>
      <c r="K253" s="220"/>
      <c r="L253" s="223">
        <v>0</v>
      </c>
      <c r="M253" s="223">
        <v>6.2499999999999917E-2</v>
      </c>
      <c r="N253" s="223">
        <v>4.9999999999999933E-2</v>
      </c>
      <c r="O253" s="223">
        <v>0</v>
      </c>
      <c r="P253" s="223"/>
      <c r="Q253" s="223">
        <v>664</v>
      </c>
      <c r="R253" s="223">
        <v>0</v>
      </c>
      <c r="S253" s="223">
        <v>0</v>
      </c>
      <c r="T253" s="223">
        <v>0</v>
      </c>
      <c r="U253" s="223">
        <v>0</v>
      </c>
      <c r="V253" s="223">
        <v>0</v>
      </c>
      <c r="W253" s="223">
        <v>0</v>
      </c>
      <c r="X253" s="223">
        <v>0</v>
      </c>
      <c r="Y253" s="234">
        <v>32</v>
      </c>
      <c r="Z253" s="223"/>
      <c r="AA253" s="223"/>
      <c r="AB253" s="223">
        <v>100</v>
      </c>
      <c r="AC253" s="223"/>
      <c r="AD253" s="223"/>
      <c r="AE253" s="223">
        <v>100</v>
      </c>
      <c r="AF253" s="223"/>
      <c r="AG253" s="223"/>
      <c r="AH253" s="223">
        <v>100</v>
      </c>
      <c r="AI253" s="223"/>
      <c r="AJ253" s="223"/>
      <c r="AK253" s="223">
        <v>100</v>
      </c>
    </row>
    <row r="254" spans="1:37" x14ac:dyDescent="0.25">
      <c r="A254" s="227" t="s">
        <v>82</v>
      </c>
      <c r="B254" s="221">
        <v>43890</v>
      </c>
      <c r="C254" s="222">
        <v>0.83749999999999991</v>
      </c>
      <c r="D254" s="223">
        <v>12</v>
      </c>
      <c r="E254" s="220" t="s">
        <v>51</v>
      </c>
      <c r="F254" s="220" t="s">
        <v>86</v>
      </c>
      <c r="G254" s="220"/>
      <c r="H254" s="220"/>
      <c r="I254" s="223">
        <v>11</v>
      </c>
      <c r="J254" s="220"/>
      <c r="K254" s="220"/>
      <c r="L254" s="223">
        <v>0</v>
      </c>
      <c r="M254" s="223">
        <v>1.2604166666666667</v>
      </c>
      <c r="N254" s="223">
        <v>1.0083333333333333</v>
      </c>
      <c r="O254" s="223">
        <v>2</v>
      </c>
      <c r="P254" s="223"/>
      <c r="Q254" s="223">
        <v>662</v>
      </c>
      <c r="R254" s="223">
        <v>0</v>
      </c>
      <c r="S254" s="223">
        <v>0</v>
      </c>
      <c r="T254" s="223">
        <v>0</v>
      </c>
      <c r="U254" s="223">
        <v>0</v>
      </c>
      <c r="V254" s="223">
        <v>3</v>
      </c>
      <c r="W254" s="223">
        <v>3</v>
      </c>
      <c r="X254" s="223">
        <v>0</v>
      </c>
      <c r="Y254" s="234">
        <v>29</v>
      </c>
      <c r="Z254" s="223"/>
      <c r="AA254" s="223"/>
      <c r="AB254" s="223">
        <v>100</v>
      </c>
      <c r="AC254" s="223"/>
      <c r="AD254" s="223"/>
      <c r="AE254" s="223">
        <v>100</v>
      </c>
      <c r="AF254" s="223"/>
      <c r="AG254" s="223"/>
      <c r="AH254" s="223">
        <v>100</v>
      </c>
      <c r="AI254" s="223"/>
      <c r="AJ254" s="223"/>
      <c r="AK254" s="223">
        <v>100</v>
      </c>
    </row>
    <row r="255" spans="1:37" x14ac:dyDescent="0.25">
      <c r="A255" s="227" t="s">
        <v>82</v>
      </c>
      <c r="B255" s="221">
        <v>43890</v>
      </c>
      <c r="C255" s="222">
        <v>0.95</v>
      </c>
      <c r="D255" s="223">
        <v>3</v>
      </c>
      <c r="E255" s="220" t="s">
        <v>49</v>
      </c>
      <c r="F255" s="220" t="s">
        <v>46</v>
      </c>
      <c r="G255" s="220"/>
      <c r="H255" s="220"/>
      <c r="I255" s="223">
        <v>0</v>
      </c>
      <c r="J255" s="220"/>
      <c r="K255" s="220"/>
      <c r="L255" s="223">
        <v>0</v>
      </c>
      <c r="M255" s="223">
        <v>0.28125000000000011</v>
      </c>
      <c r="N255" s="223">
        <v>0.22500000000000009</v>
      </c>
      <c r="O255" s="223">
        <v>1</v>
      </c>
      <c r="P255" s="223"/>
      <c r="Q255" s="223">
        <v>661</v>
      </c>
      <c r="R255" s="223">
        <v>0</v>
      </c>
      <c r="S255" s="223">
        <v>0</v>
      </c>
      <c r="T255" s="223">
        <v>0</v>
      </c>
      <c r="U255" s="223">
        <v>0</v>
      </c>
      <c r="V255" s="223">
        <v>0</v>
      </c>
      <c r="W255" s="223">
        <v>0</v>
      </c>
      <c r="X255" s="223">
        <v>0</v>
      </c>
      <c r="Y255" s="234">
        <v>29</v>
      </c>
      <c r="Z255" s="223"/>
      <c r="AA255" s="223"/>
      <c r="AB255" s="223">
        <v>100</v>
      </c>
      <c r="AC255" s="223"/>
      <c r="AD255" s="223"/>
      <c r="AE255" s="223">
        <v>100</v>
      </c>
      <c r="AF255" s="223"/>
      <c r="AG255" s="223"/>
      <c r="AH255" s="223">
        <v>100</v>
      </c>
      <c r="AI255" s="223"/>
      <c r="AJ255" s="223"/>
      <c r="AK255" s="223">
        <v>100</v>
      </c>
    </row>
    <row r="256" spans="1:37" x14ac:dyDescent="0.25">
      <c r="A256" s="227" t="s">
        <v>82</v>
      </c>
      <c r="B256" s="221">
        <v>43890</v>
      </c>
      <c r="C256" s="222">
        <v>0.97916666666666674</v>
      </c>
      <c r="D256" s="223">
        <v>1</v>
      </c>
      <c r="E256" s="220" t="s">
        <v>47</v>
      </c>
      <c r="F256" s="220" t="s">
        <v>87</v>
      </c>
      <c r="G256" s="220"/>
      <c r="H256" s="220"/>
      <c r="I256" s="223">
        <v>0</v>
      </c>
      <c r="J256" s="220"/>
      <c r="K256" s="220"/>
      <c r="L256" s="223">
        <v>5.8333333333333126E-2</v>
      </c>
      <c r="M256" s="223">
        <v>7.2916666666666394E-2</v>
      </c>
      <c r="N256" s="223">
        <v>5.8333333333333126E-2</v>
      </c>
      <c r="O256" s="223">
        <v>0</v>
      </c>
      <c r="P256" s="223"/>
      <c r="Q256" s="223">
        <v>661</v>
      </c>
      <c r="R256" s="223">
        <v>0</v>
      </c>
      <c r="S256" s="223">
        <v>0</v>
      </c>
      <c r="T256" s="223">
        <v>0</v>
      </c>
      <c r="U256" s="223">
        <v>0</v>
      </c>
      <c r="V256" s="223">
        <v>0</v>
      </c>
      <c r="W256" s="223">
        <v>0</v>
      </c>
      <c r="X256" s="223">
        <v>0</v>
      </c>
      <c r="Y256" s="234">
        <v>29</v>
      </c>
      <c r="Z256" s="223"/>
      <c r="AA256" s="223"/>
      <c r="AB256" s="223">
        <v>100</v>
      </c>
      <c r="AC256" s="223"/>
      <c r="AD256" s="223"/>
      <c r="AE256" s="223">
        <v>100</v>
      </c>
      <c r="AF256" s="223"/>
      <c r="AG256" s="223"/>
      <c r="AH256" s="223">
        <v>100</v>
      </c>
      <c r="AI256" s="223"/>
      <c r="AJ256" s="223"/>
      <c r="AK256" s="223">
        <v>100</v>
      </c>
    </row>
    <row r="257" spans="1:37" x14ac:dyDescent="0.25">
      <c r="A257" s="227" t="s">
        <v>82</v>
      </c>
      <c r="B257" s="221">
        <v>43891</v>
      </c>
      <c r="C257" s="222">
        <v>0</v>
      </c>
      <c r="D257" s="223">
        <v>0</v>
      </c>
      <c r="E257" s="220" t="s">
        <v>61</v>
      </c>
      <c r="F257" s="220" t="s">
        <v>56</v>
      </c>
      <c r="G257" s="220"/>
      <c r="H257" s="220"/>
      <c r="I257" s="223">
        <v>0</v>
      </c>
      <c r="J257" s="220"/>
      <c r="K257" s="220"/>
      <c r="L257" s="223">
        <v>0</v>
      </c>
      <c r="M257" s="223">
        <v>0</v>
      </c>
      <c r="N257" s="223">
        <v>0</v>
      </c>
      <c r="O257" s="223">
        <v>0</v>
      </c>
      <c r="P257" s="223"/>
      <c r="Q257" s="223">
        <v>661</v>
      </c>
      <c r="R257" s="223">
        <v>0</v>
      </c>
      <c r="S257" s="223">
        <v>0</v>
      </c>
      <c r="T257" s="223">
        <v>0</v>
      </c>
      <c r="U257" s="223">
        <v>0</v>
      </c>
      <c r="V257" s="223">
        <v>0</v>
      </c>
      <c r="W257" s="223">
        <v>0</v>
      </c>
      <c r="X257" s="223">
        <v>0</v>
      </c>
      <c r="Y257" s="234">
        <v>29</v>
      </c>
      <c r="Z257" s="223"/>
      <c r="AA257" s="223"/>
      <c r="AB257" s="223">
        <v>100</v>
      </c>
      <c r="AC257" s="223"/>
      <c r="AD257" s="223"/>
      <c r="AE257" s="223">
        <v>100</v>
      </c>
      <c r="AF257" s="223"/>
      <c r="AG257" s="223"/>
      <c r="AH257" s="223">
        <v>100</v>
      </c>
      <c r="AI257" s="223"/>
      <c r="AJ257" s="223"/>
      <c r="AK257" s="223">
        <v>100</v>
      </c>
    </row>
    <row r="258" spans="1:37" x14ac:dyDescent="0.25">
      <c r="A258" s="227" t="s">
        <v>82</v>
      </c>
      <c r="B258" s="221">
        <v>43891</v>
      </c>
      <c r="C258" s="222">
        <v>0</v>
      </c>
      <c r="D258" s="223">
        <v>0</v>
      </c>
      <c r="E258" s="220" t="s">
        <v>55</v>
      </c>
      <c r="F258" s="220" t="s">
        <v>56</v>
      </c>
      <c r="G258" s="220"/>
      <c r="H258" s="220"/>
      <c r="I258" s="223">
        <v>0</v>
      </c>
      <c r="J258" s="220" t="s">
        <v>54</v>
      </c>
      <c r="K258" s="220">
        <v>95</v>
      </c>
      <c r="L258" s="223">
        <v>0</v>
      </c>
      <c r="M258" s="223">
        <v>0</v>
      </c>
      <c r="N258" s="223">
        <v>0</v>
      </c>
      <c r="O258" s="223">
        <v>0</v>
      </c>
      <c r="P258" s="223"/>
      <c r="Q258" s="223">
        <v>661</v>
      </c>
      <c r="R258" s="223">
        <v>0</v>
      </c>
      <c r="S258" s="223">
        <v>0</v>
      </c>
      <c r="T258" s="223">
        <v>0</v>
      </c>
      <c r="U258" s="223">
        <v>0</v>
      </c>
      <c r="V258" s="223">
        <v>0</v>
      </c>
      <c r="W258" s="223">
        <v>0</v>
      </c>
      <c r="X258" s="223">
        <v>0</v>
      </c>
      <c r="Y258" s="234">
        <v>29</v>
      </c>
      <c r="Z258" s="223"/>
      <c r="AA258" s="223"/>
      <c r="AB258" s="223">
        <v>100</v>
      </c>
      <c r="AC258" s="223"/>
      <c r="AD258" s="223"/>
      <c r="AE258" s="223">
        <v>100</v>
      </c>
      <c r="AF258" s="223"/>
      <c r="AG258" s="223"/>
      <c r="AH258" s="223">
        <v>100</v>
      </c>
      <c r="AI258" s="223"/>
      <c r="AJ258" s="223"/>
      <c r="AK258" s="223">
        <v>100</v>
      </c>
    </row>
    <row r="259" spans="1:37" x14ac:dyDescent="0.25">
      <c r="A259" s="227" t="s">
        <v>82</v>
      </c>
      <c r="B259" s="221">
        <v>43891</v>
      </c>
      <c r="C259" s="222">
        <v>0.27083333333333326</v>
      </c>
      <c r="D259" s="223">
        <v>6</v>
      </c>
      <c r="E259" s="220" t="s">
        <v>55</v>
      </c>
      <c r="F259" s="220" t="s">
        <v>142</v>
      </c>
      <c r="G259" s="220">
        <v>62</v>
      </c>
      <c r="H259" s="220">
        <v>6.5</v>
      </c>
      <c r="I259" s="223">
        <v>0</v>
      </c>
      <c r="J259" s="220" t="s">
        <v>54</v>
      </c>
      <c r="K259" s="220">
        <v>95</v>
      </c>
      <c r="L259" s="223">
        <v>5.83</v>
      </c>
      <c r="M259" s="223">
        <v>0.72916666666666674</v>
      </c>
      <c r="N259" s="223">
        <v>0</v>
      </c>
      <c r="O259" s="223">
        <v>7</v>
      </c>
      <c r="P259" s="223"/>
      <c r="Q259" s="223">
        <v>654</v>
      </c>
      <c r="R259" s="223">
        <v>0</v>
      </c>
      <c r="S259" s="223">
        <v>0</v>
      </c>
      <c r="T259" s="223">
        <v>0</v>
      </c>
      <c r="U259" s="223">
        <v>0</v>
      </c>
      <c r="V259" s="223">
        <v>0</v>
      </c>
      <c r="W259" s="223">
        <v>0</v>
      </c>
      <c r="X259" s="223">
        <v>0</v>
      </c>
      <c r="Y259" s="234">
        <v>29</v>
      </c>
      <c r="Z259" s="223"/>
      <c r="AA259" s="223"/>
      <c r="AB259" s="223">
        <v>100</v>
      </c>
      <c r="AC259" s="223"/>
      <c r="AD259" s="223"/>
      <c r="AE259" s="223">
        <v>100</v>
      </c>
      <c r="AF259" s="223"/>
      <c r="AG259" s="223"/>
      <c r="AH259" s="223">
        <v>100</v>
      </c>
      <c r="AI259" s="223"/>
      <c r="AJ259" s="223"/>
      <c r="AK259" s="223">
        <v>100</v>
      </c>
    </row>
    <row r="260" spans="1:37" x14ac:dyDescent="0.25">
      <c r="A260" s="227" t="s">
        <v>82</v>
      </c>
      <c r="B260" s="221">
        <v>43891</v>
      </c>
      <c r="C260" s="222">
        <v>0.33333333333333326</v>
      </c>
      <c r="D260" s="223">
        <v>2</v>
      </c>
      <c r="E260" s="220" t="s">
        <v>47</v>
      </c>
      <c r="F260" s="220" t="s">
        <v>45</v>
      </c>
      <c r="G260" s="220"/>
      <c r="H260" s="220"/>
      <c r="I260" s="223">
        <v>0</v>
      </c>
      <c r="J260" s="220"/>
      <c r="K260" s="220"/>
      <c r="L260" s="223">
        <v>0.125</v>
      </c>
      <c r="M260" s="223">
        <v>0.15625</v>
      </c>
      <c r="N260" s="223">
        <v>0.125</v>
      </c>
      <c r="O260" s="223">
        <v>0</v>
      </c>
      <c r="P260" s="223"/>
      <c r="Q260" s="223">
        <v>654</v>
      </c>
      <c r="R260" s="223">
        <v>0</v>
      </c>
      <c r="S260" s="223">
        <v>0</v>
      </c>
      <c r="T260" s="223">
        <v>0</v>
      </c>
      <c r="U260" s="223">
        <v>0</v>
      </c>
      <c r="V260" s="223">
        <v>0</v>
      </c>
      <c r="W260" s="223">
        <v>0</v>
      </c>
      <c r="X260" s="223">
        <v>0</v>
      </c>
      <c r="Y260" s="234">
        <v>29</v>
      </c>
      <c r="Z260" s="223"/>
      <c r="AA260" s="223"/>
      <c r="AB260" s="223">
        <v>100</v>
      </c>
      <c r="AC260" s="223"/>
      <c r="AD260" s="223"/>
      <c r="AE260" s="223">
        <v>100</v>
      </c>
      <c r="AF260" s="223"/>
      <c r="AG260" s="223"/>
      <c r="AH260" s="223">
        <v>100</v>
      </c>
      <c r="AI260" s="223"/>
      <c r="AJ260" s="223"/>
      <c r="AK260" s="223">
        <v>100</v>
      </c>
    </row>
    <row r="261" spans="1:37" x14ac:dyDescent="0.25">
      <c r="A261" s="227" t="s">
        <v>82</v>
      </c>
      <c r="B261" s="221">
        <v>43891</v>
      </c>
      <c r="C261" s="222">
        <v>0.35416666666666674</v>
      </c>
      <c r="D261" s="223">
        <v>1</v>
      </c>
      <c r="E261" s="220" t="s">
        <v>45</v>
      </c>
      <c r="F261" s="220" t="s">
        <v>46</v>
      </c>
      <c r="G261" s="220"/>
      <c r="H261" s="220"/>
      <c r="I261" s="223">
        <v>0</v>
      </c>
      <c r="J261" s="220"/>
      <c r="K261" s="220"/>
      <c r="L261" s="223">
        <v>0</v>
      </c>
      <c r="M261" s="223">
        <v>5.2083333333333426E-2</v>
      </c>
      <c r="N261" s="223">
        <v>4.1666666666666741E-2</v>
      </c>
      <c r="O261" s="223">
        <v>0</v>
      </c>
      <c r="P261" s="223"/>
      <c r="Q261" s="223">
        <v>654</v>
      </c>
      <c r="R261" s="223">
        <v>0</v>
      </c>
      <c r="S261" s="223">
        <v>0</v>
      </c>
      <c r="T261" s="223">
        <v>0</v>
      </c>
      <c r="U261" s="223">
        <v>0</v>
      </c>
      <c r="V261" s="223">
        <v>0</v>
      </c>
      <c r="W261" s="223">
        <v>0</v>
      </c>
      <c r="X261" s="223">
        <v>0</v>
      </c>
      <c r="Y261" s="234">
        <v>29</v>
      </c>
      <c r="Z261" s="223"/>
      <c r="AA261" s="223"/>
      <c r="AB261" s="223">
        <v>100</v>
      </c>
      <c r="AC261" s="223"/>
      <c r="AD261" s="223"/>
      <c r="AE261" s="223">
        <v>100</v>
      </c>
      <c r="AF261" s="223"/>
      <c r="AG261" s="223"/>
      <c r="AH261" s="223">
        <v>100</v>
      </c>
      <c r="AI261" s="223"/>
      <c r="AJ261" s="223"/>
      <c r="AK261" s="223">
        <v>100</v>
      </c>
    </row>
    <row r="262" spans="1:37" x14ac:dyDescent="0.25">
      <c r="A262" s="227" t="s">
        <v>82</v>
      </c>
      <c r="B262" s="221">
        <v>43891</v>
      </c>
      <c r="C262" s="222">
        <v>0.40833333333333344</v>
      </c>
      <c r="D262" s="223">
        <v>1</v>
      </c>
      <c r="E262" s="220" t="s">
        <v>47</v>
      </c>
      <c r="F262" s="220" t="s">
        <v>48</v>
      </c>
      <c r="G262" s="220"/>
      <c r="H262" s="220"/>
      <c r="I262" s="223">
        <v>11</v>
      </c>
      <c r="J262" s="220"/>
      <c r="K262" s="220"/>
      <c r="L262" s="223">
        <v>0.10833333333333341</v>
      </c>
      <c r="M262" s="223">
        <v>0.13541666666666674</v>
      </c>
      <c r="N262" s="223">
        <v>0.10833333333333341</v>
      </c>
      <c r="O262" s="223">
        <v>0</v>
      </c>
      <c r="P262" s="223"/>
      <c r="Q262" s="223">
        <v>653</v>
      </c>
      <c r="R262" s="223">
        <v>0</v>
      </c>
      <c r="S262" s="223">
        <v>0</v>
      </c>
      <c r="T262" s="223">
        <v>0</v>
      </c>
      <c r="U262" s="223">
        <v>0</v>
      </c>
      <c r="V262" s="223">
        <v>0</v>
      </c>
      <c r="W262" s="223">
        <v>0</v>
      </c>
      <c r="X262" s="223">
        <v>0</v>
      </c>
      <c r="Y262" s="234">
        <v>29</v>
      </c>
      <c r="Z262" s="223"/>
      <c r="AA262" s="223"/>
      <c r="AB262" s="223">
        <v>100</v>
      </c>
      <c r="AC262" s="223"/>
      <c r="AD262" s="223"/>
      <c r="AE262" s="223">
        <v>100</v>
      </c>
      <c r="AF262" s="223"/>
      <c r="AG262" s="223"/>
      <c r="AH262" s="223">
        <v>100</v>
      </c>
      <c r="AI262" s="223"/>
      <c r="AJ262" s="223"/>
      <c r="AK262" s="223">
        <v>100</v>
      </c>
    </row>
    <row r="263" spans="1:37" x14ac:dyDescent="0.25">
      <c r="A263" s="227" t="s">
        <v>82</v>
      </c>
      <c r="B263" s="221">
        <v>43891</v>
      </c>
      <c r="C263" s="222">
        <v>0.48750000000000004</v>
      </c>
      <c r="D263" s="223">
        <v>2</v>
      </c>
      <c r="E263" s="220" t="s">
        <v>49</v>
      </c>
      <c r="F263" s="220" t="s">
        <v>50</v>
      </c>
      <c r="G263" s="220"/>
      <c r="H263" s="220"/>
      <c r="I263" s="223">
        <v>0</v>
      </c>
      <c r="J263" s="220"/>
      <c r="K263" s="220"/>
      <c r="L263" s="223">
        <v>0</v>
      </c>
      <c r="M263" s="223">
        <v>0.19791666666666652</v>
      </c>
      <c r="N263" s="223">
        <v>0.15833333333333319</v>
      </c>
      <c r="O263" s="223">
        <v>0</v>
      </c>
      <c r="P263" s="223"/>
      <c r="Q263" s="223">
        <v>653</v>
      </c>
      <c r="R263" s="223">
        <v>0</v>
      </c>
      <c r="S263" s="223">
        <v>0</v>
      </c>
      <c r="T263" s="223">
        <v>0</v>
      </c>
      <c r="U263" s="223">
        <v>0</v>
      </c>
      <c r="V263" s="223">
        <v>0</v>
      </c>
      <c r="W263" s="223">
        <v>0</v>
      </c>
      <c r="X263" s="223">
        <v>0</v>
      </c>
      <c r="Y263" s="234">
        <v>29</v>
      </c>
      <c r="Z263" s="223"/>
      <c r="AA263" s="223"/>
      <c r="AB263" s="223">
        <v>100</v>
      </c>
      <c r="AC263" s="223"/>
      <c r="AD263" s="223"/>
      <c r="AE263" s="223">
        <v>100</v>
      </c>
      <c r="AF263" s="223"/>
      <c r="AG263" s="223"/>
      <c r="AH263" s="223">
        <v>100</v>
      </c>
      <c r="AI263" s="223"/>
      <c r="AJ263" s="223"/>
      <c r="AK263" s="223">
        <v>100</v>
      </c>
    </row>
    <row r="264" spans="1:37" x14ac:dyDescent="0.25">
      <c r="A264" s="227" t="s">
        <v>82</v>
      </c>
      <c r="B264" s="221">
        <v>43891</v>
      </c>
      <c r="C264" s="222">
        <v>0.83749999999999991</v>
      </c>
      <c r="D264" s="223">
        <v>8</v>
      </c>
      <c r="E264" s="220" t="s">
        <v>51</v>
      </c>
      <c r="F264" s="220" t="s">
        <v>86</v>
      </c>
      <c r="G264" s="220"/>
      <c r="H264" s="220"/>
      <c r="I264" s="223">
        <v>0</v>
      </c>
      <c r="J264" s="220"/>
      <c r="K264" s="220"/>
      <c r="L264" s="223">
        <v>0</v>
      </c>
      <c r="M264" s="223">
        <v>0.87500000000000011</v>
      </c>
      <c r="N264" s="223">
        <v>0.7</v>
      </c>
      <c r="O264" s="223">
        <v>2</v>
      </c>
      <c r="P264" s="223"/>
      <c r="Q264" s="223">
        <v>652</v>
      </c>
      <c r="R264" s="223">
        <v>0</v>
      </c>
      <c r="S264" s="223">
        <v>0</v>
      </c>
      <c r="T264" s="223">
        <v>0</v>
      </c>
      <c r="U264" s="223">
        <v>0</v>
      </c>
      <c r="V264" s="223">
        <v>2.1</v>
      </c>
      <c r="W264" s="223">
        <v>2</v>
      </c>
      <c r="X264" s="223">
        <v>0</v>
      </c>
      <c r="Y264" s="234">
        <v>27</v>
      </c>
      <c r="Z264" s="223"/>
      <c r="AA264" s="223"/>
      <c r="AB264" s="223">
        <v>100</v>
      </c>
      <c r="AC264" s="223"/>
      <c r="AD264" s="223"/>
      <c r="AE264" s="223">
        <v>100</v>
      </c>
      <c r="AF264" s="223"/>
      <c r="AG264" s="223"/>
      <c r="AH264" s="223">
        <v>100</v>
      </c>
      <c r="AI264" s="223"/>
      <c r="AJ264" s="223"/>
      <c r="AK264" s="223">
        <v>100</v>
      </c>
    </row>
    <row r="265" spans="1:37" x14ac:dyDescent="0.25">
      <c r="A265" s="227" t="s">
        <v>82</v>
      </c>
      <c r="B265" s="221">
        <v>43891</v>
      </c>
      <c r="C265" s="222">
        <v>0.93333333333333335</v>
      </c>
      <c r="D265" s="223">
        <v>2</v>
      </c>
      <c r="E265" s="220" t="s">
        <v>49</v>
      </c>
      <c r="F265" s="220" t="s">
        <v>46</v>
      </c>
      <c r="G265" s="220"/>
      <c r="H265" s="220"/>
      <c r="I265" s="223">
        <v>0</v>
      </c>
      <c r="J265" s="220"/>
      <c r="K265" s="220"/>
      <c r="L265" s="223">
        <v>0</v>
      </c>
      <c r="M265" s="223">
        <v>0.23958333333333304</v>
      </c>
      <c r="N265" s="223">
        <v>0.19166666666666643</v>
      </c>
      <c r="O265" s="223">
        <v>0</v>
      </c>
      <c r="P265" s="223"/>
      <c r="Q265" s="223">
        <v>651</v>
      </c>
      <c r="R265" s="223">
        <v>0</v>
      </c>
      <c r="S265" s="223">
        <v>0</v>
      </c>
      <c r="T265" s="223">
        <v>0</v>
      </c>
      <c r="U265" s="223">
        <v>0</v>
      </c>
      <c r="V265" s="223">
        <v>0</v>
      </c>
      <c r="W265" s="223">
        <v>0</v>
      </c>
      <c r="X265" s="223">
        <v>0</v>
      </c>
      <c r="Y265" s="234">
        <v>27</v>
      </c>
      <c r="Z265" s="223"/>
      <c r="AA265" s="223"/>
      <c r="AB265" s="223">
        <v>100</v>
      </c>
      <c r="AC265" s="223"/>
      <c r="AD265" s="223"/>
      <c r="AE265" s="223">
        <v>100</v>
      </c>
      <c r="AF265" s="223"/>
      <c r="AG265" s="223"/>
      <c r="AH265" s="223">
        <v>100</v>
      </c>
      <c r="AI265" s="223"/>
      <c r="AJ265" s="223"/>
      <c r="AK265" s="223">
        <v>100</v>
      </c>
    </row>
    <row r="266" spans="1:37" x14ac:dyDescent="0.25">
      <c r="A266" s="227" t="s">
        <v>82</v>
      </c>
      <c r="B266" s="221">
        <v>43891</v>
      </c>
      <c r="C266" s="222">
        <v>0.96666666666666656</v>
      </c>
      <c r="D266" s="223">
        <v>1</v>
      </c>
      <c r="E266" s="220" t="s">
        <v>47</v>
      </c>
      <c r="F266" s="220" t="s">
        <v>151</v>
      </c>
      <c r="G266" s="220"/>
      <c r="H266" s="220"/>
      <c r="I266" s="223">
        <v>0</v>
      </c>
      <c r="J266" s="220" t="s">
        <v>54</v>
      </c>
      <c r="K266" s="220">
        <v>95</v>
      </c>
      <c r="L266" s="223">
        <v>0.16666666666666718</v>
      </c>
      <c r="M266" s="223">
        <v>8.3333333333333606E-2</v>
      </c>
      <c r="N266" s="223">
        <v>6.6666666666666874E-2</v>
      </c>
      <c r="O266" s="223">
        <v>0</v>
      </c>
      <c r="P266" s="223"/>
      <c r="Q266" s="223">
        <v>651</v>
      </c>
      <c r="R266" s="223">
        <v>0</v>
      </c>
      <c r="S266" s="223">
        <v>0</v>
      </c>
      <c r="T266" s="223">
        <v>0</v>
      </c>
      <c r="U266" s="223">
        <v>0</v>
      </c>
      <c r="V266" s="223">
        <v>0</v>
      </c>
      <c r="W266" s="223">
        <v>0</v>
      </c>
      <c r="X266" s="223">
        <v>0</v>
      </c>
      <c r="Y266" s="234">
        <v>27</v>
      </c>
      <c r="Z266" s="223"/>
      <c r="AA266" s="223"/>
      <c r="AB266" s="223">
        <v>100</v>
      </c>
      <c r="AC266" s="223"/>
      <c r="AD266" s="223"/>
      <c r="AE266" s="223">
        <v>100</v>
      </c>
      <c r="AF266" s="223"/>
      <c r="AG266" s="223"/>
      <c r="AH266" s="223">
        <v>100</v>
      </c>
      <c r="AI266" s="223"/>
      <c r="AJ266" s="223"/>
      <c r="AK266" s="223">
        <v>100</v>
      </c>
    </row>
    <row r="267" spans="1:37" x14ac:dyDescent="0.25">
      <c r="A267" s="227" t="s">
        <v>82</v>
      </c>
      <c r="B267" s="221">
        <v>43892</v>
      </c>
      <c r="C267" s="222">
        <v>0.33333333333333326</v>
      </c>
      <c r="D267" s="223">
        <v>9</v>
      </c>
      <c r="E267" s="220" t="s">
        <v>61</v>
      </c>
      <c r="F267" s="220" t="s">
        <v>56</v>
      </c>
      <c r="G267" s="220"/>
      <c r="H267" s="220"/>
      <c r="I267" s="223">
        <v>0</v>
      </c>
      <c r="J267" s="220" t="s">
        <v>54</v>
      </c>
      <c r="K267" s="220">
        <v>95</v>
      </c>
      <c r="L267" s="223">
        <v>7.3333333333333348</v>
      </c>
      <c r="M267" s="223">
        <v>0.91666666666666674</v>
      </c>
      <c r="N267" s="223">
        <v>0</v>
      </c>
      <c r="O267" s="223">
        <v>8</v>
      </c>
      <c r="P267" s="223"/>
      <c r="Q267" s="223">
        <v>643</v>
      </c>
      <c r="R267" s="223">
        <v>0</v>
      </c>
      <c r="S267" s="223">
        <v>0</v>
      </c>
      <c r="T267" s="223">
        <v>0</v>
      </c>
      <c r="U267" s="223">
        <v>0</v>
      </c>
      <c r="V267" s="223">
        <v>0</v>
      </c>
      <c r="W267" s="223">
        <v>0</v>
      </c>
      <c r="X267" s="223">
        <v>0</v>
      </c>
      <c r="Y267" s="234">
        <v>27</v>
      </c>
      <c r="Z267" s="223"/>
      <c r="AA267" s="223"/>
      <c r="AB267" s="223">
        <v>100</v>
      </c>
      <c r="AC267" s="223"/>
      <c r="AD267" s="223"/>
      <c r="AE267" s="223">
        <v>100</v>
      </c>
      <c r="AF267" s="223"/>
      <c r="AG267" s="223"/>
      <c r="AH267" s="223">
        <v>100</v>
      </c>
      <c r="AI267" s="223"/>
      <c r="AJ267" s="223"/>
      <c r="AK267" s="223">
        <v>100</v>
      </c>
    </row>
    <row r="268" spans="1:37" x14ac:dyDescent="0.25">
      <c r="A268" s="227" t="s">
        <v>82</v>
      </c>
      <c r="B268" s="221">
        <v>43892</v>
      </c>
      <c r="C268" s="222">
        <v>0.8</v>
      </c>
      <c r="D268" s="223">
        <v>11</v>
      </c>
      <c r="E268" s="220" t="s">
        <v>61</v>
      </c>
      <c r="F268" s="220" t="s">
        <v>62</v>
      </c>
      <c r="G268" s="220">
        <v>201</v>
      </c>
      <c r="H268" s="220">
        <v>20</v>
      </c>
      <c r="I268" s="223">
        <v>0</v>
      </c>
      <c r="J268" s="220" t="s">
        <v>54</v>
      </c>
      <c r="K268" s="220">
        <v>95</v>
      </c>
      <c r="L268" s="223">
        <v>9.3333333333333339</v>
      </c>
      <c r="M268" s="223">
        <v>1.1666666666666667</v>
      </c>
      <c r="N268" s="223">
        <v>0</v>
      </c>
      <c r="O268" s="223">
        <v>10</v>
      </c>
      <c r="P268" s="223"/>
      <c r="Q268" s="223">
        <v>632</v>
      </c>
      <c r="R268" s="223">
        <v>0</v>
      </c>
      <c r="S268" s="223">
        <v>0</v>
      </c>
      <c r="T268" s="223">
        <v>0</v>
      </c>
      <c r="U268" s="223">
        <v>0</v>
      </c>
      <c r="V268" s="223">
        <v>0</v>
      </c>
      <c r="W268" s="223">
        <v>0</v>
      </c>
      <c r="X268" s="223">
        <v>0</v>
      </c>
      <c r="Y268" s="234">
        <v>27</v>
      </c>
      <c r="Z268" s="223"/>
      <c r="AA268" s="223"/>
      <c r="AB268" s="223">
        <v>100</v>
      </c>
      <c r="AC268" s="223"/>
      <c r="AD268" s="223"/>
      <c r="AE268" s="223">
        <v>100</v>
      </c>
      <c r="AF268" s="223"/>
      <c r="AG268" s="223"/>
      <c r="AH268" s="223">
        <v>100</v>
      </c>
      <c r="AI268" s="223"/>
      <c r="AJ268" s="223"/>
      <c r="AK268" s="223">
        <v>100</v>
      </c>
    </row>
    <row r="269" spans="1:37" x14ac:dyDescent="0.25">
      <c r="A269" s="227" t="s">
        <v>152</v>
      </c>
      <c r="B269" s="221">
        <v>43892</v>
      </c>
      <c r="C269" s="222">
        <v>0.82499999999999996</v>
      </c>
      <c r="D269" s="223">
        <v>1</v>
      </c>
      <c r="E269" s="220" t="s">
        <v>47</v>
      </c>
      <c r="F269" s="220" t="s">
        <v>48</v>
      </c>
      <c r="G269" s="220"/>
      <c r="H269" s="220"/>
      <c r="I269" s="223">
        <v>0</v>
      </c>
      <c r="J269" s="220"/>
      <c r="K269" s="220"/>
      <c r="L269" s="223">
        <v>0.12500000000000067</v>
      </c>
      <c r="M269" s="223">
        <v>6.2500000000000333E-2</v>
      </c>
      <c r="N269" s="223">
        <v>5.0000000000000266E-2</v>
      </c>
      <c r="O269" s="223">
        <v>0</v>
      </c>
      <c r="P269" s="223"/>
      <c r="Q269" s="223">
        <v>632</v>
      </c>
      <c r="R269" s="223">
        <v>0</v>
      </c>
      <c r="S269" s="223">
        <v>0</v>
      </c>
      <c r="T269" s="223">
        <v>0</v>
      </c>
      <c r="U269" s="223">
        <v>0</v>
      </c>
      <c r="V269" s="223">
        <v>0</v>
      </c>
      <c r="W269" s="223">
        <v>0</v>
      </c>
      <c r="X269" s="223">
        <v>0</v>
      </c>
      <c r="Y269" s="234">
        <v>27</v>
      </c>
      <c r="Z269" s="223"/>
      <c r="AA269" s="223"/>
      <c r="AB269" s="223">
        <v>100</v>
      </c>
      <c r="AC269" s="223"/>
      <c r="AD269" s="223"/>
      <c r="AE269" s="223">
        <v>100</v>
      </c>
      <c r="AF269" s="223"/>
      <c r="AG269" s="223"/>
      <c r="AH269" s="223">
        <v>100</v>
      </c>
      <c r="AI269" s="223"/>
      <c r="AJ269" s="223"/>
      <c r="AK269" s="223">
        <v>100</v>
      </c>
    </row>
    <row r="270" spans="1:37" x14ac:dyDescent="0.25">
      <c r="A270" s="227" t="s">
        <v>152</v>
      </c>
      <c r="B270" s="221">
        <v>43892</v>
      </c>
      <c r="C270" s="222">
        <v>0.9916666666666667</v>
      </c>
      <c r="D270" s="223">
        <v>4</v>
      </c>
      <c r="E270" s="220" t="s">
        <v>45</v>
      </c>
      <c r="F270" s="220" t="s">
        <v>153</v>
      </c>
      <c r="G270" s="220"/>
      <c r="H270" s="220"/>
      <c r="I270" s="223">
        <v>0</v>
      </c>
      <c r="J270" s="220"/>
      <c r="K270" s="220"/>
      <c r="L270" s="223">
        <v>0</v>
      </c>
      <c r="M270" s="223">
        <v>0.41666666666666657</v>
      </c>
      <c r="N270" s="223">
        <v>0.33333333333333326</v>
      </c>
      <c r="O270" s="223">
        <v>1</v>
      </c>
      <c r="P270" s="223"/>
      <c r="Q270" s="223">
        <v>631</v>
      </c>
      <c r="R270" s="223">
        <v>0</v>
      </c>
      <c r="S270" s="223">
        <v>0</v>
      </c>
      <c r="T270" s="223">
        <v>0</v>
      </c>
      <c r="U270" s="223">
        <v>0</v>
      </c>
      <c r="V270" s="223">
        <v>0</v>
      </c>
      <c r="W270" s="223">
        <v>0</v>
      </c>
      <c r="X270" s="223">
        <v>80</v>
      </c>
      <c r="Y270" s="234">
        <v>107</v>
      </c>
      <c r="Z270" s="223"/>
      <c r="AA270" s="223"/>
      <c r="AB270" s="223">
        <v>100</v>
      </c>
      <c r="AC270" s="223"/>
      <c r="AD270" s="223"/>
      <c r="AE270" s="223">
        <v>100</v>
      </c>
      <c r="AF270" s="223"/>
      <c r="AG270" s="223"/>
      <c r="AH270" s="223">
        <v>100</v>
      </c>
      <c r="AI270" s="223"/>
      <c r="AJ270" s="223"/>
      <c r="AK270" s="223">
        <v>100</v>
      </c>
    </row>
    <row r="271" spans="1:37" x14ac:dyDescent="0.25">
      <c r="A271" s="227" t="s">
        <v>152</v>
      </c>
      <c r="B271" s="221">
        <v>43893</v>
      </c>
      <c r="C271" s="222">
        <v>0.33333333333333326</v>
      </c>
      <c r="D271" s="223">
        <v>8</v>
      </c>
      <c r="E271" s="220" t="s">
        <v>45</v>
      </c>
      <c r="F271" s="220" t="s">
        <v>45</v>
      </c>
      <c r="G271" s="220"/>
      <c r="H271" s="220"/>
      <c r="I271" s="223">
        <v>0</v>
      </c>
      <c r="J271" s="220"/>
      <c r="K271" s="220"/>
      <c r="L271" s="223">
        <v>0</v>
      </c>
      <c r="M271" s="223">
        <v>0.85416666666666641</v>
      </c>
      <c r="N271" s="223">
        <v>0.68333333333333313</v>
      </c>
      <c r="O271" s="223">
        <v>2</v>
      </c>
      <c r="P271" s="223"/>
      <c r="Q271" s="223">
        <v>630</v>
      </c>
      <c r="R271" s="223">
        <v>0</v>
      </c>
      <c r="S271" s="223">
        <v>0</v>
      </c>
      <c r="T271" s="223">
        <v>0</v>
      </c>
      <c r="U271" s="223">
        <v>0</v>
      </c>
      <c r="V271" s="223">
        <v>0</v>
      </c>
      <c r="W271" s="223">
        <v>0</v>
      </c>
      <c r="X271" s="223">
        <v>0</v>
      </c>
      <c r="Y271" s="234">
        <v>107</v>
      </c>
      <c r="Z271" s="223"/>
      <c r="AA271" s="223"/>
      <c r="AB271" s="223">
        <v>100</v>
      </c>
      <c r="AC271" s="223"/>
      <c r="AD271" s="223"/>
      <c r="AE271" s="223">
        <v>100</v>
      </c>
      <c r="AF271" s="223"/>
      <c r="AG271" s="223"/>
      <c r="AH271" s="223">
        <v>100</v>
      </c>
      <c r="AI271" s="223"/>
      <c r="AJ271" s="223"/>
      <c r="AK271" s="223">
        <v>100</v>
      </c>
    </row>
    <row r="272" spans="1:37" x14ac:dyDescent="0.25">
      <c r="A272" s="227" t="s">
        <v>152</v>
      </c>
      <c r="B272" s="221">
        <v>43894</v>
      </c>
      <c r="C272" s="222">
        <v>0.33333333333333326</v>
      </c>
      <c r="D272" s="223">
        <v>24</v>
      </c>
      <c r="E272" s="220" t="s">
        <v>45</v>
      </c>
      <c r="F272" s="220" t="s">
        <v>45</v>
      </c>
      <c r="G272" s="220"/>
      <c r="H272" s="220"/>
      <c r="I272" s="223">
        <v>0</v>
      </c>
      <c r="J272" s="220"/>
      <c r="K272" s="220"/>
      <c r="L272" s="223">
        <v>0</v>
      </c>
      <c r="M272" s="223">
        <v>2.5</v>
      </c>
      <c r="N272" s="223">
        <v>2</v>
      </c>
      <c r="O272" s="223">
        <v>4</v>
      </c>
      <c r="P272" s="223"/>
      <c r="Q272" s="223">
        <v>625</v>
      </c>
      <c r="R272" s="223">
        <v>0</v>
      </c>
      <c r="S272" s="223">
        <v>0</v>
      </c>
      <c r="T272" s="223">
        <v>0</v>
      </c>
      <c r="U272" s="223">
        <v>0</v>
      </c>
      <c r="V272" s="223">
        <v>6</v>
      </c>
      <c r="W272" s="223">
        <v>6</v>
      </c>
      <c r="X272" s="223">
        <v>0</v>
      </c>
      <c r="Y272" s="234">
        <v>101</v>
      </c>
      <c r="Z272" s="223"/>
      <c r="AA272" s="223"/>
      <c r="AB272" s="223">
        <v>100</v>
      </c>
      <c r="AC272" s="223"/>
      <c r="AD272" s="223"/>
      <c r="AE272" s="223">
        <v>100</v>
      </c>
      <c r="AF272" s="223"/>
      <c r="AG272" s="223"/>
      <c r="AH272" s="223">
        <v>100</v>
      </c>
      <c r="AI272" s="223"/>
      <c r="AJ272" s="223"/>
      <c r="AK272" s="223">
        <v>100</v>
      </c>
    </row>
    <row r="273" spans="1:37" x14ac:dyDescent="0.25">
      <c r="A273" s="227" t="s">
        <v>152</v>
      </c>
      <c r="B273" s="221">
        <v>43894</v>
      </c>
      <c r="C273" s="222">
        <v>0.5541666666666667</v>
      </c>
      <c r="D273" s="223">
        <v>5</v>
      </c>
      <c r="E273" s="220" t="s">
        <v>45</v>
      </c>
      <c r="F273" s="220" t="s">
        <v>46</v>
      </c>
      <c r="G273" s="220"/>
      <c r="H273" s="220"/>
      <c r="I273" s="223">
        <v>0</v>
      </c>
      <c r="J273" s="220"/>
      <c r="K273" s="220"/>
      <c r="L273" s="223">
        <v>0</v>
      </c>
      <c r="M273" s="223">
        <v>0.55208333333333348</v>
      </c>
      <c r="N273" s="223">
        <v>0.44166666666666671</v>
      </c>
      <c r="O273" s="223">
        <v>1</v>
      </c>
      <c r="P273" s="223"/>
      <c r="Q273" s="223">
        <v>624</v>
      </c>
      <c r="R273" s="223">
        <v>0</v>
      </c>
      <c r="S273" s="223">
        <v>0</v>
      </c>
      <c r="T273" s="223">
        <v>0</v>
      </c>
      <c r="U273" s="223">
        <v>0</v>
      </c>
      <c r="V273" s="223">
        <v>1.3</v>
      </c>
      <c r="W273" s="223">
        <v>1</v>
      </c>
      <c r="X273" s="223">
        <v>0</v>
      </c>
      <c r="Y273" s="234">
        <v>100</v>
      </c>
      <c r="Z273" s="223"/>
      <c r="AA273" s="223"/>
      <c r="AB273" s="223">
        <v>100</v>
      </c>
      <c r="AC273" s="223"/>
      <c r="AD273" s="223"/>
      <c r="AE273" s="223">
        <v>100</v>
      </c>
      <c r="AF273" s="223"/>
      <c r="AG273" s="223"/>
      <c r="AH273" s="223">
        <v>100</v>
      </c>
      <c r="AI273" s="223"/>
      <c r="AJ273" s="223"/>
      <c r="AK273" s="223">
        <v>100</v>
      </c>
    </row>
    <row r="274" spans="1:37" x14ac:dyDescent="0.25">
      <c r="A274" s="227" t="s">
        <v>152</v>
      </c>
      <c r="B274" s="221">
        <v>43894</v>
      </c>
      <c r="C274" s="222">
        <v>0.5708333333333333</v>
      </c>
      <c r="D274" s="223">
        <v>0</v>
      </c>
      <c r="E274" s="220" t="s">
        <v>47</v>
      </c>
      <c r="F274" s="220" t="s">
        <v>67</v>
      </c>
      <c r="G274" s="220"/>
      <c r="H274" s="220"/>
      <c r="I274" s="223">
        <v>0</v>
      </c>
      <c r="J274" s="220"/>
      <c r="K274" s="220"/>
      <c r="L274" s="223">
        <v>8.3333333333333037E-2</v>
      </c>
      <c r="M274" s="223">
        <v>4.1666666666666519E-2</v>
      </c>
      <c r="N274" s="223">
        <v>3.3333333333333215E-2</v>
      </c>
      <c r="O274" s="223">
        <v>0</v>
      </c>
      <c r="P274" s="223"/>
      <c r="Q274" s="223">
        <v>624</v>
      </c>
      <c r="R274" s="223">
        <v>0</v>
      </c>
      <c r="S274" s="223">
        <v>0</v>
      </c>
      <c r="T274" s="223">
        <v>0</v>
      </c>
      <c r="U274" s="223">
        <v>0</v>
      </c>
      <c r="V274" s="223">
        <v>0.1</v>
      </c>
      <c r="W274" s="223">
        <v>0</v>
      </c>
      <c r="X274" s="223">
        <v>0</v>
      </c>
      <c r="Y274" s="234">
        <v>99</v>
      </c>
      <c r="Z274" s="223"/>
      <c r="AA274" s="223"/>
      <c r="AB274" s="223">
        <v>100</v>
      </c>
      <c r="AC274" s="223"/>
      <c r="AD274" s="223"/>
      <c r="AE274" s="223">
        <v>100</v>
      </c>
      <c r="AF274" s="223"/>
      <c r="AG274" s="223"/>
      <c r="AH274" s="223">
        <v>100</v>
      </c>
      <c r="AI274" s="223"/>
      <c r="AJ274" s="223"/>
      <c r="AK274" s="223">
        <v>100</v>
      </c>
    </row>
    <row r="275" spans="1:37" x14ac:dyDescent="0.25">
      <c r="A275" s="227" t="s">
        <v>152</v>
      </c>
      <c r="B275" s="221">
        <v>43894</v>
      </c>
      <c r="C275" s="222">
        <v>0.59583333333333344</v>
      </c>
      <c r="D275" s="223">
        <v>1</v>
      </c>
      <c r="E275" s="220" t="s">
        <v>47</v>
      </c>
      <c r="F275" s="220" t="s">
        <v>67</v>
      </c>
      <c r="G275" s="220"/>
      <c r="H275" s="220"/>
      <c r="I275" s="223">
        <v>0</v>
      </c>
      <c r="J275" s="220"/>
      <c r="K275" s="220"/>
      <c r="L275" s="223">
        <v>0.25000000000000022</v>
      </c>
      <c r="M275" s="223">
        <v>6.2500000000000056E-2</v>
      </c>
      <c r="N275" s="223">
        <v>5.0000000000000051E-2</v>
      </c>
      <c r="O275" s="223">
        <v>0</v>
      </c>
      <c r="P275" s="223"/>
      <c r="Q275" s="223">
        <v>624</v>
      </c>
      <c r="R275" s="223">
        <v>0</v>
      </c>
      <c r="S275" s="223">
        <v>0</v>
      </c>
      <c r="T275" s="223">
        <v>0</v>
      </c>
      <c r="U275" s="223">
        <v>0</v>
      </c>
      <c r="V275" s="223">
        <v>0.1</v>
      </c>
      <c r="W275" s="223">
        <v>0</v>
      </c>
      <c r="X275" s="223">
        <v>0</v>
      </c>
      <c r="Y275" s="234">
        <v>99</v>
      </c>
      <c r="Z275" s="223"/>
      <c r="AA275" s="223"/>
      <c r="AB275" s="223">
        <v>100</v>
      </c>
      <c r="AC275" s="223"/>
      <c r="AD275" s="223"/>
      <c r="AE275" s="223">
        <v>100</v>
      </c>
      <c r="AF275" s="223"/>
      <c r="AG275" s="223"/>
      <c r="AH275" s="223">
        <v>100</v>
      </c>
      <c r="AI275" s="223"/>
      <c r="AJ275" s="223"/>
      <c r="AK275" s="223">
        <v>100</v>
      </c>
    </row>
    <row r="276" spans="1:37" x14ac:dyDescent="0.25">
      <c r="A276" s="227" t="s">
        <v>152</v>
      </c>
      <c r="B276" s="221">
        <v>43894</v>
      </c>
      <c r="C276" s="222">
        <v>0.67500000000000004</v>
      </c>
      <c r="D276" s="223">
        <v>2</v>
      </c>
      <c r="E276" s="220" t="s">
        <v>47</v>
      </c>
      <c r="F276" s="220" t="s">
        <v>48</v>
      </c>
      <c r="G276" s="220"/>
      <c r="H276" s="220"/>
      <c r="I276" s="223">
        <v>0</v>
      </c>
      <c r="J276" s="220"/>
      <c r="K276" s="220"/>
      <c r="L276" s="223">
        <v>0.15833333333333319</v>
      </c>
      <c r="M276" s="223">
        <v>0.19791666666666652</v>
      </c>
      <c r="N276" s="223">
        <v>0.15833333333333319</v>
      </c>
      <c r="O276" s="223">
        <v>1</v>
      </c>
      <c r="P276" s="223"/>
      <c r="Q276" s="223">
        <v>623</v>
      </c>
      <c r="R276" s="223">
        <v>0</v>
      </c>
      <c r="S276" s="223">
        <v>0</v>
      </c>
      <c r="T276" s="223">
        <v>0</v>
      </c>
      <c r="U276" s="223">
        <v>0</v>
      </c>
      <c r="V276" s="223">
        <v>0.5</v>
      </c>
      <c r="W276" s="223">
        <v>0</v>
      </c>
      <c r="X276" s="223">
        <v>0</v>
      </c>
      <c r="Y276" s="234">
        <v>99</v>
      </c>
      <c r="Z276" s="223"/>
      <c r="AA276" s="223"/>
      <c r="AB276" s="223">
        <v>100</v>
      </c>
      <c r="AC276" s="223"/>
      <c r="AD276" s="223"/>
      <c r="AE276" s="223">
        <v>100</v>
      </c>
      <c r="AF276" s="223"/>
      <c r="AG276" s="223"/>
      <c r="AH276" s="223">
        <v>100</v>
      </c>
      <c r="AI276" s="223"/>
      <c r="AJ276" s="223"/>
      <c r="AK276" s="223">
        <v>100</v>
      </c>
    </row>
    <row r="277" spans="1:37" x14ac:dyDescent="0.25">
      <c r="A277" s="227" t="s">
        <v>152</v>
      </c>
      <c r="B277" s="221">
        <v>43894</v>
      </c>
      <c r="C277" s="222">
        <v>0.91666666666666674</v>
      </c>
      <c r="D277" s="223">
        <v>6</v>
      </c>
      <c r="E277" s="220" t="s">
        <v>49</v>
      </c>
      <c r="F277" s="220" t="s">
        <v>154</v>
      </c>
      <c r="G277" s="220"/>
      <c r="H277" s="220"/>
      <c r="I277" s="223">
        <v>0</v>
      </c>
      <c r="J277" s="220"/>
      <c r="K277" s="220"/>
      <c r="L277" s="223">
        <v>0</v>
      </c>
      <c r="M277" s="223">
        <v>0.60416666666666674</v>
      </c>
      <c r="N277" s="223">
        <v>0.48333333333333334</v>
      </c>
      <c r="O277" s="223">
        <v>1</v>
      </c>
      <c r="P277" s="223"/>
      <c r="Q277" s="223">
        <v>622</v>
      </c>
      <c r="R277" s="223">
        <v>0</v>
      </c>
      <c r="S277" s="223">
        <v>0</v>
      </c>
      <c r="T277" s="223">
        <v>0</v>
      </c>
      <c r="U277" s="223">
        <v>0</v>
      </c>
      <c r="V277" s="223">
        <v>1.4</v>
      </c>
      <c r="W277" s="223">
        <v>1</v>
      </c>
      <c r="X277" s="223">
        <v>0</v>
      </c>
      <c r="Y277" s="234">
        <v>97</v>
      </c>
      <c r="Z277" s="223"/>
      <c r="AA277" s="223"/>
      <c r="AB277" s="223">
        <v>100</v>
      </c>
      <c r="AC277" s="223"/>
      <c r="AD277" s="223"/>
      <c r="AE277" s="223">
        <v>100</v>
      </c>
      <c r="AF277" s="223"/>
      <c r="AG277" s="223"/>
      <c r="AH277" s="223">
        <v>100</v>
      </c>
      <c r="AI277" s="223"/>
      <c r="AJ277" s="223"/>
      <c r="AK277" s="223">
        <v>100</v>
      </c>
    </row>
    <row r="278" spans="1:37" x14ac:dyDescent="0.25">
      <c r="A278" s="227" t="s">
        <v>152</v>
      </c>
      <c r="B278" s="221">
        <v>43895</v>
      </c>
      <c r="C278" s="222">
        <v>1.2499999999999956E-2</v>
      </c>
      <c r="D278" s="223">
        <v>2</v>
      </c>
      <c r="E278" s="220" t="s">
        <v>49</v>
      </c>
      <c r="F278" s="220" t="s">
        <v>155</v>
      </c>
      <c r="G278" s="220"/>
      <c r="H278" s="220"/>
      <c r="I278" s="223">
        <v>0</v>
      </c>
      <c r="J278" s="220"/>
      <c r="K278" s="220"/>
      <c r="L278" s="223">
        <v>0</v>
      </c>
      <c r="M278" s="223">
        <v>0.23958333333333345</v>
      </c>
      <c r="N278" s="223">
        <v>0.19166666666666671</v>
      </c>
      <c r="O278" s="223">
        <v>0</v>
      </c>
      <c r="P278" s="223"/>
      <c r="Q278" s="223">
        <v>621</v>
      </c>
      <c r="R278" s="223">
        <v>0</v>
      </c>
      <c r="S278" s="223">
        <v>0</v>
      </c>
      <c r="T278" s="223">
        <v>0</v>
      </c>
      <c r="U278" s="223">
        <v>0</v>
      </c>
      <c r="V278" s="223">
        <v>0</v>
      </c>
      <c r="W278" s="223">
        <v>0</v>
      </c>
      <c r="X278" s="223">
        <v>0</v>
      </c>
      <c r="Y278" s="234">
        <v>97</v>
      </c>
      <c r="Z278" s="223"/>
      <c r="AA278" s="223"/>
      <c r="AB278" s="223">
        <v>100</v>
      </c>
      <c r="AC278" s="223"/>
      <c r="AD278" s="223"/>
      <c r="AE278" s="223">
        <v>100</v>
      </c>
      <c r="AF278" s="223"/>
      <c r="AG278" s="223"/>
      <c r="AH278" s="223">
        <v>100</v>
      </c>
      <c r="AI278" s="223"/>
      <c r="AJ278" s="223"/>
      <c r="AK278" s="223">
        <v>100</v>
      </c>
    </row>
    <row r="279" spans="1:37" x14ac:dyDescent="0.25">
      <c r="A279" s="227" t="s">
        <v>152</v>
      </c>
      <c r="B279" s="221">
        <v>43895</v>
      </c>
      <c r="C279" s="222">
        <v>0.33333333333333326</v>
      </c>
      <c r="D279" s="223">
        <v>8</v>
      </c>
      <c r="E279" s="220" t="s">
        <v>71</v>
      </c>
      <c r="F279" s="220" t="s">
        <v>71</v>
      </c>
      <c r="G279" s="220"/>
      <c r="H279" s="220"/>
      <c r="I279" s="223">
        <v>0</v>
      </c>
      <c r="J279" s="220"/>
      <c r="K279" s="220"/>
      <c r="L279" s="223">
        <v>0</v>
      </c>
      <c r="M279" s="223">
        <v>0.80208333333333326</v>
      </c>
      <c r="N279" s="223">
        <v>0.64166666666666661</v>
      </c>
      <c r="O279" s="223">
        <v>1</v>
      </c>
      <c r="P279" s="223"/>
      <c r="Q279" s="223">
        <v>620</v>
      </c>
      <c r="R279" s="223">
        <v>0</v>
      </c>
      <c r="S279" s="223">
        <v>0</v>
      </c>
      <c r="T279" s="223">
        <v>0</v>
      </c>
      <c r="U279" s="223">
        <v>0</v>
      </c>
      <c r="V279" s="223">
        <v>0</v>
      </c>
      <c r="W279" s="223">
        <v>0</v>
      </c>
      <c r="X279" s="223">
        <v>0</v>
      </c>
      <c r="Y279" s="234">
        <v>97</v>
      </c>
      <c r="Z279" s="223"/>
      <c r="AA279" s="223"/>
      <c r="AB279" s="223">
        <v>100</v>
      </c>
      <c r="AC279" s="223"/>
      <c r="AD279" s="223"/>
      <c r="AE279" s="223">
        <v>100</v>
      </c>
      <c r="AF279" s="223"/>
      <c r="AG279" s="223"/>
      <c r="AH279" s="223">
        <v>100</v>
      </c>
      <c r="AI279" s="223"/>
      <c r="AJ279" s="223"/>
      <c r="AK279" s="223">
        <v>100</v>
      </c>
    </row>
    <row r="280" spans="1:37" x14ac:dyDescent="0.25">
      <c r="A280" s="227" t="s">
        <v>152</v>
      </c>
      <c r="B280" s="221">
        <v>43896</v>
      </c>
      <c r="C280" s="222">
        <v>0.33333333333333326</v>
      </c>
      <c r="D280" s="223">
        <v>24</v>
      </c>
      <c r="E280" s="220" t="s">
        <v>71</v>
      </c>
      <c r="F280" s="220" t="s">
        <v>71</v>
      </c>
      <c r="G280" s="220"/>
      <c r="H280" s="220"/>
      <c r="I280" s="223">
        <v>0</v>
      </c>
      <c r="J280" s="220"/>
      <c r="K280" s="220"/>
      <c r="L280" s="223">
        <v>0</v>
      </c>
      <c r="M280" s="223">
        <v>2.5</v>
      </c>
      <c r="N280" s="223">
        <v>2</v>
      </c>
      <c r="O280" s="223">
        <v>4</v>
      </c>
      <c r="P280" s="223"/>
      <c r="Q280" s="223">
        <v>616</v>
      </c>
      <c r="R280" s="223">
        <v>0</v>
      </c>
      <c r="S280" s="223">
        <v>0</v>
      </c>
      <c r="T280" s="223">
        <v>0</v>
      </c>
      <c r="U280" s="223">
        <v>0</v>
      </c>
      <c r="V280" s="223">
        <v>0</v>
      </c>
      <c r="W280" s="223">
        <v>0</v>
      </c>
      <c r="X280" s="223">
        <v>0</v>
      </c>
      <c r="Y280" s="234">
        <v>97</v>
      </c>
      <c r="Z280" s="223"/>
      <c r="AA280" s="223"/>
      <c r="AB280" s="223">
        <v>100</v>
      </c>
      <c r="AC280" s="223"/>
      <c r="AD280" s="223"/>
      <c r="AE280" s="223">
        <v>100</v>
      </c>
      <c r="AF280" s="223"/>
      <c r="AG280" s="223"/>
      <c r="AH280" s="223">
        <v>100</v>
      </c>
      <c r="AI280" s="223"/>
      <c r="AJ280" s="223"/>
      <c r="AK280" s="223">
        <v>100</v>
      </c>
    </row>
    <row r="281" spans="1:37" x14ac:dyDescent="0.25">
      <c r="A281" s="227" t="s">
        <v>152</v>
      </c>
      <c r="B281" s="221">
        <v>43896</v>
      </c>
      <c r="C281" s="222">
        <v>0.97916666666666674</v>
      </c>
      <c r="D281" s="223">
        <v>15</v>
      </c>
      <c r="E281" s="220" t="s">
        <v>71</v>
      </c>
      <c r="F281" s="220" t="s">
        <v>156</v>
      </c>
      <c r="G281" s="220"/>
      <c r="H281" s="220"/>
      <c r="I281" s="223">
        <v>11</v>
      </c>
      <c r="J281" s="220"/>
      <c r="K281" s="220"/>
      <c r="L281" s="223">
        <v>0</v>
      </c>
      <c r="M281" s="223">
        <v>1.6145833333333333</v>
      </c>
      <c r="N281" s="223">
        <v>1.2916666666666663</v>
      </c>
      <c r="O281" s="223">
        <v>3</v>
      </c>
      <c r="P281" s="223"/>
      <c r="Q281" s="223">
        <v>613</v>
      </c>
      <c r="R281" s="223">
        <v>0</v>
      </c>
      <c r="S281" s="223">
        <v>0</v>
      </c>
      <c r="T281" s="223">
        <v>0</v>
      </c>
      <c r="U281" s="223">
        <v>0</v>
      </c>
      <c r="V281" s="223">
        <v>0</v>
      </c>
      <c r="W281" s="223">
        <v>0</v>
      </c>
      <c r="X281" s="223">
        <v>0</v>
      </c>
      <c r="Y281" s="234">
        <v>97</v>
      </c>
      <c r="Z281" s="223"/>
      <c r="AA281" s="223"/>
      <c r="AB281" s="223">
        <v>100</v>
      </c>
      <c r="AC281" s="223"/>
      <c r="AD281" s="223"/>
      <c r="AE281" s="223">
        <v>100</v>
      </c>
      <c r="AF281" s="223"/>
      <c r="AG281" s="223"/>
      <c r="AH281" s="223">
        <v>100</v>
      </c>
      <c r="AI281" s="223"/>
      <c r="AJ281" s="223"/>
      <c r="AK281" s="223">
        <v>100</v>
      </c>
    </row>
    <row r="282" spans="1:37" x14ac:dyDescent="0.25">
      <c r="A282" s="227" t="s">
        <v>152</v>
      </c>
      <c r="B282" s="221">
        <v>43897</v>
      </c>
      <c r="C282" s="222">
        <v>0.20833333333333326</v>
      </c>
      <c r="D282" s="223">
        <v>6</v>
      </c>
      <c r="E282" s="220" t="s">
        <v>49</v>
      </c>
      <c r="F282" s="220" t="s">
        <v>46</v>
      </c>
      <c r="G282" s="220"/>
      <c r="H282" s="220"/>
      <c r="I282" s="223">
        <v>0</v>
      </c>
      <c r="J282" s="220"/>
      <c r="K282" s="220"/>
      <c r="L282" s="223">
        <v>0</v>
      </c>
      <c r="M282" s="223">
        <v>0.57291666666666674</v>
      </c>
      <c r="N282" s="223">
        <v>0.45833333333333326</v>
      </c>
      <c r="O282" s="223">
        <v>1</v>
      </c>
      <c r="P282" s="223"/>
      <c r="Q282" s="223">
        <v>612</v>
      </c>
      <c r="R282" s="223">
        <v>0</v>
      </c>
      <c r="S282" s="223">
        <v>0</v>
      </c>
      <c r="T282" s="223">
        <v>0</v>
      </c>
      <c r="U282" s="223">
        <v>0</v>
      </c>
      <c r="V282" s="223">
        <v>0</v>
      </c>
      <c r="W282" s="223">
        <v>0</v>
      </c>
      <c r="X282" s="223">
        <v>0</v>
      </c>
      <c r="Y282" s="234">
        <v>97</v>
      </c>
      <c r="Z282" s="223"/>
      <c r="AA282" s="223"/>
      <c r="AB282" s="223">
        <v>100</v>
      </c>
      <c r="AC282" s="223"/>
      <c r="AD282" s="223"/>
      <c r="AE282" s="223">
        <v>100</v>
      </c>
      <c r="AF282" s="223"/>
      <c r="AG282" s="223"/>
      <c r="AH282" s="223">
        <v>100</v>
      </c>
      <c r="AI282" s="223"/>
      <c r="AJ282" s="223"/>
      <c r="AK282" s="223">
        <v>100</v>
      </c>
    </row>
    <row r="283" spans="1:37" x14ac:dyDescent="0.25">
      <c r="A283" s="227" t="s">
        <v>152</v>
      </c>
      <c r="B283" s="221">
        <v>43897</v>
      </c>
      <c r="C283" s="222">
        <v>0.23750000000000004</v>
      </c>
      <c r="D283" s="223">
        <v>1</v>
      </c>
      <c r="E283" s="220" t="s">
        <v>47</v>
      </c>
      <c r="F283" s="220" t="s">
        <v>157</v>
      </c>
      <c r="G283" s="220"/>
      <c r="H283" s="220"/>
      <c r="I283" s="223">
        <v>0</v>
      </c>
      <c r="J283" s="220"/>
      <c r="K283" s="220"/>
      <c r="L283" s="223">
        <v>0.14583333333333337</v>
      </c>
      <c r="M283" s="223">
        <v>7.2916666666666685E-2</v>
      </c>
      <c r="N283" s="223">
        <v>5.8333333333333341E-2</v>
      </c>
      <c r="O283" s="223">
        <v>0</v>
      </c>
      <c r="P283" s="223"/>
      <c r="Q283" s="223">
        <v>611</v>
      </c>
      <c r="R283" s="223">
        <v>0</v>
      </c>
      <c r="S283" s="223">
        <v>0</v>
      </c>
      <c r="T283" s="223">
        <v>0</v>
      </c>
      <c r="U283" s="223">
        <v>0</v>
      </c>
      <c r="V283" s="223">
        <v>0</v>
      </c>
      <c r="W283" s="223">
        <v>0</v>
      </c>
      <c r="X283" s="223">
        <v>0</v>
      </c>
      <c r="Y283" s="234">
        <v>97</v>
      </c>
      <c r="Z283" s="223"/>
      <c r="AA283" s="223"/>
      <c r="AB283" s="223">
        <v>100</v>
      </c>
      <c r="AC283" s="223"/>
      <c r="AD283" s="223"/>
      <c r="AE283" s="223">
        <v>100</v>
      </c>
      <c r="AF283" s="223"/>
      <c r="AG283" s="223"/>
      <c r="AH283" s="223">
        <v>100</v>
      </c>
      <c r="AI283" s="223"/>
      <c r="AJ283" s="223"/>
      <c r="AK283" s="223">
        <v>100</v>
      </c>
    </row>
    <row r="284" spans="1:37" x14ac:dyDescent="0.25">
      <c r="A284" s="227" t="s">
        <v>152</v>
      </c>
      <c r="B284" s="221">
        <v>43897</v>
      </c>
      <c r="C284" s="222">
        <v>0.26527777777777772</v>
      </c>
      <c r="D284" s="223">
        <v>1</v>
      </c>
      <c r="E284" s="220" t="s">
        <v>47</v>
      </c>
      <c r="F284" s="220" t="s">
        <v>158</v>
      </c>
      <c r="G284" s="220"/>
      <c r="H284" s="220"/>
      <c r="I284" s="223">
        <v>0</v>
      </c>
      <c r="J284" s="220"/>
      <c r="K284" s="220"/>
      <c r="L284" s="223">
        <v>0.27777777777777762</v>
      </c>
      <c r="M284" s="223">
        <v>6.9444444444444406E-2</v>
      </c>
      <c r="N284" s="223">
        <v>5.5555555555555525E-2</v>
      </c>
      <c r="O284" s="223">
        <v>0</v>
      </c>
      <c r="P284" s="223"/>
      <c r="Q284" s="223">
        <v>611</v>
      </c>
      <c r="R284" s="223">
        <v>0</v>
      </c>
      <c r="S284" s="223">
        <v>0</v>
      </c>
      <c r="T284" s="223">
        <v>0</v>
      </c>
      <c r="U284" s="223">
        <v>0</v>
      </c>
      <c r="V284" s="223">
        <v>0</v>
      </c>
      <c r="W284" s="223">
        <v>0</v>
      </c>
      <c r="X284" s="223">
        <v>0</v>
      </c>
      <c r="Y284" s="234">
        <v>97</v>
      </c>
      <c r="Z284" s="223"/>
      <c r="AA284" s="223"/>
      <c r="AB284" s="223">
        <v>100</v>
      </c>
      <c r="AC284" s="223"/>
      <c r="AD284" s="223"/>
      <c r="AE284" s="223">
        <v>100</v>
      </c>
      <c r="AF284" s="223"/>
      <c r="AG284" s="223"/>
      <c r="AH284" s="223">
        <v>100</v>
      </c>
      <c r="AI284" s="223"/>
      <c r="AJ284" s="223"/>
      <c r="AK284" s="223">
        <v>100</v>
      </c>
    </row>
    <row r="285" spans="1:37" x14ac:dyDescent="0.25">
      <c r="A285" s="227" t="s">
        <v>152</v>
      </c>
      <c r="B285" s="221">
        <v>43897</v>
      </c>
      <c r="C285" s="222">
        <v>0.28333333333333344</v>
      </c>
      <c r="D285" s="223">
        <v>0</v>
      </c>
      <c r="E285" s="220" t="s">
        <v>47</v>
      </c>
      <c r="F285" s="220" t="s">
        <v>48</v>
      </c>
      <c r="G285" s="220"/>
      <c r="H285" s="220"/>
      <c r="I285" s="223">
        <v>0</v>
      </c>
      <c r="J285" s="220"/>
      <c r="K285" s="220"/>
      <c r="L285" s="223">
        <v>9.0277777777777735E-2</v>
      </c>
      <c r="M285" s="223">
        <v>4.5138888888888867E-2</v>
      </c>
      <c r="N285" s="223">
        <v>3.6111111111111094E-2</v>
      </c>
      <c r="O285" s="223">
        <v>0</v>
      </c>
      <c r="P285" s="223"/>
      <c r="Q285" s="223">
        <v>611</v>
      </c>
      <c r="R285" s="223">
        <v>0</v>
      </c>
      <c r="S285" s="223">
        <v>0</v>
      </c>
      <c r="T285" s="223">
        <v>0</v>
      </c>
      <c r="U285" s="223">
        <v>0</v>
      </c>
      <c r="V285" s="223">
        <v>0</v>
      </c>
      <c r="W285" s="223">
        <v>0</v>
      </c>
      <c r="X285" s="223">
        <v>0</v>
      </c>
      <c r="Y285" s="234">
        <v>97</v>
      </c>
      <c r="Z285" s="223"/>
      <c r="AA285" s="223"/>
      <c r="AB285" s="223">
        <v>100</v>
      </c>
      <c r="AC285" s="223"/>
      <c r="AD285" s="223"/>
      <c r="AE285" s="223">
        <v>100</v>
      </c>
      <c r="AF285" s="223"/>
      <c r="AG285" s="223"/>
      <c r="AH285" s="223">
        <v>100</v>
      </c>
      <c r="AI285" s="223"/>
      <c r="AJ285" s="223"/>
      <c r="AK285" s="223">
        <v>100</v>
      </c>
    </row>
    <row r="286" spans="1:37" x14ac:dyDescent="0.25">
      <c r="A286" s="227" t="s">
        <v>152</v>
      </c>
      <c r="B286" s="221">
        <v>43897</v>
      </c>
      <c r="C286" s="222">
        <v>0.33333333333333326</v>
      </c>
      <c r="D286" s="223">
        <v>1</v>
      </c>
      <c r="E286" s="220" t="s">
        <v>45</v>
      </c>
      <c r="F286" s="220" t="s">
        <v>45</v>
      </c>
      <c r="G286" s="220"/>
      <c r="H286" s="220"/>
      <c r="I286" s="223">
        <v>0</v>
      </c>
      <c r="J286" s="220"/>
      <c r="K286" s="220"/>
      <c r="L286" s="223">
        <v>0</v>
      </c>
      <c r="M286" s="223">
        <v>0.12499999999999996</v>
      </c>
      <c r="N286" s="223">
        <v>9.9999999999999978E-2</v>
      </c>
      <c r="O286" s="223">
        <v>0</v>
      </c>
      <c r="P286" s="223"/>
      <c r="Q286" s="223">
        <v>611</v>
      </c>
      <c r="R286" s="223">
        <v>0</v>
      </c>
      <c r="S286" s="223">
        <v>0</v>
      </c>
      <c r="T286" s="223">
        <v>0</v>
      </c>
      <c r="U286" s="223">
        <v>0</v>
      </c>
      <c r="V286" s="223">
        <v>0</v>
      </c>
      <c r="W286" s="223">
        <v>0</v>
      </c>
      <c r="X286" s="223">
        <v>0</v>
      </c>
      <c r="Y286" s="234">
        <v>97</v>
      </c>
      <c r="Z286" s="223"/>
      <c r="AA286" s="223"/>
      <c r="AB286" s="223">
        <v>100</v>
      </c>
      <c r="AC286" s="223"/>
      <c r="AD286" s="223"/>
      <c r="AE286" s="223">
        <v>100</v>
      </c>
      <c r="AF286" s="223"/>
      <c r="AG286" s="223"/>
      <c r="AH286" s="223">
        <v>100</v>
      </c>
      <c r="AI286" s="223"/>
      <c r="AJ286" s="223"/>
      <c r="AK286" s="223">
        <v>100</v>
      </c>
    </row>
    <row r="287" spans="1:37" x14ac:dyDescent="0.25">
      <c r="A287" s="227" t="s">
        <v>152</v>
      </c>
      <c r="B287" s="221">
        <v>43898</v>
      </c>
      <c r="C287" s="222">
        <v>5.0000000000000044E-2</v>
      </c>
      <c r="D287" s="223">
        <v>17</v>
      </c>
      <c r="E287" s="220" t="s">
        <v>45</v>
      </c>
      <c r="F287" s="220" t="s">
        <v>46</v>
      </c>
      <c r="G287" s="220"/>
      <c r="H287" s="220"/>
      <c r="I287" s="223">
        <v>0</v>
      </c>
      <c r="J287" s="220"/>
      <c r="K287" s="220"/>
      <c r="L287" s="223">
        <v>0</v>
      </c>
      <c r="M287" s="223">
        <v>1.7916666666666667</v>
      </c>
      <c r="N287" s="223">
        <v>1.4333333333333331</v>
      </c>
      <c r="O287" s="223">
        <v>3</v>
      </c>
      <c r="P287" s="223"/>
      <c r="Q287" s="223">
        <v>607</v>
      </c>
      <c r="R287" s="223">
        <v>0</v>
      </c>
      <c r="S287" s="223">
        <v>0</v>
      </c>
      <c r="T287" s="223">
        <v>0</v>
      </c>
      <c r="U287" s="223">
        <v>0</v>
      </c>
      <c r="V287" s="223">
        <v>0</v>
      </c>
      <c r="W287" s="223">
        <v>0</v>
      </c>
      <c r="X287" s="223">
        <v>0</v>
      </c>
      <c r="Y287" s="234">
        <v>97</v>
      </c>
      <c r="Z287" s="223"/>
      <c r="AA287" s="223"/>
      <c r="AB287" s="223">
        <v>100</v>
      </c>
      <c r="AC287" s="223"/>
      <c r="AD287" s="223"/>
      <c r="AE287" s="223">
        <v>100</v>
      </c>
      <c r="AF287" s="223"/>
      <c r="AG287" s="223"/>
      <c r="AH287" s="223">
        <v>100</v>
      </c>
      <c r="AI287" s="223"/>
      <c r="AJ287" s="223"/>
      <c r="AK287" s="223">
        <v>100</v>
      </c>
    </row>
    <row r="288" spans="1:37" x14ac:dyDescent="0.25">
      <c r="A288" s="227" t="s">
        <v>152</v>
      </c>
      <c r="B288" s="221">
        <v>43898</v>
      </c>
      <c r="C288" s="222">
        <v>8.3333333333333259E-2</v>
      </c>
      <c r="D288" s="223">
        <v>1</v>
      </c>
      <c r="E288" s="220" t="s">
        <v>47</v>
      </c>
      <c r="F288" s="220" t="s">
        <v>159</v>
      </c>
      <c r="G288" s="220"/>
      <c r="H288" s="220"/>
      <c r="I288" s="223">
        <v>0</v>
      </c>
      <c r="J288" s="220" t="s">
        <v>54</v>
      </c>
      <c r="K288" s="220">
        <v>95</v>
      </c>
      <c r="L288" s="223">
        <v>0.16666666666666669</v>
      </c>
      <c r="M288" s="223">
        <v>8.3333333333333343E-2</v>
      </c>
      <c r="N288" s="223">
        <v>6.6666666666666666E-2</v>
      </c>
      <c r="O288" s="223">
        <v>0</v>
      </c>
      <c r="P288" s="223"/>
      <c r="Q288" s="223">
        <v>607</v>
      </c>
      <c r="R288" s="223">
        <v>0</v>
      </c>
      <c r="S288" s="223">
        <v>0</v>
      </c>
      <c r="T288" s="223">
        <v>0</v>
      </c>
      <c r="U288" s="223">
        <v>0</v>
      </c>
      <c r="V288" s="223">
        <v>0</v>
      </c>
      <c r="W288" s="223">
        <v>0</v>
      </c>
      <c r="X288" s="223">
        <v>0</v>
      </c>
      <c r="Y288" s="234">
        <v>97</v>
      </c>
      <c r="Z288" s="223"/>
      <c r="AA288" s="223"/>
      <c r="AB288" s="223">
        <v>100</v>
      </c>
      <c r="AC288" s="223"/>
      <c r="AD288" s="223"/>
      <c r="AE288" s="223">
        <v>100</v>
      </c>
      <c r="AF288" s="223"/>
      <c r="AG288" s="223"/>
      <c r="AH288" s="223">
        <v>100</v>
      </c>
      <c r="AI288" s="223"/>
      <c r="AJ288" s="223"/>
      <c r="AK288" s="223">
        <v>100</v>
      </c>
    </row>
    <row r="289" spans="1:37" x14ac:dyDescent="0.25">
      <c r="A289" s="227" t="s">
        <v>152</v>
      </c>
      <c r="B289" s="221">
        <v>43898</v>
      </c>
      <c r="C289" s="222">
        <v>0.33333333333333326</v>
      </c>
      <c r="D289" s="223">
        <v>6</v>
      </c>
      <c r="E289" s="220" t="s">
        <v>55</v>
      </c>
      <c r="F289" s="220" t="s">
        <v>56</v>
      </c>
      <c r="G289" s="220"/>
      <c r="H289" s="220"/>
      <c r="I289" s="223">
        <v>0</v>
      </c>
      <c r="J289" s="220" t="s">
        <v>54</v>
      </c>
      <c r="K289" s="220">
        <v>95</v>
      </c>
      <c r="L289" s="223">
        <v>5</v>
      </c>
      <c r="M289" s="223">
        <v>0.625</v>
      </c>
      <c r="N289" s="223">
        <v>0</v>
      </c>
      <c r="O289" s="223">
        <v>6</v>
      </c>
      <c r="P289" s="223"/>
      <c r="Q289" s="223">
        <v>601</v>
      </c>
      <c r="R289" s="223">
        <v>0</v>
      </c>
      <c r="S289" s="223">
        <v>0</v>
      </c>
      <c r="T289" s="223">
        <v>0</v>
      </c>
      <c r="U289" s="223">
        <v>0</v>
      </c>
      <c r="V289" s="223">
        <v>0</v>
      </c>
      <c r="W289" s="223">
        <v>0</v>
      </c>
      <c r="X289" s="223">
        <v>0</v>
      </c>
      <c r="Y289" s="234">
        <v>97</v>
      </c>
      <c r="Z289" s="223"/>
      <c r="AA289" s="223"/>
      <c r="AB289" s="223">
        <v>100</v>
      </c>
      <c r="AC289" s="223"/>
      <c r="AD289" s="223"/>
      <c r="AE289" s="223">
        <v>100</v>
      </c>
      <c r="AF289" s="223"/>
      <c r="AG289" s="223"/>
      <c r="AH289" s="223">
        <v>100</v>
      </c>
      <c r="AI289" s="223"/>
      <c r="AJ289" s="223"/>
      <c r="AK289" s="223">
        <v>100</v>
      </c>
    </row>
    <row r="290" spans="1:37" x14ac:dyDescent="0.25">
      <c r="A290" s="227" t="s">
        <v>152</v>
      </c>
      <c r="B290" s="221">
        <v>43899</v>
      </c>
      <c r="C290" s="222">
        <v>0.33333333333333326</v>
      </c>
      <c r="D290" s="223">
        <v>24</v>
      </c>
      <c r="E290" s="220" t="s">
        <v>55</v>
      </c>
      <c r="F290" s="220" t="s">
        <v>56</v>
      </c>
      <c r="G290" s="220"/>
      <c r="H290" s="220"/>
      <c r="I290" s="223">
        <v>11</v>
      </c>
      <c r="J290" s="220" t="s">
        <v>54</v>
      </c>
      <c r="K290" s="220">
        <v>95</v>
      </c>
      <c r="L290" s="223">
        <v>22</v>
      </c>
      <c r="M290" s="223">
        <v>2.5</v>
      </c>
      <c r="N290" s="223">
        <v>0</v>
      </c>
      <c r="O290" s="223">
        <v>24</v>
      </c>
      <c r="P290" s="223"/>
      <c r="Q290" s="223">
        <v>577</v>
      </c>
      <c r="R290" s="223">
        <v>0</v>
      </c>
      <c r="S290" s="223">
        <v>0</v>
      </c>
      <c r="T290" s="223">
        <v>0</v>
      </c>
      <c r="U290" s="223">
        <v>0</v>
      </c>
      <c r="V290" s="223">
        <v>0</v>
      </c>
      <c r="W290" s="223">
        <v>0</v>
      </c>
      <c r="X290" s="223">
        <v>0</v>
      </c>
      <c r="Y290" s="234">
        <v>97</v>
      </c>
      <c r="Z290" s="223"/>
      <c r="AA290" s="223"/>
      <c r="AB290" s="223">
        <v>100</v>
      </c>
      <c r="AC290" s="223"/>
      <c r="AD290" s="223"/>
      <c r="AE290" s="223">
        <v>100</v>
      </c>
      <c r="AF290" s="223"/>
      <c r="AG290" s="223"/>
      <c r="AH290" s="223">
        <v>100</v>
      </c>
      <c r="AI290" s="223"/>
      <c r="AJ290" s="223"/>
      <c r="AK290" s="223">
        <v>100</v>
      </c>
    </row>
    <row r="291" spans="1:37" x14ac:dyDescent="0.25">
      <c r="A291" s="227" t="s">
        <v>152</v>
      </c>
      <c r="B291" s="221">
        <v>43900</v>
      </c>
      <c r="C291" s="222">
        <v>0.29166666666666674</v>
      </c>
      <c r="D291" s="223">
        <v>23</v>
      </c>
      <c r="E291" s="220" t="s">
        <v>55</v>
      </c>
      <c r="F291" s="220" t="s">
        <v>160</v>
      </c>
      <c r="G291" s="220">
        <v>530</v>
      </c>
      <c r="H291" s="220">
        <v>47</v>
      </c>
      <c r="I291" s="223">
        <v>0</v>
      </c>
      <c r="J291" s="220" t="s">
        <v>54</v>
      </c>
      <c r="K291" s="220">
        <v>95</v>
      </c>
      <c r="L291" s="223">
        <v>21.083333333333332</v>
      </c>
      <c r="M291" s="223">
        <v>2.3958333333333335</v>
      </c>
      <c r="N291" s="223">
        <v>0</v>
      </c>
      <c r="O291" s="223">
        <v>23</v>
      </c>
      <c r="P291" s="223"/>
      <c r="Q291" s="223">
        <v>553</v>
      </c>
      <c r="R291" s="223">
        <v>0</v>
      </c>
      <c r="S291" s="223">
        <v>0</v>
      </c>
      <c r="T291" s="223">
        <v>0</v>
      </c>
      <c r="U291" s="223">
        <v>0</v>
      </c>
      <c r="V291" s="223">
        <v>0</v>
      </c>
      <c r="W291" s="223">
        <v>0</v>
      </c>
      <c r="X291" s="223">
        <v>0</v>
      </c>
      <c r="Y291" s="234">
        <v>97</v>
      </c>
      <c r="Z291" s="223"/>
      <c r="AA291" s="223"/>
      <c r="AB291" s="223">
        <v>100</v>
      </c>
      <c r="AC291" s="223"/>
      <c r="AD291" s="223"/>
      <c r="AE291" s="223">
        <v>100</v>
      </c>
      <c r="AF291" s="223"/>
      <c r="AG291" s="223"/>
      <c r="AH291" s="223">
        <v>100</v>
      </c>
      <c r="AI291" s="223"/>
      <c r="AJ291" s="223"/>
      <c r="AK291" s="223">
        <v>100</v>
      </c>
    </row>
    <row r="292" spans="1:37" x14ac:dyDescent="0.25">
      <c r="A292" s="227" t="s">
        <v>152</v>
      </c>
      <c r="B292" s="221">
        <v>43900</v>
      </c>
      <c r="C292" s="222">
        <v>0.33333333333333326</v>
      </c>
      <c r="D292" s="223">
        <v>1</v>
      </c>
      <c r="E292" s="220" t="s">
        <v>47</v>
      </c>
      <c r="F292" s="220" t="s">
        <v>161</v>
      </c>
      <c r="G292" s="220"/>
      <c r="H292" s="220"/>
      <c r="I292" s="223">
        <v>0</v>
      </c>
      <c r="J292" s="220"/>
      <c r="K292" s="220"/>
      <c r="L292" s="223">
        <v>0.12499999999999988</v>
      </c>
      <c r="M292" s="223">
        <v>0.10416666666666656</v>
      </c>
      <c r="N292" s="223">
        <v>8.3333333333333259E-2</v>
      </c>
      <c r="O292" s="223">
        <v>0</v>
      </c>
      <c r="P292" s="223"/>
      <c r="Q292" s="223">
        <v>553</v>
      </c>
      <c r="R292" s="223">
        <v>0</v>
      </c>
      <c r="S292" s="223">
        <v>0</v>
      </c>
      <c r="T292" s="223">
        <v>0</v>
      </c>
      <c r="U292" s="223">
        <v>0</v>
      </c>
      <c r="V292" s="223">
        <v>0</v>
      </c>
      <c r="W292" s="223">
        <v>0</v>
      </c>
      <c r="X292" s="223">
        <v>0</v>
      </c>
      <c r="Y292" s="234">
        <v>97</v>
      </c>
      <c r="Z292" s="223"/>
      <c r="AA292" s="223"/>
      <c r="AB292" s="223">
        <v>100</v>
      </c>
      <c r="AC292" s="223"/>
      <c r="AD292" s="223"/>
      <c r="AE292" s="223">
        <v>100</v>
      </c>
      <c r="AF292" s="223"/>
      <c r="AG292" s="223"/>
      <c r="AH292" s="223">
        <v>100</v>
      </c>
      <c r="AI292" s="223"/>
      <c r="AJ292" s="223"/>
      <c r="AK292" s="223">
        <v>100</v>
      </c>
    </row>
    <row r="293" spans="1:37" x14ac:dyDescent="0.25">
      <c r="A293" s="227" t="s">
        <v>152</v>
      </c>
      <c r="B293" s="221">
        <v>43900</v>
      </c>
      <c r="C293" s="222">
        <v>0.41250000000000009</v>
      </c>
      <c r="D293" s="223">
        <v>2</v>
      </c>
      <c r="E293" s="220" t="s">
        <v>47</v>
      </c>
      <c r="F293" s="220" t="s">
        <v>48</v>
      </c>
      <c r="G293" s="220"/>
      <c r="H293" s="220"/>
      <c r="I293" s="223">
        <v>0</v>
      </c>
      <c r="J293" s="220"/>
      <c r="K293" s="220"/>
      <c r="L293" s="223">
        <v>0.23750000000000016</v>
      </c>
      <c r="M293" s="223">
        <v>0.1979166666666668</v>
      </c>
      <c r="N293" s="223">
        <v>0.15833333333333344</v>
      </c>
      <c r="O293" s="223">
        <v>1</v>
      </c>
      <c r="P293" s="223"/>
      <c r="Q293" s="223">
        <v>552</v>
      </c>
      <c r="R293" s="223">
        <v>0</v>
      </c>
      <c r="S293" s="223">
        <v>0</v>
      </c>
      <c r="T293" s="223">
        <v>0</v>
      </c>
      <c r="U293" s="223">
        <v>0</v>
      </c>
      <c r="V293" s="223">
        <v>0</v>
      </c>
      <c r="W293" s="223">
        <v>0</v>
      </c>
      <c r="X293" s="223">
        <v>0</v>
      </c>
      <c r="Y293" s="234">
        <v>97</v>
      </c>
      <c r="Z293" s="223"/>
      <c r="AA293" s="223"/>
      <c r="AB293" s="223">
        <v>100</v>
      </c>
      <c r="AC293" s="223"/>
      <c r="AD293" s="223"/>
      <c r="AE293" s="223">
        <v>100</v>
      </c>
      <c r="AF293" s="223"/>
      <c r="AG293" s="223"/>
      <c r="AH293" s="223">
        <v>100</v>
      </c>
      <c r="AI293" s="223"/>
      <c r="AJ293" s="223"/>
      <c r="AK293" s="223">
        <v>100</v>
      </c>
    </row>
    <row r="294" spans="1:37" x14ac:dyDescent="0.25">
      <c r="A294" s="227" t="s">
        <v>152</v>
      </c>
      <c r="B294" s="221">
        <v>43900</v>
      </c>
      <c r="C294" s="222">
        <v>0.58333333333333326</v>
      </c>
      <c r="D294" s="223">
        <v>4</v>
      </c>
      <c r="E294" s="220" t="s">
        <v>49</v>
      </c>
      <c r="F294" s="220" t="s">
        <v>50</v>
      </c>
      <c r="G294" s="220"/>
      <c r="H294" s="220"/>
      <c r="I294" s="223">
        <v>0</v>
      </c>
      <c r="J294" s="220"/>
      <c r="K294" s="220"/>
      <c r="L294" s="223">
        <v>0</v>
      </c>
      <c r="M294" s="223">
        <v>0.42708333333333326</v>
      </c>
      <c r="N294" s="223">
        <v>0.34166666666666662</v>
      </c>
      <c r="O294" s="223">
        <v>1</v>
      </c>
      <c r="P294" s="223"/>
      <c r="Q294" s="223">
        <v>552</v>
      </c>
      <c r="R294" s="223">
        <v>0</v>
      </c>
      <c r="S294" s="223">
        <v>0</v>
      </c>
      <c r="T294" s="223">
        <v>0</v>
      </c>
      <c r="U294" s="223">
        <v>0</v>
      </c>
      <c r="V294" s="223">
        <v>0</v>
      </c>
      <c r="W294" s="223">
        <v>0</v>
      </c>
      <c r="X294" s="223">
        <v>0</v>
      </c>
      <c r="Y294" s="234">
        <v>97</v>
      </c>
      <c r="Z294" s="223"/>
      <c r="AA294" s="223"/>
      <c r="AB294" s="223">
        <v>100</v>
      </c>
      <c r="AC294" s="223"/>
      <c r="AD294" s="223"/>
      <c r="AE294" s="223">
        <v>100</v>
      </c>
      <c r="AF294" s="223"/>
      <c r="AG294" s="223"/>
      <c r="AH294" s="223">
        <v>100</v>
      </c>
      <c r="AI294" s="223"/>
      <c r="AJ294" s="223"/>
      <c r="AK294" s="223">
        <v>100</v>
      </c>
    </row>
    <row r="295" spans="1:37" x14ac:dyDescent="0.25">
      <c r="A295" s="227" t="s">
        <v>152</v>
      </c>
      <c r="B295" s="221">
        <v>43901</v>
      </c>
      <c r="C295" s="222">
        <v>0.33333333333333326</v>
      </c>
      <c r="D295" s="223">
        <v>18</v>
      </c>
      <c r="E295" s="220" t="s">
        <v>51</v>
      </c>
      <c r="F295" s="220" t="s">
        <v>51</v>
      </c>
      <c r="G295" s="220"/>
      <c r="H295" s="220"/>
      <c r="I295" s="223">
        <v>0</v>
      </c>
      <c r="J295" s="220"/>
      <c r="K295" s="220"/>
      <c r="L295" s="223">
        <v>0</v>
      </c>
      <c r="M295" s="223">
        <v>1.875</v>
      </c>
      <c r="N295" s="223">
        <v>1.5</v>
      </c>
      <c r="O295" s="223">
        <v>3</v>
      </c>
      <c r="P295" s="223"/>
      <c r="Q295" s="223">
        <v>548</v>
      </c>
      <c r="R295" s="223">
        <v>0</v>
      </c>
      <c r="S295" s="223">
        <v>0</v>
      </c>
      <c r="T295" s="223">
        <v>0</v>
      </c>
      <c r="U295" s="223">
        <v>0</v>
      </c>
      <c r="V295" s="223">
        <v>4.5</v>
      </c>
      <c r="W295" s="223">
        <v>4</v>
      </c>
      <c r="X295" s="223">
        <v>0</v>
      </c>
      <c r="Y295" s="234">
        <v>93</v>
      </c>
      <c r="Z295" s="223"/>
      <c r="AA295" s="223"/>
      <c r="AB295" s="223">
        <v>100</v>
      </c>
      <c r="AC295" s="223"/>
      <c r="AD295" s="223"/>
      <c r="AE295" s="223">
        <v>100</v>
      </c>
      <c r="AF295" s="223"/>
      <c r="AG295" s="223"/>
      <c r="AH295" s="223">
        <v>100</v>
      </c>
      <c r="AI295" s="223"/>
      <c r="AJ295" s="223"/>
      <c r="AK295" s="223">
        <v>100</v>
      </c>
    </row>
    <row r="296" spans="1:37" x14ac:dyDescent="0.25">
      <c r="A296" s="227" t="s">
        <v>152</v>
      </c>
      <c r="B296" s="221">
        <v>43901</v>
      </c>
      <c r="C296" s="222">
        <v>0.76666666666666661</v>
      </c>
      <c r="D296" s="223">
        <v>10</v>
      </c>
      <c r="E296" s="220" t="s">
        <v>51</v>
      </c>
      <c r="F296" s="220" t="s">
        <v>86</v>
      </c>
      <c r="G296" s="220"/>
      <c r="H296" s="220"/>
      <c r="I296" s="223">
        <v>0</v>
      </c>
      <c r="J296" s="220"/>
      <c r="K296" s="220"/>
      <c r="L296" s="223">
        <v>0</v>
      </c>
      <c r="M296" s="223">
        <v>1.0833333333333333</v>
      </c>
      <c r="N296" s="223">
        <v>0.86666666666666636</v>
      </c>
      <c r="O296" s="223">
        <v>2</v>
      </c>
      <c r="P296" s="223"/>
      <c r="Q296" s="223">
        <v>546</v>
      </c>
      <c r="R296" s="223">
        <v>0</v>
      </c>
      <c r="S296" s="223">
        <v>0</v>
      </c>
      <c r="T296" s="223">
        <v>0</v>
      </c>
      <c r="U296" s="223">
        <v>0</v>
      </c>
      <c r="V296" s="223">
        <v>2.6</v>
      </c>
      <c r="W296" s="223">
        <v>3</v>
      </c>
      <c r="X296" s="223">
        <v>0</v>
      </c>
      <c r="Y296" s="234">
        <v>90</v>
      </c>
      <c r="Z296" s="223"/>
      <c r="AA296" s="223"/>
      <c r="AB296" s="223">
        <v>100</v>
      </c>
      <c r="AC296" s="223"/>
      <c r="AD296" s="223"/>
      <c r="AE296" s="223">
        <v>100</v>
      </c>
      <c r="AF296" s="223"/>
      <c r="AG296" s="223"/>
      <c r="AH296" s="223">
        <v>100</v>
      </c>
      <c r="AI296" s="223"/>
      <c r="AJ296" s="223"/>
      <c r="AK296" s="223">
        <v>100</v>
      </c>
    </row>
    <row r="297" spans="1:37" x14ac:dyDescent="0.25">
      <c r="A297" s="227" t="s">
        <v>152</v>
      </c>
      <c r="B297" s="221">
        <v>43901</v>
      </c>
      <c r="C297" s="222">
        <v>0.90416666666666656</v>
      </c>
      <c r="D297" s="223">
        <v>3</v>
      </c>
      <c r="E297" s="220" t="s">
        <v>49</v>
      </c>
      <c r="F297" s="220" t="s">
        <v>46</v>
      </c>
      <c r="G297" s="220"/>
      <c r="H297" s="220"/>
      <c r="I297" s="223">
        <v>0</v>
      </c>
      <c r="J297" s="220"/>
      <c r="K297" s="220"/>
      <c r="L297" s="223">
        <v>0</v>
      </c>
      <c r="M297" s="223">
        <v>0.34375000000000017</v>
      </c>
      <c r="N297" s="223">
        <v>0.27500000000000013</v>
      </c>
      <c r="O297" s="223">
        <v>1</v>
      </c>
      <c r="P297" s="223"/>
      <c r="Q297" s="223">
        <v>546</v>
      </c>
      <c r="R297" s="223">
        <v>0</v>
      </c>
      <c r="S297" s="223">
        <v>0</v>
      </c>
      <c r="T297" s="223">
        <v>0</v>
      </c>
      <c r="U297" s="223">
        <v>0</v>
      </c>
      <c r="V297" s="223">
        <v>0</v>
      </c>
      <c r="W297" s="223">
        <v>0</v>
      </c>
      <c r="X297" s="223">
        <v>0</v>
      </c>
      <c r="Y297" s="234">
        <v>90</v>
      </c>
      <c r="Z297" s="223"/>
      <c r="AA297" s="223"/>
      <c r="AB297" s="223">
        <v>100</v>
      </c>
      <c r="AC297" s="223"/>
      <c r="AD297" s="223"/>
      <c r="AE297" s="223">
        <v>100</v>
      </c>
      <c r="AF297" s="223"/>
      <c r="AG297" s="223"/>
      <c r="AH297" s="223">
        <v>100</v>
      </c>
      <c r="AI297" s="223"/>
      <c r="AJ297" s="223"/>
      <c r="AK297" s="223">
        <v>100</v>
      </c>
    </row>
    <row r="298" spans="1:37" x14ac:dyDescent="0.25">
      <c r="A298" s="227" t="s">
        <v>152</v>
      </c>
      <c r="B298" s="221">
        <v>43901</v>
      </c>
      <c r="C298" s="222">
        <v>0.9375</v>
      </c>
      <c r="D298" s="223">
        <v>1</v>
      </c>
      <c r="E298" s="220" t="s">
        <v>47</v>
      </c>
      <c r="F298" s="220" t="s">
        <v>75</v>
      </c>
      <c r="G298" s="220"/>
      <c r="H298" s="220"/>
      <c r="I298" s="223">
        <v>0</v>
      </c>
      <c r="J298" s="220" t="s">
        <v>54</v>
      </c>
      <c r="K298" s="220">
        <v>95</v>
      </c>
      <c r="L298" s="223">
        <v>0.16666666666666663</v>
      </c>
      <c r="M298" s="223">
        <v>8.3333333333333315E-2</v>
      </c>
      <c r="N298" s="223">
        <v>6.6666666666666652E-2</v>
      </c>
      <c r="O298" s="223">
        <v>0</v>
      </c>
      <c r="P298" s="223"/>
      <c r="Q298" s="223">
        <v>545</v>
      </c>
      <c r="R298" s="223">
        <v>0</v>
      </c>
      <c r="S298" s="223">
        <v>0</v>
      </c>
      <c r="T298" s="223">
        <v>0</v>
      </c>
      <c r="U298" s="223">
        <v>0</v>
      </c>
      <c r="V298" s="223">
        <v>0</v>
      </c>
      <c r="W298" s="223">
        <v>0</v>
      </c>
      <c r="X298" s="223">
        <v>0</v>
      </c>
      <c r="Y298" s="234">
        <v>90</v>
      </c>
      <c r="Z298" s="223"/>
      <c r="AA298" s="223"/>
      <c r="AB298" s="223">
        <v>100</v>
      </c>
      <c r="AC298" s="223"/>
      <c r="AD298" s="223"/>
      <c r="AE298" s="223">
        <v>100</v>
      </c>
      <c r="AF298" s="223"/>
      <c r="AG298" s="223"/>
      <c r="AH298" s="223">
        <v>100</v>
      </c>
      <c r="AI298" s="223"/>
      <c r="AJ298" s="223"/>
      <c r="AK298" s="223">
        <v>100</v>
      </c>
    </row>
    <row r="299" spans="1:37" x14ac:dyDescent="0.25">
      <c r="A299" s="227" t="s">
        <v>152</v>
      </c>
      <c r="B299" s="221">
        <v>43902</v>
      </c>
      <c r="C299" s="222">
        <v>0.33333333333333326</v>
      </c>
      <c r="D299" s="223">
        <v>9</v>
      </c>
      <c r="E299" s="220" t="s">
        <v>55</v>
      </c>
      <c r="F299" s="220" t="s">
        <v>56</v>
      </c>
      <c r="G299" s="220"/>
      <c r="H299" s="220"/>
      <c r="I299" s="223">
        <v>0</v>
      </c>
      <c r="J299" s="220" t="s">
        <v>54</v>
      </c>
      <c r="K299" s="220">
        <v>95</v>
      </c>
      <c r="L299" s="223">
        <v>8.7083333333333321</v>
      </c>
      <c r="M299" s="223">
        <v>0.98958333333333315</v>
      </c>
      <c r="N299" s="223">
        <v>0</v>
      </c>
      <c r="O299" s="223">
        <v>10</v>
      </c>
      <c r="P299" s="223"/>
      <c r="Q299" s="223">
        <v>536</v>
      </c>
      <c r="R299" s="223">
        <v>0</v>
      </c>
      <c r="S299" s="223">
        <v>0</v>
      </c>
      <c r="T299" s="223">
        <v>0</v>
      </c>
      <c r="U299" s="223">
        <v>0</v>
      </c>
      <c r="V299" s="223">
        <v>0</v>
      </c>
      <c r="W299" s="223">
        <v>0</v>
      </c>
      <c r="X299" s="223">
        <v>0</v>
      </c>
      <c r="Y299" s="234">
        <v>90</v>
      </c>
      <c r="Z299" s="223"/>
      <c r="AA299" s="223"/>
      <c r="AB299" s="223">
        <v>100</v>
      </c>
      <c r="AC299" s="223"/>
      <c r="AD299" s="223"/>
      <c r="AE299" s="223">
        <v>100</v>
      </c>
      <c r="AF299" s="223"/>
      <c r="AG299" s="223"/>
      <c r="AH299" s="223">
        <v>100</v>
      </c>
      <c r="AI299" s="223"/>
      <c r="AJ299" s="223"/>
      <c r="AK299" s="223">
        <v>100</v>
      </c>
    </row>
    <row r="300" spans="1:37" x14ac:dyDescent="0.25">
      <c r="A300" s="227" t="s">
        <v>152</v>
      </c>
      <c r="B300" s="221">
        <v>43903</v>
      </c>
      <c r="C300" s="222">
        <v>0.33333333333333326</v>
      </c>
      <c r="D300" s="223">
        <v>24</v>
      </c>
      <c r="E300" s="220" t="s">
        <v>55</v>
      </c>
      <c r="F300" s="220" t="s">
        <v>56</v>
      </c>
      <c r="G300" s="220"/>
      <c r="H300" s="220"/>
      <c r="I300" s="223">
        <v>0</v>
      </c>
      <c r="J300" s="220" t="s">
        <v>54</v>
      </c>
      <c r="K300" s="220">
        <v>95</v>
      </c>
      <c r="L300" s="223">
        <v>24</v>
      </c>
      <c r="M300" s="223">
        <v>2.5</v>
      </c>
      <c r="N300" s="223">
        <v>0</v>
      </c>
      <c r="O300" s="223">
        <v>26</v>
      </c>
      <c r="P300" s="223"/>
      <c r="Q300" s="223">
        <v>509</v>
      </c>
      <c r="R300" s="223">
        <v>0</v>
      </c>
      <c r="S300" s="223">
        <v>0</v>
      </c>
      <c r="T300" s="223">
        <v>0</v>
      </c>
      <c r="U300" s="223">
        <v>0</v>
      </c>
      <c r="V300" s="223">
        <v>0</v>
      </c>
      <c r="W300" s="223">
        <v>0</v>
      </c>
      <c r="X300" s="223">
        <v>0</v>
      </c>
      <c r="Y300" s="234">
        <v>90</v>
      </c>
      <c r="Z300" s="223"/>
      <c r="AA300" s="223"/>
      <c r="AB300" s="223">
        <v>100</v>
      </c>
      <c r="AC300" s="223"/>
      <c r="AD300" s="223"/>
      <c r="AE300" s="223">
        <v>100</v>
      </c>
      <c r="AF300" s="223"/>
      <c r="AG300" s="223"/>
      <c r="AH300" s="223">
        <v>100</v>
      </c>
      <c r="AI300" s="223"/>
      <c r="AJ300" s="223"/>
      <c r="AK300" s="223">
        <v>100</v>
      </c>
    </row>
    <row r="301" spans="1:37" x14ac:dyDescent="0.25">
      <c r="A301" s="227" t="s">
        <v>152</v>
      </c>
      <c r="B301" s="221">
        <v>43903</v>
      </c>
      <c r="C301" s="222">
        <v>0.89166666666666661</v>
      </c>
      <c r="D301" s="223">
        <v>13</v>
      </c>
      <c r="E301" s="220" t="s">
        <v>55</v>
      </c>
      <c r="F301" s="220" t="s">
        <v>162</v>
      </c>
      <c r="G301" s="220">
        <v>446</v>
      </c>
      <c r="H301" s="220">
        <v>37.4</v>
      </c>
      <c r="I301" s="223">
        <v>0</v>
      </c>
      <c r="J301" s="220" t="s">
        <v>54</v>
      </c>
      <c r="K301" s="220">
        <v>95</v>
      </c>
      <c r="L301" s="223">
        <v>12.841666666666669</v>
      </c>
      <c r="M301" s="223">
        <v>1.3958333333333337</v>
      </c>
      <c r="N301" s="223">
        <v>0</v>
      </c>
      <c r="O301" s="223">
        <v>14</v>
      </c>
      <c r="P301" s="223"/>
      <c r="Q301" s="223">
        <v>495</v>
      </c>
      <c r="R301" s="223">
        <v>0</v>
      </c>
      <c r="S301" s="223">
        <v>0</v>
      </c>
      <c r="T301" s="223">
        <v>0</v>
      </c>
      <c r="U301" s="223">
        <v>0</v>
      </c>
      <c r="V301" s="223">
        <v>0</v>
      </c>
      <c r="W301" s="223">
        <v>0</v>
      </c>
      <c r="X301" s="223">
        <v>0</v>
      </c>
      <c r="Y301" s="234">
        <v>90</v>
      </c>
      <c r="Z301" s="223"/>
      <c r="AA301" s="223"/>
      <c r="AB301" s="223">
        <v>100</v>
      </c>
      <c r="AC301" s="223"/>
      <c r="AD301" s="223"/>
      <c r="AE301" s="223">
        <v>100</v>
      </c>
      <c r="AF301" s="223"/>
      <c r="AG301" s="223"/>
      <c r="AH301" s="223">
        <v>100</v>
      </c>
      <c r="AI301" s="223"/>
      <c r="AJ301" s="223"/>
      <c r="AK301" s="223">
        <v>100</v>
      </c>
    </row>
    <row r="302" spans="1:37" x14ac:dyDescent="0.25">
      <c r="A302" s="227" t="s">
        <v>152</v>
      </c>
      <c r="B302" s="221">
        <v>43903</v>
      </c>
      <c r="C302" s="222">
        <v>0.97916666666666674</v>
      </c>
      <c r="D302" s="223">
        <v>2</v>
      </c>
      <c r="E302" s="220" t="s">
        <v>47</v>
      </c>
      <c r="F302" s="220" t="s">
        <v>48</v>
      </c>
      <c r="G302" s="220"/>
      <c r="H302" s="220"/>
      <c r="I302" s="223">
        <v>0</v>
      </c>
      <c r="J302" s="220"/>
      <c r="K302" s="220"/>
      <c r="L302" s="223">
        <v>0.17500000000000004</v>
      </c>
      <c r="M302" s="223">
        <v>0.21875000000000008</v>
      </c>
      <c r="N302" s="223">
        <v>0.17500000000000004</v>
      </c>
      <c r="O302" s="223">
        <v>1</v>
      </c>
      <c r="P302" s="223"/>
      <c r="Q302" s="223">
        <v>494</v>
      </c>
      <c r="R302" s="223">
        <v>0</v>
      </c>
      <c r="S302" s="223">
        <v>0</v>
      </c>
      <c r="T302" s="223">
        <v>0</v>
      </c>
      <c r="U302" s="223">
        <v>0</v>
      </c>
      <c r="V302" s="223">
        <v>0</v>
      </c>
      <c r="W302" s="223">
        <v>0</v>
      </c>
      <c r="X302" s="223">
        <v>0</v>
      </c>
      <c r="Y302" s="234">
        <v>90</v>
      </c>
      <c r="Z302" s="223"/>
      <c r="AA302" s="223"/>
      <c r="AB302" s="223">
        <v>100</v>
      </c>
      <c r="AC302" s="223"/>
      <c r="AD302" s="223"/>
      <c r="AE302" s="223">
        <v>100</v>
      </c>
      <c r="AF302" s="223"/>
      <c r="AG302" s="223"/>
      <c r="AH302" s="223">
        <v>100</v>
      </c>
      <c r="AI302" s="223"/>
      <c r="AJ302" s="223"/>
      <c r="AK302" s="223">
        <v>100</v>
      </c>
    </row>
    <row r="303" spans="1:37" x14ac:dyDescent="0.25">
      <c r="A303" s="227" t="s">
        <v>152</v>
      </c>
      <c r="B303" s="221">
        <v>43904</v>
      </c>
      <c r="C303" s="222">
        <v>7.0833333333333304E-2</v>
      </c>
      <c r="D303" s="223">
        <v>2</v>
      </c>
      <c r="E303" s="220" t="s">
        <v>49</v>
      </c>
      <c r="F303" s="220" t="s">
        <v>50</v>
      </c>
      <c r="G303" s="220"/>
      <c r="H303" s="220"/>
      <c r="I303" s="223">
        <v>0</v>
      </c>
      <c r="J303" s="220"/>
      <c r="K303" s="220"/>
      <c r="L303" s="223">
        <v>0</v>
      </c>
      <c r="M303" s="223">
        <v>0.2291666666666666</v>
      </c>
      <c r="N303" s="223">
        <v>0.18333333333333329</v>
      </c>
      <c r="O303" s="223">
        <v>0</v>
      </c>
      <c r="P303" s="223"/>
      <c r="Q303" s="223">
        <v>494</v>
      </c>
      <c r="R303" s="223">
        <v>0</v>
      </c>
      <c r="S303" s="223">
        <v>0</v>
      </c>
      <c r="T303" s="223">
        <v>0</v>
      </c>
      <c r="U303" s="223">
        <v>0</v>
      </c>
      <c r="V303" s="223">
        <v>0</v>
      </c>
      <c r="W303" s="223">
        <v>0</v>
      </c>
      <c r="X303" s="223">
        <v>0</v>
      </c>
      <c r="Y303" s="234">
        <v>90</v>
      </c>
      <c r="Z303" s="223"/>
      <c r="AA303" s="223"/>
      <c r="AB303" s="223">
        <v>100</v>
      </c>
      <c r="AC303" s="223"/>
      <c r="AD303" s="223"/>
      <c r="AE303" s="223">
        <v>100</v>
      </c>
      <c r="AF303" s="223"/>
      <c r="AG303" s="223"/>
      <c r="AH303" s="223">
        <v>100</v>
      </c>
      <c r="AI303" s="223"/>
      <c r="AJ303" s="223"/>
      <c r="AK303" s="223">
        <v>100</v>
      </c>
    </row>
    <row r="304" spans="1:37" x14ac:dyDescent="0.25">
      <c r="A304" s="227" t="s">
        <v>152</v>
      </c>
      <c r="B304" s="221">
        <v>43904</v>
      </c>
      <c r="C304" s="222">
        <v>0.33333333333333326</v>
      </c>
      <c r="D304" s="223">
        <v>6</v>
      </c>
      <c r="E304" s="220" t="s">
        <v>51</v>
      </c>
      <c r="F304" s="220" t="s">
        <v>51</v>
      </c>
      <c r="G304" s="220"/>
      <c r="H304" s="220"/>
      <c r="I304" s="223">
        <v>0</v>
      </c>
      <c r="J304" s="220"/>
      <c r="K304" s="220"/>
      <c r="L304" s="223">
        <v>0</v>
      </c>
      <c r="M304" s="223">
        <v>0.65624999999999989</v>
      </c>
      <c r="N304" s="223">
        <v>0.52499999999999991</v>
      </c>
      <c r="O304" s="223">
        <v>1</v>
      </c>
      <c r="P304" s="223"/>
      <c r="Q304" s="223">
        <v>493</v>
      </c>
      <c r="R304" s="223">
        <v>0</v>
      </c>
      <c r="S304" s="223">
        <v>0</v>
      </c>
      <c r="T304" s="223">
        <v>0</v>
      </c>
      <c r="U304" s="223">
        <v>0</v>
      </c>
      <c r="V304" s="223">
        <v>1.5</v>
      </c>
      <c r="W304" s="223">
        <v>2</v>
      </c>
      <c r="X304" s="223">
        <v>0</v>
      </c>
      <c r="Y304" s="234">
        <v>89</v>
      </c>
      <c r="Z304" s="223"/>
      <c r="AA304" s="223"/>
      <c r="AB304" s="223">
        <v>100</v>
      </c>
      <c r="AC304" s="223"/>
      <c r="AD304" s="223"/>
      <c r="AE304" s="223">
        <v>100</v>
      </c>
      <c r="AF304" s="223"/>
      <c r="AG304" s="223"/>
      <c r="AH304" s="223">
        <v>100</v>
      </c>
      <c r="AI304" s="223"/>
      <c r="AJ304" s="223"/>
      <c r="AK304" s="223">
        <v>100</v>
      </c>
    </row>
    <row r="305" spans="1:37" x14ac:dyDescent="0.25">
      <c r="A305" s="227" t="s">
        <v>152</v>
      </c>
      <c r="B305" s="221">
        <v>43904</v>
      </c>
      <c r="C305" s="222">
        <v>0.62916666666666665</v>
      </c>
      <c r="D305" s="223">
        <v>7</v>
      </c>
      <c r="E305" s="220" t="s">
        <v>51</v>
      </c>
      <c r="F305" s="220" t="s">
        <v>86</v>
      </c>
      <c r="G305" s="220"/>
      <c r="H305" s="220"/>
      <c r="I305" s="223">
        <v>0</v>
      </c>
      <c r="J305" s="220"/>
      <c r="K305" s="220"/>
      <c r="L305" s="223">
        <v>0</v>
      </c>
      <c r="M305" s="223">
        <v>0.73958333333333348</v>
      </c>
      <c r="N305" s="223">
        <v>0.59166666666666656</v>
      </c>
      <c r="O305" s="223">
        <v>1</v>
      </c>
      <c r="P305" s="223"/>
      <c r="Q305" s="223">
        <v>492</v>
      </c>
      <c r="R305" s="223">
        <v>0</v>
      </c>
      <c r="S305" s="223">
        <v>0</v>
      </c>
      <c r="T305" s="223">
        <v>0</v>
      </c>
      <c r="U305" s="223">
        <v>0</v>
      </c>
      <c r="V305" s="223">
        <v>1.8</v>
      </c>
      <c r="W305" s="223">
        <v>2</v>
      </c>
      <c r="X305" s="223">
        <v>0</v>
      </c>
      <c r="Y305" s="234">
        <v>87</v>
      </c>
      <c r="Z305" s="223"/>
      <c r="AA305" s="223"/>
      <c r="AB305" s="223">
        <v>100</v>
      </c>
      <c r="AC305" s="223"/>
      <c r="AD305" s="223"/>
      <c r="AE305" s="223">
        <v>100</v>
      </c>
      <c r="AF305" s="223"/>
      <c r="AG305" s="223"/>
      <c r="AH305" s="223">
        <v>100</v>
      </c>
      <c r="AI305" s="223"/>
      <c r="AJ305" s="223"/>
      <c r="AK305" s="223">
        <v>100</v>
      </c>
    </row>
    <row r="306" spans="1:37" x14ac:dyDescent="0.25">
      <c r="A306" s="227" t="s">
        <v>152</v>
      </c>
      <c r="B306" s="221">
        <v>43904</v>
      </c>
      <c r="C306" s="222">
        <v>0.72916666666666674</v>
      </c>
      <c r="D306" s="223">
        <v>2</v>
      </c>
      <c r="E306" s="220" t="s">
        <v>49</v>
      </c>
      <c r="F306" s="220" t="s">
        <v>46</v>
      </c>
      <c r="G306" s="220"/>
      <c r="H306" s="220"/>
      <c r="I306" s="223">
        <v>11</v>
      </c>
      <c r="J306" s="220"/>
      <c r="K306" s="220"/>
      <c r="L306" s="223">
        <v>0</v>
      </c>
      <c r="M306" s="223">
        <v>0.24999999999999992</v>
      </c>
      <c r="N306" s="223">
        <v>0.19999999999999996</v>
      </c>
      <c r="O306" s="223">
        <v>0</v>
      </c>
      <c r="P306" s="223"/>
      <c r="Q306" s="223">
        <v>491</v>
      </c>
      <c r="R306" s="223">
        <v>0</v>
      </c>
      <c r="S306" s="223">
        <v>0</v>
      </c>
      <c r="T306" s="223">
        <v>0</v>
      </c>
      <c r="U306" s="223">
        <v>0</v>
      </c>
      <c r="V306" s="223">
        <v>0</v>
      </c>
      <c r="W306" s="223">
        <v>0</v>
      </c>
      <c r="X306" s="223">
        <v>0</v>
      </c>
      <c r="Y306" s="234">
        <v>87</v>
      </c>
      <c r="Z306" s="223"/>
      <c r="AA306" s="223"/>
      <c r="AB306" s="223">
        <v>100</v>
      </c>
      <c r="AC306" s="223"/>
      <c r="AD306" s="223"/>
      <c r="AE306" s="223">
        <v>100</v>
      </c>
      <c r="AF306" s="223"/>
      <c r="AG306" s="223"/>
      <c r="AH306" s="223">
        <v>100</v>
      </c>
      <c r="AI306" s="223"/>
      <c r="AJ306" s="223"/>
      <c r="AK306" s="223">
        <v>100</v>
      </c>
    </row>
    <row r="307" spans="1:37" x14ac:dyDescent="0.25">
      <c r="A307" s="227" t="s">
        <v>152</v>
      </c>
      <c r="B307" s="221">
        <v>43904</v>
      </c>
      <c r="C307" s="222">
        <v>0.75</v>
      </c>
      <c r="D307" s="223">
        <v>1</v>
      </c>
      <c r="E307" s="220" t="s">
        <v>47</v>
      </c>
      <c r="F307" s="220" t="s">
        <v>79</v>
      </c>
      <c r="G307" s="220"/>
      <c r="H307" s="220"/>
      <c r="I307" s="223">
        <v>0</v>
      </c>
      <c r="J307" s="220" t="s">
        <v>54</v>
      </c>
      <c r="K307" s="220">
        <v>95</v>
      </c>
      <c r="L307" s="223">
        <v>0.10416666666666684</v>
      </c>
      <c r="M307" s="223">
        <v>5.2083333333333426E-2</v>
      </c>
      <c r="N307" s="223">
        <v>4.1666666666666741E-2</v>
      </c>
      <c r="O307" s="223">
        <v>0</v>
      </c>
      <c r="P307" s="223"/>
      <c r="Q307" s="223">
        <v>491</v>
      </c>
      <c r="R307" s="223">
        <v>0</v>
      </c>
      <c r="S307" s="223">
        <v>0</v>
      </c>
      <c r="T307" s="223">
        <v>0</v>
      </c>
      <c r="U307" s="223">
        <v>0</v>
      </c>
      <c r="V307" s="223">
        <v>0</v>
      </c>
      <c r="W307" s="223">
        <v>0</v>
      </c>
      <c r="X307" s="223">
        <v>0</v>
      </c>
      <c r="Y307" s="234">
        <v>87</v>
      </c>
      <c r="Z307" s="223"/>
      <c r="AA307" s="223"/>
      <c r="AB307" s="223">
        <v>100</v>
      </c>
      <c r="AC307" s="223"/>
      <c r="AD307" s="223"/>
      <c r="AE307" s="223">
        <v>100</v>
      </c>
      <c r="AF307" s="223"/>
      <c r="AG307" s="223"/>
      <c r="AH307" s="223">
        <v>100</v>
      </c>
      <c r="AI307" s="223"/>
      <c r="AJ307" s="223"/>
      <c r="AK307" s="223">
        <v>100</v>
      </c>
    </row>
    <row r="308" spans="1:37" x14ac:dyDescent="0.25">
      <c r="A308" s="227" t="s">
        <v>152</v>
      </c>
      <c r="B308" s="221">
        <v>43905</v>
      </c>
      <c r="C308" s="222">
        <v>0.33333333333333326</v>
      </c>
      <c r="D308" s="223">
        <v>14</v>
      </c>
      <c r="E308" s="220" t="s">
        <v>55</v>
      </c>
      <c r="F308" s="220" t="s">
        <v>56</v>
      </c>
      <c r="G308" s="220"/>
      <c r="H308" s="220"/>
      <c r="I308" s="223">
        <v>0</v>
      </c>
      <c r="J308" s="220" t="s">
        <v>54</v>
      </c>
      <c r="K308" s="220">
        <v>95</v>
      </c>
      <c r="L308" s="223">
        <v>14</v>
      </c>
      <c r="M308" s="223">
        <v>1.4583333333333337</v>
      </c>
      <c r="N308" s="223">
        <v>0</v>
      </c>
      <c r="O308" s="223">
        <v>15</v>
      </c>
      <c r="P308" s="223"/>
      <c r="Q308" s="223">
        <v>475</v>
      </c>
      <c r="R308" s="223">
        <v>0</v>
      </c>
      <c r="S308" s="223">
        <v>0</v>
      </c>
      <c r="T308" s="223">
        <v>0</v>
      </c>
      <c r="U308" s="223">
        <v>0</v>
      </c>
      <c r="V308" s="223">
        <v>0</v>
      </c>
      <c r="W308" s="223">
        <v>0</v>
      </c>
      <c r="X308" s="223">
        <v>0</v>
      </c>
      <c r="Y308" s="234">
        <v>87</v>
      </c>
      <c r="Z308" s="223"/>
      <c r="AA308" s="223"/>
      <c r="AB308" s="223">
        <v>100</v>
      </c>
      <c r="AC308" s="223"/>
      <c r="AD308" s="223"/>
      <c r="AE308" s="223">
        <v>100</v>
      </c>
      <c r="AF308" s="223"/>
      <c r="AG308" s="223"/>
      <c r="AH308" s="223">
        <v>100</v>
      </c>
      <c r="AI308" s="223"/>
      <c r="AJ308" s="223"/>
      <c r="AK308" s="223">
        <v>100</v>
      </c>
    </row>
    <row r="309" spans="1:37" x14ac:dyDescent="0.25">
      <c r="A309" s="227" t="s">
        <v>152</v>
      </c>
      <c r="B309" s="221">
        <v>43905</v>
      </c>
      <c r="C309" s="222">
        <v>0.77916666666666656</v>
      </c>
      <c r="D309" s="223">
        <v>11</v>
      </c>
      <c r="E309" s="220" t="s">
        <v>55</v>
      </c>
      <c r="F309" s="220" t="s">
        <v>80</v>
      </c>
      <c r="G309" s="220">
        <v>266</v>
      </c>
      <c r="H309" s="220">
        <v>24.7</v>
      </c>
      <c r="I309" s="223">
        <v>0</v>
      </c>
      <c r="J309" s="220" t="s">
        <v>54</v>
      </c>
      <c r="K309" s="220">
        <v>95</v>
      </c>
      <c r="L309" s="223">
        <v>10.254166666666668</v>
      </c>
      <c r="M309" s="223">
        <v>1.1145833333333337</v>
      </c>
      <c r="N309" s="223">
        <v>0</v>
      </c>
      <c r="O309" s="223">
        <v>11</v>
      </c>
      <c r="P309" s="223"/>
      <c r="Q309" s="223">
        <v>464</v>
      </c>
      <c r="R309" s="223">
        <v>0</v>
      </c>
      <c r="S309" s="223">
        <v>0</v>
      </c>
      <c r="T309" s="223">
        <v>0</v>
      </c>
      <c r="U309" s="223">
        <v>0</v>
      </c>
      <c r="V309" s="223">
        <v>0</v>
      </c>
      <c r="W309" s="223">
        <v>0</v>
      </c>
      <c r="X309" s="223">
        <v>0</v>
      </c>
      <c r="Y309" s="234">
        <v>87</v>
      </c>
      <c r="Z309" s="223"/>
      <c r="AA309" s="223"/>
      <c r="AB309" s="223">
        <v>100</v>
      </c>
      <c r="AC309" s="223"/>
      <c r="AD309" s="223"/>
      <c r="AE309" s="223">
        <v>100</v>
      </c>
      <c r="AF309" s="223"/>
      <c r="AG309" s="223"/>
      <c r="AH309" s="223">
        <v>100</v>
      </c>
      <c r="AI309" s="223"/>
      <c r="AJ309" s="223"/>
      <c r="AK309" s="223">
        <v>100</v>
      </c>
    </row>
    <row r="310" spans="1:37" x14ac:dyDescent="0.25">
      <c r="A310" s="227" t="s">
        <v>152</v>
      </c>
      <c r="B310" s="221">
        <v>43905</v>
      </c>
      <c r="C310" s="222">
        <v>0.8</v>
      </c>
      <c r="D310" s="223">
        <v>0</v>
      </c>
      <c r="E310" s="220" t="s">
        <v>47</v>
      </c>
      <c r="F310" s="220" t="s">
        <v>48</v>
      </c>
      <c r="G310" s="220"/>
      <c r="H310" s="220"/>
      <c r="I310" s="223">
        <v>0</v>
      </c>
      <c r="J310" s="220"/>
      <c r="K310" s="220"/>
      <c r="L310" s="223">
        <v>4.1666666666666519E-2</v>
      </c>
      <c r="M310" s="223">
        <v>5.2083333333333155E-2</v>
      </c>
      <c r="N310" s="223">
        <v>4.1666666666666519E-2</v>
      </c>
      <c r="O310" s="223">
        <v>0</v>
      </c>
      <c r="P310" s="223"/>
      <c r="Q310" s="223">
        <v>464</v>
      </c>
      <c r="R310" s="223">
        <v>0</v>
      </c>
      <c r="S310" s="223">
        <v>0</v>
      </c>
      <c r="T310" s="223">
        <v>0</v>
      </c>
      <c r="U310" s="223">
        <v>0</v>
      </c>
      <c r="V310" s="223">
        <v>0</v>
      </c>
      <c r="W310" s="223">
        <v>0</v>
      </c>
      <c r="X310" s="223">
        <v>0</v>
      </c>
      <c r="Y310" s="234">
        <v>87</v>
      </c>
      <c r="Z310" s="223"/>
      <c r="AA310" s="223"/>
      <c r="AB310" s="223">
        <v>100</v>
      </c>
      <c r="AC310" s="223"/>
      <c r="AD310" s="223"/>
      <c r="AE310" s="223">
        <v>100</v>
      </c>
      <c r="AF310" s="223"/>
      <c r="AG310" s="223"/>
      <c r="AH310" s="223">
        <v>100</v>
      </c>
      <c r="AI310" s="223"/>
      <c r="AJ310" s="223"/>
      <c r="AK310" s="223">
        <v>100</v>
      </c>
    </row>
    <row r="311" spans="1:37" x14ac:dyDescent="0.25">
      <c r="A311" s="227" t="s">
        <v>152</v>
      </c>
      <c r="B311" s="221">
        <v>43906</v>
      </c>
      <c r="C311" s="222">
        <v>0.33333333333333326</v>
      </c>
      <c r="D311" s="223">
        <v>13</v>
      </c>
      <c r="E311" s="220" t="s">
        <v>45</v>
      </c>
      <c r="F311" s="220" t="s">
        <v>45</v>
      </c>
      <c r="G311" s="220"/>
      <c r="H311" s="220"/>
      <c r="I311" s="223">
        <v>0</v>
      </c>
      <c r="J311" s="220"/>
      <c r="K311" s="220"/>
      <c r="L311" s="223">
        <v>0</v>
      </c>
      <c r="M311" s="223">
        <v>1.3333333333333337</v>
      </c>
      <c r="N311" s="223">
        <v>1.0666666666666669</v>
      </c>
      <c r="O311" s="223">
        <v>2</v>
      </c>
      <c r="P311" s="223"/>
      <c r="Q311" s="223">
        <v>462</v>
      </c>
      <c r="R311" s="223">
        <v>0</v>
      </c>
      <c r="S311" s="223">
        <v>0</v>
      </c>
      <c r="T311" s="223">
        <v>0</v>
      </c>
      <c r="U311" s="223">
        <v>0</v>
      </c>
      <c r="V311" s="223">
        <v>0</v>
      </c>
      <c r="W311" s="223">
        <v>0</v>
      </c>
      <c r="X311" s="223">
        <v>0</v>
      </c>
      <c r="Y311" s="234">
        <v>87</v>
      </c>
      <c r="Z311" s="223"/>
      <c r="AA311" s="223"/>
      <c r="AB311" s="223">
        <v>100</v>
      </c>
      <c r="AC311" s="223"/>
      <c r="AD311" s="223"/>
      <c r="AE311" s="223">
        <v>100</v>
      </c>
      <c r="AF311" s="223"/>
      <c r="AG311" s="223"/>
      <c r="AH311" s="223">
        <v>100</v>
      </c>
      <c r="AI311" s="223"/>
      <c r="AJ311" s="223"/>
      <c r="AK311" s="223">
        <v>100</v>
      </c>
    </row>
    <row r="312" spans="1:37" x14ac:dyDescent="0.25">
      <c r="A312" s="227" t="s">
        <v>152</v>
      </c>
      <c r="B312" s="221">
        <v>43907</v>
      </c>
      <c r="C312" s="222">
        <v>0.33333333333333326</v>
      </c>
      <c r="D312" s="223">
        <v>24</v>
      </c>
      <c r="E312" s="220" t="s">
        <v>45</v>
      </c>
      <c r="F312" s="220" t="s">
        <v>45</v>
      </c>
      <c r="G312" s="220"/>
      <c r="H312" s="220"/>
      <c r="I312" s="223">
        <v>0</v>
      </c>
      <c r="J312" s="220"/>
      <c r="K312" s="220"/>
      <c r="L312" s="223">
        <v>0</v>
      </c>
      <c r="M312" s="223">
        <v>2.5</v>
      </c>
      <c r="N312" s="223">
        <v>2</v>
      </c>
      <c r="O312" s="223">
        <v>4</v>
      </c>
      <c r="P312" s="223"/>
      <c r="Q312" s="223">
        <v>457</v>
      </c>
      <c r="R312" s="223">
        <v>0</v>
      </c>
      <c r="S312" s="223">
        <v>0</v>
      </c>
      <c r="T312" s="223">
        <v>0</v>
      </c>
      <c r="U312" s="223">
        <v>0</v>
      </c>
      <c r="V312" s="223">
        <v>0</v>
      </c>
      <c r="W312" s="223">
        <v>0</v>
      </c>
      <c r="X312" s="223">
        <v>0</v>
      </c>
      <c r="Y312" s="234">
        <v>87</v>
      </c>
      <c r="Z312" s="223"/>
      <c r="AA312" s="223"/>
      <c r="AB312" s="223">
        <v>100</v>
      </c>
      <c r="AC312" s="223"/>
      <c r="AD312" s="223"/>
      <c r="AE312" s="223">
        <v>100</v>
      </c>
      <c r="AF312" s="223"/>
      <c r="AG312" s="223"/>
      <c r="AH312" s="223">
        <v>100</v>
      </c>
      <c r="AI312" s="223"/>
      <c r="AJ312" s="223"/>
      <c r="AK312" s="223">
        <v>100</v>
      </c>
    </row>
    <row r="313" spans="1:37" x14ac:dyDescent="0.25">
      <c r="A313" s="227" t="s">
        <v>152</v>
      </c>
      <c r="B313" s="221">
        <v>43908</v>
      </c>
      <c r="C313" s="222">
        <v>0.33333333333333326</v>
      </c>
      <c r="D313" s="223">
        <v>24</v>
      </c>
      <c r="E313" s="220" t="s">
        <v>45</v>
      </c>
      <c r="F313" s="220" t="s">
        <v>45</v>
      </c>
      <c r="G313" s="220"/>
      <c r="H313" s="220"/>
      <c r="I313" s="223">
        <v>0</v>
      </c>
      <c r="J313" s="220"/>
      <c r="K313" s="220"/>
      <c r="L313" s="223">
        <v>0</v>
      </c>
      <c r="M313" s="223">
        <v>2</v>
      </c>
      <c r="N313" s="223">
        <v>0</v>
      </c>
      <c r="O313" s="223">
        <v>2</v>
      </c>
      <c r="P313" s="223"/>
      <c r="Q313" s="223">
        <v>455</v>
      </c>
      <c r="R313" s="223">
        <v>0</v>
      </c>
      <c r="S313" s="223">
        <v>0</v>
      </c>
      <c r="T313" s="223">
        <v>0</v>
      </c>
      <c r="U313" s="223">
        <v>0</v>
      </c>
      <c r="V313" s="223">
        <v>0</v>
      </c>
      <c r="W313" s="223">
        <v>0</v>
      </c>
      <c r="X313" s="223">
        <v>0</v>
      </c>
      <c r="Y313" s="234">
        <v>87</v>
      </c>
      <c r="Z313" s="223"/>
      <c r="AA313" s="223"/>
      <c r="AB313" s="223">
        <v>100</v>
      </c>
      <c r="AC313" s="223"/>
      <c r="AD313" s="223"/>
      <c r="AE313" s="223">
        <v>100</v>
      </c>
      <c r="AF313" s="223"/>
      <c r="AG313" s="223"/>
      <c r="AH313" s="223">
        <v>100</v>
      </c>
      <c r="AI313" s="223"/>
      <c r="AJ313" s="223"/>
      <c r="AK313" s="223">
        <v>100</v>
      </c>
    </row>
    <row r="314" spans="1:37" x14ac:dyDescent="0.25">
      <c r="A314" s="227" t="s">
        <v>152</v>
      </c>
      <c r="B314" s="221">
        <v>43909</v>
      </c>
      <c r="C314" s="222">
        <v>0.33333333333333326</v>
      </c>
      <c r="D314" s="223">
        <v>24</v>
      </c>
      <c r="E314" s="220" t="s">
        <v>45</v>
      </c>
      <c r="F314" s="220" t="s">
        <v>45</v>
      </c>
      <c r="G314" s="220"/>
      <c r="H314" s="220"/>
      <c r="I314" s="223">
        <v>11</v>
      </c>
      <c r="J314" s="220"/>
      <c r="K314" s="220"/>
      <c r="L314" s="223">
        <v>0</v>
      </c>
      <c r="M314" s="223">
        <v>2.5</v>
      </c>
      <c r="N314" s="223">
        <v>2</v>
      </c>
      <c r="O314" s="223">
        <v>4</v>
      </c>
      <c r="P314" s="223"/>
      <c r="Q314" s="223">
        <v>451</v>
      </c>
      <c r="R314" s="223">
        <v>0</v>
      </c>
      <c r="S314" s="223">
        <v>0</v>
      </c>
      <c r="T314" s="223">
        <v>0</v>
      </c>
      <c r="U314" s="223">
        <v>0</v>
      </c>
      <c r="V314" s="223">
        <v>0</v>
      </c>
      <c r="W314" s="223">
        <v>0</v>
      </c>
      <c r="X314" s="223">
        <v>0</v>
      </c>
      <c r="Y314" s="234">
        <v>87</v>
      </c>
      <c r="Z314" s="223"/>
      <c r="AA314" s="223"/>
      <c r="AB314" s="223">
        <v>100</v>
      </c>
      <c r="AC314" s="223"/>
      <c r="AD314" s="223"/>
      <c r="AE314" s="223">
        <v>100</v>
      </c>
      <c r="AF314" s="223"/>
      <c r="AG314" s="223"/>
      <c r="AH314" s="223">
        <v>100</v>
      </c>
      <c r="AI314" s="223"/>
      <c r="AJ314" s="223"/>
      <c r="AK314" s="223">
        <v>100</v>
      </c>
    </row>
    <row r="315" spans="1:37" x14ac:dyDescent="0.25">
      <c r="A315" s="227" t="s">
        <v>152</v>
      </c>
      <c r="B315" s="221">
        <v>43910</v>
      </c>
      <c r="C315" s="222">
        <v>0.33333333333333326</v>
      </c>
      <c r="D315" s="223">
        <v>24</v>
      </c>
      <c r="E315" s="220" t="s">
        <v>45</v>
      </c>
      <c r="F315" s="220" t="s">
        <v>45</v>
      </c>
      <c r="G315" s="220"/>
      <c r="H315" s="220"/>
      <c r="I315" s="223">
        <v>0</v>
      </c>
      <c r="J315" s="220"/>
      <c r="K315" s="220"/>
      <c r="L315" s="223">
        <v>0</v>
      </c>
      <c r="M315" s="223">
        <v>2</v>
      </c>
      <c r="N315" s="223">
        <v>0</v>
      </c>
      <c r="O315" s="223">
        <v>2</v>
      </c>
      <c r="P315" s="223"/>
      <c r="Q315" s="223">
        <v>449</v>
      </c>
      <c r="R315" s="223">
        <v>0</v>
      </c>
      <c r="S315" s="223">
        <v>0</v>
      </c>
      <c r="T315" s="223">
        <v>0</v>
      </c>
      <c r="U315" s="223">
        <v>0</v>
      </c>
      <c r="V315" s="223">
        <v>0</v>
      </c>
      <c r="W315" s="223">
        <v>0</v>
      </c>
      <c r="X315" s="223">
        <v>0</v>
      </c>
      <c r="Y315" s="234">
        <v>87</v>
      </c>
      <c r="Z315" s="223"/>
      <c r="AA315" s="223"/>
      <c r="AB315" s="223">
        <v>100</v>
      </c>
      <c r="AC315" s="223"/>
      <c r="AD315" s="223"/>
      <c r="AE315" s="223">
        <v>100</v>
      </c>
      <c r="AF315" s="223"/>
      <c r="AG315" s="223"/>
      <c r="AH315" s="223">
        <v>100</v>
      </c>
      <c r="AI315" s="223"/>
      <c r="AJ315" s="223"/>
      <c r="AK315" s="223">
        <v>100</v>
      </c>
    </row>
    <row r="316" spans="1:37" x14ac:dyDescent="0.25">
      <c r="A316" s="227" t="s">
        <v>152</v>
      </c>
      <c r="B316" s="221">
        <v>43911</v>
      </c>
      <c r="C316" s="222">
        <v>0.33333333333333326</v>
      </c>
      <c r="D316" s="223">
        <v>24</v>
      </c>
      <c r="E316" s="220" t="s">
        <v>45</v>
      </c>
      <c r="F316" s="220" t="s">
        <v>45</v>
      </c>
      <c r="G316" s="220"/>
      <c r="H316" s="220"/>
      <c r="I316" s="223">
        <v>0</v>
      </c>
      <c r="J316" s="220"/>
      <c r="K316" s="220"/>
      <c r="L316" s="223">
        <v>0</v>
      </c>
      <c r="M316" s="223">
        <v>2.5</v>
      </c>
      <c r="N316" s="223">
        <v>2</v>
      </c>
      <c r="O316" s="223">
        <v>4</v>
      </c>
      <c r="P316" s="223"/>
      <c r="Q316" s="223">
        <v>444</v>
      </c>
      <c r="R316" s="223">
        <v>0</v>
      </c>
      <c r="S316" s="223">
        <v>0</v>
      </c>
      <c r="T316" s="223">
        <v>0</v>
      </c>
      <c r="U316" s="223">
        <v>0</v>
      </c>
      <c r="V316" s="223">
        <v>0</v>
      </c>
      <c r="W316" s="223">
        <v>0</v>
      </c>
      <c r="X316" s="223">
        <v>0</v>
      </c>
      <c r="Y316" s="234">
        <v>87</v>
      </c>
      <c r="Z316" s="223"/>
      <c r="AA316" s="223"/>
      <c r="AB316" s="223">
        <v>100</v>
      </c>
      <c r="AC316" s="223"/>
      <c r="AD316" s="223"/>
      <c r="AE316" s="223">
        <v>100</v>
      </c>
      <c r="AF316" s="223"/>
      <c r="AG316" s="223"/>
      <c r="AH316" s="223">
        <v>100</v>
      </c>
      <c r="AI316" s="223"/>
      <c r="AJ316" s="223"/>
      <c r="AK316" s="223">
        <v>100</v>
      </c>
    </row>
    <row r="317" spans="1:37" x14ac:dyDescent="0.25">
      <c r="A317" s="227" t="s">
        <v>152</v>
      </c>
      <c r="B317" s="221">
        <v>43912</v>
      </c>
      <c r="C317" s="222">
        <v>0.33333333333333326</v>
      </c>
      <c r="D317" s="223">
        <v>24</v>
      </c>
      <c r="E317" s="220" t="s">
        <v>45</v>
      </c>
      <c r="F317" s="220" t="s">
        <v>45</v>
      </c>
      <c r="G317" s="220"/>
      <c r="H317" s="220"/>
      <c r="I317" s="223">
        <v>0</v>
      </c>
      <c r="J317" s="220"/>
      <c r="K317" s="220"/>
      <c r="L317" s="223">
        <v>0</v>
      </c>
      <c r="M317" s="223">
        <v>2.1</v>
      </c>
      <c r="N317" s="223">
        <v>1.7999999999999998</v>
      </c>
      <c r="O317" s="223">
        <v>4</v>
      </c>
      <c r="P317" s="223"/>
      <c r="Q317" s="223">
        <v>440</v>
      </c>
      <c r="R317" s="223">
        <v>0</v>
      </c>
      <c r="S317" s="223">
        <v>0</v>
      </c>
      <c r="T317" s="223">
        <v>0</v>
      </c>
      <c r="U317" s="223">
        <v>0</v>
      </c>
      <c r="V317" s="223">
        <v>0</v>
      </c>
      <c r="W317" s="223">
        <v>0</v>
      </c>
      <c r="X317" s="223">
        <v>0</v>
      </c>
      <c r="Y317" s="234">
        <v>87</v>
      </c>
      <c r="Z317" s="223"/>
      <c r="AA317" s="223"/>
      <c r="AB317" s="223">
        <v>100</v>
      </c>
      <c r="AC317" s="223"/>
      <c r="AD317" s="223"/>
      <c r="AE317" s="223">
        <v>100</v>
      </c>
      <c r="AF317" s="223"/>
      <c r="AG317" s="223"/>
      <c r="AH317" s="223">
        <v>100</v>
      </c>
      <c r="AI317" s="223"/>
      <c r="AJ317" s="223"/>
      <c r="AK317" s="223">
        <v>100</v>
      </c>
    </row>
    <row r="318" spans="1:37" x14ac:dyDescent="0.25">
      <c r="A318" s="227" t="s">
        <v>152</v>
      </c>
      <c r="B318" s="221">
        <v>43912</v>
      </c>
      <c r="C318" s="222">
        <v>0.70416666666666661</v>
      </c>
      <c r="D318" s="223">
        <v>9</v>
      </c>
      <c r="E318" s="220" t="s">
        <v>45</v>
      </c>
      <c r="F318" s="220" t="s">
        <v>46</v>
      </c>
      <c r="G318" s="220"/>
      <c r="H318" s="220"/>
      <c r="I318" s="223">
        <v>0</v>
      </c>
      <c r="J318" s="220"/>
      <c r="K318" s="220"/>
      <c r="L318" s="223">
        <v>0</v>
      </c>
      <c r="M318" s="223">
        <v>0.77875000000000005</v>
      </c>
      <c r="N318" s="223">
        <v>0.66749999999999987</v>
      </c>
      <c r="O318" s="223">
        <v>1</v>
      </c>
      <c r="P318" s="223"/>
      <c r="Q318" s="223">
        <v>439</v>
      </c>
      <c r="R318" s="223">
        <v>0</v>
      </c>
      <c r="S318" s="223">
        <v>0</v>
      </c>
      <c r="T318" s="223">
        <v>0</v>
      </c>
      <c r="U318" s="223">
        <v>0</v>
      </c>
      <c r="V318" s="223">
        <v>0</v>
      </c>
      <c r="W318" s="223">
        <v>0</v>
      </c>
      <c r="X318" s="223">
        <v>0</v>
      </c>
      <c r="Y318" s="234">
        <v>87</v>
      </c>
      <c r="Z318" s="223"/>
      <c r="AA318" s="223"/>
      <c r="AB318" s="223">
        <v>100</v>
      </c>
      <c r="AC318" s="223"/>
      <c r="AD318" s="223"/>
      <c r="AE318" s="223">
        <v>100</v>
      </c>
      <c r="AF318" s="223"/>
      <c r="AG318" s="223"/>
      <c r="AH318" s="223">
        <v>100</v>
      </c>
      <c r="AI318" s="223"/>
      <c r="AJ318" s="223"/>
      <c r="AK318" s="223">
        <v>100</v>
      </c>
    </row>
    <row r="319" spans="1:37" x14ac:dyDescent="0.25">
      <c r="A319" s="227" t="s">
        <v>152</v>
      </c>
      <c r="B319" s="221">
        <v>43912</v>
      </c>
      <c r="C319" s="222">
        <v>0.76666666666666661</v>
      </c>
      <c r="D319" s="223">
        <v>2</v>
      </c>
      <c r="E319" s="220" t="s">
        <v>47</v>
      </c>
      <c r="F319" s="220" t="s">
        <v>48</v>
      </c>
      <c r="G319" s="220"/>
      <c r="H319" s="220"/>
      <c r="I319" s="223">
        <v>0</v>
      </c>
      <c r="J319" s="220"/>
      <c r="K319" s="220"/>
      <c r="L319" s="223">
        <v>0.125</v>
      </c>
      <c r="M319" s="223">
        <v>0.15625</v>
      </c>
      <c r="N319" s="223">
        <v>0.125</v>
      </c>
      <c r="O319" s="223">
        <v>0</v>
      </c>
      <c r="P319" s="223"/>
      <c r="Q319" s="223">
        <v>438</v>
      </c>
      <c r="R319" s="223">
        <v>0</v>
      </c>
      <c r="S319" s="223">
        <v>0</v>
      </c>
      <c r="T319" s="223">
        <v>0</v>
      </c>
      <c r="U319" s="223">
        <v>0</v>
      </c>
      <c r="V319" s="223">
        <v>0</v>
      </c>
      <c r="W319" s="223">
        <v>0</v>
      </c>
      <c r="X319" s="223">
        <v>0</v>
      </c>
      <c r="Y319" s="234">
        <v>87</v>
      </c>
      <c r="Z319" s="223"/>
      <c r="AA319" s="223"/>
      <c r="AB319" s="223">
        <v>100</v>
      </c>
      <c r="AC319" s="223"/>
      <c r="AD319" s="223"/>
      <c r="AE319" s="223">
        <v>100</v>
      </c>
      <c r="AF319" s="223"/>
      <c r="AG319" s="223"/>
      <c r="AH319" s="223">
        <v>100</v>
      </c>
      <c r="AI319" s="223"/>
      <c r="AJ319" s="223"/>
      <c r="AK319" s="223">
        <v>100</v>
      </c>
    </row>
    <row r="320" spans="1:37" x14ac:dyDescent="0.25">
      <c r="A320" s="227" t="s">
        <v>152</v>
      </c>
      <c r="B320" s="221">
        <v>43912</v>
      </c>
      <c r="C320" s="222">
        <v>0.85000000000000009</v>
      </c>
      <c r="D320" s="223">
        <v>2</v>
      </c>
      <c r="E320" s="220" t="s">
        <v>49</v>
      </c>
      <c r="F320" s="220" t="s">
        <v>50</v>
      </c>
      <c r="G320" s="220"/>
      <c r="H320" s="220"/>
      <c r="I320" s="223">
        <v>0</v>
      </c>
      <c r="J320" s="220"/>
      <c r="K320" s="220"/>
      <c r="L320" s="223">
        <v>0</v>
      </c>
      <c r="M320" s="223">
        <v>0.20833333333333345</v>
      </c>
      <c r="N320" s="223">
        <v>0.16666666666666674</v>
      </c>
      <c r="O320" s="223">
        <v>0</v>
      </c>
      <c r="P320" s="223"/>
      <c r="Q320" s="223">
        <v>438</v>
      </c>
      <c r="R320" s="223">
        <v>0</v>
      </c>
      <c r="S320" s="223">
        <v>0</v>
      </c>
      <c r="T320" s="223">
        <v>0</v>
      </c>
      <c r="U320" s="223">
        <v>0</v>
      </c>
      <c r="V320" s="223">
        <v>0</v>
      </c>
      <c r="W320" s="223">
        <v>0</v>
      </c>
      <c r="X320" s="223">
        <v>0</v>
      </c>
      <c r="Y320" s="234">
        <v>87</v>
      </c>
      <c r="Z320" s="223"/>
      <c r="AA320" s="223"/>
      <c r="AB320" s="223">
        <v>100</v>
      </c>
      <c r="AC320" s="223"/>
      <c r="AD320" s="223"/>
      <c r="AE320" s="223">
        <v>100</v>
      </c>
      <c r="AF320" s="223"/>
      <c r="AG320" s="223"/>
      <c r="AH320" s="223">
        <v>100</v>
      </c>
      <c r="AI320" s="223"/>
      <c r="AJ320" s="223"/>
      <c r="AK320" s="223">
        <v>100</v>
      </c>
    </row>
    <row r="321" spans="1:37" x14ac:dyDescent="0.25">
      <c r="A321" s="227" t="s">
        <v>152</v>
      </c>
      <c r="B321" s="221">
        <v>43913</v>
      </c>
      <c r="C321" s="222">
        <v>0.33333333333333326</v>
      </c>
      <c r="D321" s="223">
        <v>12</v>
      </c>
      <c r="E321" s="220" t="s">
        <v>51</v>
      </c>
      <c r="F321" s="220" t="s">
        <v>51</v>
      </c>
      <c r="G321" s="220"/>
      <c r="H321" s="220"/>
      <c r="I321" s="223">
        <v>0</v>
      </c>
      <c r="J321" s="220"/>
      <c r="K321" s="220"/>
      <c r="L321" s="223">
        <v>0</v>
      </c>
      <c r="M321" s="223">
        <v>1.2083333333333337</v>
      </c>
      <c r="N321" s="223">
        <v>0.96666666666666667</v>
      </c>
      <c r="O321" s="223">
        <v>2</v>
      </c>
      <c r="P321" s="223"/>
      <c r="Q321" s="223">
        <v>436</v>
      </c>
      <c r="R321" s="223">
        <v>0</v>
      </c>
      <c r="S321" s="223">
        <v>0</v>
      </c>
      <c r="T321" s="223">
        <v>0</v>
      </c>
      <c r="U321" s="223">
        <v>0</v>
      </c>
      <c r="V321" s="223">
        <v>2.9</v>
      </c>
      <c r="W321" s="223">
        <v>3</v>
      </c>
      <c r="X321" s="223">
        <v>0</v>
      </c>
      <c r="Y321" s="234">
        <v>84</v>
      </c>
      <c r="Z321" s="223"/>
      <c r="AA321" s="223"/>
      <c r="AB321" s="223">
        <v>100</v>
      </c>
      <c r="AC321" s="223"/>
      <c r="AD321" s="223"/>
      <c r="AE321" s="223">
        <v>100</v>
      </c>
      <c r="AF321" s="223"/>
      <c r="AG321" s="223"/>
      <c r="AH321" s="223">
        <v>100</v>
      </c>
      <c r="AI321" s="223"/>
      <c r="AJ321" s="223"/>
      <c r="AK321" s="223">
        <v>100</v>
      </c>
    </row>
    <row r="322" spans="1:37" x14ac:dyDescent="0.25">
      <c r="A322" s="227" t="s">
        <v>152</v>
      </c>
      <c r="B322" s="221">
        <v>43913</v>
      </c>
      <c r="C322" s="222">
        <v>0.35000000000000009</v>
      </c>
      <c r="D322" s="223">
        <v>0</v>
      </c>
      <c r="E322" s="220" t="s">
        <v>51</v>
      </c>
      <c r="F322" s="220" t="s">
        <v>51</v>
      </c>
      <c r="G322" s="220"/>
      <c r="H322" s="220"/>
      <c r="I322" s="223">
        <v>0</v>
      </c>
      <c r="J322" s="220"/>
      <c r="K322" s="220"/>
      <c r="L322" s="223">
        <v>0</v>
      </c>
      <c r="M322" s="223">
        <v>4.1666666666666803E-2</v>
      </c>
      <c r="N322" s="223">
        <v>3.3333333333333437E-2</v>
      </c>
      <c r="O322" s="223">
        <v>0</v>
      </c>
      <c r="P322" s="223"/>
      <c r="Q322" s="223">
        <v>436</v>
      </c>
      <c r="R322" s="223">
        <v>0</v>
      </c>
      <c r="S322" s="223">
        <v>0</v>
      </c>
      <c r="T322" s="223">
        <v>0</v>
      </c>
      <c r="U322" s="223">
        <v>0</v>
      </c>
      <c r="V322" s="223">
        <v>0.1</v>
      </c>
      <c r="W322" s="223">
        <v>0</v>
      </c>
      <c r="X322" s="223">
        <v>0</v>
      </c>
      <c r="Y322" s="234">
        <v>84</v>
      </c>
      <c r="Z322" s="223"/>
      <c r="AA322" s="223"/>
      <c r="AB322" s="223">
        <v>100</v>
      </c>
      <c r="AC322" s="223"/>
      <c r="AD322" s="223"/>
      <c r="AE322" s="223">
        <v>100</v>
      </c>
      <c r="AF322" s="223"/>
      <c r="AG322" s="223"/>
      <c r="AH322" s="223">
        <v>100</v>
      </c>
      <c r="AI322" s="223"/>
      <c r="AJ322" s="223"/>
      <c r="AK322" s="223">
        <v>100</v>
      </c>
    </row>
    <row r="323" spans="1:37" x14ac:dyDescent="0.25">
      <c r="A323" s="227" t="s">
        <v>152</v>
      </c>
      <c r="B323" s="221">
        <v>43913</v>
      </c>
      <c r="C323" s="222">
        <v>0.47083333333333344</v>
      </c>
      <c r="D323" s="223">
        <v>3</v>
      </c>
      <c r="E323" s="220" t="s">
        <v>49</v>
      </c>
      <c r="F323" s="220" t="s">
        <v>46</v>
      </c>
      <c r="G323" s="220"/>
      <c r="H323" s="220"/>
      <c r="I323" s="223">
        <v>0</v>
      </c>
      <c r="J323" s="220"/>
      <c r="K323" s="220"/>
      <c r="L323" s="223">
        <v>0</v>
      </c>
      <c r="M323" s="223">
        <v>0.30208333333333337</v>
      </c>
      <c r="N323" s="223">
        <v>0.2416666666666667</v>
      </c>
      <c r="O323" s="223">
        <v>1</v>
      </c>
      <c r="P323" s="223"/>
      <c r="Q323" s="223">
        <v>435</v>
      </c>
      <c r="R323" s="223">
        <v>0</v>
      </c>
      <c r="S323" s="223">
        <v>0</v>
      </c>
      <c r="T323" s="223">
        <v>0</v>
      </c>
      <c r="U323" s="223">
        <v>0</v>
      </c>
      <c r="V323" s="223">
        <v>0</v>
      </c>
      <c r="W323" s="223">
        <v>0</v>
      </c>
      <c r="X323" s="223">
        <v>0</v>
      </c>
      <c r="Y323" s="234">
        <v>84</v>
      </c>
      <c r="Z323" s="223"/>
      <c r="AA323" s="223"/>
      <c r="AB323" s="223">
        <v>100</v>
      </c>
      <c r="AC323" s="223"/>
      <c r="AD323" s="223"/>
      <c r="AE323" s="223">
        <v>100</v>
      </c>
      <c r="AF323" s="223"/>
      <c r="AG323" s="223"/>
      <c r="AH323" s="223">
        <v>100</v>
      </c>
      <c r="AI323" s="223"/>
      <c r="AJ323" s="223"/>
      <c r="AK323" s="223">
        <v>100</v>
      </c>
    </row>
    <row r="324" spans="1:37" x14ac:dyDescent="0.25">
      <c r="A324" s="227" t="s">
        <v>152</v>
      </c>
      <c r="B324" s="221">
        <v>43913</v>
      </c>
      <c r="C324" s="222">
        <v>0.5083333333333333</v>
      </c>
      <c r="D324" s="223">
        <v>1</v>
      </c>
      <c r="E324" s="220" t="s">
        <v>47</v>
      </c>
      <c r="F324" s="220" t="s">
        <v>163</v>
      </c>
      <c r="G324" s="220"/>
      <c r="H324" s="220"/>
      <c r="I324" s="223">
        <v>0</v>
      </c>
      <c r="J324" s="220" t="s">
        <v>54</v>
      </c>
      <c r="K324" s="220">
        <v>95</v>
      </c>
      <c r="L324" s="223">
        <v>0.18749999999999961</v>
      </c>
      <c r="M324" s="223">
        <v>9.3749999999999806E-2</v>
      </c>
      <c r="N324" s="223">
        <v>7.4999999999999845E-2</v>
      </c>
      <c r="O324" s="223">
        <v>0</v>
      </c>
      <c r="P324" s="223"/>
      <c r="Q324" s="223">
        <v>435</v>
      </c>
      <c r="R324" s="223">
        <v>0</v>
      </c>
      <c r="S324" s="223">
        <v>0</v>
      </c>
      <c r="T324" s="223">
        <v>0</v>
      </c>
      <c r="U324" s="223">
        <v>0</v>
      </c>
      <c r="V324" s="223">
        <v>0</v>
      </c>
      <c r="W324" s="223">
        <v>0</v>
      </c>
      <c r="X324" s="223">
        <v>0</v>
      </c>
      <c r="Y324" s="234">
        <v>84</v>
      </c>
      <c r="Z324" s="223"/>
      <c r="AA324" s="223"/>
      <c r="AB324" s="223">
        <v>100</v>
      </c>
      <c r="AC324" s="223"/>
      <c r="AD324" s="223"/>
      <c r="AE324" s="223">
        <v>100</v>
      </c>
      <c r="AF324" s="223"/>
      <c r="AG324" s="223"/>
      <c r="AH324" s="223">
        <v>100</v>
      </c>
      <c r="AI324" s="223"/>
      <c r="AJ324" s="223"/>
      <c r="AK324" s="223">
        <v>100</v>
      </c>
    </row>
    <row r="325" spans="1:37" x14ac:dyDescent="0.25">
      <c r="A325" s="227" t="s">
        <v>152</v>
      </c>
      <c r="B325" s="221">
        <v>43913</v>
      </c>
      <c r="C325" s="222">
        <v>0.90416666666666656</v>
      </c>
      <c r="D325" s="223">
        <v>10</v>
      </c>
      <c r="E325" s="220" t="s">
        <v>55</v>
      </c>
      <c r="F325" s="220" t="s">
        <v>57</v>
      </c>
      <c r="G325" s="220">
        <v>96</v>
      </c>
      <c r="H325" s="220">
        <v>10.4</v>
      </c>
      <c r="I325" s="223">
        <v>0</v>
      </c>
      <c r="J325" s="220" t="s">
        <v>54</v>
      </c>
      <c r="K325" s="220">
        <v>95</v>
      </c>
      <c r="L325" s="223">
        <v>9.1041666666666679</v>
      </c>
      <c r="M325" s="223">
        <v>0.98958333333333348</v>
      </c>
      <c r="N325" s="223">
        <v>0</v>
      </c>
      <c r="O325" s="223">
        <v>10</v>
      </c>
      <c r="P325" s="223"/>
      <c r="Q325" s="223">
        <v>425</v>
      </c>
      <c r="R325" s="223">
        <v>0</v>
      </c>
      <c r="S325" s="223">
        <v>0</v>
      </c>
      <c r="T325" s="223">
        <v>0</v>
      </c>
      <c r="U325" s="223">
        <v>0</v>
      </c>
      <c r="V325" s="223">
        <v>0</v>
      </c>
      <c r="W325" s="223">
        <v>0</v>
      </c>
      <c r="X325" s="223">
        <v>0</v>
      </c>
      <c r="Y325" s="234">
        <v>84</v>
      </c>
      <c r="Z325" s="223"/>
      <c r="AA325" s="223"/>
      <c r="AB325" s="223">
        <v>100</v>
      </c>
      <c r="AC325" s="223"/>
      <c r="AD325" s="223"/>
      <c r="AE325" s="223">
        <v>100</v>
      </c>
      <c r="AF325" s="223"/>
      <c r="AG325" s="223"/>
      <c r="AH325" s="223">
        <v>100</v>
      </c>
      <c r="AI325" s="223"/>
      <c r="AJ325" s="223"/>
      <c r="AK325" s="223">
        <v>100</v>
      </c>
    </row>
    <row r="326" spans="1:37" x14ac:dyDescent="0.25">
      <c r="A326" s="227" t="s">
        <v>152</v>
      </c>
      <c r="B326" s="221">
        <v>43913</v>
      </c>
      <c r="C326" s="222">
        <v>0.9375</v>
      </c>
      <c r="D326" s="223">
        <v>1</v>
      </c>
      <c r="E326" s="220" t="s">
        <v>47</v>
      </c>
      <c r="F326" s="220" t="s">
        <v>48</v>
      </c>
      <c r="G326" s="220"/>
      <c r="H326" s="220"/>
      <c r="I326" s="223">
        <v>0</v>
      </c>
      <c r="J326" s="220"/>
      <c r="K326" s="220"/>
      <c r="L326" s="223">
        <v>0.16666666666666663</v>
      </c>
      <c r="M326" s="223">
        <v>8.3333333333333315E-2</v>
      </c>
      <c r="N326" s="223">
        <v>6.6666666666666652E-2</v>
      </c>
      <c r="O326" s="223">
        <v>0</v>
      </c>
      <c r="P326" s="223"/>
      <c r="Q326" s="223">
        <v>424</v>
      </c>
      <c r="R326" s="223">
        <v>0</v>
      </c>
      <c r="S326" s="223">
        <v>0</v>
      </c>
      <c r="T326" s="223">
        <v>0</v>
      </c>
      <c r="U326" s="223">
        <v>0</v>
      </c>
      <c r="V326" s="223">
        <v>0</v>
      </c>
      <c r="W326" s="223">
        <v>0</v>
      </c>
      <c r="X326" s="223">
        <v>0</v>
      </c>
      <c r="Y326" s="234">
        <v>84</v>
      </c>
      <c r="Z326" s="223"/>
      <c r="AA326" s="223"/>
      <c r="AB326" s="223">
        <v>100</v>
      </c>
      <c r="AC326" s="223"/>
      <c r="AD326" s="223"/>
      <c r="AE326" s="223">
        <v>100</v>
      </c>
      <c r="AF326" s="223"/>
      <c r="AG326" s="223"/>
      <c r="AH326" s="223">
        <v>100</v>
      </c>
      <c r="AI326" s="223"/>
      <c r="AJ326" s="223"/>
      <c r="AK326" s="223">
        <v>100</v>
      </c>
    </row>
    <row r="327" spans="1:37" x14ac:dyDescent="0.25">
      <c r="A327" s="227" t="s">
        <v>152</v>
      </c>
      <c r="B327" s="221">
        <v>43914</v>
      </c>
      <c r="C327" s="222">
        <v>0.33333333333333326</v>
      </c>
      <c r="D327" s="223">
        <v>9</v>
      </c>
      <c r="E327" s="220" t="s">
        <v>45</v>
      </c>
      <c r="F327" s="220" t="s">
        <v>45</v>
      </c>
      <c r="G327" s="220"/>
      <c r="H327" s="220"/>
      <c r="I327" s="223">
        <v>0</v>
      </c>
      <c r="J327" s="220"/>
      <c r="K327" s="220"/>
      <c r="L327" s="223">
        <v>0</v>
      </c>
      <c r="M327" s="223">
        <v>0.87083333333333324</v>
      </c>
      <c r="N327" s="223">
        <v>0.79166666666666652</v>
      </c>
      <c r="O327" s="223">
        <v>2</v>
      </c>
      <c r="P327" s="223"/>
      <c r="Q327" s="223">
        <v>423</v>
      </c>
      <c r="R327" s="223">
        <v>0</v>
      </c>
      <c r="S327" s="223">
        <v>0</v>
      </c>
      <c r="T327" s="223">
        <v>0</v>
      </c>
      <c r="U327" s="223">
        <v>0</v>
      </c>
      <c r="V327" s="223">
        <v>0</v>
      </c>
      <c r="W327" s="223">
        <v>0</v>
      </c>
      <c r="X327" s="223">
        <v>0</v>
      </c>
      <c r="Y327" s="234">
        <v>84</v>
      </c>
      <c r="Z327" s="223"/>
      <c r="AA327" s="223"/>
      <c r="AB327" s="223">
        <v>100</v>
      </c>
      <c r="AC327" s="223"/>
      <c r="AD327" s="223"/>
      <c r="AE327" s="223">
        <v>100</v>
      </c>
      <c r="AF327" s="223"/>
      <c r="AG327" s="223"/>
      <c r="AH327" s="223">
        <v>100</v>
      </c>
      <c r="AI327" s="223"/>
      <c r="AJ327" s="223"/>
      <c r="AK327" s="223">
        <v>100</v>
      </c>
    </row>
    <row r="328" spans="1:37" x14ac:dyDescent="0.25">
      <c r="A328" s="227" t="s">
        <v>152</v>
      </c>
      <c r="B328" s="221">
        <v>43915</v>
      </c>
      <c r="C328" s="222">
        <v>0.33333333333333326</v>
      </c>
      <c r="D328" s="223">
        <v>24</v>
      </c>
      <c r="E328" s="220" t="s">
        <v>45</v>
      </c>
      <c r="F328" s="220" t="s">
        <v>45</v>
      </c>
      <c r="G328" s="220"/>
      <c r="H328" s="220"/>
      <c r="I328" s="223">
        <v>0</v>
      </c>
      <c r="J328" s="220"/>
      <c r="K328" s="220"/>
      <c r="L328" s="223">
        <v>0</v>
      </c>
      <c r="M328" s="223">
        <v>2.2000000000000002</v>
      </c>
      <c r="N328" s="223">
        <v>2</v>
      </c>
      <c r="O328" s="223">
        <v>4</v>
      </c>
      <c r="P328" s="223"/>
      <c r="Q328" s="223">
        <v>418</v>
      </c>
      <c r="R328" s="223">
        <v>0</v>
      </c>
      <c r="S328" s="223">
        <v>0</v>
      </c>
      <c r="T328" s="223">
        <v>0</v>
      </c>
      <c r="U328" s="223">
        <v>0</v>
      </c>
      <c r="V328" s="223">
        <v>0</v>
      </c>
      <c r="W328" s="223">
        <v>0</v>
      </c>
      <c r="X328" s="223">
        <v>0</v>
      </c>
      <c r="Y328" s="234">
        <v>84</v>
      </c>
      <c r="Z328" s="223"/>
      <c r="AA328" s="223"/>
      <c r="AB328" s="223">
        <v>100</v>
      </c>
      <c r="AC328" s="223"/>
      <c r="AD328" s="223"/>
      <c r="AE328" s="223">
        <v>100</v>
      </c>
      <c r="AF328" s="223"/>
      <c r="AG328" s="223"/>
      <c r="AH328" s="223">
        <v>100</v>
      </c>
      <c r="AI328" s="223"/>
      <c r="AJ328" s="223"/>
      <c r="AK328" s="223">
        <v>100</v>
      </c>
    </row>
    <row r="329" spans="1:37" x14ac:dyDescent="0.25">
      <c r="A329" s="227" t="s">
        <v>152</v>
      </c>
      <c r="B329" s="221">
        <v>43916</v>
      </c>
      <c r="C329" s="222">
        <v>0.33333333333333326</v>
      </c>
      <c r="D329" s="223">
        <v>24</v>
      </c>
      <c r="E329" s="220" t="s">
        <v>45</v>
      </c>
      <c r="F329" s="220" t="s">
        <v>45</v>
      </c>
      <c r="G329" s="220"/>
      <c r="H329" s="220"/>
      <c r="I329" s="223">
        <v>0</v>
      </c>
      <c r="J329" s="220"/>
      <c r="K329" s="220"/>
      <c r="L329" s="223">
        <v>0</v>
      </c>
      <c r="M329" s="223">
        <v>2.2000000000000002</v>
      </c>
      <c r="N329" s="223">
        <v>1.7999999999999998</v>
      </c>
      <c r="O329" s="223">
        <v>4</v>
      </c>
      <c r="P329" s="223"/>
      <c r="Q329" s="223">
        <v>414</v>
      </c>
      <c r="R329" s="223">
        <v>0</v>
      </c>
      <c r="S329" s="223">
        <v>0</v>
      </c>
      <c r="T329" s="223">
        <v>0</v>
      </c>
      <c r="U329" s="223">
        <v>0</v>
      </c>
      <c r="V329" s="223">
        <v>0</v>
      </c>
      <c r="W329" s="223">
        <v>0</v>
      </c>
      <c r="X329" s="223">
        <v>0</v>
      </c>
      <c r="Y329" s="234">
        <v>84</v>
      </c>
      <c r="Z329" s="223"/>
      <c r="AA329" s="223"/>
      <c r="AB329" s="223">
        <v>100</v>
      </c>
      <c r="AC329" s="223"/>
      <c r="AD329" s="223"/>
      <c r="AE329" s="223">
        <v>100</v>
      </c>
      <c r="AF329" s="223"/>
      <c r="AG329" s="223"/>
      <c r="AH329" s="223">
        <v>100</v>
      </c>
      <c r="AI329" s="223"/>
      <c r="AJ329" s="223"/>
      <c r="AK329" s="223">
        <v>100</v>
      </c>
    </row>
    <row r="330" spans="1:37" x14ac:dyDescent="0.25">
      <c r="A330" s="227" t="s">
        <v>152</v>
      </c>
      <c r="B330" s="221">
        <v>43917</v>
      </c>
      <c r="C330" s="222">
        <v>0.33333333333333326</v>
      </c>
      <c r="D330" s="223">
        <v>24</v>
      </c>
      <c r="E330" s="220" t="s">
        <v>45</v>
      </c>
      <c r="F330" s="220" t="s">
        <v>45</v>
      </c>
      <c r="G330" s="220"/>
      <c r="H330" s="220"/>
      <c r="I330" s="223">
        <v>0</v>
      </c>
      <c r="J330" s="220"/>
      <c r="K330" s="220"/>
      <c r="L330" s="223">
        <v>0</v>
      </c>
      <c r="M330" s="223">
        <v>2.2000000000000002</v>
      </c>
      <c r="N330" s="223">
        <v>1.7999999999999998</v>
      </c>
      <c r="O330" s="223">
        <v>4</v>
      </c>
      <c r="P330" s="223"/>
      <c r="Q330" s="223">
        <v>410</v>
      </c>
      <c r="R330" s="223">
        <v>0</v>
      </c>
      <c r="S330" s="223">
        <v>0</v>
      </c>
      <c r="T330" s="223">
        <v>0</v>
      </c>
      <c r="U330" s="223">
        <v>0</v>
      </c>
      <c r="V330" s="223">
        <v>0</v>
      </c>
      <c r="W330" s="223">
        <v>0</v>
      </c>
      <c r="X330" s="223">
        <v>0</v>
      </c>
      <c r="Y330" s="234">
        <v>84</v>
      </c>
      <c r="Z330" s="223"/>
      <c r="AA330" s="223"/>
      <c r="AB330" s="223">
        <v>100</v>
      </c>
      <c r="AC330" s="223"/>
      <c r="AD330" s="223"/>
      <c r="AE330" s="223">
        <v>100</v>
      </c>
      <c r="AF330" s="223"/>
      <c r="AG330" s="223"/>
      <c r="AH330" s="223">
        <v>100</v>
      </c>
      <c r="AI330" s="223"/>
      <c r="AJ330" s="223"/>
      <c r="AK330" s="223">
        <v>100</v>
      </c>
    </row>
    <row r="331" spans="1:37" x14ac:dyDescent="0.25">
      <c r="A331" s="227" t="s">
        <v>152</v>
      </c>
      <c r="B331" s="221">
        <v>43917</v>
      </c>
      <c r="C331" s="222">
        <v>0.66250000000000009</v>
      </c>
      <c r="D331" s="223">
        <v>8</v>
      </c>
      <c r="E331" s="220" t="s">
        <v>45</v>
      </c>
      <c r="F331" s="220" t="s">
        <v>46</v>
      </c>
      <c r="G331" s="220"/>
      <c r="H331" s="220"/>
      <c r="I331" s="223">
        <v>0</v>
      </c>
      <c r="J331" s="220"/>
      <c r="K331" s="220"/>
      <c r="L331" s="223">
        <v>0</v>
      </c>
      <c r="M331" s="223">
        <v>0.72416666666666674</v>
      </c>
      <c r="N331" s="223">
        <v>0.59250000000000003</v>
      </c>
      <c r="O331" s="223">
        <v>1</v>
      </c>
      <c r="P331" s="223"/>
      <c r="Q331" s="223">
        <v>409</v>
      </c>
      <c r="R331" s="223">
        <v>0</v>
      </c>
      <c r="S331" s="223">
        <v>0</v>
      </c>
      <c r="T331" s="223">
        <v>0</v>
      </c>
      <c r="U331" s="223">
        <v>0</v>
      </c>
      <c r="V331" s="223">
        <v>0</v>
      </c>
      <c r="W331" s="223">
        <v>0</v>
      </c>
      <c r="X331" s="223">
        <v>0</v>
      </c>
      <c r="Y331" s="234">
        <v>84</v>
      </c>
      <c r="Z331" s="223"/>
      <c r="AA331" s="223"/>
      <c r="AB331" s="223">
        <v>100</v>
      </c>
      <c r="AC331" s="223"/>
      <c r="AD331" s="223"/>
      <c r="AE331" s="223">
        <v>100</v>
      </c>
      <c r="AF331" s="223"/>
      <c r="AG331" s="223"/>
      <c r="AH331" s="223">
        <v>100</v>
      </c>
      <c r="AI331" s="223"/>
      <c r="AJ331" s="223"/>
      <c r="AK331" s="223">
        <v>100</v>
      </c>
    </row>
    <row r="332" spans="1:37" x14ac:dyDescent="0.25">
      <c r="A332" s="227" t="s">
        <v>152</v>
      </c>
      <c r="B332" s="221">
        <v>43917</v>
      </c>
      <c r="C332" s="222">
        <v>0.73333333333333339</v>
      </c>
      <c r="D332" s="223">
        <v>2</v>
      </c>
      <c r="E332" s="220" t="s">
        <v>47</v>
      </c>
      <c r="F332" s="220" t="s">
        <v>48</v>
      </c>
      <c r="G332" s="220"/>
      <c r="H332" s="220"/>
      <c r="I332" s="223">
        <v>0</v>
      </c>
      <c r="J332" s="220"/>
      <c r="K332" s="220"/>
      <c r="L332" s="223">
        <v>7.0833333333333415E-2</v>
      </c>
      <c r="M332" s="223">
        <v>0.15583333333333352</v>
      </c>
      <c r="N332" s="223">
        <v>0.12750000000000014</v>
      </c>
      <c r="O332" s="223">
        <v>0</v>
      </c>
      <c r="P332" s="223"/>
      <c r="Q332" s="223">
        <v>409</v>
      </c>
      <c r="R332" s="223">
        <v>0</v>
      </c>
      <c r="S332" s="223">
        <v>0</v>
      </c>
      <c r="T332" s="223">
        <v>0</v>
      </c>
      <c r="U332" s="223">
        <v>0</v>
      </c>
      <c r="V332" s="223">
        <v>0</v>
      </c>
      <c r="W332" s="223">
        <v>0</v>
      </c>
      <c r="X332" s="223">
        <v>0</v>
      </c>
      <c r="Y332" s="234">
        <v>84</v>
      </c>
      <c r="Z332" s="223"/>
      <c r="AA332" s="223"/>
      <c r="AB332" s="223">
        <v>100</v>
      </c>
      <c r="AC332" s="223"/>
      <c r="AD332" s="223"/>
      <c r="AE332" s="223">
        <v>100</v>
      </c>
      <c r="AF332" s="223"/>
      <c r="AG332" s="223"/>
      <c r="AH332" s="223">
        <v>100</v>
      </c>
      <c r="AI332" s="223"/>
      <c r="AJ332" s="223"/>
      <c r="AK332" s="223">
        <v>100</v>
      </c>
    </row>
    <row r="333" spans="1:37" x14ac:dyDescent="0.25">
      <c r="A333" s="227" t="s">
        <v>152</v>
      </c>
      <c r="B333" s="221">
        <v>43917</v>
      </c>
      <c r="C333" s="222">
        <v>0.8041666666666667</v>
      </c>
      <c r="D333" s="223">
        <v>2</v>
      </c>
      <c r="E333" s="220" t="s">
        <v>49</v>
      </c>
      <c r="F333" s="220" t="s">
        <v>50</v>
      </c>
      <c r="G333" s="220"/>
      <c r="H333" s="220"/>
      <c r="I333" s="223">
        <v>0</v>
      </c>
      <c r="J333" s="220"/>
      <c r="K333" s="220"/>
      <c r="L333" s="223">
        <v>0</v>
      </c>
      <c r="M333" s="223">
        <v>0.17708333333333326</v>
      </c>
      <c r="N333" s="223">
        <v>0.14166666666666661</v>
      </c>
      <c r="O333" s="223">
        <v>0</v>
      </c>
      <c r="P333" s="223"/>
      <c r="Q333" s="223">
        <v>408</v>
      </c>
      <c r="R333" s="223">
        <v>0</v>
      </c>
      <c r="S333" s="223">
        <v>0</v>
      </c>
      <c r="T333" s="223">
        <v>0</v>
      </c>
      <c r="U333" s="223">
        <v>0</v>
      </c>
      <c r="V333" s="223">
        <v>0</v>
      </c>
      <c r="W333" s="223">
        <v>0</v>
      </c>
      <c r="X333" s="223">
        <v>0</v>
      </c>
      <c r="Y333" s="234">
        <v>84</v>
      </c>
      <c r="Z333" s="223"/>
      <c r="AA333" s="223"/>
      <c r="AB333" s="223">
        <v>100</v>
      </c>
      <c r="AC333" s="223"/>
      <c r="AD333" s="223"/>
      <c r="AE333" s="223">
        <v>100</v>
      </c>
      <c r="AF333" s="223"/>
      <c r="AG333" s="223"/>
      <c r="AH333" s="223">
        <v>100</v>
      </c>
      <c r="AI333" s="223"/>
      <c r="AJ333" s="223"/>
      <c r="AK333" s="223">
        <v>100</v>
      </c>
    </row>
    <row r="334" spans="1:37" x14ac:dyDescent="0.25">
      <c r="A334" s="227" t="s">
        <v>152</v>
      </c>
      <c r="B334" s="221">
        <v>43918</v>
      </c>
      <c r="C334" s="222">
        <v>0.33333333333333326</v>
      </c>
      <c r="D334" s="223">
        <v>13</v>
      </c>
      <c r="E334" s="220" t="s">
        <v>51</v>
      </c>
      <c r="F334" s="220" t="s">
        <v>51</v>
      </c>
      <c r="G334" s="220"/>
      <c r="H334" s="220"/>
      <c r="I334" s="223">
        <v>0</v>
      </c>
      <c r="J334" s="220"/>
      <c r="K334" s="220"/>
      <c r="L334" s="223">
        <v>0</v>
      </c>
      <c r="M334" s="223">
        <v>1.3229166666666667</v>
      </c>
      <c r="N334" s="223">
        <v>1.0583333333333331</v>
      </c>
      <c r="O334" s="223">
        <v>2</v>
      </c>
      <c r="P334" s="223"/>
      <c r="Q334" s="223">
        <v>406</v>
      </c>
      <c r="R334" s="223">
        <v>0</v>
      </c>
      <c r="S334" s="223">
        <v>0</v>
      </c>
      <c r="T334" s="223">
        <v>0</v>
      </c>
      <c r="U334" s="223">
        <v>0</v>
      </c>
      <c r="V334" s="223">
        <v>2.1</v>
      </c>
      <c r="W334" s="223">
        <v>2</v>
      </c>
      <c r="X334" s="223">
        <v>0</v>
      </c>
      <c r="Y334" s="234">
        <v>82</v>
      </c>
      <c r="Z334" s="223"/>
      <c r="AA334" s="223"/>
      <c r="AB334" s="223">
        <v>100</v>
      </c>
      <c r="AC334" s="223"/>
      <c r="AD334" s="223"/>
      <c r="AE334" s="223">
        <v>100</v>
      </c>
      <c r="AF334" s="223"/>
      <c r="AG334" s="223"/>
      <c r="AH334" s="223">
        <v>100</v>
      </c>
      <c r="AI334" s="223"/>
      <c r="AJ334" s="223"/>
      <c r="AK334" s="223">
        <v>100</v>
      </c>
    </row>
    <row r="335" spans="1:37" x14ac:dyDescent="0.25">
      <c r="A335" s="227" t="s">
        <v>152</v>
      </c>
      <c r="B335" s="221">
        <v>43918</v>
      </c>
      <c r="C335" s="222">
        <v>0.375</v>
      </c>
      <c r="D335" s="223">
        <v>1</v>
      </c>
      <c r="E335" s="220" t="s">
        <v>51</v>
      </c>
      <c r="F335" s="220" t="s">
        <v>52</v>
      </c>
      <c r="G335" s="220"/>
      <c r="H335" s="220"/>
      <c r="I335" s="223">
        <v>0</v>
      </c>
      <c r="J335" s="220"/>
      <c r="K335" s="220"/>
      <c r="L335" s="223">
        <v>0</v>
      </c>
      <c r="M335" s="223">
        <v>0.10416666666666673</v>
      </c>
      <c r="N335" s="223">
        <v>8.333333333333337E-2</v>
      </c>
      <c r="O335" s="223">
        <v>0</v>
      </c>
      <c r="P335" s="223"/>
      <c r="Q335" s="223">
        <v>406</v>
      </c>
      <c r="R335" s="223">
        <v>0</v>
      </c>
      <c r="S335" s="223">
        <v>0</v>
      </c>
      <c r="T335" s="223">
        <v>0</v>
      </c>
      <c r="U335" s="223">
        <v>0</v>
      </c>
      <c r="V335" s="223">
        <v>0.1</v>
      </c>
      <c r="W335" s="223">
        <v>0</v>
      </c>
      <c r="X335" s="223">
        <v>0</v>
      </c>
      <c r="Y335" s="234">
        <v>82</v>
      </c>
      <c r="Z335" s="223"/>
      <c r="AA335" s="223"/>
      <c r="AB335" s="223">
        <v>100</v>
      </c>
      <c r="AC335" s="223"/>
      <c r="AD335" s="223"/>
      <c r="AE335" s="223">
        <v>100</v>
      </c>
      <c r="AF335" s="223"/>
      <c r="AG335" s="223"/>
      <c r="AH335" s="223">
        <v>100</v>
      </c>
      <c r="AI335" s="223"/>
      <c r="AJ335" s="223"/>
      <c r="AK335" s="223">
        <v>100</v>
      </c>
    </row>
    <row r="336" spans="1:37" x14ac:dyDescent="0.25">
      <c r="A336" s="227" t="s">
        <v>152</v>
      </c>
      <c r="B336" s="221">
        <v>43918</v>
      </c>
      <c r="C336" s="222">
        <v>0.47916666666666674</v>
      </c>
      <c r="D336" s="223">
        <v>3</v>
      </c>
      <c r="E336" s="220" t="s">
        <v>49</v>
      </c>
      <c r="F336" s="220" t="s">
        <v>46</v>
      </c>
      <c r="G336" s="220"/>
      <c r="H336" s="220"/>
      <c r="I336" s="223">
        <v>0</v>
      </c>
      <c r="J336" s="220"/>
      <c r="K336" s="220"/>
      <c r="L336" s="223">
        <v>0</v>
      </c>
      <c r="M336" s="223">
        <v>0.26041666666666674</v>
      </c>
      <c r="N336" s="223">
        <v>0.20833333333333337</v>
      </c>
      <c r="O336" s="223">
        <v>0</v>
      </c>
      <c r="P336" s="223"/>
      <c r="Q336" s="223">
        <v>405</v>
      </c>
      <c r="R336" s="223">
        <v>0</v>
      </c>
      <c r="S336" s="223">
        <v>0</v>
      </c>
      <c r="T336" s="223">
        <v>0</v>
      </c>
      <c r="U336" s="223">
        <v>0</v>
      </c>
      <c r="V336" s="223">
        <v>0</v>
      </c>
      <c r="W336" s="223">
        <v>0</v>
      </c>
      <c r="X336" s="223">
        <v>0</v>
      </c>
      <c r="Y336" s="234">
        <v>82</v>
      </c>
      <c r="Z336" s="223"/>
      <c r="AA336" s="223"/>
      <c r="AB336" s="223">
        <v>100</v>
      </c>
      <c r="AC336" s="223"/>
      <c r="AD336" s="223"/>
      <c r="AE336" s="223">
        <v>100</v>
      </c>
      <c r="AF336" s="223"/>
      <c r="AG336" s="223"/>
      <c r="AH336" s="223">
        <v>100</v>
      </c>
      <c r="AI336" s="223"/>
      <c r="AJ336" s="223"/>
      <c r="AK336" s="223">
        <v>100</v>
      </c>
    </row>
    <row r="337" spans="1:37" x14ac:dyDescent="0.25">
      <c r="A337" s="227" t="s">
        <v>152</v>
      </c>
      <c r="B337" s="221">
        <v>43918</v>
      </c>
      <c r="C337" s="222">
        <v>0.5625</v>
      </c>
      <c r="D337" s="223">
        <v>2</v>
      </c>
      <c r="E337" s="220" t="s">
        <v>47</v>
      </c>
      <c r="F337" s="220" t="s">
        <v>60</v>
      </c>
      <c r="G337" s="220"/>
      <c r="H337" s="220"/>
      <c r="I337" s="223">
        <v>0</v>
      </c>
      <c r="J337" s="220" t="s">
        <v>54</v>
      </c>
      <c r="K337" s="220">
        <v>95</v>
      </c>
      <c r="L337" s="223">
        <v>0.16666666666666663</v>
      </c>
      <c r="M337" s="223">
        <v>0.20833333333333329</v>
      </c>
      <c r="N337" s="223">
        <v>0.16666666666666663</v>
      </c>
      <c r="O337" s="223">
        <v>1</v>
      </c>
      <c r="P337" s="223"/>
      <c r="Q337" s="223">
        <v>405</v>
      </c>
      <c r="R337" s="223">
        <v>0</v>
      </c>
      <c r="S337" s="223">
        <v>0</v>
      </c>
      <c r="T337" s="223">
        <v>0</v>
      </c>
      <c r="U337" s="223">
        <v>0</v>
      </c>
      <c r="V337" s="223">
        <v>0</v>
      </c>
      <c r="W337" s="223">
        <v>0</v>
      </c>
      <c r="X337" s="223">
        <v>0</v>
      </c>
      <c r="Y337" s="234">
        <v>82</v>
      </c>
      <c r="Z337" s="223"/>
      <c r="AA337" s="223"/>
      <c r="AB337" s="223">
        <v>100</v>
      </c>
      <c r="AC337" s="223"/>
      <c r="AD337" s="223"/>
      <c r="AE337" s="223">
        <v>100</v>
      </c>
      <c r="AF337" s="223"/>
      <c r="AG337" s="223"/>
      <c r="AH337" s="223">
        <v>100</v>
      </c>
      <c r="AI337" s="223"/>
      <c r="AJ337" s="223"/>
      <c r="AK337" s="223">
        <v>100</v>
      </c>
    </row>
    <row r="338" spans="1:37" x14ac:dyDescent="0.25">
      <c r="A338" s="227" t="s">
        <v>152</v>
      </c>
      <c r="B338" s="221">
        <v>43919</v>
      </c>
      <c r="C338" s="222">
        <v>0.33333333333333326</v>
      </c>
      <c r="D338" s="223">
        <v>18</v>
      </c>
      <c r="E338" s="220" t="s">
        <v>61</v>
      </c>
      <c r="F338" s="220" t="s">
        <v>56</v>
      </c>
      <c r="G338" s="220"/>
      <c r="H338" s="220"/>
      <c r="I338" s="223">
        <v>0</v>
      </c>
      <c r="J338" s="220" t="s">
        <v>54</v>
      </c>
      <c r="K338" s="220">
        <v>95</v>
      </c>
      <c r="L338" s="223">
        <v>16.958333333333332</v>
      </c>
      <c r="M338" s="223">
        <v>1.9270833333333337</v>
      </c>
      <c r="N338" s="223">
        <v>0</v>
      </c>
      <c r="O338" s="223">
        <v>19</v>
      </c>
      <c r="P338" s="223"/>
      <c r="Q338" s="223">
        <v>386</v>
      </c>
      <c r="R338" s="223">
        <v>0</v>
      </c>
      <c r="S338" s="223">
        <v>0</v>
      </c>
      <c r="T338" s="223">
        <v>0</v>
      </c>
      <c r="U338" s="223">
        <v>0</v>
      </c>
      <c r="V338" s="223">
        <v>0</v>
      </c>
      <c r="W338" s="223">
        <v>0</v>
      </c>
      <c r="X338" s="223">
        <v>0</v>
      </c>
      <c r="Y338" s="234">
        <v>82</v>
      </c>
      <c r="Z338" s="223"/>
      <c r="AA338" s="223"/>
      <c r="AB338" s="223">
        <v>100</v>
      </c>
      <c r="AC338" s="223"/>
      <c r="AD338" s="223"/>
      <c r="AE338" s="223">
        <v>100</v>
      </c>
      <c r="AF338" s="223"/>
      <c r="AG338" s="223"/>
      <c r="AH338" s="223">
        <v>100</v>
      </c>
      <c r="AI338" s="223"/>
      <c r="AJ338" s="223"/>
      <c r="AK338" s="223">
        <v>100</v>
      </c>
    </row>
    <row r="339" spans="1:37" x14ac:dyDescent="0.25">
      <c r="A339" s="227" t="s">
        <v>152</v>
      </c>
      <c r="B339" s="221">
        <v>43919</v>
      </c>
      <c r="C339" s="222">
        <v>0.60416666666666674</v>
      </c>
      <c r="D339" s="223">
        <v>6</v>
      </c>
      <c r="E339" s="220" t="s">
        <v>61</v>
      </c>
      <c r="F339" s="220" t="s">
        <v>62</v>
      </c>
      <c r="G339" s="220">
        <v>265</v>
      </c>
      <c r="H339" s="220">
        <v>25</v>
      </c>
      <c r="I339" s="223">
        <v>0</v>
      </c>
      <c r="J339" s="220" t="s">
        <v>54</v>
      </c>
      <c r="K339" s="220">
        <v>95</v>
      </c>
      <c r="L339" s="223">
        <v>5.958333333333333</v>
      </c>
      <c r="M339" s="223">
        <v>0.67708333333333337</v>
      </c>
      <c r="N339" s="223">
        <v>0</v>
      </c>
      <c r="O339" s="223">
        <v>7</v>
      </c>
      <c r="P339" s="223"/>
      <c r="Q339" s="223">
        <v>379</v>
      </c>
      <c r="R339" s="223">
        <v>0</v>
      </c>
      <c r="S339" s="223">
        <v>0</v>
      </c>
      <c r="T339" s="223">
        <v>0</v>
      </c>
      <c r="U339" s="223">
        <v>0</v>
      </c>
      <c r="V339" s="223">
        <v>0</v>
      </c>
      <c r="W339" s="223">
        <v>0</v>
      </c>
      <c r="X339" s="223">
        <v>0</v>
      </c>
      <c r="Y339" s="234">
        <v>82</v>
      </c>
      <c r="Z339" s="223"/>
      <c r="AA339" s="223"/>
      <c r="AB339" s="223">
        <v>100</v>
      </c>
      <c r="AC339" s="223"/>
      <c r="AD339" s="223"/>
      <c r="AE339" s="223">
        <v>100</v>
      </c>
      <c r="AF339" s="223"/>
      <c r="AG339" s="223"/>
      <c r="AH339" s="223">
        <v>100</v>
      </c>
      <c r="AI339" s="223"/>
      <c r="AJ339" s="223"/>
      <c r="AK339" s="223">
        <v>100</v>
      </c>
    </row>
    <row r="340" spans="1:37" x14ac:dyDescent="0.25">
      <c r="A340" s="227" t="s">
        <v>164</v>
      </c>
      <c r="B340" s="221">
        <v>43919</v>
      </c>
      <c r="C340" s="222">
        <v>0.625</v>
      </c>
      <c r="D340" s="223">
        <v>1</v>
      </c>
      <c r="E340" s="220" t="s">
        <v>47</v>
      </c>
      <c r="F340" s="220" t="s">
        <v>48</v>
      </c>
      <c r="G340" s="220"/>
      <c r="H340" s="220"/>
      <c r="I340" s="223">
        <v>0</v>
      </c>
      <c r="J340" s="220"/>
      <c r="K340" s="220"/>
      <c r="L340" s="223">
        <v>4.1666666666666741E-2</v>
      </c>
      <c r="M340" s="223">
        <v>5.2083333333333426E-2</v>
      </c>
      <c r="N340" s="223">
        <v>4.1666666666666741E-2</v>
      </c>
      <c r="O340" s="223">
        <v>0</v>
      </c>
      <c r="P340" s="223"/>
      <c r="Q340" s="223">
        <v>379</v>
      </c>
      <c r="R340" s="223">
        <v>0</v>
      </c>
      <c r="S340" s="223">
        <v>0</v>
      </c>
      <c r="T340" s="223">
        <v>0</v>
      </c>
      <c r="U340" s="223">
        <v>0</v>
      </c>
      <c r="V340" s="223">
        <v>0</v>
      </c>
      <c r="W340" s="223">
        <v>0</v>
      </c>
      <c r="X340" s="223">
        <v>0</v>
      </c>
      <c r="Y340" s="234">
        <v>82</v>
      </c>
      <c r="Z340" s="223"/>
      <c r="AA340" s="223"/>
      <c r="AB340" s="223">
        <v>100</v>
      </c>
      <c r="AC340" s="223"/>
      <c r="AD340" s="223"/>
      <c r="AE340" s="223">
        <v>100</v>
      </c>
      <c r="AF340" s="223"/>
      <c r="AG340" s="223"/>
      <c r="AH340" s="223">
        <v>100</v>
      </c>
      <c r="AI340" s="223"/>
      <c r="AJ340" s="223"/>
      <c r="AK340" s="223">
        <v>100</v>
      </c>
    </row>
    <row r="341" spans="1:37" x14ac:dyDescent="0.25">
      <c r="A341" s="227" t="s">
        <v>164</v>
      </c>
      <c r="B341" s="221">
        <v>43920</v>
      </c>
      <c r="C341" s="222">
        <v>0.33333333333333326</v>
      </c>
      <c r="D341" s="223">
        <v>17</v>
      </c>
      <c r="E341" s="220" t="s">
        <v>45</v>
      </c>
      <c r="F341" s="220" t="s">
        <v>45</v>
      </c>
      <c r="G341" s="220"/>
      <c r="H341" s="220"/>
      <c r="I341" s="223">
        <v>0</v>
      </c>
      <c r="J341" s="220"/>
      <c r="K341" s="220"/>
      <c r="L341" s="223">
        <v>0</v>
      </c>
      <c r="M341" s="223">
        <v>1.5583333333333336</v>
      </c>
      <c r="N341" s="223">
        <v>1.2749999999999999</v>
      </c>
      <c r="O341" s="223">
        <v>3</v>
      </c>
      <c r="P341" s="223"/>
      <c r="Q341" s="223">
        <v>376</v>
      </c>
      <c r="R341" s="223">
        <v>0</v>
      </c>
      <c r="S341" s="223">
        <v>0</v>
      </c>
      <c r="T341" s="223">
        <v>0</v>
      </c>
      <c r="U341" s="223">
        <v>0</v>
      </c>
      <c r="V341" s="223">
        <v>0</v>
      </c>
      <c r="W341" s="223">
        <v>0</v>
      </c>
      <c r="X341" s="223">
        <v>0</v>
      </c>
      <c r="Y341" s="234">
        <v>82</v>
      </c>
      <c r="Z341" s="223"/>
      <c r="AA341" s="223"/>
      <c r="AB341" s="223">
        <v>100</v>
      </c>
      <c r="AC341" s="223"/>
      <c r="AD341" s="223"/>
      <c r="AE341" s="223">
        <v>100</v>
      </c>
      <c r="AF341" s="223"/>
      <c r="AG341" s="223"/>
      <c r="AH341" s="223">
        <v>100</v>
      </c>
      <c r="AI341" s="223"/>
      <c r="AJ341" s="223"/>
      <c r="AK341" s="223">
        <v>100</v>
      </c>
    </row>
    <row r="342" spans="1:37" x14ac:dyDescent="0.25">
      <c r="A342" s="227" t="s">
        <v>164</v>
      </c>
      <c r="B342" s="221">
        <v>43921</v>
      </c>
      <c r="C342" s="222">
        <v>0.33333333333333326</v>
      </c>
      <c r="D342" s="223">
        <v>24</v>
      </c>
      <c r="E342" s="220" t="s">
        <v>45</v>
      </c>
      <c r="F342" s="220" t="s">
        <v>45</v>
      </c>
      <c r="G342" s="220"/>
      <c r="H342" s="220"/>
      <c r="I342" s="223">
        <v>0</v>
      </c>
      <c r="J342" s="220"/>
      <c r="K342" s="220"/>
      <c r="L342" s="223">
        <v>0</v>
      </c>
      <c r="M342" s="223">
        <v>2.5</v>
      </c>
      <c r="N342" s="223">
        <v>2</v>
      </c>
      <c r="O342" s="223">
        <v>4</v>
      </c>
      <c r="P342" s="223"/>
      <c r="Q342" s="223">
        <v>372</v>
      </c>
      <c r="R342" s="223">
        <v>0</v>
      </c>
      <c r="S342" s="223">
        <v>0</v>
      </c>
      <c r="T342" s="223">
        <v>0</v>
      </c>
      <c r="U342" s="223">
        <v>0</v>
      </c>
      <c r="V342" s="223">
        <v>0</v>
      </c>
      <c r="W342" s="223">
        <v>0</v>
      </c>
      <c r="X342" s="223">
        <v>0</v>
      </c>
      <c r="Y342" s="234">
        <v>82</v>
      </c>
      <c r="Z342" s="223"/>
      <c r="AA342" s="223"/>
      <c r="AB342" s="223">
        <v>100</v>
      </c>
      <c r="AC342" s="223"/>
      <c r="AD342" s="223"/>
      <c r="AE342" s="223">
        <v>100</v>
      </c>
      <c r="AF342" s="223"/>
      <c r="AG342" s="223"/>
      <c r="AH342" s="223">
        <v>100</v>
      </c>
      <c r="AI342" s="223"/>
      <c r="AJ342" s="223"/>
      <c r="AK342" s="223">
        <v>100</v>
      </c>
    </row>
    <row r="343" spans="1:37" x14ac:dyDescent="0.25">
      <c r="A343" s="227" t="s">
        <v>164</v>
      </c>
      <c r="B343" s="221">
        <v>43921</v>
      </c>
      <c r="C343" s="222">
        <v>0.65416666666666656</v>
      </c>
      <c r="D343" s="223">
        <v>8</v>
      </c>
      <c r="E343" s="220" t="s">
        <v>45</v>
      </c>
      <c r="F343" s="220" t="s">
        <v>46</v>
      </c>
      <c r="G343" s="220"/>
      <c r="H343" s="220"/>
      <c r="I343" s="223">
        <v>0</v>
      </c>
      <c r="J343" s="220"/>
      <c r="K343" s="220"/>
      <c r="L343" s="223">
        <v>0</v>
      </c>
      <c r="M343" s="223">
        <v>0.8</v>
      </c>
      <c r="N343" s="223">
        <v>0.64</v>
      </c>
      <c r="O343" s="223">
        <v>1</v>
      </c>
      <c r="P343" s="223"/>
      <c r="Q343" s="223">
        <v>370</v>
      </c>
      <c r="R343" s="223">
        <v>0</v>
      </c>
      <c r="S343" s="223">
        <v>0</v>
      </c>
      <c r="T343" s="223">
        <v>0</v>
      </c>
      <c r="U343" s="223">
        <v>0</v>
      </c>
      <c r="V343" s="223">
        <v>1.9</v>
      </c>
      <c r="W343" s="223">
        <v>2</v>
      </c>
      <c r="X343" s="223">
        <v>0</v>
      </c>
      <c r="Y343" s="234">
        <v>80</v>
      </c>
      <c r="Z343" s="223"/>
      <c r="AA343" s="223"/>
      <c r="AB343" s="223">
        <v>100</v>
      </c>
      <c r="AC343" s="223"/>
      <c r="AD343" s="223"/>
      <c r="AE343" s="223">
        <v>100</v>
      </c>
      <c r="AF343" s="223"/>
      <c r="AG343" s="223"/>
      <c r="AH343" s="223">
        <v>100</v>
      </c>
      <c r="AI343" s="223"/>
      <c r="AJ343" s="223"/>
      <c r="AK343" s="223">
        <v>100</v>
      </c>
    </row>
    <row r="344" spans="1:37" x14ac:dyDescent="0.25">
      <c r="A344" s="227" t="s">
        <v>164</v>
      </c>
      <c r="B344" s="221">
        <v>43921</v>
      </c>
      <c r="C344" s="222">
        <v>0.7416666666666667</v>
      </c>
      <c r="D344" s="223">
        <v>2</v>
      </c>
      <c r="E344" s="220" t="s">
        <v>47</v>
      </c>
      <c r="F344" s="220" t="s">
        <v>48</v>
      </c>
      <c r="G344" s="220"/>
      <c r="H344" s="220"/>
      <c r="I344" s="223">
        <v>0</v>
      </c>
      <c r="J344" s="220"/>
      <c r="K344" s="220"/>
      <c r="L344" s="223">
        <v>0.18</v>
      </c>
      <c r="M344" s="223">
        <v>0.22</v>
      </c>
      <c r="N344" s="223">
        <v>0.18</v>
      </c>
      <c r="O344" s="223">
        <v>1</v>
      </c>
      <c r="P344" s="223"/>
      <c r="Q344" s="223">
        <v>370</v>
      </c>
      <c r="R344" s="223">
        <v>0</v>
      </c>
      <c r="S344" s="223">
        <v>0</v>
      </c>
      <c r="T344" s="223">
        <v>0</v>
      </c>
      <c r="U344" s="223">
        <v>0</v>
      </c>
      <c r="V344" s="223">
        <v>0.6</v>
      </c>
      <c r="W344" s="223">
        <v>1</v>
      </c>
      <c r="X344" s="223">
        <v>0</v>
      </c>
      <c r="Y344" s="234">
        <v>79</v>
      </c>
      <c r="Z344" s="223"/>
      <c r="AA344" s="223"/>
      <c r="AB344" s="223">
        <v>100</v>
      </c>
      <c r="AC344" s="223"/>
      <c r="AD344" s="223"/>
      <c r="AE344" s="223">
        <v>100</v>
      </c>
      <c r="AF344" s="223"/>
      <c r="AG344" s="223"/>
      <c r="AH344" s="223">
        <v>100</v>
      </c>
      <c r="AI344" s="223"/>
      <c r="AJ344" s="223"/>
      <c r="AK344" s="223">
        <v>100</v>
      </c>
    </row>
    <row r="345" spans="1:37" x14ac:dyDescent="0.25">
      <c r="A345" s="227" t="s">
        <v>164</v>
      </c>
      <c r="B345" s="221">
        <v>43922</v>
      </c>
      <c r="C345" s="222">
        <v>0</v>
      </c>
      <c r="D345" s="223">
        <v>6</v>
      </c>
      <c r="E345" s="220" t="s">
        <v>49</v>
      </c>
      <c r="F345" s="220" t="s">
        <v>165</v>
      </c>
      <c r="G345" s="220"/>
      <c r="H345" s="220"/>
      <c r="I345" s="223">
        <v>0</v>
      </c>
      <c r="J345" s="220"/>
      <c r="K345" s="220"/>
      <c r="L345" s="223">
        <v>0</v>
      </c>
      <c r="M345" s="223">
        <v>0.56999999999999995</v>
      </c>
      <c r="N345" s="223">
        <v>0.47</v>
      </c>
      <c r="O345" s="223">
        <v>1</v>
      </c>
      <c r="P345" s="223"/>
      <c r="Q345" s="223">
        <v>369</v>
      </c>
      <c r="R345" s="223">
        <v>0</v>
      </c>
      <c r="S345" s="223">
        <v>0</v>
      </c>
      <c r="T345" s="223">
        <v>0</v>
      </c>
      <c r="U345" s="223">
        <v>0</v>
      </c>
      <c r="V345" s="223">
        <v>0</v>
      </c>
      <c r="W345" s="223">
        <v>0</v>
      </c>
      <c r="X345" s="223">
        <v>0</v>
      </c>
      <c r="Y345" s="234">
        <v>79</v>
      </c>
      <c r="Z345" s="223"/>
      <c r="AA345" s="223"/>
      <c r="AB345" s="223">
        <v>100</v>
      </c>
      <c r="AC345" s="223"/>
      <c r="AD345" s="223"/>
      <c r="AE345" s="223">
        <v>100</v>
      </c>
      <c r="AF345" s="223"/>
      <c r="AG345" s="223"/>
      <c r="AH345" s="223">
        <v>100</v>
      </c>
      <c r="AI345" s="223"/>
      <c r="AJ345" s="223"/>
      <c r="AK345" s="223">
        <v>100</v>
      </c>
    </row>
    <row r="346" spans="1:37" x14ac:dyDescent="0.25">
      <c r="A346" s="198"/>
      <c r="C346" s="197"/>
      <c r="D346" s="278">
        <f>SUBTOTAL(109,BASE_DATOS[TIEMPO Hrs])</f>
        <v>2410.5</v>
      </c>
      <c r="E346" s="197"/>
      <c r="F346" s="197"/>
      <c r="G346" s="199">
        <f>SUBTOTAL(109,BASE_DATOS[DISTANCIA POR CARTA])</f>
        <v>5189</v>
      </c>
      <c r="H346" s="197"/>
      <c r="I346" s="197"/>
      <c r="J346" s="199"/>
      <c r="K346" s="199"/>
      <c r="L346" s="199">
        <f>SUBTOTAL(109,BASE_DATOS[MPAL])</f>
        <v>469.26138888888892</v>
      </c>
      <c r="M346" s="199">
        <f>SUBTOTAL(109,BASE_DATOS[AUX.])</f>
        <v>241.24083333333334</v>
      </c>
      <c r="N346" s="199">
        <f>SUBTOTAL(109,BASE_DATOS[CALDERA])</f>
        <v>165.82874999999996</v>
      </c>
      <c r="O346" s="200">
        <f>SUBTOTAL(109,BASE_DATOS[[TOTAL ]])</f>
        <v>862.39541666666673</v>
      </c>
      <c r="P346" s="197"/>
      <c r="Q346" s="197"/>
      <c r="R346" s="197"/>
      <c r="S346" s="197">
        <f>SUBTOTAL(109,BASE_DATOS[[ AUX]])</f>
        <v>2.2800000000000002</v>
      </c>
      <c r="T346" s="197"/>
      <c r="U346" s="197"/>
      <c r="V346" s="197"/>
      <c r="W346" s="201"/>
      <c r="X346" s="197"/>
      <c r="Y346" s="197"/>
      <c r="Z346" s="202"/>
      <c r="AA346" s="197"/>
      <c r="AB346" s="197"/>
      <c r="AC346" s="197"/>
      <c r="AD346" s="197"/>
      <c r="AE346" s="197"/>
      <c r="AF346" s="197"/>
      <c r="AG346" s="197"/>
      <c r="AH346" s="197"/>
      <c r="AI346" s="203"/>
      <c r="AJ346" s="203"/>
      <c r="AK346" s="203"/>
    </row>
    <row r="347" spans="1:37" x14ac:dyDescent="0.25">
      <c r="N347" s="68"/>
    </row>
    <row r="350" spans="1:37" hidden="1" x14ac:dyDescent="0.25">
      <c r="C350" s="194" t="s">
        <v>175</v>
      </c>
    </row>
    <row r="351" spans="1:37" ht="21.75" thickBot="1" x14ac:dyDescent="0.3">
      <c r="C351" s="194" t="s">
        <v>88</v>
      </c>
      <c r="E351" s="285"/>
      <c r="R351" s="195" t="s">
        <v>176</v>
      </c>
    </row>
    <row r="352" spans="1:37" ht="45.75" thickBot="1" x14ac:dyDescent="0.3">
      <c r="C352" s="183" t="s">
        <v>11</v>
      </c>
      <c r="D352" s="184" t="s">
        <v>90</v>
      </c>
      <c r="E352" s="185" t="s">
        <v>91</v>
      </c>
      <c r="F352" s="185" t="s">
        <v>92</v>
      </c>
      <c r="G352" s="185" t="s">
        <v>93</v>
      </c>
      <c r="H352" s="184" t="s">
        <v>170</v>
      </c>
      <c r="I352" s="184" t="s">
        <v>95</v>
      </c>
      <c r="J352" s="184" t="s">
        <v>96</v>
      </c>
      <c r="K352" s="184" t="s">
        <v>97</v>
      </c>
      <c r="L352" s="186" t="s">
        <v>171</v>
      </c>
      <c r="M352" s="187" t="s">
        <v>99</v>
      </c>
      <c r="N352" s="188" t="s">
        <v>100</v>
      </c>
      <c r="R352" s="111" t="s">
        <v>101</v>
      </c>
      <c r="S352" s="111" t="s">
        <v>172</v>
      </c>
      <c r="T352" s="111" t="s">
        <v>102</v>
      </c>
      <c r="U352" s="111" t="s">
        <v>96</v>
      </c>
      <c r="V352" s="111" t="s">
        <v>173</v>
      </c>
      <c r="W352" s="111" t="s">
        <v>174</v>
      </c>
    </row>
    <row r="353" spans="3:23" ht="15.75" thickBot="1" x14ac:dyDescent="0.3">
      <c r="C353" s="189" t="s">
        <v>71</v>
      </c>
      <c r="D353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3" s="78"/>
      <c r="F353" s="79"/>
      <c r="G353" s="79"/>
      <c r="H353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REALIZADA],C353,BASE_DATOS[VIAJE],$E$351)+SUMIFS(BASE_DATOS[AUX.],BASE_DATOS[ACTIVIDAD REALIZADA],C353,BASE_DATOS[VIAJE],$E$351)+SUMIFS(BASE_DATOS[CALDERA],BASE_DATOS[ACTIVIDAD REALIZADA],C353,BASE_DATOS[VIAJE],$E$351))</f>
        <v>0</v>
      </c>
      <c r="I353" s="79">
        <f>IF(ISERROR(Tabla2334[[#This Row],[CONSUMO  REAL]]*24/D353),0,Tabla2334[[#This Row],[CONSUMO  REAL]]*24/D353)</f>
        <v>0</v>
      </c>
      <c r="J353" s="79">
        <v>4.5</v>
      </c>
      <c r="K353" s="78"/>
      <c r="L353" s="79">
        <f>D353*J353/24</f>
        <v>0</v>
      </c>
      <c r="M353" s="80">
        <f t="shared" ref="M353:M360" si="0">L353-H353</f>
        <v>0</v>
      </c>
      <c r="N353" s="190"/>
      <c r="R353" s="118" t="s">
        <v>105</v>
      </c>
      <c r="S353" s="228">
        <f>IF($C$350=$E$351,SUM(BASE_DATOS[GI]),SUMIF(BASE_DATOS[VIAJE],E351,BASE_DATOS[GI]))</f>
        <v>0</v>
      </c>
      <c r="T353" s="84" t="e">
        <f>S353*24/($D$354+$D$360)</f>
        <v>#DIV/0!</v>
      </c>
      <c r="U353" s="39">
        <v>6</v>
      </c>
      <c r="V353" s="85">
        <f>(D354+D360)*U353/24</f>
        <v>0</v>
      </c>
      <c r="W353" s="119">
        <f>V353-S353</f>
        <v>0</v>
      </c>
    </row>
    <row r="354" spans="3:23" ht="15.75" thickBot="1" x14ac:dyDescent="0.3">
      <c r="C354" s="26" t="s">
        <v>51</v>
      </c>
      <c r="D354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4" s="47"/>
      <c r="F354" s="37"/>
      <c r="G354" s="37"/>
      <c r="H354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REALIZADA],C354,BASE_DATOS[VIAJE],$E$351)+SUMIFS(BASE_DATOS[AUX.],BASE_DATOS[ACTIVIDAD REALIZADA],C354,BASE_DATOS[VIAJE],$E$351)+SUMIFS(BASE_DATOS[CALDERA],BASE_DATOS[ACTIVIDAD REALIZADA],C354,BASE_DATOS[VIAJE],$E$351))</f>
        <v>0</v>
      </c>
      <c r="I354" s="37">
        <f>IF(ISERROR(Tabla2334[[#This Row],[CONSUMO  REAL]]*24/D354),0,Tabla2334[[#This Row],[CONSUMO  REAL]]*24/D354)</f>
        <v>0</v>
      </c>
      <c r="J354" s="37">
        <v>4.5</v>
      </c>
      <c r="K354" s="47"/>
      <c r="L354" s="79">
        <f>D354*J354/24</f>
        <v>0</v>
      </c>
      <c r="M354" s="88">
        <f t="shared" si="0"/>
        <v>0</v>
      </c>
      <c r="N354" s="191"/>
      <c r="R354" s="90" t="s">
        <v>106</v>
      </c>
      <c r="S354" s="228">
        <f>IF($C$350=$E$351,SUM(BASE_DATOS[[ AUX]]),SUMIF(BASE_DATOS[VIAJE],E352,BASE_DATOS[[ AUX]]))</f>
        <v>0</v>
      </c>
      <c r="T354" s="84" t="e">
        <f>S354*24/($D$354+$D$360)</f>
        <v>#DIV/0!</v>
      </c>
      <c r="U354" s="47"/>
      <c r="V354" s="47"/>
      <c r="W354" s="89"/>
    </row>
    <row r="355" spans="3:23" ht="15.75" thickBot="1" x14ac:dyDescent="0.3">
      <c r="C355" s="26" t="s">
        <v>61</v>
      </c>
      <c r="D355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5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5" s="37" t="e">
        <f>E355/D355</f>
        <v>#DIV/0!</v>
      </c>
      <c r="G355" s="37">
        <v>12.5</v>
      </c>
      <c r="H355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REALIZADA],C355,BASE_DATOS[VIAJE],$E$351)+SUMIFS(BASE_DATOS[AUX.],BASE_DATOS[ACTIVIDAD REALIZADA],C355,BASE_DATOS[VIAJE],$E$351)+SUMIFS(BASE_DATOS[CALDERA],BASE_DATOS[ACTIVIDAD REALIZADA],C355,BASE_DATOS[VIAJE],$E$351))</f>
        <v>0</v>
      </c>
      <c r="I355" s="37">
        <f>IF(ISERROR(Tabla2334[[#This Row],[CONSUMO  REAL]]*24/D355),0,Tabla2334[[#This Row],[CONSUMO  REAL]]*24/D355)</f>
        <v>0</v>
      </c>
      <c r="J355" s="37">
        <v>30.5</v>
      </c>
      <c r="K355" s="88">
        <f>E355/G355</f>
        <v>0</v>
      </c>
      <c r="L355" s="37">
        <f>K355*J355/24</f>
        <v>0</v>
      </c>
      <c r="M355" s="88">
        <f t="shared" si="0"/>
        <v>0</v>
      </c>
      <c r="N355" s="192">
        <f>K355-D355</f>
        <v>0</v>
      </c>
      <c r="R355" s="90" t="s">
        <v>20</v>
      </c>
      <c r="S355" s="228">
        <f>IF($C$350=$E$351,SUM(BASE_DATOS[ [ CALDERA] ]),SUMIF(BASE_DATOS[VIAJE],E353,BASE_DATOS[ [ CALDERA] ]))</f>
        <v>0</v>
      </c>
      <c r="T355" s="84" t="e">
        <f>S355*24/($D$354+$D$360)</f>
        <v>#DIV/0!</v>
      </c>
      <c r="U355" s="47"/>
      <c r="V355" s="47"/>
      <c r="W355" s="89"/>
    </row>
    <row r="356" spans="3:23" ht="15.75" thickBot="1" x14ac:dyDescent="0.3">
      <c r="C356" s="26" t="s">
        <v>55</v>
      </c>
      <c r="D356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6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6" s="37" t="e">
        <f>E356/D356</f>
        <v>#DIV/0!</v>
      </c>
      <c r="G356" s="37">
        <v>12</v>
      </c>
      <c r="H356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REALIZADA],C356,BASE_DATOS[VIAJE],$E$351)+SUMIFS(BASE_DATOS[AUX.],BASE_DATOS[ACTIVIDAD REALIZADA],C356,BASE_DATOS[VIAJE],$E$351)+SUMIFS(BASE_DATOS[CALDERA],BASE_DATOS[ACTIVIDAD REALIZADA],C356,BASE_DATOS[VIAJE],$E$351))</f>
        <v>0</v>
      </c>
      <c r="I356" s="37">
        <f>IF(ISERROR(Tabla2334[[#This Row],[CONSUMO  REAL]]*24/D356),0,Tabla2334[[#This Row],[CONSUMO  REAL]]*24/D356)</f>
        <v>0</v>
      </c>
      <c r="J356" s="37">
        <v>30.5</v>
      </c>
      <c r="K356" s="88">
        <f>E356/G356</f>
        <v>0</v>
      </c>
      <c r="L356" s="37">
        <f>K356*J356/24</f>
        <v>0</v>
      </c>
      <c r="M356" s="88">
        <f>L356-H356</f>
        <v>0</v>
      </c>
      <c r="N356" s="192">
        <f>K356-D356</f>
        <v>0</v>
      </c>
      <c r="R356" s="90" t="s">
        <v>107</v>
      </c>
      <c r="S356" s="228">
        <f>IF($C$350=$E$351,SUM(BASE_DATOS[PP]),SUMIF(BASE_DATOS[VIAJE],E354,BASE_DATOS[PP]))</f>
        <v>0</v>
      </c>
      <c r="T356" s="84" t="e">
        <f>S356*24/($D$354+$D$360)</f>
        <v>#DIV/0!</v>
      </c>
      <c r="U356" s="47"/>
      <c r="V356" s="47"/>
      <c r="W356" s="89"/>
    </row>
    <row r="357" spans="3:23" ht="15.75" thickBot="1" x14ac:dyDescent="0.3">
      <c r="C357" s="26" t="s">
        <v>108</v>
      </c>
      <c r="D357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7" s="88">
        <f>IF($C$350=$E$351,SUMIF(BASE_DATOS[ACTIVIDAD REALIZADA],Tabla2334[[#This Row],[ACTIVIDAD REALIZADA]],BASE_DATOS[DISTANCIA POR CARTA]),SUMIFS(BASE_DATOS[DISTANCIA POR CARTA],BASE_DATOS[ACTIVIDAD REALIZADA],Tabla2334[[#This Row],[ACTIVIDAD REALIZADA]],BASE_DATOS[VIAJE],$E$351))</f>
        <v>0</v>
      </c>
      <c r="F357" s="37">
        <f>IF(ISERROR(E357/D357),0,E357/D357)</f>
        <v>0</v>
      </c>
      <c r="G357" s="37">
        <v>12</v>
      </c>
      <c r="H357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REALIZADA],C357,BASE_DATOS[VIAJE],$E$351)+SUMIFS(BASE_DATOS[AUX.],BASE_DATOS[ACTIVIDAD REALIZADA],C357,BASE_DATOS[VIAJE],$E$351)+SUMIFS(BASE_DATOS[CALDERA],BASE_DATOS[ACTIVIDAD REALIZADA],C357,BASE_DATOS[VIAJE],$E$351))</f>
        <v>0</v>
      </c>
      <c r="I357" s="37">
        <f>IF(ISERROR(Tabla2334[[#This Row],[CONSUMO  REAL]]*24/D357),0,Tabla2334[[#This Row],[CONSUMO  REAL]]*24/D357)</f>
        <v>0</v>
      </c>
      <c r="J357" s="37">
        <v>30.5</v>
      </c>
      <c r="K357" s="88">
        <f>E357/G357</f>
        <v>0</v>
      </c>
      <c r="L357" s="37">
        <f>K357*J357/24</f>
        <v>0</v>
      </c>
      <c r="M357" s="88">
        <f>L357-H357</f>
        <v>0</v>
      </c>
      <c r="N357" s="192">
        <f>K357-D357</f>
        <v>0</v>
      </c>
      <c r="R357" s="92" t="s">
        <v>24</v>
      </c>
      <c r="S357" s="228">
        <f>IF($C$350=$E$351,SUM(BASE_DATOS[MPAL2]),SUMIF(BASE_DATOS[VIAJE],E355,BASE_DATOS[MPAL2]))</f>
        <v>0</v>
      </c>
      <c r="T357" s="84" t="e">
        <f>S357*24/($D$354+$D$360)</f>
        <v>#DIV/0!</v>
      </c>
      <c r="U357" s="94"/>
      <c r="V357" s="94"/>
      <c r="W357" s="95"/>
    </row>
    <row r="358" spans="3:23" ht="15.75" thickBot="1" x14ac:dyDescent="0.3">
      <c r="C358" s="26" t="s">
        <v>45</v>
      </c>
      <c r="D358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8" s="47"/>
      <c r="F358" s="37"/>
      <c r="G358" s="37"/>
      <c r="H358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REALIZADA],C358,BASE_DATOS[VIAJE],$E$351)+SUMIFS(BASE_DATOS[AUX.],BASE_DATOS[ACTIVIDAD REALIZADA],C358,BASE_DATOS[VIAJE],$E$351)+SUMIFS(BASE_DATOS[CALDERA],BASE_DATOS[ACTIVIDAD REALIZADA],C358,BASE_DATOS[VIAJE],$E$351))</f>
        <v>0</v>
      </c>
      <c r="I358" s="37">
        <f>IF(ISERROR(Tabla2334[[#This Row],[CONSUMO  REAL]]*24/D358),0,Tabla2334[[#This Row],[CONSUMO  REAL]]*24/D358)</f>
        <v>0</v>
      </c>
      <c r="J358" s="37">
        <v>4.5</v>
      </c>
      <c r="K358" s="47"/>
      <c r="L358" s="37">
        <f>D358*J358/24</f>
        <v>0</v>
      </c>
      <c r="M358" s="88">
        <f t="shared" si="0"/>
        <v>0</v>
      </c>
      <c r="N358" s="192"/>
      <c r="T358" s="96"/>
    </row>
    <row r="359" spans="3:23" ht="15.75" thickBot="1" x14ac:dyDescent="0.3">
      <c r="C359" s="26" t="s">
        <v>47</v>
      </c>
      <c r="D359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59" s="47"/>
      <c r="F359" s="37"/>
      <c r="G359" s="37"/>
      <c r="H359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REALIZADA],C359,BASE_DATOS[VIAJE],$E$351)+SUMIFS(BASE_DATOS[AUX.],BASE_DATOS[ACTIVIDAD REALIZADA],C359,BASE_DATOS[VIAJE],$E$351)+SUMIFS(BASE_DATOS[CALDERA],BASE_DATOS[ACTIVIDAD REALIZADA],C359,BASE_DATOS[VIAJE],$E$351))</f>
        <v>0</v>
      </c>
      <c r="I359" s="37">
        <f>IF(ISERROR(Tabla2334[[#This Row],[CONSUMO  REAL]]*24/D359),0,Tabla2334[[#This Row],[CONSUMO  REAL]]*24/D359)</f>
        <v>0</v>
      </c>
      <c r="J359" s="37">
        <v>4.5</v>
      </c>
      <c r="K359" s="47"/>
      <c r="L359" s="37">
        <f>D359*J359/24</f>
        <v>0</v>
      </c>
      <c r="M359" s="88">
        <f t="shared" si="0"/>
        <v>0</v>
      </c>
      <c r="N359" s="192"/>
    </row>
    <row r="360" spans="3:23" ht="15.75" thickBot="1" x14ac:dyDescent="0.3">
      <c r="C360" s="93" t="s">
        <v>49</v>
      </c>
      <c r="D360" s="88">
        <f>IF($C$350=$E$351,SUMIF(BASE_DATOS[ACTIVIDAD REALIZADA],Tabla2334[[#This Row],[ACTIVIDAD REALIZADA]],BASE_DATOS[TIEMPO Hrs]),SUMIFS(BASE_DATOS[TIEMPO Hrs],BASE_DATOS[VIAJE],$E$351,BASE_DATOS[ACTIVIDAD REALIZADA],Tabla2334[[#This Row],[ACTIVIDAD REALIZADA]]))</f>
        <v>0</v>
      </c>
      <c r="E360" s="94"/>
      <c r="F360" s="99"/>
      <c r="G360" s="94"/>
      <c r="H360" s="80">
        <f>IF($C$350=$E$351,SUMIF(BASE_DATOS[ACTIVIDAD REALIZADA],Tabla2334[[#This Row],[ACTIVIDAD REALIZADA]],BASE_DATOS[MPAL])+SUMIF(BASE_DATOS[ACTIVIDAD REALIZADA],Tabla2334[[#This Row],[ACTIVIDAD REALIZADA]],BASE_DATOS[AUX.])+SUMIF(BASE_DATOS[ACTIVIDAD REALIZADA],Tabla2334[[#This Row],[ACTIVIDAD REALIZADA]],BASE_DATOS[CALDERA]),SUMIFS(BASE_DATOS[MPAL],BASE_DATOS[ACTIVIDAD REALIZADA],C360,BASE_DATOS[VIAJE],$E$351)+SUMIFS(BASE_DATOS[AUX.],BASE_DATOS[ACTIVIDAD REALIZADA],C360,BASE_DATOS[VIAJE],$E$351)+SUMIFS(BASE_DATOS[CALDERA],BASE_DATOS[ACTIVIDAD REALIZADA],C360,BASE_DATOS[VIAJE],$E$351))</f>
        <v>0</v>
      </c>
      <c r="I360" s="99">
        <f>IF(ISERROR(Tabla2334[[#This Row],[CONSUMO  REAL]]*24/D360),0,Tabla2334[[#This Row],[CONSUMO  REAL]]*24/D360)</f>
        <v>0</v>
      </c>
      <c r="J360" s="99">
        <v>4.5</v>
      </c>
      <c r="K360" s="94"/>
      <c r="L360" s="99">
        <f>D360*J360/24</f>
        <v>0</v>
      </c>
      <c r="M360" s="98">
        <f t="shared" si="0"/>
        <v>0</v>
      </c>
      <c r="N360" s="193"/>
      <c r="R360" s="100" t="s">
        <v>29</v>
      </c>
      <c r="S360" s="101">
        <f>SUM(S353:S357)</f>
        <v>0</v>
      </c>
      <c r="T360" s="101" t="e">
        <f>SUM(T353:T357)</f>
        <v>#DIV/0!</v>
      </c>
    </row>
    <row r="361" spans="3:23" ht="15.75" thickBot="1" x14ac:dyDescent="0.3">
      <c r="I361" s="1"/>
      <c r="K361" s="1"/>
      <c r="N361" s="68"/>
    </row>
    <row r="362" spans="3:23" ht="15.75" thickBot="1" x14ac:dyDescent="0.3">
      <c r="C362" s="103" t="s">
        <v>29</v>
      </c>
      <c r="D362" s="196">
        <f>SUM(D353:D360)</f>
        <v>0</v>
      </c>
      <c r="E362" s="196">
        <f>SUM(E353:E360)</f>
        <v>0</v>
      </c>
      <c r="F362" s="196" t="e">
        <f>SUM(F353:F360)/2</f>
        <v>#DIV/0!</v>
      </c>
      <c r="H362" s="101">
        <f>SUM(H353:H360)</f>
        <v>0</v>
      </c>
      <c r="L362" s="104">
        <f>SUM(L353:L360)</f>
        <v>0</v>
      </c>
      <c r="M362" s="101">
        <f>SUM(M353:M360)</f>
        <v>0</v>
      </c>
      <c r="N362" s="123">
        <f>SUM(N353:N360)</f>
        <v>0</v>
      </c>
    </row>
    <row r="368" spans="3:23" x14ac:dyDescent="0.25">
      <c r="C368" s="159"/>
    </row>
  </sheetData>
  <sheetProtection formatCells="0" formatColumns="0" formatRows="0" insertColumns="0" insertRows="0"/>
  <protectedRanges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</protectedRanges>
  <dataConsolidate>
    <dataRefs count="1">
      <dataRef ref="B6:B307" sheet="BASE DATOS"/>
    </dataRefs>
  </dataConsolidate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345">
    <cfRule type="cellIs" dxfId="1289" priority="3" operator="greaterThan">
      <formula>0</formula>
    </cfRule>
  </conditionalFormatting>
  <conditionalFormatting sqref="I45:I57">
    <cfRule type="cellIs" dxfId="1288" priority="2" operator="greaterThan">
      <formula>0</formula>
    </cfRule>
  </conditionalFormatting>
  <dataValidations count="3">
    <dataValidation type="list" allowBlank="1" showInputMessage="1" showErrorMessage="1" sqref="E351">
      <formula1>ListaV</formula1>
    </dataValidation>
    <dataValidation type="date" allowBlank="1" showInputMessage="1" showErrorMessage="1" sqref="F351">
      <formula1>#REF!</formula1>
      <formula2>$B$345</formula2>
    </dataValidation>
    <dataValidation type="list" allowBlank="1" showInputMessage="1" showErrorMessage="1" sqref="C366">
      <formula1>"ENERO,FEBRERO,MARZO"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2:AE56"/>
  <sheetViews>
    <sheetView topLeftCell="B4" zoomScale="85" zoomScaleNormal="85" workbookViewId="0">
      <selection activeCell="J55" sqref="J55"/>
    </sheetView>
  </sheetViews>
  <sheetFormatPr baseColWidth="10" defaultColWidth="11.5703125" defaultRowHeight="15" x14ac:dyDescent="0.25"/>
  <cols>
    <col min="1" max="1" width="24" hidden="1" customWidth="1"/>
    <col min="2" max="2" width="6.85546875" customWidth="1"/>
    <col min="3" max="3" width="21.28515625" bestFit="1" customWidth="1"/>
    <col min="4" max="4" width="8.42578125" bestFit="1" customWidth="1"/>
    <col min="5" max="5" width="9" bestFit="1" customWidth="1"/>
    <col min="6" max="6" width="9.42578125" customWidth="1"/>
    <col min="7" max="7" width="9.85546875" customWidth="1"/>
    <col min="8" max="9" width="8.5703125" bestFit="1" customWidth="1"/>
    <col min="10" max="10" width="9.140625" bestFit="1" customWidth="1"/>
    <col min="11" max="11" width="9.140625" customWidth="1"/>
    <col min="12" max="12" width="11.85546875" bestFit="1" customWidth="1"/>
    <col min="13" max="13" width="9.28515625" bestFit="1" customWidth="1"/>
    <col min="14" max="14" width="12.85546875" customWidth="1"/>
    <col min="15" max="15" width="13.42578125" customWidth="1"/>
    <col min="17" max="17" width="21.7109375" bestFit="1" customWidth="1"/>
    <col min="26" max="27" width="11.85546875" bestFit="1" customWidth="1"/>
    <col min="31" max="31" width="0" hidden="1" customWidth="1"/>
  </cols>
  <sheetData>
    <row r="12" spans="1:31" x14ac:dyDescent="0.25">
      <c r="AE12" t="str">
        <f>CONCATENATE("VELOCIDAD EN ",D53)</f>
        <v>VELOCIDAD EN NAVEGACION ECONOMICA</v>
      </c>
    </row>
    <row r="15" spans="1:31" x14ac:dyDescent="0.25">
      <c r="A15" t="s">
        <v>15</v>
      </c>
    </row>
    <row r="22" spans="1:15" x14ac:dyDescent="0.25">
      <c r="A22" s="146" t="s">
        <v>71</v>
      </c>
    </row>
    <row r="23" spans="1:15" x14ac:dyDescent="0.25">
      <c r="A23" s="147" t="s">
        <v>51</v>
      </c>
      <c r="C23" s="148" t="s">
        <v>167</v>
      </c>
      <c r="D23" s="149" t="s">
        <v>71</v>
      </c>
    </row>
    <row r="24" spans="1:15" ht="18" customHeight="1" x14ac:dyDescent="0.25">
      <c r="A24" s="147" t="s">
        <v>61</v>
      </c>
      <c r="C24" s="150" t="s">
        <v>7</v>
      </c>
      <c r="D24" s="151" t="s">
        <v>109</v>
      </c>
      <c r="E24" s="152" t="s">
        <v>133</v>
      </c>
      <c r="F24" s="151" t="s">
        <v>44</v>
      </c>
      <c r="G24" s="152" t="s">
        <v>63</v>
      </c>
      <c r="H24" s="151" t="s">
        <v>82</v>
      </c>
      <c r="I24" s="152" t="s">
        <v>152</v>
      </c>
      <c r="J24" s="151" t="s">
        <v>164</v>
      </c>
      <c r="K24" s="152" t="s">
        <v>177</v>
      </c>
      <c r="L24" s="151" t="s">
        <v>178</v>
      </c>
      <c r="M24" s="152" t="s">
        <v>179</v>
      </c>
      <c r="N24" s="151" t="s">
        <v>180</v>
      </c>
      <c r="O24" s="152" t="s">
        <v>181</v>
      </c>
    </row>
    <row r="25" spans="1:15" ht="15.75" customHeight="1" x14ac:dyDescent="0.25">
      <c r="A25" s="147" t="s">
        <v>55</v>
      </c>
      <c r="C25" s="150" t="s">
        <v>168</v>
      </c>
      <c r="D25" s="153">
        <f>IF($D$23='V051-19'!$R$82,'V051-19'!$U$82,VLOOKUP($D$23,'V051-19'!$C$81:$N$89,8,FALSE))</f>
        <v>4.5</v>
      </c>
      <c r="E25" s="153">
        <f>IF($D$23='V052-20'!$Q$62,'V052-20'!$T$62,VLOOKUP($D$23,'V052-20'!$C$61:$N$69,8,FALSE))</f>
        <v>4.5</v>
      </c>
      <c r="F25" s="153">
        <f>IF($D$23='V053-20'!$R$57,'V053-20'!$U$57,VLOOKUP($D$23,'V053-20'!$C$56:$N$64,8,FALSE))</f>
        <v>4.5</v>
      </c>
      <c r="G25" s="153">
        <f>IF($D$23='V054-20'!$R$54,'V054-20'!$U$54,VLOOKUP($D$23,'V054-20'!$C$53:$N$61,8,FALSE))</f>
        <v>4.5</v>
      </c>
      <c r="H25" s="153">
        <f>IF($D$23='V055-20'!$R$63,'V055-20'!$U$63,VLOOKUP($D$23,'V055-20'!$C$62:$N$70,8,FALSE))</f>
        <v>4.5</v>
      </c>
      <c r="I25" s="153">
        <f>IF($D$23='V056-20'!$R$82,'V056-20'!$U$82,VLOOKUP($D$23,'V056-20'!$C$81:$N$89,8,FALSE))</f>
        <v>4.5</v>
      </c>
      <c r="J25" s="153" t="e">
        <f>IF($D$23=#REF!,#REF!,VLOOKUP($D$23,#REF!,8,FALSE))</f>
        <v>#REF!</v>
      </c>
      <c r="K25" s="153" t="e">
        <f>IF($D$23=#REF!,#REF!,VLOOKUP($D$23,#REF!,8,FALSE))</f>
        <v>#REF!</v>
      </c>
      <c r="L25" s="153" t="e">
        <f>IF($D$23=#REF!,#REF!,VLOOKUP($D$23,#REF!,8,FALSE))</f>
        <v>#REF!</v>
      </c>
      <c r="M25" s="153" t="e">
        <f>IF($D$23=#REF!,#REF!,VLOOKUP($D$23,#REF!,8,FALSE))</f>
        <v>#REF!</v>
      </c>
      <c r="N25" s="153" t="e">
        <f>IF($D$23=#REF!,#REF!,VLOOKUP($D$23,#REF!,8,FALSE))</f>
        <v>#REF!</v>
      </c>
      <c r="O25" s="153" t="e">
        <f>IF($D$23=#REF!,#REF!,VLOOKUP($D$23,#REF!,8,FALSE))</f>
        <v>#REF!</v>
      </c>
    </row>
    <row r="26" spans="1:15" x14ac:dyDescent="0.25">
      <c r="A26" s="147" t="s">
        <v>45</v>
      </c>
      <c r="C26" s="150" t="s">
        <v>196</v>
      </c>
      <c r="D26" s="153">
        <f>IF($D$23='V051-19'!$R$82,'V051-19'!$T$82,VLOOKUP($D$23,'V051-19'!C81:N89,7,FALSE))</f>
        <v>7.0501792114695334</v>
      </c>
      <c r="E26" s="153">
        <f>IF($D$23='V052-20'!$Q$62,'V052-20'!$S$62,VLOOKUP($D$23,'V052-20'!$C$61:$N$69,7,FALSE))</f>
        <v>4.5</v>
      </c>
      <c r="F26" s="153">
        <f>IF($D$23='V053-20'!$R$57,'V053-20'!$T$57,VLOOKUP($D$23,'V053-20'!$C$56:$N$64,8,FALSE))</f>
        <v>4.5</v>
      </c>
      <c r="G26" s="153">
        <f>IF($D$23='V054-20'!$R$54,'V054-20'!$T$54,VLOOKUP($D$23,'V054-20'!C53:N61,7,FALSE))</f>
        <v>4</v>
      </c>
      <c r="H26" s="153">
        <f>IF($D$23='V055-20'!$R$63,'V055-20'!$T$63,VLOOKUP($D$23,'V055-20'!$C$62:$N$70,7,FALSE))</f>
        <v>4.5</v>
      </c>
      <c r="I26" s="153">
        <f>IF($D$23='V056-20'!$R$82,'V056-20'!$T$82,VLOOKUP($D$23,'V056-20'!$C$81:$N$89,7,FALSE))</f>
        <v>4.5</v>
      </c>
      <c r="J26" s="153" t="e">
        <f>IF($D$23=#REF!,#REF!,VLOOKUP($D$23,#REF!,7,FALSE))</f>
        <v>#REF!</v>
      </c>
      <c r="K26" s="153" t="e">
        <f>IF($D$23=#REF!,#REF!,VLOOKUP($D$23,#REF!,7,FALSE))</f>
        <v>#REF!</v>
      </c>
      <c r="L26" s="153" t="e">
        <f>IF($D$23=#REF!,#REF!,VLOOKUP($D$23,#REF!,7,FALSE))</f>
        <v>#REF!</v>
      </c>
      <c r="M26" s="153" t="e">
        <f>IF($D$23=#REF!,#REF!,VLOOKUP($D$23,#REF!,7,FALSE))</f>
        <v>#REF!</v>
      </c>
      <c r="N26" s="153" t="e">
        <f>IF($D$23=#REF!,#REF!,VLOOKUP($D$23,#REF!,7,FALSE))</f>
        <v>#REF!</v>
      </c>
      <c r="O26" s="153" t="e">
        <f>IF($D$23=#REF!,#REF!,VLOOKUP($D$23,#REF!,7,FALSE))</f>
        <v>#REF!</v>
      </c>
    </row>
    <row r="27" spans="1:15" x14ac:dyDescent="0.25">
      <c r="A27" s="6" t="s">
        <v>47</v>
      </c>
    </row>
    <row r="28" spans="1:15" ht="15.75" thickBot="1" x14ac:dyDescent="0.3">
      <c r="A28" s="155" t="s">
        <v>49</v>
      </c>
    </row>
    <row r="29" spans="1:15" x14ac:dyDescent="0.25">
      <c r="A29" s="118" t="s">
        <v>105</v>
      </c>
    </row>
    <row r="31" spans="1:15" x14ac:dyDescent="0.25">
      <c r="A31" s="147"/>
    </row>
    <row r="32" spans="1:15" x14ac:dyDescent="0.25">
      <c r="A32" s="147" t="s">
        <v>61</v>
      </c>
    </row>
    <row r="33" spans="1:1" x14ac:dyDescent="0.25">
      <c r="A33" s="147" t="s">
        <v>55</v>
      </c>
    </row>
    <row r="53" spans="3:15" x14ac:dyDescent="0.25">
      <c r="C53" s="148" t="s">
        <v>167</v>
      </c>
      <c r="D53" s="149" t="s">
        <v>108</v>
      </c>
    </row>
    <row r="54" spans="3:15" x14ac:dyDescent="0.25">
      <c r="C54" s="150" t="s">
        <v>7</v>
      </c>
      <c r="D54" s="151" t="s">
        <v>109</v>
      </c>
      <c r="E54" s="152" t="s">
        <v>133</v>
      </c>
      <c r="F54" s="151" t="s">
        <v>44</v>
      </c>
      <c r="G54" s="152" t="s">
        <v>63</v>
      </c>
      <c r="H54" s="151" t="s">
        <v>82</v>
      </c>
      <c r="I54" s="152" t="s">
        <v>152</v>
      </c>
      <c r="J54" s="151" t="s">
        <v>164</v>
      </c>
      <c r="K54" s="152" t="s">
        <v>177</v>
      </c>
      <c r="L54" s="151" t="s">
        <v>178</v>
      </c>
      <c r="M54" s="152" t="s">
        <v>179</v>
      </c>
      <c r="N54" s="151" t="s">
        <v>180</v>
      </c>
      <c r="O54" s="152" t="s">
        <v>181</v>
      </c>
    </row>
    <row r="55" spans="3:15" x14ac:dyDescent="0.25">
      <c r="C55" s="154" t="s">
        <v>169</v>
      </c>
      <c r="D55" s="153">
        <f>VLOOKUP($D$53,'V051-19'!$C$81:$N$89,5,FALSE)</f>
        <v>12</v>
      </c>
      <c r="E55" s="153">
        <f>VLOOKUP($D$53,'V052-20'!$C$61:$N$69,5,FALSE)</f>
        <v>12</v>
      </c>
      <c r="F55" s="153">
        <f>VLOOKUP($D$53,'V053-20'!$C$56:$N$64,5,FALSE)</f>
        <v>12</v>
      </c>
      <c r="G55" s="153">
        <f>VLOOKUP($D$53,'V054-20'!$C$53:$N$61,5,FALSE)</f>
        <v>12</v>
      </c>
      <c r="H55" s="153">
        <f>VLOOKUP($D$53,'V055-20'!$C$62:$N$70,5,FALSE)</f>
        <v>12</v>
      </c>
      <c r="I55" s="153">
        <f>VLOOKUP($D$53,'V056-20'!$C$81:$N$89,5,FALSE)</f>
        <v>12</v>
      </c>
      <c r="J55" s="153" t="e">
        <f>VLOOKUP($D$53,#REF!,5,FALSE)</f>
        <v>#REF!</v>
      </c>
      <c r="K55" s="153" t="e">
        <f>VLOOKUP($D$53,#REF!,5,FALSE)</f>
        <v>#REF!</v>
      </c>
      <c r="L55" s="153" t="e">
        <f>VLOOKUP($D$53,#REF!,5,FALSE)</f>
        <v>#REF!</v>
      </c>
      <c r="M55" s="153" t="e">
        <f>VLOOKUP($D$53,#REF!,5,FALSE)</f>
        <v>#REF!</v>
      </c>
      <c r="N55" s="153" t="e">
        <f>VLOOKUP($D$53,#REF!,5,FALSE)</f>
        <v>#REF!</v>
      </c>
      <c r="O55" s="153" t="e">
        <f>VLOOKUP($D$53,#REF!,5,FALSE)</f>
        <v>#REF!</v>
      </c>
    </row>
    <row r="56" spans="3:15" x14ac:dyDescent="0.25">
      <c r="C56" s="150" t="s">
        <v>197</v>
      </c>
      <c r="D56" s="153">
        <f>VLOOKUP($D$53,'V051-19'!$C$81:$N$89,4,FALSE)</f>
        <v>0</v>
      </c>
      <c r="E56" s="153">
        <f>VLOOKUP($D$53,'V052-20'!$C$61:$N$69,4,FALSE)</f>
        <v>0</v>
      </c>
      <c r="F56" s="153">
        <f>VLOOKUP($D$53,'V053-20'!$C$56:$N$64,4,FALSE)</f>
        <v>0</v>
      </c>
      <c r="G56" s="153">
        <f>VLOOKUP($D$53,'V054-20'!C53:N61,4,FALSE)</f>
        <v>0</v>
      </c>
      <c r="H56" s="153">
        <f>VLOOKUP($D$53,'V055-20'!$C$62:$N$70,4,FALSE)</f>
        <v>0</v>
      </c>
      <c r="I56" s="153">
        <f>VLOOKUP($D$53,'V056-20'!$C$81:$N$89,4,FALSE)</f>
        <v>0</v>
      </c>
      <c r="J56" s="153" t="e">
        <f>VLOOKUP($D$53,#REF!,4,FALSE)</f>
        <v>#REF!</v>
      </c>
      <c r="K56" s="153" t="e">
        <f>VLOOKUP($D$53,#REF!,4,FALSE)</f>
        <v>#REF!</v>
      </c>
      <c r="L56" s="153" t="e">
        <f>VLOOKUP($D$53,#REF!,4,FALSE)</f>
        <v>#REF!</v>
      </c>
      <c r="M56" s="153" t="e">
        <f>VLOOKUP($D$53,#REF!,4,FALSE)</f>
        <v>#REF!</v>
      </c>
      <c r="N56" s="153" t="e">
        <f>VLOOKUP($D$53,#REF!,4,FALSE)</f>
        <v>#REF!</v>
      </c>
      <c r="O56" s="153" t="e">
        <f>VLOOKUP($D$53,#REF!,4,FALSE)</f>
        <v>#REF!</v>
      </c>
    </row>
  </sheetData>
  <sheetProtection sheet="1" objects="1" scenarios="1" formatCells="0" formatColumns="0" formatRows="0"/>
  <dataValidations count="1">
    <dataValidation type="list" allowBlank="1" showInputMessage="1" showErrorMessage="1" sqref="D23">
      <formula1>$A$22:$A$29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'V051-19'!$C$84:$C$86</xm:f>
          </x14:formula1>
          <xm:sqref>D53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AK131"/>
  <sheetViews>
    <sheetView zoomScale="90" zoomScaleNormal="90" workbookViewId="0">
      <pane xSplit="6" ySplit="5" topLeftCell="T60" activePane="bottomRight" state="frozen"/>
      <selection pane="topRight" activeCell="G1" sqref="G1"/>
      <selection pane="bottomLeft" activeCell="A6" sqref="A6"/>
      <selection pane="bottomRight" activeCell="D77" sqref="D77"/>
    </sheetView>
  </sheetViews>
  <sheetFormatPr baseColWidth="10" defaultColWidth="11.5703125" defaultRowHeight="15" x14ac:dyDescent="0.25"/>
  <cols>
    <col min="1" max="1" width="15.7109375" bestFit="1" customWidth="1"/>
    <col min="2" max="2" width="14.7109375" customWidth="1"/>
    <col min="3" max="3" width="27.42578125" customWidth="1"/>
    <col min="4" max="4" width="14.42578125" customWidth="1"/>
    <col min="5" max="5" width="25.28515625" customWidth="1"/>
    <col min="6" max="6" width="30.42578125" bestFit="1" customWidth="1"/>
    <col min="7" max="8" width="13.85546875" customWidth="1"/>
    <col min="9" max="9" width="14.42578125" style="1" customWidth="1"/>
    <col min="10" max="10" width="13.7109375" customWidth="1"/>
    <col min="11" max="11" width="16" customWidth="1"/>
    <col min="12" max="12" width="15.7109375" customWidth="1"/>
    <col min="13" max="13" width="13.7109375" customWidth="1"/>
    <col min="14" max="14" width="17.28515625" customWidth="1"/>
    <col min="15" max="15" width="21.85546875" customWidth="1"/>
    <col min="16" max="16" width="13" customWidth="1"/>
    <col min="17" max="17" width="12.7109375" customWidth="1"/>
    <col min="19" max="19" width="13.140625" customWidth="1"/>
    <col min="20" max="20" width="12.5703125" customWidth="1"/>
    <col min="21" max="21" width="12.28515625" customWidth="1"/>
    <col min="22" max="22" width="14.8554687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8"/>
    </row>
    <row r="3" spans="1:37" ht="15.75" thickBot="1" x14ac:dyDescent="0.3">
      <c r="G3" s="539" t="s">
        <v>0</v>
      </c>
      <c r="H3" s="540"/>
      <c r="I3" s="540"/>
      <c r="J3" s="540"/>
      <c r="K3" s="541"/>
      <c r="L3" s="542" t="s">
        <v>1</v>
      </c>
      <c r="M3" s="543"/>
      <c r="N3" s="543"/>
      <c r="O3" s="543"/>
      <c r="P3" s="543"/>
      <c r="Q3" s="544"/>
      <c r="R3" s="545" t="s">
        <v>2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43821</v>
      </c>
      <c r="C4" s="341">
        <v>0.66666666666666663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83</v>
      </c>
      <c r="R4" s="553" t="s">
        <v>183</v>
      </c>
      <c r="S4" s="554"/>
      <c r="T4" s="554"/>
      <c r="U4" s="554"/>
      <c r="V4" s="554"/>
      <c r="W4" s="556"/>
      <c r="X4" s="555"/>
      <c r="Y4" s="283">
        <v>20.9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29.25" customHeight="1" thickBot="1" x14ac:dyDescent="0.3">
      <c r="A5" s="204" t="s">
        <v>7</v>
      </c>
      <c r="B5" s="205" t="s">
        <v>8</v>
      </c>
      <c r="C5" s="206" t="s">
        <v>9</v>
      </c>
      <c r="D5" s="206" t="s">
        <v>10</v>
      </c>
      <c r="E5" s="206" t="s">
        <v>11</v>
      </c>
      <c r="F5" s="207" t="s">
        <v>12</v>
      </c>
      <c r="G5" s="208" t="s">
        <v>13</v>
      </c>
      <c r="H5" s="209" t="s">
        <v>14</v>
      </c>
      <c r="I5" s="210" t="s">
        <v>15</v>
      </c>
      <c r="J5" s="210" t="s">
        <v>16</v>
      </c>
      <c r="K5" s="211" t="s">
        <v>17</v>
      </c>
      <c r="L5" s="212" t="s">
        <v>18</v>
      </c>
      <c r="M5" s="213" t="s">
        <v>19</v>
      </c>
      <c r="N5" s="213" t="s">
        <v>20</v>
      </c>
      <c r="O5" s="213" t="s">
        <v>21</v>
      </c>
      <c r="P5" s="213" t="s">
        <v>22</v>
      </c>
      <c r="Q5" s="214" t="s">
        <v>23</v>
      </c>
      <c r="R5" s="229" t="s">
        <v>24</v>
      </c>
      <c r="S5" s="230" t="s">
        <v>25</v>
      </c>
      <c r="T5" s="230" t="s">
        <v>26</v>
      </c>
      <c r="U5" s="231" t="s">
        <v>27</v>
      </c>
      <c r="V5" s="419" t="s">
        <v>28</v>
      </c>
      <c r="W5" s="420" t="s">
        <v>29</v>
      </c>
      <c r="X5" s="232" t="s">
        <v>30</v>
      </c>
      <c r="Y5" s="233" t="s">
        <v>31</v>
      </c>
      <c r="Z5" s="215" t="s">
        <v>32</v>
      </c>
      <c r="AA5" s="216" t="s">
        <v>33</v>
      </c>
      <c r="AB5" s="215" t="s">
        <v>34</v>
      </c>
      <c r="AC5" s="217" t="s">
        <v>35</v>
      </c>
      <c r="AD5" s="217" t="s">
        <v>36</v>
      </c>
      <c r="AE5" s="217" t="s">
        <v>37</v>
      </c>
      <c r="AF5" s="217" t="s">
        <v>38</v>
      </c>
      <c r="AG5" s="219" t="s">
        <v>39</v>
      </c>
      <c r="AH5" s="422" t="s">
        <v>40</v>
      </c>
      <c r="AI5" s="216" t="s">
        <v>41</v>
      </c>
      <c r="AJ5" s="218" t="s">
        <v>42</v>
      </c>
      <c r="AK5" s="422" t="s">
        <v>43</v>
      </c>
    </row>
    <row r="6" spans="1:37" ht="15" customHeight="1" x14ac:dyDescent="0.25">
      <c r="A6" s="390" t="s">
        <v>199</v>
      </c>
      <c r="B6" s="388">
        <v>43821</v>
      </c>
      <c r="C6" s="396">
        <v>0.6875</v>
      </c>
      <c r="D6" s="394">
        <f>IF(V051_20[[#This Row],[FECHA]]-B4=1,((V051_20[[#This Row],[HORA]]-C4)*24)+24,(V051_20[[#This Row],[HORA]]-C4)*24)</f>
        <v>0.50000000000000089</v>
      </c>
      <c r="E6" s="415" t="s">
        <v>47</v>
      </c>
      <c r="F6" s="397" t="s">
        <v>231</v>
      </c>
      <c r="G6" s="391"/>
      <c r="H6" s="391"/>
      <c r="I6" s="392">
        <f>IF(ISERROR(V051_20[[#This Row],[DISTANCIA POR CARTA]]/V051_20[[#This Row],[TIEMPO DE NAVEGACION]]),0,V051_20[[#This Row],[DISTANCIA POR CARTA]]/V051_20[[#This Row],[TIEMPO DE NAVEGACION]])</f>
        <v>0</v>
      </c>
      <c r="J6" s="391"/>
      <c r="K6" s="391"/>
      <c r="L6" s="394">
        <v>0.20833333333333401</v>
      </c>
      <c r="M6" s="394">
        <v>5.2083333333333426E-2</v>
      </c>
      <c r="N6" s="394">
        <v>5.2083333333333426E-2</v>
      </c>
      <c r="O6" s="394">
        <f>SUM(V051_20[[#This Row],[MPAL]:[CALDERA]])</f>
        <v>0.31250000000000083</v>
      </c>
      <c r="P6" s="395"/>
      <c r="Q6" s="281">
        <f>(Q4-V051_20[[#This Row],[TOTAL ]])+V051_20[[#This Row],[FAENA]]</f>
        <v>82.6875</v>
      </c>
      <c r="R6" s="393">
        <v>0</v>
      </c>
      <c r="S6" s="393">
        <v>0</v>
      </c>
      <c r="T6" s="393">
        <v>0</v>
      </c>
      <c r="U6" s="393">
        <v>0</v>
      </c>
      <c r="V6" s="393">
        <v>0</v>
      </c>
      <c r="W6" s="38">
        <f>SUM(V051_20[[#This Row],[MPAL2]:[GI]])</f>
        <v>0</v>
      </c>
      <c r="X6" s="393"/>
      <c r="Y6" s="346">
        <f>(Y4-V051_20[[#This Row],[TOTAL]])+V051_20[[#This Row],[FAENA2]]</f>
        <v>20.9</v>
      </c>
      <c r="Z6" s="393"/>
      <c r="AA6" s="393"/>
      <c r="AB6" s="347">
        <f>(AB4-V051_20[[#This Row],[CYLINDER MP]])+V051_20[[#This Row],[FAENA EN LTS]]</f>
        <v>100</v>
      </c>
      <c r="AC6" s="393"/>
      <c r="AD6" s="393"/>
      <c r="AE6" s="301">
        <f>(AE4-V051_20[[#This Row],[CARTER MP.]])+V051_20[[#This Row],[FAENA EN LTS2]]</f>
        <v>100</v>
      </c>
      <c r="AF6" s="393"/>
      <c r="AG6" s="393"/>
      <c r="AH6" s="421">
        <f>(AH4-V051_20[[#This Row],[MOT AUX]])+V051_20[[#This Row],[FAENA EN  LTS]]</f>
        <v>100</v>
      </c>
      <c r="AI6" s="393"/>
      <c r="AJ6" s="393"/>
      <c r="AK6" s="423">
        <f>(AK4-V051_20[[#This Row],[HIDRAULICO]])+V051_20[[#This Row],[FAENA EN LTS3]]</f>
        <v>100</v>
      </c>
    </row>
    <row r="7" spans="1:37" ht="15" customHeight="1" x14ac:dyDescent="0.25">
      <c r="A7" s="386" t="s">
        <v>199</v>
      </c>
      <c r="B7" s="40">
        <v>43822</v>
      </c>
      <c r="C7" s="351">
        <v>0.33333333333333331</v>
      </c>
      <c r="D7" s="37">
        <f>IF(V051_20[[#This Row],[FECHA]]-B6=1,((V051_20[[#This Row],[HORA]]-C6)*24)+24,(V051_20[[#This Row],[HORA]]-C6)*24)</f>
        <v>15.5</v>
      </c>
      <c r="E7" s="409" t="s">
        <v>45</v>
      </c>
      <c r="F7" s="29" t="s">
        <v>45</v>
      </c>
      <c r="G7" s="410"/>
      <c r="H7" s="412"/>
      <c r="I7" s="411">
        <f>IF(ISERROR(V051_20[[#This Row],[DISTANCIA POR CARTA]]/V051_20[[#This Row],[TIEMPO DE NAVEGACION]]),0,V051_20[[#This Row],[DISTANCIA POR CARTA]]/V051_20[[#This Row],[TIEMPO DE NAVEGACION]])</f>
        <v>0</v>
      </c>
      <c r="J7" s="410"/>
      <c r="K7" s="410"/>
      <c r="L7" s="418">
        <v>0</v>
      </c>
      <c r="M7" s="418">
        <v>1.6145833333333335</v>
      </c>
      <c r="N7" s="418">
        <v>1.6145833333333335</v>
      </c>
      <c r="O7" s="394">
        <f>SUM(V051_20[[#This Row],[MPAL]:[CALDERA]])</f>
        <v>3.229166666666667</v>
      </c>
      <c r="P7" s="319"/>
      <c r="Q7" s="281">
        <f>(Q6-V051_20[[#This Row],[TOTAL ]])+V051_20[[#This Row],[FAENA]]</f>
        <v>79.458333333333329</v>
      </c>
      <c r="R7" s="246">
        <v>0</v>
      </c>
      <c r="S7" s="246">
        <v>0</v>
      </c>
      <c r="T7" s="246">
        <v>0</v>
      </c>
      <c r="U7" s="246">
        <v>0</v>
      </c>
      <c r="V7" s="246">
        <v>0</v>
      </c>
      <c r="W7" s="418">
        <f>SUM(V051_20[[#This Row],[MPAL2]:[GI]])</f>
        <v>0</v>
      </c>
      <c r="X7" s="246"/>
      <c r="Y7" s="345">
        <f>(Y6-V051_20[[#This Row],[TOTAL]])+V051_20[[#This Row],[FAENA2]]</f>
        <v>20.9</v>
      </c>
      <c r="Z7" s="246"/>
      <c r="AA7" s="246"/>
      <c r="AB7" s="301">
        <f>(AB6-V051_20[[#This Row],[CYLINDER MP]])+V051_20[[#This Row],[FAENA EN LTS]]</f>
        <v>100</v>
      </c>
      <c r="AC7" s="246"/>
      <c r="AD7" s="246"/>
      <c r="AE7" s="301">
        <f>(AE6-V051_20[[#This Row],[CARTER MP.]])+V051_20[[#This Row],[FAENA EN LTS2]]</f>
        <v>100</v>
      </c>
      <c r="AF7" s="246"/>
      <c r="AG7" s="246"/>
      <c r="AH7" s="301">
        <f>(AH6-V051_20[[#This Row],[MOT AUX]])+V051_20[[#This Row],[FAENA EN  LTS]]</f>
        <v>100</v>
      </c>
      <c r="AI7" s="246"/>
      <c r="AJ7" s="246"/>
      <c r="AK7" s="348">
        <f>(AK6-V051_20[[#This Row],[HIDRAULICO]])+V051_20[[#This Row],[FAENA EN LTS3]]</f>
        <v>100</v>
      </c>
    </row>
    <row r="8" spans="1:37" ht="15" customHeight="1" x14ac:dyDescent="0.25">
      <c r="A8" s="390" t="s">
        <v>199</v>
      </c>
      <c r="B8" s="388">
        <v>43822</v>
      </c>
      <c r="C8" s="396">
        <v>0.4291666666666667</v>
      </c>
      <c r="D8" s="394">
        <f>IF(V051_20[[#This Row],[FECHA]]-B7=1,((V051_20[[#This Row],[HORA]]-C7)*24)+24,(V051_20[[#This Row],[HORA]]-C7)*24)</f>
        <v>2.3000000000000012</v>
      </c>
      <c r="E8" s="416" t="s">
        <v>45</v>
      </c>
      <c r="F8" s="397" t="s">
        <v>46</v>
      </c>
      <c r="G8" s="398"/>
      <c r="H8" s="398"/>
      <c r="I8" s="417">
        <f>IF(ISERROR(V051_20[[#This Row],[DISTANCIA POR CARTA]]/V051_20[[#This Row],[TIEMPO DE NAVEGACION]]),0,V051_20[[#This Row],[DISTANCIA POR CARTA]]/V051_20[[#This Row],[TIEMPO DE NAVEGACION]])</f>
        <v>0</v>
      </c>
      <c r="J8" s="398"/>
      <c r="K8" s="398"/>
      <c r="L8" s="394">
        <v>0</v>
      </c>
      <c r="M8" s="394">
        <v>0.23958333333333345</v>
      </c>
      <c r="N8" s="394">
        <v>0.23958333333333345</v>
      </c>
      <c r="O8" s="394">
        <f>SUM(V051_20[[#This Row],[MPAL]:[CALDERA]])</f>
        <v>0.47916666666666691</v>
      </c>
      <c r="P8" s="400"/>
      <c r="Q8" s="281">
        <f>(Q7-V051_20[[#This Row],[TOTAL ]])+V051_20[[#This Row],[FAENA]]</f>
        <v>78.979166666666657</v>
      </c>
      <c r="R8" s="394">
        <v>0</v>
      </c>
      <c r="S8" s="394">
        <v>0</v>
      </c>
      <c r="T8" s="394">
        <v>0</v>
      </c>
      <c r="U8" s="394">
        <v>0</v>
      </c>
      <c r="V8" s="394">
        <v>0</v>
      </c>
      <c r="W8" s="418">
        <f>SUM(V051_20[[#This Row],[MPAL2]:[GI]])</f>
        <v>0</v>
      </c>
      <c r="X8" s="394"/>
      <c r="Y8" s="345">
        <f>(Y7-V051_20[[#This Row],[TOTAL]])+V051_20[[#This Row],[FAENA2]]</f>
        <v>20.9</v>
      </c>
      <c r="Z8" s="394"/>
      <c r="AA8" s="394"/>
      <c r="AB8" s="301">
        <f>(AB7-V051_20[[#This Row],[CYLINDER MP]])+V051_20[[#This Row],[FAENA EN LTS]]</f>
        <v>100</v>
      </c>
      <c r="AC8" s="394"/>
      <c r="AD8" s="394"/>
      <c r="AE8" s="301">
        <f>(AE7-V051_20[[#This Row],[CARTER MP.]])+V051_20[[#This Row],[FAENA EN LTS2]]</f>
        <v>100</v>
      </c>
      <c r="AF8" s="394"/>
      <c r="AG8" s="394"/>
      <c r="AH8" s="301">
        <f>(AH7-V051_20[[#This Row],[MOT AUX]])+V051_20[[#This Row],[FAENA EN  LTS]]</f>
        <v>100</v>
      </c>
      <c r="AI8" s="394"/>
      <c r="AJ8" s="394"/>
      <c r="AK8" s="348">
        <f>(AK7-V051_20[[#This Row],[HIDRAULICO]])+V051_20[[#This Row],[FAENA EN LTS3]]</f>
        <v>100</v>
      </c>
    </row>
    <row r="9" spans="1:37" ht="15" customHeight="1" x14ac:dyDescent="0.25">
      <c r="A9" s="386" t="s">
        <v>199</v>
      </c>
      <c r="B9" s="40">
        <v>43822</v>
      </c>
      <c r="C9" s="351">
        <v>0.4916666666666667</v>
      </c>
      <c r="D9" s="37">
        <f>IF(V051_20[[#This Row],[FECHA]]-B8=1,((V051_20[[#This Row],[HORA]]-C8)*24)+24,(V051_20[[#This Row],[HORA]]-C8)*24)</f>
        <v>1.5</v>
      </c>
      <c r="E9" s="409" t="s">
        <v>47</v>
      </c>
      <c r="F9" s="29" t="s">
        <v>74</v>
      </c>
      <c r="G9" s="410"/>
      <c r="H9" s="412"/>
      <c r="I9" s="411">
        <f>IF(ISERROR(V051_20[[#This Row],[DISTANCIA POR CARTA]]/V051_20[[#This Row],[TIEMPO DE NAVEGACION]]),0,V051_20[[#This Row],[DISTANCIA POR CARTA]]/V051_20[[#This Row],[TIEMPO DE NAVEGACION]])</f>
        <v>0</v>
      </c>
      <c r="J9" s="410"/>
      <c r="K9" s="410"/>
      <c r="L9" s="418">
        <v>0</v>
      </c>
      <c r="M9" s="418">
        <v>0.15625</v>
      </c>
      <c r="N9" s="418">
        <v>0.15625</v>
      </c>
      <c r="O9" s="394">
        <f>SUM(V051_20[[#This Row],[MPAL]:[CALDERA]])</f>
        <v>0.3125</v>
      </c>
      <c r="P9" s="319"/>
      <c r="Q9" s="281">
        <f>(Q8-V051_20[[#This Row],[TOTAL ]])+V051_20[[#This Row],[FAENA]]</f>
        <v>78.666666666666657</v>
      </c>
      <c r="R9" s="246">
        <v>0</v>
      </c>
      <c r="S9" s="246">
        <v>0</v>
      </c>
      <c r="T9" s="246">
        <v>0</v>
      </c>
      <c r="U9" s="246">
        <v>0</v>
      </c>
      <c r="V9" s="246">
        <v>0</v>
      </c>
      <c r="W9" s="418">
        <f>SUM(V051_20[[#This Row],[MPAL2]:[GI]])</f>
        <v>0</v>
      </c>
      <c r="X9" s="246"/>
      <c r="Y9" s="345">
        <f>(Y8-V051_20[[#This Row],[TOTAL]])+V051_20[[#This Row],[FAENA2]]</f>
        <v>20.9</v>
      </c>
      <c r="Z9" s="246"/>
      <c r="AA9" s="246"/>
      <c r="AB9" s="301">
        <f>(AB8-V051_20[[#This Row],[CYLINDER MP]])+V051_20[[#This Row],[FAENA EN LTS]]</f>
        <v>100</v>
      </c>
      <c r="AC9" s="246"/>
      <c r="AD9" s="246"/>
      <c r="AE9" s="301">
        <f>(AE8-V051_20[[#This Row],[CARTER MP.]])+V051_20[[#This Row],[FAENA EN LTS2]]</f>
        <v>100</v>
      </c>
      <c r="AF9" s="246"/>
      <c r="AG9" s="246"/>
      <c r="AH9" s="301">
        <f>(AH8-V051_20[[#This Row],[MOT AUX]])+V051_20[[#This Row],[FAENA EN  LTS]]</f>
        <v>100</v>
      </c>
      <c r="AI9" s="246"/>
      <c r="AJ9" s="246"/>
      <c r="AK9" s="348">
        <f>(AK8-V051_20[[#This Row],[HIDRAULICO]])+V051_20[[#This Row],[FAENA EN LTS3]]</f>
        <v>100</v>
      </c>
    </row>
    <row r="10" spans="1:37" ht="15" customHeight="1" x14ac:dyDescent="0.25">
      <c r="A10" s="390" t="s">
        <v>199</v>
      </c>
      <c r="B10" s="388">
        <v>43822</v>
      </c>
      <c r="C10" s="396">
        <v>0.52500000000000002</v>
      </c>
      <c r="D10" s="394">
        <f>IF(V051_20[[#This Row],[FECHA]]-B9=1,((V051_20[[#This Row],[HORA]]-C9)*24)+24,(V051_20[[#This Row],[HORA]]-C9)*24)</f>
        <v>0.79999999999999982</v>
      </c>
      <c r="E10" s="416" t="s">
        <v>47</v>
      </c>
      <c r="F10" s="397" t="s">
        <v>48</v>
      </c>
      <c r="G10" s="398"/>
      <c r="H10" s="398"/>
      <c r="I10" s="417">
        <f>IF(ISERROR(V051_20[[#This Row],[DISTANCIA POR CARTA]]/V051_20[[#This Row],[TIEMPO DE NAVEGACION]]),0,V051_20[[#This Row],[DISTANCIA POR CARTA]]/V051_20[[#This Row],[TIEMPO DE NAVEGACION]])</f>
        <v>0</v>
      </c>
      <c r="J10" s="398"/>
      <c r="K10" s="398"/>
      <c r="L10" s="394">
        <v>0.33333333333333326</v>
      </c>
      <c r="M10" s="394">
        <v>8.3333333333333315E-2</v>
      </c>
      <c r="N10" s="394">
        <v>8.3333333333333315E-2</v>
      </c>
      <c r="O10" s="394">
        <f>SUM(V051_20[[#This Row],[MPAL]:[CALDERA]])</f>
        <v>0.49999999999999989</v>
      </c>
      <c r="P10" s="400"/>
      <c r="Q10" s="281">
        <f>(Q9-V051_20[[#This Row],[TOTAL ]])+V051_20[[#This Row],[FAENA]]</f>
        <v>78.166666666666657</v>
      </c>
      <c r="R10" s="394">
        <v>0</v>
      </c>
      <c r="S10" s="394">
        <v>0</v>
      </c>
      <c r="T10" s="394">
        <v>0</v>
      </c>
      <c r="U10" s="394">
        <v>0</v>
      </c>
      <c r="V10" s="394">
        <v>0</v>
      </c>
      <c r="W10" s="418">
        <f>SUM(V051_20[[#This Row],[MPAL2]:[GI]])</f>
        <v>0</v>
      </c>
      <c r="X10" s="394"/>
      <c r="Y10" s="345">
        <f>(Y9-V051_20[[#This Row],[TOTAL]])+V051_20[[#This Row],[FAENA2]]</f>
        <v>20.9</v>
      </c>
      <c r="Z10" s="394"/>
      <c r="AA10" s="394"/>
      <c r="AB10" s="301">
        <f>(AB9-V051_20[[#This Row],[CYLINDER MP]])+V051_20[[#This Row],[FAENA EN LTS]]</f>
        <v>100</v>
      </c>
      <c r="AC10" s="394"/>
      <c r="AD10" s="394"/>
      <c r="AE10" s="301">
        <f>(AE9-V051_20[[#This Row],[CARTER MP.]])+V051_20[[#This Row],[FAENA EN LTS2]]</f>
        <v>100</v>
      </c>
      <c r="AF10" s="394"/>
      <c r="AG10" s="394"/>
      <c r="AH10" s="301">
        <f>(AH9-V051_20[[#This Row],[MOT AUX]])+V051_20[[#This Row],[FAENA EN  LTS]]</f>
        <v>100</v>
      </c>
      <c r="AI10" s="394"/>
      <c r="AJ10" s="394"/>
      <c r="AK10" s="348">
        <f>(AK9-V051_20[[#This Row],[HIDRAULICO]])+V051_20[[#This Row],[FAENA EN LTS3]]</f>
        <v>100</v>
      </c>
    </row>
    <row r="11" spans="1:37" ht="15" customHeight="1" x14ac:dyDescent="0.25">
      <c r="A11" s="386" t="s">
        <v>199</v>
      </c>
      <c r="B11" s="40">
        <v>43823</v>
      </c>
      <c r="C11" s="351">
        <v>0.33333333333333331</v>
      </c>
      <c r="D11" s="37">
        <f>IF(V051_20[[#This Row],[FECHA]]-B10=1,((V051_20[[#This Row],[HORA]]-C10)*24)+24,(V051_20[[#This Row],[HORA]]-C10)*24)</f>
        <v>19.399999999999999</v>
      </c>
      <c r="E11" s="409" t="s">
        <v>49</v>
      </c>
      <c r="F11" s="29" t="s">
        <v>71</v>
      </c>
      <c r="G11" s="410"/>
      <c r="H11" s="412"/>
      <c r="I11" s="411">
        <f>IF(ISERROR(V051_20[[#This Row],[DISTANCIA POR CARTA]]/V051_20[[#This Row],[TIEMPO DE NAVEGACION]]),0,V051_20[[#This Row],[DISTANCIA POR CARTA]]/V051_20[[#This Row],[TIEMPO DE NAVEGACION]])</f>
        <v>0</v>
      </c>
      <c r="J11" s="410"/>
      <c r="K11" s="410"/>
      <c r="L11" s="418">
        <v>0</v>
      </c>
      <c r="M11" s="418">
        <v>2.0208333333333335</v>
      </c>
      <c r="N11" s="418">
        <v>2.0208333333333335</v>
      </c>
      <c r="O11" s="394">
        <f>SUM(V051_20[[#This Row],[MPAL]:[CALDERA]])</f>
        <v>4.041666666666667</v>
      </c>
      <c r="P11" s="319"/>
      <c r="Q11" s="281">
        <f>(Q10-V051_20[[#This Row],[TOTAL ]])+V051_20[[#This Row],[FAENA]]</f>
        <v>74.124999999999986</v>
      </c>
      <c r="R11" s="246">
        <v>0</v>
      </c>
      <c r="S11" s="246">
        <v>0.1</v>
      </c>
      <c r="T11" s="246">
        <v>0</v>
      </c>
      <c r="U11" s="246">
        <v>0</v>
      </c>
      <c r="V11" s="246">
        <v>0</v>
      </c>
      <c r="W11" s="418">
        <f>SUM(V051_20[[#This Row],[MPAL2]:[GI]])</f>
        <v>0.1</v>
      </c>
      <c r="X11" s="246"/>
      <c r="Y11" s="345">
        <f>(Y10-V051_20[[#This Row],[TOTAL]])+V051_20[[#This Row],[FAENA2]]</f>
        <v>20.799999999999997</v>
      </c>
      <c r="Z11" s="246"/>
      <c r="AA11" s="246"/>
      <c r="AB11" s="301">
        <f>(AB10-V051_20[[#This Row],[CYLINDER MP]])+V051_20[[#This Row],[FAENA EN LTS]]</f>
        <v>100</v>
      </c>
      <c r="AC11" s="246"/>
      <c r="AD11" s="246"/>
      <c r="AE11" s="301">
        <f>(AE10-V051_20[[#This Row],[CARTER MP.]])+V051_20[[#This Row],[FAENA EN LTS2]]</f>
        <v>100</v>
      </c>
      <c r="AF11" s="246"/>
      <c r="AG11" s="246"/>
      <c r="AH11" s="301">
        <f>(AH10-V051_20[[#This Row],[MOT AUX]])+V051_20[[#This Row],[FAENA EN  LTS]]</f>
        <v>100</v>
      </c>
      <c r="AI11" s="246"/>
      <c r="AJ11" s="246"/>
      <c r="AK11" s="348">
        <f>(AK10-V051_20[[#This Row],[HIDRAULICO]])+V051_20[[#This Row],[FAENA EN LTS3]]</f>
        <v>100</v>
      </c>
    </row>
    <row r="12" spans="1:37" ht="15" customHeight="1" x14ac:dyDescent="0.25">
      <c r="A12" s="390" t="s">
        <v>199</v>
      </c>
      <c r="B12" s="388">
        <v>43824</v>
      </c>
      <c r="C12" s="396">
        <v>0.125</v>
      </c>
      <c r="D12" s="394">
        <f>IF(V051_20[[#This Row],[FECHA]]-B11=1,((V051_20[[#This Row],[HORA]]-C11)*24)+24,(V051_20[[#This Row],[HORA]]-C11)*24)</f>
        <v>19</v>
      </c>
      <c r="E12" s="416" t="s">
        <v>71</v>
      </c>
      <c r="F12" s="397" t="s">
        <v>73</v>
      </c>
      <c r="G12" s="398"/>
      <c r="H12" s="398"/>
      <c r="I12" s="417">
        <f>IF(ISERROR(V051_20[[#This Row],[DISTANCIA POR CARTA]]/V051_20[[#This Row],[TIEMPO DE NAVEGACION]]),0,V051_20[[#This Row],[DISTANCIA POR CARTA]]/V051_20[[#This Row],[TIEMPO DE NAVEGACION]])</f>
        <v>0</v>
      </c>
      <c r="J12" s="398"/>
      <c r="K12" s="398"/>
      <c r="L12" s="394">
        <v>0</v>
      </c>
      <c r="M12" s="394">
        <v>1.9791666666666667</v>
      </c>
      <c r="N12" s="394">
        <v>1.9791666666666667</v>
      </c>
      <c r="O12" s="394">
        <f>SUM(V051_20[[#This Row],[MPAL]:[CALDERA]])</f>
        <v>3.9583333333333335</v>
      </c>
      <c r="P12" s="400"/>
      <c r="Q12" s="281">
        <f>(Q11-V051_20[[#This Row],[TOTAL ]])+V051_20[[#This Row],[FAENA]]</f>
        <v>70.166666666666657</v>
      </c>
      <c r="R12" s="394">
        <v>0</v>
      </c>
      <c r="S12" s="394">
        <v>0</v>
      </c>
      <c r="T12" s="394">
        <v>0</v>
      </c>
      <c r="U12" s="394">
        <v>0</v>
      </c>
      <c r="V12" s="394">
        <v>0</v>
      </c>
      <c r="W12" s="418">
        <f>SUM(V051_20[[#This Row],[MPAL2]:[GI]])</f>
        <v>0</v>
      </c>
      <c r="X12" s="394"/>
      <c r="Y12" s="345">
        <f>(Y11-V051_20[[#This Row],[TOTAL]])+V051_20[[#This Row],[FAENA2]]</f>
        <v>20.799999999999997</v>
      </c>
      <c r="Z12" s="394"/>
      <c r="AA12" s="394"/>
      <c r="AB12" s="301">
        <f>(AB11-V051_20[[#This Row],[CYLINDER MP]])+V051_20[[#This Row],[FAENA EN LTS]]</f>
        <v>100</v>
      </c>
      <c r="AC12" s="394"/>
      <c r="AD12" s="394"/>
      <c r="AE12" s="301">
        <f>(AE11-V051_20[[#This Row],[CARTER MP.]])+V051_20[[#This Row],[FAENA EN LTS2]]</f>
        <v>100</v>
      </c>
      <c r="AF12" s="394"/>
      <c r="AG12" s="394"/>
      <c r="AH12" s="301">
        <f>(AH11-V051_20[[#This Row],[MOT AUX]])+V051_20[[#This Row],[FAENA EN  LTS]]</f>
        <v>100</v>
      </c>
      <c r="AI12" s="394"/>
      <c r="AJ12" s="394"/>
      <c r="AK12" s="348">
        <f>(AK11-V051_20[[#This Row],[HIDRAULICO]])+V051_20[[#This Row],[FAENA EN LTS3]]</f>
        <v>100</v>
      </c>
    </row>
    <row r="13" spans="1:37" ht="15" customHeight="1" x14ac:dyDescent="0.25">
      <c r="A13" s="386" t="s">
        <v>199</v>
      </c>
      <c r="B13" s="40">
        <v>43824</v>
      </c>
      <c r="C13" s="351">
        <v>0.28333333333333333</v>
      </c>
      <c r="D13" s="37">
        <f>IF(V051_20[[#This Row],[FECHA]]-B12=1,((V051_20[[#This Row],[HORA]]-C12)*24)+24,(V051_20[[#This Row],[HORA]]-C12)*24)</f>
        <v>3.8</v>
      </c>
      <c r="E13" s="409" t="s">
        <v>49</v>
      </c>
      <c r="F13" s="29" t="s">
        <v>74</v>
      </c>
      <c r="G13" s="410"/>
      <c r="H13" s="412"/>
      <c r="I13" s="411">
        <f>IF(ISERROR(V051_20[[#This Row],[DISTANCIA POR CARTA]]/V051_20[[#This Row],[TIEMPO DE NAVEGACION]]),0,V051_20[[#This Row],[DISTANCIA POR CARTA]]/V051_20[[#This Row],[TIEMPO DE NAVEGACION]])</f>
        <v>0</v>
      </c>
      <c r="J13" s="410"/>
      <c r="K13" s="410"/>
      <c r="L13" s="418">
        <v>0</v>
      </c>
      <c r="M13" s="418">
        <v>0.39583333333333331</v>
      </c>
      <c r="N13" s="418">
        <v>0.39583333333333331</v>
      </c>
      <c r="O13" s="394">
        <f>SUM(V051_20[[#This Row],[MPAL]:[CALDERA]])</f>
        <v>0.79166666666666663</v>
      </c>
      <c r="P13" s="319"/>
      <c r="Q13" s="281">
        <f>(Q12-V051_20[[#This Row],[TOTAL ]])+V051_20[[#This Row],[FAENA]]</f>
        <v>69.374999999999986</v>
      </c>
      <c r="R13" s="246">
        <v>0</v>
      </c>
      <c r="S13" s="246">
        <v>0</v>
      </c>
      <c r="T13" s="246">
        <v>0</v>
      </c>
      <c r="U13" s="246">
        <v>0</v>
      </c>
      <c r="V13" s="246">
        <v>0</v>
      </c>
      <c r="W13" s="418">
        <f>SUM(V051_20[[#This Row],[MPAL2]:[GI]])</f>
        <v>0</v>
      </c>
      <c r="X13" s="246"/>
      <c r="Y13" s="345">
        <f>(Y12-V051_20[[#This Row],[TOTAL]])+V051_20[[#This Row],[FAENA2]]</f>
        <v>20.799999999999997</v>
      </c>
      <c r="Z13" s="246"/>
      <c r="AA13" s="246"/>
      <c r="AB13" s="301">
        <f>(AB12-V051_20[[#This Row],[CYLINDER MP]])+V051_20[[#This Row],[FAENA EN LTS]]</f>
        <v>100</v>
      </c>
      <c r="AC13" s="246"/>
      <c r="AD13" s="246"/>
      <c r="AE13" s="301">
        <f>(AE12-V051_20[[#This Row],[CARTER MP.]])+V051_20[[#This Row],[FAENA EN LTS2]]</f>
        <v>100</v>
      </c>
      <c r="AF13" s="246"/>
      <c r="AG13" s="246"/>
      <c r="AH13" s="301">
        <f>(AH12-V051_20[[#This Row],[MOT AUX]])+V051_20[[#This Row],[FAENA EN  LTS]]</f>
        <v>100</v>
      </c>
      <c r="AI13" s="246"/>
      <c r="AJ13" s="246"/>
      <c r="AK13" s="348">
        <f>(AK12-V051_20[[#This Row],[HIDRAULICO]])+V051_20[[#This Row],[FAENA EN LTS3]]</f>
        <v>100</v>
      </c>
    </row>
    <row r="14" spans="1:37" ht="15" customHeight="1" x14ac:dyDescent="0.25">
      <c r="A14" s="390" t="s">
        <v>199</v>
      </c>
      <c r="B14" s="388">
        <v>43824</v>
      </c>
      <c r="C14" s="396">
        <v>0.30416666666666664</v>
      </c>
      <c r="D14" s="394">
        <f>IF(V051_20[[#This Row],[FECHA]]-B13=1,((V051_20[[#This Row],[HORA]]-C13)*24)+24,(V051_20[[#This Row],[HORA]]-C13)*24)</f>
        <v>0.49999999999999956</v>
      </c>
      <c r="E14" s="416" t="s">
        <v>47</v>
      </c>
      <c r="F14" s="397" t="s">
        <v>48</v>
      </c>
      <c r="G14" s="398"/>
      <c r="H14" s="398"/>
      <c r="I14" s="417">
        <f>IF(ISERROR(V051_20[[#This Row],[DISTANCIA POR CARTA]]/V051_20[[#This Row],[TIEMPO DE NAVEGACION]]),0,V051_20[[#This Row],[DISTANCIA POR CARTA]]/V051_20[[#This Row],[TIEMPO DE NAVEGACION]])</f>
        <v>0</v>
      </c>
      <c r="J14" s="398"/>
      <c r="K14" s="398"/>
      <c r="L14" s="394">
        <v>0.20833333333333315</v>
      </c>
      <c r="M14" s="394">
        <v>5.2083333333333287E-2</v>
      </c>
      <c r="N14" s="394">
        <v>5.2083333333333287E-2</v>
      </c>
      <c r="O14" s="394">
        <f>SUM(V051_20[[#This Row],[MPAL]:[CALDERA]])</f>
        <v>0.31249999999999967</v>
      </c>
      <c r="P14" s="400"/>
      <c r="Q14" s="281">
        <f>(Q13-V051_20[[#This Row],[TOTAL ]])+V051_20[[#This Row],[FAENA]]</f>
        <v>69.062499999999986</v>
      </c>
      <c r="R14" s="394">
        <v>0</v>
      </c>
      <c r="S14" s="394">
        <v>0</v>
      </c>
      <c r="T14" s="394">
        <v>0</v>
      </c>
      <c r="U14" s="394">
        <v>0</v>
      </c>
      <c r="V14" s="394">
        <v>0</v>
      </c>
      <c r="W14" s="418">
        <f>SUM(V051_20[[#This Row],[MPAL2]:[GI]])</f>
        <v>0</v>
      </c>
      <c r="X14" s="394"/>
      <c r="Y14" s="345">
        <f>(Y13-V051_20[[#This Row],[TOTAL]])+V051_20[[#This Row],[FAENA2]]</f>
        <v>20.799999999999997</v>
      </c>
      <c r="Z14" s="394"/>
      <c r="AA14" s="394"/>
      <c r="AB14" s="301">
        <f>(AB13-V051_20[[#This Row],[CYLINDER MP]])+V051_20[[#This Row],[FAENA EN LTS]]</f>
        <v>100</v>
      </c>
      <c r="AC14" s="394"/>
      <c r="AD14" s="394"/>
      <c r="AE14" s="301">
        <f>(AE13-V051_20[[#This Row],[CARTER MP.]])+V051_20[[#This Row],[FAENA EN LTS2]]</f>
        <v>100</v>
      </c>
      <c r="AF14" s="394"/>
      <c r="AG14" s="394"/>
      <c r="AH14" s="301">
        <f>(AH13-V051_20[[#This Row],[MOT AUX]])+V051_20[[#This Row],[FAENA EN  LTS]]</f>
        <v>100</v>
      </c>
      <c r="AI14" s="394"/>
      <c r="AJ14" s="394"/>
      <c r="AK14" s="348">
        <f>(AK13-V051_20[[#This Row],[HIDRAULICO]])+V051_20[[#This Row],[FAENA EN LTS3]]</f>
        <v>100</v>
      </c>
    </row>
    <row r="15" spans="1:37" ht="15" customHeight="1" x14ac:dyDescent="0.25">
      <c r="A15" s="386" t="s">
        <v>199</v>
      </c>
      <c r="B15" s="40">
        <v>43824</v>
      </c>
      <c r="C15" s="351">
        <v>0.33333333333333331</v>
      </c>
      <c r="D15" s="37">
        <f>IF(V051_20[[#This Row],[FECHA]]-B14=1,((V051_20[[#This Row],[HORA]]-C14)*24)+24,(V051_20[[#This Row],[HORA]]-C14)*24)</f>
        <v>0.70000000000000018</v>
      </c>
      <c r="E15" s="409" t="s">
        <v>47</v>
      </c>
      <c r="F15" s="29" t="s">
        <v>232</v>
      </c>
      <c r="G15" s="410"/>
      <c r="H15" s="412"/>
      <c r="I15" s="411">
        <f>IF(ISERROR(V051_20[[#This Row],[DISTANCIA POR CARTA]]/V051_20[[#This Row],[TIEMPO DE NAVEGACION]]),0,V051_20[[#This Row],[DISTANCIA POR CARTA]]/V051_20[[#This Row],[TIEMPO DE NAVEGACION]])</f>
        <v>0</v>
      </c>
      <c r="J15" s="410"/>
      <c r="K15" s="410"/>
      <c r="L15" s="418">
        <v>0.72916666666666685</v>
      </c>
      <c r="M15" s="418">
        <v>7.2916666666666685E-2</v>
      </c>
      <c r="N15" s="418">
        <v>7.2916666666666685E-2</v>
      </c>
      <c r="O15" s="394">
        <f>SUM(V051_20[[#This Row],[MPAL]:[CALDERA]])</f>
        <v>0.87500000000000022</v>
      </c>
      <c r="P15" s="319"/>
      <c r="Q15" s="281">
        <f>(Q14-V051_20[[#This Row],[TOTAL ]])+V051_20[[#This Row],[FAENA]]</f>
        <v>68.187499999999986</v>
      </c>
      <c r="R15" s="246">
        <v>0</v>
      </c>
      <c r="S15" s="246">
        <v>0</v>
      </c>
      <c r="T15" s="246">
        <v>0</v>
      </c>
      <c r="U15" s="246">
        <v>0</v>
      </c>
      <c r="V15" s="246">
        <v>0</v>
      </c>
      <c r="W15" s="418">
        <f>SUM(V051_20[[#This Row],[MPAL2]:[GI]])</f>
        <v>0</v>
      </c>
      <c r="X15" s="246"/>
      <c r="Y15" s="345">
        <f>(Y14-V051_20[[#This Row],[TOTAL]])+V051_20[[#This Row],[FAENA2]]</f>
        <v>20.799999999999997</v>
      </c>
      <c r="Z15" s="246"/>
      <c r="AA15" s="246"/>
      <c r="AB15" s="301">
        <f>(AB14-V051_20[[#This Row],[CYLINDER MP]])+V051_20[[#This Row],[FAENA EN LTS]]</f>
        <v>100</v>
      </c>
      <c r="AC15" s="246"/>
      <c r="AD15" s="246"/>
      <c r="AE15" s="301">
        <f>(AE14-V051_20[[#This Row],[CARTER MP.]])+V051_20[[#This Row],[FAENA EN LTS2]]</f>
        <v>100</v>
      </c>
      <c r="AF15" s="246"/>
      <c r="AG15" s="246"/>
      <c r="AH15" s="301">
        <f>(AH14-V051_20[[#This Row],[MOT AUX]])+V051_20[[#This Row],[FAENA EN  LTS]]</f>
        <v>100</v>
      </c>
      <c r="AI15" s="246"/>
      <c r="AJ15" s="246"/>
      <c r="AK15" s="348">
        <f>(AK14-V051_20[[#This Row],[HIDRAULICO]])+V051_20[[#This Row],[FAENA EN LTS3]]</f>
        <v>100</v>
      </c>
    </row>
    <row r="16" spans="1:37" ht="15" customHeight="1" x14ac:dyDescent="0.25">
      <c r="A16" s="390" t="s">
        <v>199</v>
      </c>
      <c r="B16" s="388">
        <v>43824</v>
      </c>
      <c r="C16" s="396">
        <v>0.77916666666666667</v>
      </c>
      <c r="D16" s="394">
        <f>IF(V051_20[[#This Row],[FECHA]]-B15=1,((V051_20[[#This Row],[HORA]]-C15)*24)+24,(V051_20[[#This Row],[HORA]]-C15)*24)</f>
        <v>10.700000000000001</v>
      </c>
      <c r="E16" s="416" t="s">
        <v>55</v>
      </c>
      <c r="F16" s="397" t="s">
        <v>219</v>
      </c>
      <c r="G16" s="398"/>
      <c r="H16" s="398"/>
      <c r="I16" s="417">
        <f>IF(ISERROR(V051_20[[#This Row],[DISTANCIA POR CARTA]]/V051_20[[#This Row],[TIEMPO DE NAVEGACION]]),0,V051_20[[#This Row],[DISTANCIA POR CARTA]]/V051_20[[#This Row],[TIEMPO DE NAVEGACION]])</f>
        <v>0</v>
      </c>
      <c r="J16" s="398"/>
      <c r="K16" s="398"/>
      <c r="L16" s="394">
        <v>11.145833333333336</v>
      </c>
      <c r="M16" s="394">
        <v>1.1145833333333335</v>
      </c>
      <c r="N16" s="394">
        <v>1.1145833333333335</v>
      </c>
      <c r="O16" s="394">
        <f>SUM(V051_20[[#This Row],[MPAL]:[CALDERA]])</f>
        <v>13.375000000000004</v>
      </c>
      <c r="P16" s="400"/>
      <c r="Q16" s="281">
        <f>(Q15-V051_20[[#This Row],[TOTAL ]])+V051_20[[#This Row],[FAENA]]</f>
        <v>54.812499999999986</v>
      </c>
      <c r="R16" s="394">
        <v>0</v>
      </c>
      <c r="S16" s="394">
        <v>0</v>
      </c>
      <c r="T16" s="394">
        <v>0</v>
      </c>
      <c r="U16" s="394">
        <v>0</v>
      </c>
      <c r="V16" s="394">
        <v>0</v>
      </c>
      <c r="W16" s="418">
        <f>SUM(V051_20[[#This Row],[MPAL2]:[GI]])</f>
        <v>0</v>
      </c>
      <c r="X16" s="394"/>
      <c r="Y16" s="345">
        <f>(Y15-V051_20[[#This Row],[TOTAL]])+V051_20[[#This Row],[FAENA2]]</f>
        <v>20.799999999999997</v>
      </c>
      <c r="Z16" s="394"/>
      <c r="AA16" s="394"/>
      <c r="AB16" s="301">
        <f>(AB15-V051_20[[#This Row],[CYLINDER MP]])+V051_20[[#This Row],[FAENA EN LTS]]</f>
        <v>100</v>
      </c>
      <c r="AC16" s="394"/>
      <c r="AD16" s="394"/>
      <c r="AE16" s="301">
        <f>(AE15-V051_20[[#This Row],[CARTER MP.]])+V051_20[[#This Row],[FAENA EN LTS2]]</f>
        <v>100</v>
      </c>
      <c r="AF16" s="394"/>
      <c r="AG16" s="394"/>
      <c r="AH16" s="301">
        <f>(AH15-V051_20[[#This Row],[MOT AUX]])+V051_20[[#This Row],[FAENA EN  LTS]]</f>
        <v>100</v>
      </c>
      <c r="AI16" s="394"/>
      <c r="AJ16" s="394"/>
      <c r="AK16" s="348">
        <f>(AK15-V051_20[[#This Row],[HIDRAULICO]])+V051_20[[#This Row],[FAENA EN LTS3]]</f>
        <v>100</v>
      </c>
    </row>
    <row r="17" spans="1:37" ht="15" customHeight="1" x14ac:dyDescent="0.25">
      <c r="A17" s="386" t="s">
        <v>199</v>
      </c>
      <c r="B17" s="40">
        <v>43824</v>
      </c>
      <c r="C17" s="351">
        <v>0.8208333333333333</v>
      </c>
      <c r="D17" s="37">
        <f>IF(V051_20[[#This Row],[FECHA]]-B16=1,((V051_20[[#This Row],[HORA]]-C16)*24)+24,(V051_20[[#This Row],[HORA]]-C16)*24)</f>
        <v>0.99999999999999911</v>
      </c>
      <c r="E17" s="409" t="s">
        <v>47</v>
      </c>
      <c r="F17" s="29" t="s">
        <v>233</v>
      </c>
      <c r="G17" s="410"/>
      <c r="H17" s="412"/>
      <c r="I17" s="411">
        <f>IF(ISERROR(V051_20[[#This Row],[DISTANCIA POR CARTA]]/V051_20[[#This Row],[TIEMPO DE NAVEGACION]]),0,V051_20[[#This Row],[DISTANCIA POR CARTA]]/V051_20[[#This Row],[TIEMPO DE NAVEGACION]])</f>
        <v>0</v>
      </c>
      <c r="J17" s="410"/>
      <c r="K17" s="410"/>
      <c r="L17" s="418">
        <v>0.4166666666666663</v>
      </c>
      <c r="M17" s="418">
        <v>0.10416666666666657</v>
      </c>
      <c r="N17" s="418">
        <v>0.10416666666666657</v>
      </c>
      <c r="O17" s="394">
        <f>SUM(V051_20[[#This Row],[MPAL]:[CALDERA]])</f>
        <v>0.62499999999999933</v>
      </c>
      <c r="P17" s="319"/>
      <c r="Q17" s="281">
        <f>(Q16-V051_20[[#This Row],[TOTAL ]])+V051_20[[#This Row],[FAENA]]</f>
        <v>54.187499999999986</v>
      </c>
      <c r="R17" s="246">
        <v>0</v>
      </c>
      <c r="S17" s="246">
        <v>0.1</v>
      </c>
      <c r="T17" s="246">
        <v>0</v>
      </c>
      <c r="U17" s="246">
        <v>0</v>
      </c>
      <c r="V17" s="246">
        <v>0</v>
      </c>
      <c r="W17" s="418">
        <f>SUM(V051_20[[#This Row],[MPAL2]:[GI]])</f>
        <v>0.1</v>
      </c>
      <c r="X17" s="246"/>
      <c r="Y17" s="345">
        <f>(Y16-V051_20[[#This Row],[TOTAL]])+V051_20[[#This Row],[FAENA2]]</f>
        <v>20.699999999999996</v>
      </c>
      <c r="Z17" s="246"/>
      <c r="AA17" s="246"/>
      <c r="AB17" s="301">
        <f>(AB16-V051_20[[#This Row],[CYLINDER MP]])+V051_20[[#This Row],[FAENA EN LTS]]</f>
        <v>100</v>
      </c>
      <c r="AC17" s="246"/>
      <c r="AD17" s="246"/>
      <c r="AE17" s="301">
        <f>(AE16-V051_20[[#This Row],[CARTER MP.]])+V051_20[[#This Row],[FAENA EN LTS2]]</f>
        <v>100</v>
      </c>
      <c r="AF17" s="246"/>
      <c r="AG17" s="246"/>
      <c r="AH17" s="301">
        <f>(AH16-V051_20[[#This Row],[MOT AUX]])+V051_20[[#This Row],[FAENA EN  LTS]]</f>
        <v>100</v>
      </c>
      <c r="AI17" s="246"/>
      <c r="AJ17" s="246"/>
      <c r="AK17" s="348">
        <f>(AK16-V051_20[[#This Row],[HIDRAULICO]])+V051_20[[#This Row],[FAENA EN LTS3]]</f>
        <v>100</v>
      </c>
    </row>
    <row r="18" spans="1:37" ht="15" customHeight="1" x14ac:dyDescent="0.25">
      <c r="A18" s="390" t="s">
        <v>199</v>
      </c>
      <c r="B18" s="388">
        <v>43825</v>
      </c>
      <c r="C18" s="396">
        <v>0.33333333333333331</v>
      </c>
      <c r="D18" s="394">
        <f>IF(V051_20[[#This Row],[FECHA]]-B17=1,((V051_20[[#This Row],[HORA]]-C17)*24)+24,(V051_20[[#This Row],[HORA]]-C17)*24)</f>
        <v>12.3</v>
      </c>
      <c r="E18" s="416" t="s">
        <v>45</v>
      </c>
      <c r="F18" s="397" t="s">
        <v>45</v>
      </c>
      <c r="G18" s="398"/>
      <c r="H18" s="398"/>
      <c r="I18" s="417">
        <f>IF(ISERROR(V051_20[[#This Row],[DISTANCIA POR CARTA]]/V051_20[[#This Row],[TIEMPO DE NAVEGACION]]),0,V051_20[[#This Row],[DISTANCIA POR CARTA]]/V051_20[[#This Row],[TIEMPO DE NAVEGACION]])</f>
        <v>0</v>
      </c>
      <c r="J18" s="398"/>
      <c r="K18" s="398"/>
      <c r="L18" s="394">
        <v>0</v>
      </c>
      <c r="M18" s="394">
        <v>1.2812500000000002</v>
      </c>
      <c r="N18" s="394">
        <v>1.2812500000000002</v>
      </c>
      <c r="O18" s="394">
        <f>SUM(V051_20[[#This Row],[MPAL]:[CALDERA]])</f>
        <v>2.5625000000000004</v>
      </c>
      <c r="P18" s="400"/>
      <c r="Q18" s="281">
        <f>(Q17-V051_20[[#This Row],[TOTAL ]])+V051_20[[#This Row],[FAENA]]</f>
        <v>51.624999999999986</v>
      </c>
      <c r="R18" s="394">
        <v>0</v>
      </c>
      <c r="S18" s="394">
        <v>0</v>
      </c>
      <c r="T18" s="394">
        <v>0</v>
      </c>
      <c r="U18" s="394">
        <v>0</v>
      </c>
      <c r="V18" s="394">
        <v>0</v>
      </c>
      <c r="W18" s="418">
        <f>SUM(V051_20[[#This Row],[MPAL2]:[GI]])</f>
        <v>0</v>
      </c>
      <c r="X18" s="394"/>
      <c r="Y18" s="345">
        <f>(Y17-V051_20[[#This Row],[TOTAL]])+V051_20[[#This Row],[FAENA2]]</f>
        <v>20.699999999999996</v>
      </c>
      <c r="Z18" s="394"/>
      <c r="AA18" s="394"/>
      <c r="AB18" s="301">
        <f>(AB17-V051_20[[#This Row],[CYLINDER MP]])+V051_20[[#This Row],[FAENA EN LTS]]</f>
        <v>100</v>
      </c>
      <c r="AC18" s="394"/>
      <c r="AD18" s="394"/>
      <c r="AE18" s="301">
        <f>(AE17-V051_20[[#This Row],[CARTER MP.]])+V051_20[[#This Row],[FAENA EN LTS2]]</f>
        <v>100</v>
      </c>
      <c r="AF18" s="394"/>
      <c r="AG18" s="394"/>
      <c r="AH18" s="301">
        <f>(AH17-V051_20[[#This Row],[MOT AUX]])+V051_20[[#This Row],[FAENA EN  LTS]]</f>
        <v>100</v>
      </c>
      <c r="AI18" s="394"/>
      <c r="AJ18" s="394"/>
      <c r="AK18" s="348">
        <f>(AK17-V051_20[[#This Row],[HIDRAULICO]])+V051_20[[#This Row],[FAENA EN LTS3]]</f>
        <v>100</v>
      </c>
    </row>
    <row r="19" spans="1:37" ht="15" customHeight="1" x14ac:dyDescent="0.25">
      <c r="A19" s="386" t="s">
        <v>199</v>
      </c>
      <c r="B19" s="40">
        <v>43826</v>
      </c>
      <c r="C19" s="351">
        <v>0.33333333333333331</v>
      </c>
      <c r="D19" s="37">
        <f>IF(V051_20[[#This Row],[FECHA]]-B18=1,((V051_20[[#This Row],[HORA]]-C18)*24)+24,(V051_20[[#This Row],[HORA]]-C18)*24)</f>
        <v>24</v>
      </c>
      <c r="E19" s="409" t="s">
        <v>45</v>
      </c>
      <c r="F19" s="29" t="s">
        <v>45</v>
      </c>
      <c r="G19" s="410"/>
      <c r="H19" s="412"/>
      <c r="I19" s="411">
        <f>IF(ISERROR(V051_20[[#This Row],[DISTANCIA POR CARTA]]/V051_20[[#This Row],[TIEMPO DE NAVEGACION]]),0,V051_20[[#This Row],[DISTANCIA POR CARTA]]/V051_20[[#This Row],[TIEMPO DE NAVEGACION]])</f>
        <v>0</v>
      </c>
      <c r="J19" s="410"/>
      <c r="K19" s="410"/>
      <c r="L19" s="418">
        <v>0</v>
      </c>
      <c r="M19" s="418">
        <v>2.5</v>
      </c>
      <c r="N19" s="418">
        <v>2.5</v>
      </c>
      <c r="O19" s="394">
        <f>SUM(V051_20[[#This Row],[MPAL]:[CALDERA]])</f>
        <v>5</v>
      </c>
      <c r="P19" s="319"/>
      <c r="Q19" s="281">
        <f>(Q18-V051_20[[#This Row],[TOTAL ]])+V051_20[[#This Row],[FAENA]]</f>
        <v>46.624999999999986</v>
      </c>
      <c r="R19" s="246">
        <v>0</v>
      </c>
      <c r="S19" s="246">
        <v>0</v>
      </c>
      <c r="T19" s="246">
        <v>0</v>
      </c>
      <c r="U19" s="246">
        <v>0</v>
      </c>
      <c r="V19" s="246">
        <v>0</v>
      </c>
      <c r="W19" s="418">
        <f>SUM(V051_20[[#This Row],[MPAL2]:[GI]])</f>
        <v>0</v>
      </c>
      <c r="X19" s="246"/>
      <c r="Y19" s="345">
        <f>(Y18-V051_20[[#This Row],[TOTAL]])+V051_20[[#This Row],[FAENA2]]</f>
        <v>20.699999999999996</v>
      </c>
      <c r="Z19" s="246"/>
      <c r="AA19" s="246"/>
      <c r="AB19" s="301">
        <f>(AB18-V051_20[[#This Row],[CYLINDER MP]])+V051_20[[#This Row],[FAENA EN LTS]]</f>
        <v>100</v>
      </c>
      <c r="AC19" s="246"/>
      <c r="AD19" s="246"/>
      <c r="AE19" s="301">
        <f>(AE18-V051_20[[#This Row],[CARTER MP.]])+V051_20[[#This Row],[FAENA EN LTS2]]</f>
        <v>100</v>
      </c>
      <c r="AF19" s="246"/>
      <c r="AG19" s="246"/>
      <c r="AH19" s="301">
        <f>(AH18-V051_20[[#This Row],[MOT AUX]])+V051_20[[#This Row],[FAENA EN  LTS]]</f>
        <v>100</v>
      </c>
      <c r="AI19" s="246"/>
      <c r="AJ19" s="246"/>
      <c r="AK19" s="348">
        <f>(AK18-V051_20[[#This Row],[HIDRAULICO]])+V051_20[[#This Row],[FAENA EN LTS3]]</f>
        <v>100</v>
      </c>
    </row>
    <row r="20" spans="1:37" ht="15" customHeight="1" x14ac:dyDescent="0.25">
      <c r="A20" s="390" t="s">
        <v>199</v>
      </c>
      <c r="B20" s="388">
        <v>43826</v>
      </c>
      <c r="C20" s="396">
        <v>0.58333333333333337</v>
      </c>
      <c r="D20" s="394">
        <f>IF(V051_20[[#This Row],[FECHA]]-B19=1,((V051_20[[#This Row],[HORA]]-C19)*24)+24,(V051_20[[#This Row],[HORA]]-C19)*24)</f>
        <v>6.0000000000000018</v>
      </c>
      <c r="E20" s="416" t="s">
        <v>45</v>
      </c>
      <c r="F20" s="397" t="s">
        <v>74</v>
      </c>
      <c r="G20" s="398"/>
      <c r="H20" s="398"/>
      <c r="I20" s="417">
        <f>IF(ISERROR(V051_20[[#This Row],[DISTANCIA POR CARTA]]/V051_20[[#This Row],[TIEMPO DE NAVEGACION]]),0,V051_20[[#This Row],[DISTANCIA POR CARTA]]/V051_20[[#This Row],[TIEMPO DE NAVEGACION]])</f>
        <v>0</v>
      </c>
      <c r="J20" s="398"/>
      <c r="K20" s="398"/>
      <c r="L20" s="394">
        <v>0</v>
      </c>
      <c r="M20" s="394">
        <v>0.62500000000000022</v>
      </c>
      <c r="N20" s="394">
        <v>0.62500000000000022</v>
      </c>
      <c r="O20" s="394">
        <f>SUM(V051_20[[#This Row],[MPAL]:[CALDERA]])</f>
        <v>1.2500000000000004</v>
      </c>
      <c r="P20" s="400"/>
      <c r="Q20" s="281">
        <f>(Q19-V051_20[[#This Row],[TOTAL ]])+V051_20[[#This Row],[FAENA]]</f>
        <v>45.374999999999986</v>
      </c>
      <c r="R20" s="394">
        <v>0</v>
      </c>
      <c r="S20" s="394">
        <v>0</v>
      </c>
      <c r="T20" s="394">
        <v>0</v>
      </c>
      <c r="U20" s="394">
        <v>0</v>
      </c>
      <c r="V20" s="394">
        <v>0</v>
      </c>
      <c r="W20" s="418">
        <f>SUM(V051_20[[#This Row],[MPAL2]:[GI]])</f>
        <v>0</v>
      </c>
      <c r="X20" s="394"/>
      <c r="Y20" s="345">
        <f>(Y19-V051_20[[#This Row],[TOTAL]])+V051_20[[#This Row],[FAENA2]]</f>
        <v>20.699999999999996</v>
      </c>
      <c r="Z20" s="394"/>
      <c r="AA20" s="394"/>
      <c r="AB20" s="301">
        <f>(AB19-V051_20[[#This Row],[CYLINDER MP]])+V051_20[[#This Row],[FAENA EN LTS]]</f>
        <v>100</v>
      </c>
      <c r="AC20" s="394"/>
      <c r="AD20" s="394"/>
      <c r="AE20" s="301">
        <f>(AE19-V051_20[[#This Row],[CARTER MP.]])+V051_20[[#This Row],[FAENA EN LTS2]]</f>
        <v>100</v>
      </c>
      <c r="AF20" s="394"/>
      <c r="AG20" s="394"/>
      <c r="AH20" s="301">
        <f>(AH19-V051_20[[#This Row],[MOT AUX]])+V051_20[[#This Row],[FAENA EN  LTS]]</f>
        <v>100</v>
      </c>
      <c r="AI20" s="394"/>
      <c r="AJ20" s="394"/>
      <c r="AK20" s="348">
        <f>(AK19-V051_20[[#This Row],[HIDRAULICO]])+V051_20[[#This Row],[FAENA EN LTS3]]</f>
        <v>100</v>
      </c>
    </row>
    <row r="21" spans="1:37" ht="15" customHeight="1" x14ac:dyDescent="0.25">
      <c r="A21" s="386" t="s">
        <v>199</v>
      </c>
      <c r="B21" s="40">
        <v>43826</v>
      </c>
      <c r="C21" s="351">
        <v>0.62083333333333335</v>
      </c>
      <c r="D21" s="37">
        <f>IF(V051_20[[#This Row],[FECHA]]-B20=1,((V051_20[[#This Row],[HORA]]-C20)*24)+24,(V051_20[[#This Row],[HORA]]-C20)*24)</f>
        <v>0.89999999999999947</v>
      </c>
      <c r="E21" s="409" t="s">
        <v>47</v>
      </c>
      <c r="F21" s="29" t="s">
        <v>234</v>
      </c>
      <c r="G21" s="410"/>
      <c r="H21" s="412"/>
      <c r="I21" s="411">
        <f>IF(ISERROR(V051_20[[#This Row],[DISTANCIA POR CARTA]]/V051_20[[#This Row],[TIEMPO DE NAVEGACION]]),0,V051_20[[#This Row],[DISTANCIA POR CARTA]]/V051_20[[#This Row],[TIEMPO DE NAVEGACION]])</f>
        <v>0</v>
      </c>
      <c r="J21" s="410"/>
      <c r="K21" s="410"/>
      <c r="L21" s="418">
        <v>0.56249999999999967</v>
      </c>
      <c r="M21" s="418">
        <v>9.3749999999999944E-2</v>
      </c>
      <c r="N21" s="418">
        <v>9.3749999999999944E-2</v>
      </c>
      <c r="O21" s="394">
        <f>SUM(V051_20[[#This Row],[MPAL]:[CALDERA]])</f>
        <v>0.74999999999999956</v>
      </c>
      <c r="P21" s="319"/>
      <c r="Q21" s="281">
        <f>(Q20-V051_20[[#This Row],[TOTAL ]])+V051_20[[#This Row],[FAENA]]</f>
        <v>44.624999999999986</v>
      </c>
      <c r="R21" s="246">
        <v>0</v>
      </c>
      <c r="S21" s="246">
        <v>0</v>
      </c>
      <c r="T21" s="246">
        <v>0</v>
      </c>
      <c r="U21" s="246">
        <v>0</v>
      </c>
      <c r="V21" s="246">
        <v>0</v>
      </c>
      <c r="W21" s="418">
        <f>SUM(V051_20[[#This Row],[MPAL2]:[GI]])</f>
        <v>0</v>
      </c>
      <c r="X21" s="246"/>
      <c r="Y21" s="345">
        <f>(Y20-V051_20[[#This Row],[TOTAL]])+V051_20[[#This Row],[FAENA2]]</f>
        <v>20.699999999999996</v>
      </c>
      <c r="Z21" s="246"/>
      <c r="AA21" s="246"/>
      <c r="AB21" s="301">
        <f>(AB20-V051_20[[#This Row],[CYLINDER MP]])+V051_20[[#This Row],[FAENA EN LTS]]</f>
        <v>100</v>
      </c>
      <c r="AC21" s="246"/>
      <c r="AD21" s="246"/>
      <c r="AE21" s="301">
        <f>(AE20-V051_20[[#This Row],[CARTER MP.]])+V051_20[[#This Row],[FAENA EN LTS2]]</f>
        <v>100</v>
      </c>
      <c r="AF21" s="246"/>
      <c r="AG21" s="246"/>
      <c r="AH21" s="301">
        <f>(AH20-V051_20[[#This Row],[MOT AUX]])+V051_20[[#This Row],[FAENA EN  LTS]]</f>
        <v>100</v>
      </c>
      <c r="AI21" s="246"/>
      <c r="AJ21" s="246"/>
      <c r="AK21" s="348">
        <f>(AK20-V051_20[[#This Row],[HIDRAULICO]])+V051_20[[#This Row],[FAENA EN LTS3]]</f>
        <v>100</v>
      </c>
    </row>
    <row r="22" spans="1:37" ht="15" customHeight="1" x14ac:dyDescent="0.25">
      <c r="A22" s="390" t="s">
        <v>199</v>
      </c>
      <c r="B22" s="388">
        <v>43827</v>
      </c>
      <c r="C22" s="396">
        <v>0.33333333333333331</v>
      </c>
      <c r="D22" s="394">
        <f>IF(V051_20[[#This Row],[FECHA]]-B21=1,((V051_20[[#This Row],[HORA]]-C21)*24)+24,(V051_20[[#This Row],[HORA]]-C21)*24)</f>
        <v>17.100000000000001</v>
      </c>
      <c r="E22" s="416" t="s">
        <v>49</v>
      </c>
      <c r="F22" s="397" t="s">
        <v>71</v>
      </c>
      <c r="G22" s="398"/>
      <c r="H22" s="398"/>
      <c r="I22" s="417">
        <f>IF(ISERROR(V051_20[[#This Row],[DISTANCIA POR CARTA]]/V051_20[[#This Row],[TIEMPO DE NAVEGACION]]),0,V051_20[[#This Row],[DISTANCIA POR CARTA]]/V051_20[[#This Row],[TIEMPO DE NAVEGACION]])</f>
        <v>0</v>
      </c>
      <c r="J22" s="398"/>
      <c r="K22" s="398"/>
      <c r="L22" s="394">
        <v>0</v>
      </c>
      <c r="M22" s="394">
        <v>2.1375000000000002</v>
      </c>
      <c r="N22" s="394">
        <v>4.1325000000000003</v>
      </c>
      <c r="O22" s="394">
        <f>SUM(V051_20[[#This Row],[MPAL]:[CALDERA]])</f>
        <v>6.2700000000000005</v>
      </c>
      <c r="P22" s="400"/>
      <c r="Q22" s="281">
        <f>(Q21-V051_20[[#This Row],[TOTAL ]])+V051_20[[#This Row],[FAENA]]</f>
        <v>38.354999999999983</v>
      </c>
      <c r="R22" s="394">
        <v>0</v>
      </c>
      <c r="S22" s="394">
        <v>0.1</v>
      </c>
      <c r="T22" s="394">
        <v>0</v>
      </c>
      <c r="U22" s="394">
        <v>0</v>
      </c>
      <c r="V22" s="394">
        <v>0</v>
      </c>
      <c r="W22" s="418">
        <f>SUM(V051_20[[#This Row],[MPAL2]:[GI]])</f>
        <v>0.1</v>
      </c>
      <c r="X22" s="394"/>
      <c r="Y22" s="345">
        <f>(Y21-V051_20[[#This Row],[TOTAL]])+V051_20[[#This Row],[FAENA2]]</f>
        <v>20.599999999999994</v>
      </c>
      <c r="Z22" s="394"/>
      <c r="AA22" s="394"/>
      <c r="AB22" s="301">
        <f>(AB21-V051_20[[#This Row],[CYLINDER MP]])+V051_20[[#This Row],[FAENA EN LTS]]</f>
        <v>100</v>
      </c>
      <c r="AC22" s="394"/>
      <c r="AD22" s="394"/>
      <c r="AE22" s="301">
        <f>(AE21-V051_20[[#This Row],[CARTER MP.]])+V051_20[[#This Row],[FAENA EN LTS2]]</f>
        <v>100</v>
      </c>
      <c r="AF22" s="394"/>
      <c r="AG22" s="394"/>
      <c r="AH22" s="301">
        <f>(AH21-V051_20[[#This Row],[MOT AUX]])+V051_20[[#This Row],[FAENA EN  LTS]]</f>
        <v>100</v>
      </c>
      <c r="AI22" s="394"/>
      <c r="AJ22" s="394"/>
      <c r="AK22" s="348">
        <f>(AK21-V051_20[[#This Row],[HIDRAULICO]])+V051_20[[#This Row],[FAENA EN LTS3]]</f>
        <v>100</v>
      </c>
    </row>
    <row r="23" spans="1:37" ht="15" customHeight="1" x14ac:dyDescent="0.25">
      <c r="A23" s="386" t="s">
        <v>199</v>
      </c>
      <c r="B23" s="40">
        <v>43827</v>
      </c>
      <c r="C23" s="351">
        <v>0.39999999999999997</v>
      </c>
      <c r="D23" s="37">
        <f>IF(V051_20[[#This Row],[FECHA]]-B22=1,((V051_20[[#This Row],[HORA]]-C22)*24)+24,(V051_20[[#This Row],[HORA]]-C22)*24)</f>
        <v>1.5999999999999996</v>
      </c>
      <c r="E23" s="409" t="s">
        <v>71</v>
      </c>
      <c r="F23" s="29" t="s">
        <v>73</v>
      </c>
      <c r="G23" s="410"/>
      <c r="H23" s="412"/>
      <c r="I23" s="411">
        <f>IF(ISERROR(V051_20[[#This Row],[DISTANCIA POR CARTA]]/V051_20[[#This Row],[TIEMPO DE NAVEGACION]]),0,V051_20[[#This Row],[DISTANCIA POR CARTA]]/V051_20[[#This Row],[TIEMPO DE NAVEGACION]])</f>
        <v>0</v>
      </c>
      <c r="J23" s="410"/>
      <c r="K23" s="410"/>
      <c r="L23" s="418">
        <v>0</v>
      </c>
      <c r="M23" s="418">
        <v>0.16666666666666663</v>
      </c>
      <c r="N23" s="418">
        <v>0.16666666666666663</v>
      </c>
      <c r="O23" s="394">
        <f>SUM(V051_20[[#This Row],[MPAL]:[CALDERA]])</f>
        <v>0.33333333333333326</v>
      </c>
      <c r="P23" s="319"/>
      <c r="Q23" s="281">
        <f>(Q22-V051_20[[#This Row],[TOTAL ]])+V051_20[[#This Row],[FAENA]]</f>
        <v>38.021666666666647</v>
      </c>
      <c r="R23" s="246">
        <v>0</v>
      </c>
      <c r="S23" s="246">
        <v>0</v>
      </c>
      <c r="T23" s="246">
        <v>0</v>
      </c>
      <c r="U23" s="246">
        <v>0</v>
      </c>
      <c r="V23" s="246">
        <v>0</v>
      </c>
      <c r="W23" s="418">
        <f>SUM(V051_20[[#This Row],[MPAL2]:[GI]])</f>
        <v>0</v>
      </c>
      <c r="X23" s="246"/>
      <c r="Y23" s="345">
        <f>(Y22-V051_20[[#This Row],[TOTAL]])+V051_20[[#This Row],[FAENA2]]</f>
        <v>20.599999999999994</v>
      </c>
      <c r="Z23" s="246"/>
      <c r="AA23" s="246"/>
      <c r="AB23" s="301">
        <f>(AB22-V051_20[[#This Row],[CYLINDER MP]])+V051_20[[#This Row],[FAENA EN LTS]]</f>
        <v>100</v>
      </c>
      <c r="AC23" s="246"/>
      <c r="AD23" s="246"/>
      <c r="AE23" s="301">
        <f>(AE22-V051_20[[#This Row],[CARTER MP.]])+V051_20[[#This Row],[FAENA EN LTS2]]</f>
        <v>100</v>
      </c>
      <c r="AF23" s="246"/>
      <c r="AG23" s="246"/>
      <c r="AH23" s="301">
        <f>(AH22-V051_20[[#This Row],[MOT AUX]])+V051_20[[#This Row],[FAENA EN  LTS]]</f>
        <v>100</v>
      </c>
      <c r="AI23" s="246"/>
      <c r="AJ23" s="246"/>
      <c r="AK23" s="348">
        <f>(AK22-V051_20[[#This Row],[HIDRAULICO]])+V051_20[[#This Row],[FAENA EN LTS3]]</f>
        <v>100</v>
      </c>
    </row>
    <row r="24" spans="1:37" ht="15" customHeight="1" x14ac:dyDescent="0.25">
      <c r="A24" s="390" t="s">
        <v>199</v>
      </c>
      <c r="B24" s="388">
        <v>43827</v>
      </c>
      <c r="C24" s="396">
        <v>0.5625</v>
      </c>
      <c r="D24" s="394">
        <f>IF(V051_20[[#This Row],[FECHA]]-B23=1,((V051_20[[#This Row],[HORA]]-C23)*24)+24,(V051_20[[#This Row],[HORA]]-C23)*24)</f>
        <v>3.9000000000000008</v>
      </c>
      <c r="E24" s="416" t="s">
        <v>49</v>
      </c>
      <c r="F24" s="397" t="s">
        <v>74</v>
      </c>
      <c r="G24" s="398"/>
      <c r="H24" s="398"/>
      <c r="I24" s="417">
        <f>IF(ISERROR(V051_20[[#This Row],[DISTANCIA POR CARTA]]/V051_20[[#This Row],[TIEMPO DE NAVEGACION]]),0,V051_20[[#This Row],[DISTANCIA POR CARTA]]/V051_20[[#This Row],[TIEMPO DE NAVEGACION]])</f>
        <v>0</v>
      </c>
      <c r="J24" s="398"/>
      <c r="K24" s="398"/>
      <c r="L24" s="394">
        <v>0</v>
      </c>
      <c r="M24" s="394">
        <v>0.40625000000000011</v>
      </c>
      <c r="N24" s="394">
        <v>0.4</v>
      </c>
      <c r="O24" s="394">
        <f>SUM(V051_20[[#This Row],[MPAL]:[CALDERA]])</f>
        <v>0.80625000000000013</v>
      </c>
      <c r="P24" s="400"/>
      <c r="Q24" s="281">
        <f>(Q23-V051_20[[#This Row],[TOTAL ]])+V051_20[[#This Row],[FAENA]]</f>
        <v>37.215416666666648</v>
      </c>
      <c r="R24" s="394">
        <v>0</v>
      </c>
      <c r="S24" s="394">
        <v>0</v>
      </c>
      <c r="T24" s="394">
        <v>0</v>
      </c>
      <c r="U24" s="394">
        <v>0</v>
      </c>
      <c r="V24" s="394">
        <v>0</v>
      </c>
      <c r="W24" s="418">
        <f>SUM(V051_20[[#This Row],[MPAL2]:[GI]])</f>
        <v>0</v>
      </c>
      <c r="X24" s="394"/>
      <c r="Y24" s="345">
        <f>(Y23-V051_20[[#This Row],[TOTAL]])+V051_20[[#This Row],[FAENA2]]</f>
        <v>20.599999999999994</v>
      </c>
      <c r="Z24" s="394"/>
      <c r="AA24" s="394"/>
      <c r="AB24" s="301">
        <f>(AB23-V051_20[[#This Row],[CYLINDER MP]])+V051_20[[#This Row],[FAENA EN LTS]]</f>
        <v>100</v>
      </c>
      <c r="AC24" s="394"/>
      <c r="AD24" s="394"/>
      <c r="AE24" s="301">
        <f>(AE23-V051_20[[#This Row],[CARTER MP.]])+V051_20[[#This Row],[FAENA EN LTS2]]</f>
        <v>100</v>
      </c>
      <c r="AF24" s="394"/>
      <c r="AG24" s="394"/>
      <c r="AH24" s="301">
        <f>(AH23-V051_20[[#This Row],[MOT AUX]])+V051_20[[#This Row],[FAENA EN  LTS]]</f>
        <v>100</v>
      </c>
      <c r="AI24" s="394"/>
      <c r="AJ24" s="394"/>
      <c r="AK24" s="348">
        <f>(AK23-V051_20[[#This Row],[HIDRAULICO]])+V051_20[[#This Row],[FAENA EN LTS3]]</f>
        <v>100</v>
      </c>
    </row>
    <row r="25" spans="1:37" ht="15" customHeight="1" x14ac:dyDescent="0.25">
      <c r="A25" s="386" t="s">
        <v>199</v>
      </c>
      <c r="B25" s="40">
        <v>43827</v>
      </c>
      <c r="C25" s="351">
        <v>0.6166666666666667</v>
      </c>
      <c r="D25" s="37">
        <f>IF(V051_20[[#This Row],[FECHA]]-B24=1,((V051_20[[#This Row],[HORA]]-C24)*24)+24,(V051_20[[#This Row],[HORA]]-C24)*24)</f>
        <v>1.3000000000000007</v>
      </c>
      <c r="E25" s="409" t="s">
        <v>47</v>
      </c>
      <c r="F25" s="29" t="s">
        <v>235</v>
      </c>
      <c r="G25" s="410"/>
      <c r="H25" s="412"/>
      <c r="I25" s="411">
        <f>IF(ISERROR(V051_20[[#This Row],[DISTANCIA POR CARTA]]/V051_20[[#This Row],[TIEMPO DE NAVEGACION]]),0,V051_20[[#This Row],[DISTANCIA POR CARTA]]/V051_20[[#This Row],[TIEMPO DE NAVEGACION]])</f>
        <v>0</v>
      </c>
      <c r="J25" s="410"/>
      <c r="K25" s="410"/>
      <c r="L25" s="418">
        <v>0.81250000000000044</v>
      </c>
      <c r="M25" s="418">
        <v>0.16250000000000009</v>
      </c>
      <c r="N25" s="418">
        <v>0.32500000000000018</v>
      </c>
      <c r="O25" s="394">
        <f>SUM(V051_20[[#This Row],[MPAL]:[CALDERA]])</f>
        <v>1.3000000000000007</v>
      </c>
      <c r="P25" s="319"/>
      <c r="Q25" s="281">
        <f>(Q24-V051_20[[#This Row],[TOTAL ]])+V051_20[[#This Row],[FAENA]]</f>
        <v>35.915416666666644</v>
      </c>
      <c r="R25" s="246">
        <v>0</v>
      </c>
      <c r="S25" s="246">
        <v>0</v>
      </c>
      <c r="T25" s="246">
        <v>0</v>
      </c>
      <c r="U25" s="246">
        <v>0</v>
      </c>
      <c r="V25" s="246">
        <v>0</v>
      </c>
      <c r="W25" s="418">
        <f>SUM(V051_20[[#This Row],[MPAL2]:[GI]])</f>
        <v>0</v>
      </c>
      <c r="X25" s="246"/>
      <c r="Y25" s="345">
        <f>(Y24-V051_20[[#This Row],[TOTAL]])+V051_20[[#This Row],[FAENA2]]</f>
        <v>20.599999999999994</v>
      </c>
      <c r="Z25" s="246"/>
      <c r="AA25" s="246"/>
      <c r="AB25" s="301">
        <f>(AB24-V051_20[[#This Row],[CYLINDER MP]])+V051_20[[#This Row],[FAENA EN LTS]]</f>
        <v>100</v>
      </c>
      <c r="AC25" s="246"/>
      <c r="AD25" s="246"/>
      <c r="AE25" s="301">
        <f>(AE24-V051_20[[#This Row],[CARTER MP.]])+V051_20[[#This Row],[FAENA EN LTS2]]</f>
        <v>100</v>
      </c>
      <c r="AF25" s="246"/>
      <c r="AG25" s="246"/>
      <c r="AH25" s="301">
        <f>(AH24-V051_20[[#This Row],[MOT AUX]])+V051_20[[#This Row],[FAENA EN  LTS]]</f>
        <v>100</v>
      </c>
      <c r="AI25" s="246"/>
      <c r="AJ25" s="246"/>
      <c r="AK25" s="348">
        <f>(AK24-V051_20[[#This Row],[HIDRAULICO]])+V051_20[[#This Row],[FAENA EN LTS3]]</f>
        <v>100</v>
      </c>
    </row>
    <row r="26" spans="1:37" ht="15" customHeight="1" x14ac:dyDescent="0.25">
      <c r="A26" s="390" t="s">
        <v>199</v>
      </c>
      <c r="B26" s="388">
        <v>43828</v>
      </c>
      <c r="C26" s="396">
        <v>7.4999999999999997E-2</v>
      </c>
      <c r="D26" s="394">
        <f>IF(V051_20[[#This Row],[FECHA]]-B25=1,((V051_20[[#This Row],[HORA]]-C25)*24)+24,(V051_20[[#This Row],[HORA]]-C25)*24)</f>
        <v>10.999999999999998</v>
      </c>
      <c r="E26" s="416" t="s">
        <v>55</v>
      </c>
      <c r="F26" s="397" t="s">
        <v>62</v>
      </c>
      <c r="G26" s="398"/>
      <c r="H26" s="398"/>
      <c r="I26" s="417">
        <f>IF(ISERROR(V051_20[[#This Row],[DISTANCIA POR CARTA]]/V051_20[[#This Row],[TIEMPO DE NAVEGACION]]),0,V051_20[[#This Row],[DISTANCIA POR CARTA]]/V051_20[[#This Row],[TIEMPO DE NAVEGACION]])</f>
        <v>0</v>
      </c>
      <c r="J26" s="398"/>
      <c r="K26" s="398"/>
      <c r="L26" s="394">
        <v>11.458333333333332</v>
      </c>
      <c r="M26" s="394">
        <v>1.3749999999999998</v>
      </c>
      <c r="N26" s="394">
        <v>2.7499999999999996</v>
      </c>
      <c r="O26" s="394">
        <f>SUM(V051_20[[#This Row],[MPAL]:[CALDERA]])</f>
        <v>15.583333333333332</v>
      </c>
      <c r="P26" s="400"/>
      <c r="Q26" s="281">
        <f>(Q25-V051_20[[#This Row],[TOTAL ]])+V051_20[[#This Row],[FAENA]]</f>
        <v>20.332083333333312</v>
      </c>
      <c r="R26" s="394">
        <v>0</v>
      </c>
      <c r="S26" s="394">
        <v>0</v>
      </c>
      <c r="T26" s="394">
        <v>0</v>
      </c>
      <c r="U26" s="394">
        <v>0</v>
      </c>
      <c r="V26" s="394">
        <v>0</v>
      </c>
      <c r="W26" s="418">
        <f>SUM(V051_20[[#This Row],[MPAL2]:[GI]])</f>
        <v>0</v>
      </c>
      <c r="X26" s="394"/>
      <c r="Y26" s="345">
        <f>(Y25-V051_20[[#This Row],[TOTAL]])+V051_20[[#This Row],[FAENA2]]</f>
        <v>20.599999999999994</v>
      </c>
      <c r="Z26" s="394"/>
      <c r="AA26" s="394"/>
      <c r="AB26" s="301">
        <f>(AB25-V051_20[[#This Row],[CYLINDER MP]])+V051_20[[#This Row],[FAENA EN LTS]]</f>
        <v>100</v>
      </c>
      <c r="AC26" s="394"/>
      <c r="AD26" s="394"/>
      <c r="AE26" s="301">
        <f>(AE25-V051_20[[#This Row],[CARTER MP.]])+V051_20[[#This Row],[FAENA EN LTS2]]</f>
        <v>100</v>
      </c>
      <c r="AF26" s="394"/>
      <c r="AG26" s="394"/>
      <c r="AH26" s="301">
        <f>(AH25-V051_20[[#This Row],[MOT AUX]])+V051_20[[#This Row],[FAENA EN  LTS]]</f>
        <v>100</v>
      </c>
      <c r="AI26" s="394"/>
      <c r="AJ26" s="394"/>
      <c r="AK26" s="348">
        <f>(AK25-V051_20[[#This Row],[HIDRAULICO]])+V051_20[[#This Row],[FAENA EN LTS3]]</f>
        <v>100</v>
      </c>
    </row>
    <row r="27" spans="1:37" ht="15" customHeight="1" x14ac:dyDescent="0.25">
      <c r="A27" s="386" t="s">
        <v>199</v>
      </c>
      <c r="B27" s="40">
        <v>43828</v>
      </c>
      <c r="C27" s="351">
        <v>0.10833333333333334</v>
      </c>
      <c r="D27" s="37">
        <f>IF(V051_20[[#This Row],[FECHA]]-B26=1,((V051_20[[#This Row],[HORA]]-C26)*24)+24,(V051_20[[#This Row],[HORA]]-C26)*24)</f>
        <v>0.80000000000000016</v>
      </c>
      <c r="E27" s="409" t="s">
        <v>47</v>
      </c>
      <c r="F27" s="29" t="s">
        <v>236</v>
      </c>
      <c r="G27" s="410"/>
      <c r="H27" s="412"/>
      <c r="I27" s="411">
        <f>IF(ISERROR(V051_20[[#This Row],[DISTANCIA POR CARTA]]/V051_20[[#This Row],[TIEMPO DE NAVEGACION]]),0,V051_20[[#This Row],[DISTANCIA POR CARTA]]/V051_20[[#This Row],[TIEMPO DE NAVEGACION]])</f>
        <v>0</v>
      </c>
      <c r="J27" s="410"/>
      <c r="K27" s="410"/>
      <c r="L27" s="418">
        <v>0.50000000000000011</v>
      </c>
      <c r="M27" s="418">
        <v>8.3333333333333356E-2</v>
      </c>
      <c r="N27" s="418">
        <v>0.20000000000000004</v>
      </c>
      <c r="O27" s="394">
        <f>SUM(V051_20[[#This Row],[MPAL]:[CALDERA]])</f>
        <v>0.78333333333333355</v>
      </c>
      <c r="P27" s="319"/>
      <c r="Q27" s="281">
        <f>(Q26-V051_20[[#This Row],[TOTAL ]])+V051_20[[#This Row],[FAENA]]</f>
        <v>19.548749999999977</v>
      </c>
      <c r="R27" s="246">
        <v>0</v>
      </c>
      <c r="S27" s="246">
        <v>0</v>
      </c>
      <c r="T27" s="246">
        <v>0</v>
      </c>
      <c r="U27" s="246">
        <v>0</v>
      </c>
      <c r="V27" s="246">
        <v>0</v>
      </c>
      <c r="W27" s="418">
        <f>SUM(V051_20[[#This Row],[MPAL2]:[GI]])</f>
        <v>0</v>
      </c>
      <c r="X27" s="246"/>
      <c r="Y27" s="345">
        <f>(Y26-V051_20[[#This Row],[TOTAL]])+V051_20[[#This Row],[FAENA2]]</f>
        <v>20.599999999999994</v>
      </c>
      <c r="Z27" s="246"/>
      <c r="AA27" s="246"/>
      <c r="AB27" s="301">
        <f>(AB26-V051_20[[#This Row],[CYLINDER MP]])+V051_20[[#This Row],[FAENA EN LTS]]</f>
        <v>100</v>
      </c>
      <c r="AC27" s="246"/>
      <c r="AD27" s="246"/>
      <c r="AE27" s="301">
        <f>(AE26-V051_20[[#This Row],[CARTER MP.]])+V051_20[[#This Row],[FAENA EN LTS2]]</f>
        <v>100</v>
      </c>
      <c r="AF27" s="246"/>
      <c r="AG27" s="246"/>
      <c r="AH27" s="301">
        <f>(AH26-V051_20[[#This Row],[MOT AUX]])+V051_20[[#This Row],[FAENA EN  LTS]]</f>
        <v>100</v>
      </c>
      <c r="AI27" s="246"/>
      <c r="AJ27" s="246"/>
      <c r="AK27" s="348">
        <f>(AK26-V051_20[[#This Row],[HIDRAULICO]])+V051_20[[#This Row],[FAENA EN LTS3]]</f>
        <v>100</v>
      </c>
    </row>
    <row r="28" spans="1:37" ht="15" customHeight="1" x14ac:dyDescent="0.25">
      <c r="A28" s="390" t="s">
        <v>199</v>
      </c>
      <c r="B28" s="388">
        <v>43828</v>
      </c>
      <c r="C28" s="396">
        <v>0.17916666666666667</v>
      </c>
      <c r="D28" s="394">
        <f>IF(V051_20[[#This Row],[FECHA]]-B27=1,((V051_20[[#This Row],[HORA]]-C27)*24)+24,(V051_20[[#This Row],[HORA]]-C27)*24)</f>
        <v>1.7</v>
      </c>
      <c r="E28" s="416" t="s">
        <v>49</v>
      </c>
      <c r="F28" s="397" t="s">
        <v>46</v>
      </c>
      <c r="G28" s="398"/>
      <c r="H28" s="398"/>
      <c r="I28" s="417">
        <f>IF(ISERROR(V051_20[[#This Row],[DISTANCIA POR CARTA]]/V051_20[[#This Row],[TIEMPO DE NAVEGACION]]),0,V051_20[[#This Row],[DISTANCIA POR CARTA]]/V051_20[[#This Row],[TIEMPO DE NAVEGACION]])</f>
        <v>0</v>
      </c>
      <c r="J28" s="398"/>
      <c r="K28" s="398"/>
      <c r="L28" s="394">
        <v>0</v>
      </c>
      <c r="M28" s="394">
        <v>0.17708333333333334</v>
      </c>
      <c r="N28" s="394">
        <v>0.42499999999999999</v>
      </c>
      <c r="O28" s="394">
        <f>SUM(V051_20[[#This Row],[MPAL]:[CALDERA]])</f>
        <v>0.6020833333333333</v>
      </c>
      <c r="P28" s="400"/>
      <c r="Q28" s="281">
        <f>(Q27-V051_20[[#This Row],[TOTAL ]])+V051_20[[#This Row],[FAENA]]</f>
        <v>18.946666666666644</v>
      </c>
      <c r="R28" s="394">
        <v>0</v>
      </c>
      <c r="S28" s="394">
        <v>0</v>
      </c>
      <c r="T28" s="394">
        <v>0</v>
      </c>
      <c r="U28" s="394">
        <v>0</v>
      </c>
      <c r="V28" s="394">
        <v>0</v>
      </c>
      <c r="W28" s="418">
        <f>SUM(V051_20[[#This Row],[MPAL2]:[GI]])</f>
        <v>0</v>
      </c>
      <c r="X28" s="394"/>
      <c r="Y28" s="345">
        <f>(Y27-V051_20[[#This Row],[TOTAL]])+V051_20[[#This Row],[FAENA2]]</f>
        <v>20.599999999999994</v>
      </c>
      <c r="Z28" s="394"/>
      <c r="AA28" s="394"/>
      <c r="AB28" s="301">
        <f>(AB27-V051_20[[#This Row],[CYLINDER MP]])+V051_20[[#This Row],[FAENA EN LTS]]</f>
        <v>100</v>
      </c>
      <c r="AC28" s="394"/>
      <c r="AD28" s="394"/>
      <c r="AE28" s="301">
        <f>(AE27-V051_20[[#This Row],[CARTER MP.]])+V051_20[[#This Row],[FAENA EN LTS2]]</f>
        <v>100</v>
      </c>
      <c r="AF28" s="394"/>
      <c r="AG28" s="394"/>
      <c r="AH28" s="301">
        <f>(AH27-V051_20[[#This Row],[MOT AUX]])+V051_20[[#This Row],[FAENA EN  LTS]]</f>
        <v>100</v>
      </c>
      <c r="AI28" s="394"/>
      <c r="AJ28" s="394"/>
      <c r="AK28" s="348">
        <f>(AK27-V051_20[[#This Row],[HIDRAULICO]])+V051_20[[#This Row],[FAENA EN LTS3]]</f>
        <v>100</v>
      </c>
    </row>
    <row r="29" spans="1:37" ht="15" customHeight="1" x14ac:dyDescent="0.25">
      <c r="A29" s="386" t="s">
        <v>199</v>
      </c>
      <c r="B29" s="40">
        <v>43828</v>
      </c>
      <c r="C29" s="351">
        <v>0.19583333333333333</v>
      </c>
      <c r="D29" s="37">
        <f>IF(V051_20[[#This Row],[FECHA]]-B28=1,((V051_20[[#This Row],[HORA]]-C28)*24)+24,(V051_20[[#This Row],[HORA]]-C28)*24)</f>
        <v>0.39999999999999991</v>
      </c>
      <c r="E29" s="409" t="s">
        <v>47</v>
      </c>
      <c r="F29" s="29" t="s">
        <v>237</v>
      </c>
      <c r="G29" s="410"/>
      <c r="H29" s="412"/>
      <c r="I29" s="411">
        <f>IF(ISERROR(V051_20[[#This Row],[DISTANCIA POR CARTA]]/V051_20[[#This Row],[TIEMPO DE NAVEGACION]]),0,V051_20[[#This Row],[DISTANCIA POR CARTA]]/V051_20[[#This Row],[TIEMPO DE NAVEGACION]])</f>
        <v>0</v>
      </c>
      <c r="J29" s="410"/>
      <c r="K29" s="410"/>
      <c r="L29" s="418">
        <v>0.24999999999999994</v>
      </c>
      <c r="M29" s="418">
        <v>6.6666666666666652E-2</v>
      </c>
      <c r="N29" s="418">
        <v>9.9999999999999978E-2</v>
      </c>
      <c r="O29" s="394">
        <f>SUM(V051_20[[#This Row],[MPAL]:[CALDERA]])</f>
        <v>0.41666666666666657</v>
      </c>
      <c r="P29" s="319"/>
      <c r="Q29" s="281">
        <f>(Q28-V051_20[[#This Row],[TOTAL ]])+V051_20[[#This Row],[FAENA]]</f>
        <v>18.529999999999976</v>
      </c>
      <c r="R29" s="246">
        <v>0</v>
      </c>
      <c r="S29" s="246">
        <v>0</v>
      </c>
      <c r="T29" s="246">
        <v>0</v>
      </c>
      <c r="U29" s="246">
        <v>0</v>
      </c>
      <c r="V29" s="246">
        <v>0</v>
      </c>
      <c r="W29" s="418">
        <f>SUM(V051_20[[#This Row],[MPAL2]:[GI]])</f>
        <v>0</v>
      </c>
      <c r="X29" s="246"/>
      <c r="Y29" s="345">
        <f>(Y28-V051_20[[#This Row],[TOTAL]])+V051_20[[#This Row],[FAENA2]]</f>
        <v>20.599999999999994</v>
      </c>
      <c r="Z29" s="246"/>
      <c r="AA29" s="246"/>
      <c r="AB29" s="301">
        <f>(AB28-V051_20[[#This Row],[CYLINDER MP]])+V051_20[[#This Row],[FAENA EN LTS]]</f>
        <v>100</v>
      </c>
      <c r="AC29" s="246"/>
      <c r="AD29" s="246"/>
      <c r="AE29" s="301">
        <f>(AE28-V051_20[[#This Row],[CARTER MP.]])+V051_20[[#This Row],[FAENA EN LTS2]]</f>
        <v>100</v>
      </c>
      <c r="AF29" s="246"/>
      <c r="AG29" s="246"/>
      <c r="AH29" s="301">
        <f>(AH28-V051_20[[#This Row],[MOT AUX]])+V051_20[[#This Row],[FAENA EN  LTS]]</f>
        <v>100</v>
      </c>
      <c r="AI29" s="246"/>
      <c r="AJ29" s="246"/>
      <c r="AK29" s="348">
        <f>(AK28-V051_20[[#This Row],[HIDRAULICO]])+V051_20[[#This Row],[FAENA EN LTS3]]</f>
        <v>100</v>
      </c>
    </row>
    <row r="30" spans="1:37" ht="15" customHeight="1" x14ac:dyDescent="0.25">
      <c r="A30" s="390" t="s">
        <v>199</v>
      </c>
      <c r="B30" s="388">
        <v>43828</v>
      </c>
      <c r="C30" s="396">
        <v>0.21666666666666667</v>
      </c>
      <c r="D30" s="394">
        <f>IF(V051_20[[#This Row],[FECHA]]-B29=1,((V051_20[[#This Row],[HORA]]-C29)*24)+24,(V051_20[[#This Row],[HORA]]-C29)*24)</f>
        <v>0.50000000000000022</v>
      </c>
      <c r="E30" s="416" t="s">
        <v>55</v>
      </c>
      <c r="F30" s="397" t="s">
        <v>68</v>
      </c>
      <c r="G30" s="398"/>
      <c r="H30" s="398"/>
      <c r="I30" s="417">
        <f>IF(ISERROR(V051_20[[#This Row],[DISTANCIA POR CARTA]]/V051_20[[#This Row],[TIEMPO DE NAVEGACION]]),0,V051_20[[#This Row],[DISTANCIA POR CARTA]]/V051_20[[#This Row],[TIEMPO DE NAVEGACION]])</f>
        <v>0</v>
      </c>
      <c r="J30" s="398"/>
      <c r="K30" s="398"/>
      <c r="L30" s="394">
        <v>0.52083333333333359</v>
      </c>
      <c r="M30" s="394">
        <v>6.2500000000000028E-2</v>
      </c>
      <c r="N30" s="394">
        <v>0.12500000000000006</v>
      </c>
      <c r="O30" s="394">
        <f>SUM(V051_20[[#This Row],[MPAL]:[CALDERA]])</f>
        <v>0.7083333333333337</v>
      </c>
      <c r="P30" s="400"/>
      <c r="Q30" s="281">
        <f>(Q29-V051_20[[#This Row],[TOTAL ]])+V051_20[[#This Row],[FAENA]]</f>
        <v>17.821666666666644</v>
      </c>
      <c r="R30" s="394">
        <v>0</v>
      </c>
      <c r="S30" s="394">
        <v>0</v>
      </c>
      <c r="T30" s="394">
        <v>0</v>
      </c>
      <c r="U30" s="394">
        <v>0</v>
      </c>
      <c r="V30" s="394">
        <v>0</v>
      </c>
      <c r="W30" s="418">
        <f>SUM(V051_20[[#This Row],[MPAL2]:[GI]])</f>
        <v>0</v>
      </c>
      <c r="X30" s="394"/>
      <c r="Y30" s="345">
        <f>(Y29-V051_20[[#This Row],[TOTAL]])+V051_20[[#This Row],[FAENA2]]</f>
        <v>20.599999999999994</v>
      </c>
      <c r="Z30" s="394"/>
      <c r="AA30" s="394"/>
      <c r="AB30" s="301">
        <f>(AB29-V051_20[[#This Row],[CYLINDER MP]])+V051_20[[#This Row],[FAENA EN LTS]]</f>
        <v>100</v>
      </c>
      <c r="AC30" s="394"/>
      <c r="AD30" s="394"/>
      <c r="AE30" s="301">
        <f>(AE29-V051_20[[#This Row],[CARTER MP.]])+V051_20[[#This Row],[FAENA EN LTS2]]</f>
        <v>100</v>
      </c>
      <c r="AF30" s="394"/>
      <c r="AG30" s="394"/>
      <c r="AH30" s="301">
        <f>(AH29-V051_20[[#This Row],[MOT AUX]])+V051_20[[#This Row],[FAENA EN  LTS]]</f>
        <v>100</v>
      </c>
      <c r="AI30" s="394"/>
      <c r="AJ30" s="394"/>
      <c r="AK30" s="348">
        <f>(AK29-V051_20[[#This Row],[HIDRAULICO]])+V051_20[[#This Row],[FAENA EN LTS3]]</f>
        <v>100</v>
      </c>
    </row>
    <row r="31" spans="1:37" ht="15" customHeight="1" x14ac:dyDescent="0.25">
      <c r="A31" s="386" t="s">
        <v>199</v>
      </c>
      <c r="B31" s="40">
        <v>43828</v>
      </c>
      <c r="C31" s="351">
        <v>0.24166666666666667</v>
      </c>
      <c r="D31" s="37">
        <f>IF(V051_20[[#This Row],[FECHA]]-B30=1,((V051_20[[#This Row],[HORA]]-C30)*24)+24,(V051_20[[#This Row],[HORA]]-C30)*24)</f>
        <v>0.59999999999999987</v>
      </c>
      <c r="E31" s="409" t="s">
        <v>49</v>
      </c>
      <c r="F31" s="29" t="s">
        <v>74</v>
      </c>
      <c r="G31" s="410"/>
      <c r="H31" s="412"/>
      <c r="I31" s="411">
        <f>IF(ISERROR(V051_20[[#This Row],[DISTANCIA POR CARTA]]/V051_20[[#This Row],[TIEMPO DE NAVEGACION]]),0,V051_20[[#This Row],[DISTANCIA POR CARTA]]/V051_20[[#This Row],[TIEMPO DE NAVEGACION]])</f>
        <v>0</v>
      </c>
      <c r="J31" s="410"/>
      <c r="K31" s="410"/>
      <c r="L31" s="418">
        <v>0</v>
      </c>
      <c r="M31" s="418">
        <v>7.4999999999999983E-2</v>
      </c>
      <c r="N31" s="418">
        <v>0.14999999999999997</v>
      </c>
      <c r="O31" s="394">
        <f>SUM(V051_20[[#This Row],[MPAL]:[CALDERA]])</f>
        <v>0.22499999999999995</v>
      </c>
      <c r="P31" s="319"/>
      <c r="Q31" s="281">
        <f>(Q30-V051_20[[#This Row],[TOTAL ]])+V051_20[[#This Row],[FAENA]]</f>
        <v>17.596666666666643</v>
      </c>
      <c r="R31" s="246">
        <v>0</v>
      </c>
      <c r="S31" s="246">
        <v>0</v>
      </c>
      <c r="T31" s="246">
        <v>0</v>
      </c>
      <c r="U31" s="246">
        <v>0</v>
      </c>
      <c r="V31" s="246">
        <v>0</v>
      </c>
      <c r="W31" s="418">
        <f>SUM(V051_20[[#This Row],[MPAL2]:[GI]])</f>
        <v>0</v>
      </c>
      <c r="X31" s="246"/>
      <c r="Y31" s="345">
        <f>(Y30-V051_20[[#This Row],[TOTAL]])+V051_20[[#This Row],[FAENA2]]</f>
        <v>20.599999999999994</v>
      </c>
      <c r="Z31" s="246"/>
      <c r="AA31" s="246"/>
      <c r="AB31" s="301">
        <f>(AB30-V051_20[[#This Row],[CYLINDER MP]])+V051_20[[#This Row],[FAENA EN LTS]]</f>
        <v>100</v>
      </c>
      <c r="AC31" s="246"/>
      <c r="AD31" s="246"/>
      <c r="AE31" s="301">
        <f>(AE30-V051_20[[#This Row],[CARTER MP.]])+V051_20[[#This Row],[FAENA EN LTS2]]</f>
        <v>100</v>
      </c>
      <c r="AF31" s="246"/>
      <c r="AG31" s="246"/>
      <c r="AH31" s="301">
        <f>(AH30-V051_20[[#This Row],[MOT AUX]])+V051_20[[#This Row],[FAENA EN  LTS]]</f>
        <v>100</v>
      </c>
      <c r="AI31" s="246"/>
      <c r="AJ31" s="246"/>
      <c r="AK31" s="348">
        <f>(AK30-V051_20[[#This Row],[HIDRAULICO]])+V051_20[[#This Row],[FAENA EN LTS3]]</f>
        <v>100</v>
      </c>
    </row>
    <row r="32" spans="1:37" ht="15" customHeight="1" x14ac:dyDescent="0.25">
      <c r="A32" s="390" t="s">
        <v>199</v>
      </c>
      <c r="B32" s="388">
        <v>43828</v>
      </c>
      <c r="C32" s="396">
        <v>0.29166666666666669</v>
      </c>
      <c r="D32" s="394">
        <f>IF(V051_20[[#This Row],[FECHA]]-B31=1,((V051_20[[#This Row],[HORA]]-C31)*24)+24,(V051_20[[#This Row],[HORA]]-C31)*24)</f>
        <v>1.2000000000000004</v>
      </c>
      <c r="E32" s="416" t="s">
        <v>47</v>
      </c>
      <c r="F32" s="397" t="s">
        <v>48</v>
      </c>
      <c r="G32" s="398"/>
      <c r="H32" s="398"/>
      <c r="I32" s="417">
        <f>IF(ISERROR(V051_20[[#This Row],[DISTANCIA POR CARTA]]/V051_20[[#This Row],[TIEMPO DE NAVEGACION]]),0,V051_20[[#This Row],[DISTANCIA POR CARTA]]/V051_20[[#This Row],[TIEMPO DE NAVEGACION]])</f>
        <v>0</v>
      </c>
      <c r="J32" s="398"/>
      <c r="K32" s="398"/>
      <c r="L32" s="394">
        <v>0.50000000000000022</v>
      </c>
      <c r="M32" s="394">
        <v>0.15000000000000005</v>
      </c>
      <c r="N32" s="394">
        <v>0.20000000000000007</v>
      </c>
      <c r="O32" s="394">
        <f>SUM(V051_20[[#This Row],[MPAL]:[CALDERA]])</f>
        <v>0.85000000000000031</v>
      </c>
      <c r="P32" s="400"/>
      <c r="Q32" s="281">
        <f>(Q31-V051_20[[#This Row],[TOTAL ]])+V051_20[[#This Row],[FAENA]]</f>
        <v>16.746666666666641</v>
      </c>
      <c r="R32" s="394">
        <v>0</v>
      </c>
      <c r="S32" s="394">
        <v>0</v>
      </c>
      <c r="T32" s="394">
        <v>0</v>
      </c>
      <c r="U32" s="394">
        <v>0</v>
      </c>
      <c r="V32" s="394">
        <v>0</v>
      </c>
      <c r="W32" s="418">
        <f>SUM(V051_20[[#This Row],[MPAL2]:[GI]])</f>
        <v>0</v>
      </c>
      <c r="X32" s="394"/>
      <c r="Y32" s="345">
        <f>(Y31-V051_20[[#This Row],[TOTAL]])+V051_20[[#This Row],[FAENA2]]</f>
        <v>20.599999999999994</v>
      </c>
      <c r="Z32" s="394"/>
      <c r="AA32" s="394"/>
      <c r="AB32" s="301">
        <f>(AB31-V051_20[[#This Row],[CYLINDER MP]])+V051_20[[#This Row],[FAENA EN LTS]]</f>
        <v>100</v>
      </c>
      <c r="AC32" s="394"/>
      <c r="AD32" s="394"/>
      <c r="AE32" s="301">
        <f>(AE31-V051_20[[#This Row],[CARTER MP.]])+V051_20[[#This Row],[FAENA EN LTS2]]</f>
        <v>100</v>
      </c>
      <c r="AF32" s="394"/>
      <c r="AG32" s="394"/>
      <c r="AH32" s="301">
        <f>(AH31-V051_20[[#This Row],[MOT AUX]])+V051_20[[#This Row],[FAENA EN  LTS]]</f>
        <v>100</v>
      </c>
      <c r="AI32" s="394"/>
      <c r="AJ32" s="394"/>
      <c r="AK32" s="348">
        <f>(AK31-V051_20[[#This Row],[HIDRAULICO]])+V051_20[[#This Row],[FAENA EN LTS3]]</f>
        <v>100</v>
      </c>
    </row>
    <row r="33" spans="1:37" ht="15" customHeight="1" x14ac:dyDescent="0.25">
      <c r="A33" s="386" t="s">
        <v>199</v>
      </c>
      <c r="B33" s="40">
        <v>43828</v>
      </c>
      <c r="C33" s="351">
        <v>0.33333333333333331</v>
      </c>
      <c r="D33" s="37">
        <f>IF(V051_20[[#This Row],[FECHA]]-B32=1,((V051_20[[#This Row],[HORA]]-C32)*24)+24,(V051_20[[#This Row],[HORA]]-C32)*24)</f>
        <v>0.99999999999999911</v>
      </c>
      <c r="E33" s="409" t="s">
        <v>49</v>
      </c>
      <c r="F33" s="29" t="s">
        <v>72</v>
      </c>
      <c r="G33" s="410"/>
      <c r="H33" s="412"/>
      <c r="I33" s="411">
        <f>IF(ISERROR(V051_20[[#This Row],[DISTANCIA POR CARTA]]/V051_20[[#This Row],[TIEMPO DE NAVEGACION]]),0,V051_20[[#This Row],[DISTANCIA POR CARTA]]/V051_20[[#This Row],[TIEMPO DE NAVEGACION]])</f>
        <v>0</v>
      </c>
      <c r="J33" s="410"/>
      <c r="K33" s="410"/>
      <c r="L33" s="418">
        <v>0</v>
      </c>
      <c r="M33" s="418">
        <v>0.10416666666666657</v>
      </c>
      <c r="N33" s="418">
        <v>0.1</v>
      </c>
      <c r="O33" s="394">
        <f>SUM(V051_20[[#This Row],[MPAL]:[CALDERA]])</f>
        <v>0.20416666666666658</v>
      </c>
      <c r="P33" s="319"/>
      <c r="Q33" s="281">
        <f>(Q32-V051_20[[#This Row],[TOTAL ]])+V051_20[[#This Row],[FAENA]]</f>
        <v>16.542499999999976</v>
      </c>
      <c r="R33" s="246">
        <v>0</v>
      </c>
      <c r="S33" s="246">
        <v>0</v>
      </c>
      <c r="T33" s="246">
        <v>0</v>
      </c>
      <c r="U33" s="246">
        <v>0</v>
      </c>
      <c r="V33" s="246">
        <v>0</v>
      </c>
      <c r="W33" s="418">
        <f>SUM(V051_20[[#This Row],[MPAL2]:[GI]])</f>
        <v>0</v>
      </c>
      <c r="X33" s="246"/>
      <c r="Y33" s="345">
        <f>(Y32-V051_20[[#This Row],[TOTAL]])+V051_20[[#This Row],[FAENA2]]</f>
        <v>20.599999999999994</v>
      </c>
      <c r="Z33" s="246"/>
      <c r="AA33" s="246"/>
      <c r="AB33" s="301">
        <f>(AB32-V051_20[[#This Row],[CYLINDER MP]])+V051_20[[#This Row],[FAENA EN LTS]]</f>
        <v>100</v>
      </c>
      <c r="AC33" s="246"/>
      <c r="AD33" s="246"/>
      <c r="AE33" s="301">
        <f>(AE32-V051_20[[#This Row],[CARTER MP.]])+V051_20[[#This Row],[FAENA EN LTS2]]</f>
        <v>100</v>
      </c>
      <c r="AF33" s="246"/>
      <c r="AG33" s="246"/>
      <c r="AH33" s="301">
        <f>(AH32-V051_20[[#This Row],[MOT AUX]])+V051_20[[#This Row],[FAENA EN  LTS]]</f>
        <v>100</v>
      </c>
      <c r="AI33" s="246"/>
      <c r="AJ33" s="246"/>
      <c r="AK33" s="348">
        <f>(AK32-V051_20[[#This Row],[HIDRAULICO]])+V051_20[[#This Row],[FAENA EN LTS3]]</f>
        <v>100</v>
      </c>
    </row>
    <row r="34" spans="1:37" ht="15" customHeight="1" x14ac:dyDescent="0.25">
      <c r="A34" s="390" t="s">
        <v>199</v>
      </c>
      <c r="B34" s="388">
        <v>43828</v>
      </c>
      <c r="C34" s="396">
        <v>0.55833333333333335</v>
      </c>
      <c r="D34" s="394">
        <f>IF(V051_20[[#This Row],[FECHA]]-B33=1,((V051_20[[#This Row],[HORA]]-C33)*24)+24,(V051_20[[#This Row],[HORA]]-C33)*24)</f>
        <v>5.4</v>
      </c>
      <c r="E34" s="416" t="s">
        <v>49</v>
      </c>
      <c r="F34" s="397" t="s">
        <v>50</v>
      </c>
      <c r="G34" s="398"/>
      <c r="H34" s="398"/>
      <c r="I34" s="417">
        <f>IF(ISERROR(V051_20[[#This Row],[DISTANCIA POR CARTA]]/V051_20[[#This Row],[TIEMPO DE NAVEGACION]]),0,V051_20[[#This Row],[DISTANCIA POR CARTA]]/V051_20[[#This Row],[TIEMPO DE NAVEGACION]])</f>
        <v>0</v>
      </c>
      <c r="J34" s="398"/>
      <c r="K34" s="398"/>
      <c r="L34" s="394">
        <v>0</v>
      </c>
      <c r="M34" s="394">
        <v>0.56250000000000011</v>
      </c>
      <c r="N34" s="394">
        <v>0.9</v>
      </c>
      <c r="O34" s="394">
        <f>SUM(V051_20[[#This Row],[MPAL]:[CALDERA]])</f>
        <v>1.4625000000000001</v>
      </c>
      <c r="P34" s="400"/>
      <c r="Q34" s="281">
        <f>(Q33-V051_20[[#This Row],[TOTAL ]])+V051_20[[#This Row],[FAENA]]</f>
        <v>15.079999999999975</v>
      </c>
      <c r="R34" s="394">
        <v>0</v>
      </c>
      <c r="S34" s="394">
        <v>0</v>
      </c>
      <c r="T34" s="394">
        <v>0</v>
      </c>
      <c r="U34" s="394">
        <v>0</v>
      </c>
      <c r="V34" s="394">
        <v>0</v>
      </c>
      <c r="W34" s="418">
        <f>SUM(V051_20[[#This Row],[MPAL2]:[GI]])</f>
        <v>0</v>
      </c>
      <c r="X34" s="394"/>
      <c r="Y34" s="345">
        <f>(Y33-V051_20[[#This Row],[TOTAL]])+V051_20[[#This Row],[FAENA2]]</f>
        <v>20.599999999999994</v>
      </c>
      <c r="Z34" s="394"/>
      <c r="AA34" s="394"/>
      <c r="AB34" s="301">
        <f>(AB33-V051_20[[#This Row],[CYLINDER MP]])+V051_20[[#This Row],[FAENA EN LTS]]</f>
        <v>100</v>
      </c>
      <c r="AC34" s="394"/>
      <c r="AD34" s="394"/>
      <c r="AE34" s="301">
        <f>(AE33-V051_20[[#This Row],[CARTER MP.]])+V051_20[[#This Row],[FAENA EN LTS2]]</f>
        <v>100</v>
      </c>
      <c r="AF34" s="394"/>
      <c r="AG34" s="394"/>
      <c r="AH34" s="301">
        <f>(AH33-V051_20[[#This Row],[MOT AUX]])+V051_20[[#This Row],[FAENA EN  LTS]]</f>
        <v>100</v>
      </c>
      <c r="AI34" s="394"/>
      <c r="AJ34" s="394"/>
      <c r="AK34" s="348">
        <f>(AK33-V051_20[[#This Row],[HIDRAULICO]])+V051_20[[#This Row],[FAENA EN LTS3]]</f>
        <v>100</v>
      </c>
    </row>
    <row r="35" spans="1:37" ht="15" customHeight="1" x14ac:dyDescent="0.25">
      <c r="A35" s="386" t="s">
        <v>199</v>
      </c>
      <c r="B35" s="40">
        <v>43828</v>
      </c>
      <c r="C35" s="351">
        <v>0.90833333333333333</v>
      </c>
      <c r="D35" s="37">
        <f>IF(V051_20[[#This Row],[FECHA]]-B34=1,((V051_20[[#This Row],[HORA]]-C34)*24)+24,(V051_20[[#This Row],[HORA]]-C34)*24)</f>
        <v>8.3999999999999986</v>
      </c>
      <c r="E35" s="409" t="s">
        <v>51</v>
      </c>
      <c r="F35" s="29" t="s">
        <v>52</v>
      </c>
      <c r="G35" s="410"/>
      <c r="H35" s="412"/>
      <c r="I35" s="411">
        <f>IF(ISERROR(V051_20[[#This Row],[DISTANCIA POR CARTA]]/V051_20[[#This Row],[TIEMPO DE NAVEGACION]]),0,V051_20[[#This Row],[DISTANCIA POR CARTA]]/V051_20[[#This Row],[TIEMPO DE NAVEGACION]])</f>
        <v>0</v>
      </c>
      <c r="J35" s="410"/>
      <c r="K35" s="410"/>
      <c r="L35" s="418">
        <v>0</v>
      </c>
      <c r="M35" s="418">
        <v>0.87499999999999989</v>
      </c>
      <c r="N35" s="418">
        <v>2.0999999999999996</v>
      </c>
      <c r="O35" s="394">
        <f>SUM(V051_20[[#This Row],[MPAL]:[CALDERA]])</f>
        <v>2.9749999999999996</v>
      </c>
      <c r="P35" s="319"/>
      <c r="Q35" s="281">
        <f>(Q34-V051_20[[#This Row],[TOTAL ]])+V051_20[[#This Row],[FAENA]]</f>
        <v>12.104999999999976</v>
      </c>
      <c r="R35" s="246">
        <v>0</v>
      </c>
      <c r="S35" s="246">
        <v>0</v>
      </c>
      <c r="T35" s="246">
        <v>0</v>
      </c>
      <c r="U35" s="246">
        <v>0</v>
      </c>
      <c r="V35" s="246">
        <v>1.2</v>
      </c>
      <c r="W35" s="418">
        <f>SUM(V051_20[[#This Row],[MPAL2]:[GI]])</f>
        <v>1.2</v>
      </c>
      <c r="X35" s="246"/>
      <c r="Y35" s="345">
        <f>(Y34-V051_20[[#This Row],[TOTAL]])+V051_20[[#This Row],[FAENA2]]</f>
        <v>19.399999999999995</v>
      </c>
      <c r="Z35" s="246"/>
      <c r="AA35" s="246"/>
      <c r="AB35" s="301">
        <f>(AB34-V051_20[[#This Row],[CYLINDER MP]])+V051_20[[#This Row],[FAENA EN LTS]]</f>
        <v>100</v>
      </c>
      <c r="AC35" s="246"/>
      <c r="AD35" s="246"/>
      <c r="AE35" s="301">
        <f>(AE34-V051_20[[#This Row],[CARTER MP.]])+V051_20[[#This Row],[FAENA EN LTS2]]</f>
        <v>100</v>
      </c>
      <c r="AF35" s="246"/>
      <c r="AG35" s="246"/>
      <c r="AH35" s="301">
        <f>(AH34-V051_20[[#This Row],[MOT AUX]])+V051_20[[#This Row],[FAENA EN  LTS]]</f>
        <v>100</v>
      </c>
      <c r="AI35" s="246"/>
      <c r="AJ35" s="246"/>
      <c r="AK35" s="348">
        <f>(AK34-V051_20[[#This Row],[HIDRAULICO]])+V051_20[[#This Row],[FAENA EN LTS3]]</f>
        <v>100</v>
      </c>
    </row>
    <row r="36" spans="1:37" ht="15" customHeight="1" x14ac:dyDescent="0.25">
      <c r="A36" s="390" t="s">
        <v>199</v>
      </c>
      <c r="B36" s="388">
        <v>43829</v>
      </c>
      <c r="C36" s="396">
        <v>0.33333333333333331</v>
      </c>
      <c r="D36" s="394">
        <f>IF(V051_20[[#This Row],[FECHA]]-B35=1,((V051_20[[#This Row],[HORA]]-C35)*24)+24,(V051_20[[#This Row],[HORA]]-C35)*24)</f>
        <v>10.200000000000001</v>
      </c>
      <c r="E36" s="416" t="s">
        <v>71</v>
      </c>
      <c r="F36" s="397" t="s">
        <v>72</v>
      </c>
      <c r="G36" s="398"/>
      <c r="H36" s="398"/>
      <c r="I36" s="417">
        <f>IF(ISERROR(V051_20[[#This Row],[DISTANCIA POR CARTA]]/V051_20[[#This Row],[TIEMPO DE NAVEGACION]]),0,V051_20[[#This Row],[DISTANCIA POR CARTA]]/V051_20[[#This Row],[TIEMPO DE NAVEGACION]])</f>
        <v>0</v>
      </c>
      <c r="J36" s="398"/>
      <c r="K36" s="398"/>
      <c r="L36" s="394">
        <v>0</v>
      </c>
      <c r="M36" s="394">
        <v>1.05</v>
      </c>
      <c r="N36" s="394">
        <v>2.5500000000000003</v>
      </c>
      <c r="O36" s="394">
        <f>SUM(V051_20[[#This Row],[MPAL]:[CALDERA]])</f>
        <v>3.6000000000000005</v>
      </c>
      <c r="P36" s="400"/>
      <c r="Q36" s="281">
        <f>(Q35-V051_20[[#This Row],[TOTAL ]])+V051_20[[#This Row],[FAENA]]</f>
        <v>8.5049999999999741</v>
      </c>
      <c r="R36" s="394">
        <v>0</v>
      </c>
      <c r="S36" s="394">
        <v>0</v>
      </c>
      <c r="T36" s="394">
        <v>0</v>
      </c>
      <c r="U36" s="394">
        <v>0</v>
      </c>
      <c r="V36" s="394">
        <v>0</v>
      </c>
      <c r="W36" s="418">
        <f>SUM(V051_20[[#This Row],[MPAL2]:[GI]])</f>
        <v>0</v>
      </c>
      <c r="X36" s="394"/>
      <c r="Y36" s="345">
        <f>(Y35-V051_20[[#This Row],[TOTAL]])+V051_20[[#This Row],[FAENA2]]</f>
        <v>19.399999999999995</v>
      </c>
      <c r="Z36" s="394"/>
      <c r="AA36" s="394"/>
      <c r="AB36" s="301">
        <f>(AB35-V051_20[[#This Row],[CYLINDER MP]])+V051_20[[#This Row],[FAENA EN LTS]]</f>
        <v>100</v>
      </c>
      <c r="AC36" s="394"/>
      <c r="AD36" s="394"/>
      <c r="AE36" s="301">
        <f>(AE35-V051_20[[#This Row],[CARTER MP.]])+V051_20[[#This Row],[FAENA EN LTS2]]</f>
        <v>100</v>
      </c>
      <c r="AF36" s="394"/>
      <c r="AG36" s="394"/>
      <c r="AH36" s="301">
        <f>(AH35-V051_20[[#This Row],[MOT AUX]])+V051_20[[#This Row],[FAENA EN  LTS]]</f>
        <v>100</v>
      </c>
      <c r="AI36" s="394"/>
      <c r="AJ36" s="394"/>
      <c r="AK36" s="348">
        <f>(AK35-V051_20[[#This Row],[HIDRAULICO]])+V051_20[[#This Row],[FAENA EN LTS3]]</f>
        <v>100</v>
      </c>
    </row>
    <row r="37" spans="1:37" ht="15" customHeight="1" x14ac:dyDescent="0.25">
      <c r="A37" s="386" t="s">
        <v>199</v>
      </c>
      <c r="B37" s="40">
        <v>43830</v>
      </c>
      <c r="C37" s="351">
        <v>0.33333333333333331</v>
      </c>
      <c r="D37" s="37">
        <f>IF(V051_20[[#This Row],[FECHA]]-B36=1,((V051_20[[#This Row],[HORA]]-C36)*24)+24,(V051_20[[#This Row],[HORA]]-C36)*24)</f>
        <v>24</v>
      </c>
      <c r="E37" s="409" t="s">
        <v>71</v>
      </c>
      <c r="F37" s="29" t="s">
        <v>72</v>
      </c>
      <c r="G37" s="410"/>
      <c r="H37" s="412"/>
      <c r="I37" s="411">
        <f>IF(ISERROR(V051_20[[#This Row],[DISTANCIA POR CARTA]]/V051_20[[#This Row],[TIEMPO DE NAVEGACION]]),0,V051_20[[#This Row],[DISTANCIA POR CARTA]]/V051_20[[#This Row],[TIEMPO DE NAVEGACION]])</f>
        <v>0</v>
      </c>
      <c r="J37" s="410"/>
      <c r="K37" s="410"/>
      <c r="L37" s="418">
        <v>0</v>
      </c>
      <c r="M37" s="418">
        <v>2.5</v>
      </c>
      <c r="N37" s="418">
        <v>6</v>
      </c>
      <c r="O37" s="394">
        <f>SUM(V051_20[[#This Row],[MPAL]:[CALDERA]])</f>
        <v>8.5</v>
      </c>
      <c r="P37" s="319"/>
      <c r="Q37" s="281">
        <f>(Q36-V051_20[[#This Row],[TOTAL ]])+V051_20[[#This Row],[FAENA]]</f>
        <v>4.9999999999741362E-3</v>
      </c>
      <c r="R37" s="246">
        <v>0</v>
      </c>
      <c r="S37" s="246">
        <v>0</v>
      </c>
      <c r="T37" s="246">
        <v>0</v>
      </c>
      <c r="U37" s="246">
        <v>0</v>
      </c>
      <c r="V37" s="246">
        <v>0</v>
      </c>
      <c r="W37" s="418">
        <f>SUM(V051_20[[#This Row],[MPAL2]:[GI]])</f>
        <v>0</v>
      </c>
      <c r="X37" s="246"/>
      <c r="Y37" s="345">
        <f>(Y36-V051_20[[#This Row],[TOTAL]])+V051_20[[#This Row],[FAENA2]]</f>
        <v>19.399999999999995</v>
      </c>
      <c r="Z37" s="246"/>
      <c r="AA37" s="246"/>
      <c r="AB37" s="301">
        <f>(AB36-V051_20[[#This Row],[CYLINDER MP]])+V051_20[[#This Row],[FAENA EN LTS]]</f>
        <v>100</v>
      </c>
      <c r="AC37" s="246"/>
      <c r="AD37" s="246"/>
      <c r="AE37" s="301">
        <f>(AE36-V051_20[[#This Row],[CARTER MP.]])+V051_20[[#This Row],[FAENA EN LTS2]]</f>
        <v>100</v>
      </c>
      <c r="AF37" s="246"/>
      <c r="AG37" s="246"/>
      <c r="AH37" s="301">
        <f>(AH36-V051_20[[#This Row],[MOT AUX]])+V051_20[[#This Row],[FAENA EN  LTS]]</f>
        <v>100</v>
      </c>
      <c r="AI37" s="246"/>
      <c r="AJ37" s="246"/>
      <c r="AK37" s="348">
        <f>(AK36-V051_20[[#This Row],[HIDRAULICO]])+V051_20[[#This Row],[FAENA EN LTS3]]</f>
        <v>100</v>
      </c>
    </row>
    <row r="38" spans="1:37" ht="15" customHeight="1" x14ac:dyDescent="0.25">
      <c r="A38" s="390" t="s">
        <v>199</v>
      </c>
      <c r="B38" s="388">
        <v>43830</v>
      </c>
      <c r="C38" s="396">
        <v>0.375</v>
      </c>
      <c r="D38" s="394">
        <f>IF(V051_20[[#This Row],[FECHA]]-B37=1,((V051_20[[#This Row],[HORA]]-C37)*24)+24,(V051_20[[#This Row],[HORA]]-C37)*24)</f>
        <v>1.0000000000000004</v>
      </c>
      <c r="E38" s="416" t="s">
        <v>71</v>
      </c>
      <c r="F38" s="397" t="s">
        <v>73</v>
      </c>
      <c r="G38" s="398"/>
      <c r="H38" s="398"/>
      <c r="I38" s="417">
        <f>IF(ISERROR(V051_20[[#This Row],[DISTANCIA POR CARTA]]/V051_20[[#This Row],[TIEMPO DE NAVEGACION]]),0,V051_20[[#This Row],[DISTANCIA POR CARTA]]/V051_20[[#This Row],[TIEMPO DE NAVEGACION]])</f>
        <v>0</v>
      </c>
      <c r="J38" s="398"/>
      <c r="K38" s="398"/>
      <c r="L38" s="394">
        <v>0</v>
      </c>
      <c r="M38" s="394">
        <v>0</v>
      </c>
      <c r="N38" s="394">
        <v>0</v>
      </c>
      <c r="O38" s="394">
        <f>SUM(V051_20[[#This Row],[MPAL]:[CALDERA]])</f>
        <v>0</v>
      </c>
      <c r="P38" s="400"/>
      <c r="Q38" s="281">
        <f>(Q37-V051_20[[#This Row],[TOTAL ]])+V051_20[[#This Row],[FAENA]]</f>
        <v>4.9999999999741362E-3</v>
      </c>
      <c r="R38" s="394">
        <v>0</v>
      </c>
      <c r="S38" s="394">
        <v>0.1</v>
      </c>
      <c r="T38" s="394">
        <v>0.1</v>
      </c>
      <c r="U38" s="394">
        <v>0</v>
      </c>
      <c r="V38" s="394">
        <v>0</v>
      </c>
      <c r="W38" s="418">
        <f>SUM(V051_20[[#This Row],[MPAL2]:[GI]])</f>
        <v>0.2</v>
      </c>
      <c r="X38" s="394"/>
      <c r="Y38" s="345">
        <f>(Y37-V051_20[[#This Row],[TOTAL]])+V051_20[[#This Row],[FAENA2]]</f>
        <v>19.199999999999996</v>
      </c>
      <c r="Z38" s="394"/>
      <c r="AA38" s="394"/>
      <c r="AB38" s="301">
        <f>(AB37-V051_20[[#This Row],[CYLINDER MP]])+V051_20[[#This Row],[FAENA EN LTS]]</f>
        <v>100</v>
      </c>
      <c r="AC38" s="394"/>
      <c r="AD38" s="394"/>
      <c r="AE38" s="301">
        <f>(AE37-V051_20[[#This Row],[CARTER MP.]])+V051_20[[#This Row],[FAENA EN LTS2]]</f>
        <v>100</v>
      </c>
      <c r="AF38" s="394"/>
      <c r="AG38" s="394"/>
      <c r="AH38" s="301">
        <f>(AH37-V051_20[[#This Row],[MOT AUX]])+V051_20[[#This Row],[FAENA EN  LTS]]</f>
        <v>100</v>
      </c>
      <c r="AI38" s="394"/>
      <c r="AJ38" s="394"/>
      <c r="AK38" s="348">
        <f>(AK37-V051_20[[#This Row],[HIDRAULICO]])+V051_20[[#This Row],[FAENA EN LTS3]]</f>
        <v>100</v>
      </c>
    </row>
    <row r="39" spans="1:37" ht="15" customHeight="1" x14ac:dyDescent="0.25">
      <c r="A39" s="386" t="s">
        <v>199</v>
      </c>
      <c r="B39" s="40">
        <v>43830</v>
      </c>
      <c r="C39" s="351">
        <v>0.51250000000000007</v>
      </c>
      <c r="D39" s="37">
        <f>IF(V051_20[[#This Row],[FECHA]]-B38=1,((V051_20[[#This Row],[HORA]]-C38)*24)+24,(V051_20[[#This Row],[HORA]]-C38)*24)</f>
        <v>3.3000000000000016</v>
      </c>
      <c r="E39" s="409" t="s">
        <v>49</v>
      </c>
      <c r="F39" s="29" t="s">
        <v>74</v>
      </c>
      <c r="G39" s="410"/>
      <c r="H39" s="412"/>
      <c r="I39" s="411">
        <f>IF(ISERROR(V051_20[[#This Row],[DISTANCIA POR CARTA]]/V051_20[[#This Row],[TIEMPO DE NAVEGACION]]),0,V051_20[[#This Row],[DISTANCIA POR CARTA]]/V051_20[[#This Row],[TIEMPO DE NAVEGACION]])</f>
        <v>0</v>
      </c>
      <c r="J39" s="410"/>
      <c r="K39" s="410"/>
      <c r="L39" s="418">
        <v>0</v>
      </c>
      <c r="M39" s="418">
        <v>0</v>
      </c>
      <c r="N39" s="418">
        <v>0</v>
      </c>
      <c r="O39" s="394">
        <f>SUM(V051_20[[#This Row],[MPAL]:[CALDERA]])</f>
        <v>0</v>
      </c>
      <c r="P39" s="319"/>
      <c r="Q39" s="281">
        <f>(Q38-V051_20[[#This Row],[TOTAL ]])+V051_20[[#This Row],[FAENA]]</f>
        <v>4.9999999999741362E-3</v>
      </c>
      <c r="R39" s="246">
        <v>0</v>
      </c>
      <c r="S39" s="246">
        <v>0.4</v>
      </c>
      <c r="T39" s="246">
        <v>0.2</v>
      </c>
      <c r="U39" s="246">
        <v>0</v>
      </c>
      <c r="V39" s="246">
        <v>0</v>
      </c>
      <c r="W39" s="418">
        <f>SUM(V051_20[[#This Row],[MPAL2]:[GI]])</f>
        <v>0.60000000000000009</v>
      </c>
      <c r="X39" s="246"/>
      <c r="Y39" s="345">
        <f>(Y38-V051_20[[#This Row],[TOTAL]])+V051_20[[#This Row],[FAENA2]]</f>
        <v>18.599999999999994</v>
      </c>
      <c r="Z39" s="246"/>
      <c r="AA39" s="246"/>
      <c r="AB39" s="301">
        <f>(AB38-V051_20[[#This Row],[CYLINDER MP]])+V051_20[[#This Row],[FAENA EN LTS]]</f>
        <v>100</v>
      </c>
      <c r="AC39" s="246"/>
      <c r="AD39" s="246"/>
      <c r="AE39" s="301">
        <f>(AE38-V051_20[[#This Row],[CARTER MP.]])+V051_20[[#This Row],[FAENA EN LTS2]]</f>
        <v>100</v>
      </c>
      <c r="AF39" s="246"/>
      <c r="AG39" s="246"/>
      <c r="AH39" s="301">
        <f>(AH38-V051_20[[#This Row],[MOT AUX]])+V051_20[[#This Row],[FAENA EN  LTS]]</f>
        <v>100</v>
      </c>
      <c r="AI39" s="246"/>
      <c r="AJ39" s="246"/>
      <c r="AK39" s="348">
        <f>(AK38-V051_20[[#This Row],[HIDRAULICO]])+V051_20[[#This Row],[FAENA EN LTS3]]</f>
        <v>100</v>
      </c>
    </row>
    <row r="40" spans="1:37" ht="15" customHeight="1" x14ac:dyDescent="0.25">
      <c r="A40" s="390" t="s">
        <v>199</v>
      </c>
      <c r="B40" s="388">
        <v>43830</v>
      </c>
      <c r="C40" s="396">
        <v>0.5625</v>
      </c>
      <c r="D40" s="394">
        <f>IF(V051_20[[#This Row],[FECHA]]-B39=1,((V051_20[[#This Row],[HORA]]-C39)*24)+24,(V051_20[[#This Row],[HORA]]-C39)*24)</f>
        <v>1.1999999999999984</v>
      </c>
      <c r="E40" s="416" t="s">
        <v>47</v>
      </c>
      <c r="F40" s="397" t="s">
        <v>238</v>
      </c>
      <c r="G40" s="398"/>
      <c r="H40" s="398"/>
      <c r="I40" s="417">
        <f>IF(ISERROR(V051_20[[#This Row],[DISTANCIA POR CARTA]]/V051_20[[#This Row],[TIEMPO DE NAVEGACION]]),0,V051_20[[#This Row],[DISTANCIA POR CARTA]]/V051_20[[#This Row],[TIEMPO DE NAVEGACION]])</f>
        <v>0</v>
      </c>
      <c r="J40" s="398"/>
      <c r="K40" s="398"/>
      <c r="L40" s="394">
        <v>0</v>
      </c>
      <c r="M40" s="394">
        <v>0</v>
      </c>
      <c r="N40" s="394">
        <v>0</v>
      </c>
      <c r="O40" s="394">
        <f>SUM(V051_20[[#This Row],[MPAL]:[CALDERA]])</f>
        <v>0</v>
      </c>
      <c r="P40" s="400"/>
      <c r="Q40" s="281">
        <f>(Q39-V051_20[[#This Row],[TOTAL ]])+V051_20[[#This Row],[FAENA]]</f>
        <v>4.9999999999741362E-3</v>
      </c>
      <c r="R40" s="394">
        <v>0.5</v>
      </c>
      <c r="S40" s="394">
        <v>0.15</v>
      </c>
      <c r="T40" s="394">
        <v>0.1</v>
      </c>
      <c r="U40" s="394">
        <v>0</v>
      </c>
      <c r="V40" s="394">
        <v>0</v>
      </c>
      <c r="W40" s="418">
        <f>SUM(V051_20[[#This Row],[MPAL2]:[GI]])</f>
        <v>0.75</v>
      </c>
      <c r="X40" s="394"/>
      <c r="Y40" s="345">
        <f>(Y39-V051_20[[#This Row],[TOTAL]])+V051_20[[#This Row],[FAENA2]]</f>
        <v>17.849999999999994</v>
      </c>
      <c r="Z40" s="394"/>
      <c r="AA40" s="394"/>
      <c r="AB40" s="301">
        <f>(AB39-V051_20[[#This Row],[CYLINDER MP]])+V051_20[[#This Row],[FAENA EN LTS]]</f>
        <v>100</v>
      </c>
      <c r="AC40" s="394"/>
      <c r="AD40" s="394"/>
      <c r="AE40" s="301">
        <f>(AE39-V051_20[[#This Row],[CARTER MP.]])+V051_20[[#This Row],[FAENA EN LTS2]]</f>
        <v>100</v>
      </c>
      <c r="AF40" s="394"/>
      <c r="AG40" s="394"/>
      <c r="AH40" s="301">
        <f>(AH39-V051_20[[#This Row],[MOT AUX]])+V051_20[[#This Row],[FAENA EN  LTS]]</f>
        <v>100</v>
      </c>
      <c r="AI40" s="394"/>
      <c r="AJ40" s="394"/>
      <c r="AK40" s="348">
        <f>(AK39-V051_20[[#This Row],[HIDRAULICO]])+V051_20[[#This Row],[FAENA EN LTS3]]</f>
        <v>100</v>
      </c>
    </row>
    <row r="41" spans="1:37" ht="15" customHeight="1" x14ac:dyDescent="0.25">
      <c r="A41" s="386" t="s">
        <v>199</v>
      </c>
      <c r="B41" s="40">
        <v>43830</v>
      </c>
      <c r="C41" s="351">
        <v>0.58333333333333337</v>
      </c>
      <c r="D41" s="37">
        <f>IF(V051_20[[#This Row],[FECHA]]-B40=1,((V051_20[[#This Row],[HORA]]-C40)*24)+24,(V051_20[[#This Row],[HORA]]-C40)*24)</f>
        <v>0.50000000000000089</v>
      </c>
      <c r="E41" s="409" t="s">
        <v>55</v>
      </c>
      <c r="F41" s="29" t="s">
        <v>239</v>
      </c>
      <c r="G41" s="410"/>
      <c r="H41" s="412"/>
      <c r="I41" s="411">
        <f>IF(ISERROR(V051_20[[#This Row],[DISTANCIA POR CARTA]]/V051_20[[#This Row],[TIEMPO DE NAVEGACION]]),0,V051_20[[#This Row],[DISTANCIA POR CARTA]]/V051_20[[#This Row],[TIEMPO DE NAVEGACION]])</f>
        <v>0</v>
      </c>
      <c r="J41" s="410"/>
      <c r="K41" s="410"/>
      <c r="L41" s="418">
        <v>0</v>
      </c>
      <c r="M41" s="418">
        <v>0</v>
      </c>
      <c r="N41" s="418">
        <v>0</v>
      </c>
      <c r="O41" s="394">
        <f>SUM(V051_20[[#This Row],[MPAL]:[CALDERA]])</f>
        <v>0</v>
      </c>
      <c r="P41" s="319"/>
      <c r="Q41" s="281">
        <f>(Q40-V051_20[[#This Row],[TOTAL ]])+V051_20[[#This Row],[FAENA]]</f>
        <v>4.9999999999741362E-3</v>
      </c>
      <c r="R41" s="246">
        <v>0.42</v>
      </c>
      <c r="S41" s="246">
        <v>0.1</v>
      </c>
      <c r="T41" s="246">
        <v>0.1</v>
      </c>
      <c r="U41" s="246">
        <v>0</v>
      </c>
      <c r="V41" s="246">
        <v>0</v>
      </c>
      <c r="W41" s="418">
        <f>SUM(V051_20[[#This Row],[MPAL2]:[GI]])</f>
        <v>0.62</v>
      </c>
      <c r="X41" s="246"/>
      <c r="Y41" s="345">
        <f>(Y40-V051_20[[#This Row],[TOTAL]])+V051_20[[#This Row],[FAENA2]]</f>
        <v>17.229999999999993</v>
      </c>
      <c r="Z41" s="246"/>
      <c r="AA41" s="246"/>
      <c r="AB41" s="301">
        <f>(AB40-V051_20[[#This Row],[CYLINDER MP]])+V051_20[[#This Row],[FAENA EN LTS]]</f>
        <v>100</v>
      </c>
      <c r="AC41" s="246"/>
      <c r="AD41" s="246"/>
      <c r="AE41" s="301">
        <f>(AE40-V051_20[[#This Row],[CARTER MP.]])+V051_20[[#This Row],[FAENA EN LTS2]]</f>
        <v>100</v>
      </c>
      <c r="AF41" s="246"/>
      <c r="AG41" s="246"/>
      <c r="AH41" s="301">
        <f>(AH40-V051_20[[#This Row],[MOT AUX]])+V051_20[[#This Row],[FAENA EN  LTS]]</f>
        <v>100</v>
      </c>
      <c r="AI41" s="246"/>
      <c r="AJ41" s="246"/>
      <c r="AK41" s="348">
        <f>(AK40-V051_20[[#This Row],[HIDRAULICO]])+V051_20[[#This Row],[FAENA EN LTS3]]</f>
        <v>100</v>
      </c>
    </row>
    <row r="42" spans="1:37" ht="15" customHeight="1" x14ac:dyDescent="0.25">
      <c r="A42" s="390" t="s">
        <v>199</v>
      </c>
      <c r="B42" s="388">
        <v>43830</v>
      </c>
      <c r="C42" s="396">
        <v>0.61249999999999993</v>
      </c>
      <c r="D42" s="394">
        <f>IF(V051_20[[#This Row],[FECHA]]-B41=1,((V051_20[[#This Row],[HORA]]-C41)*24)+24,(V051_20[[#This Row],[HORA]]-C41)*24)</f>
        <v>0.69999999999999751</v>
      </c>
      <c r="E42" s="416" t="s">
        <v>47</v>
      </c>
      <c r="F42" s="397" t="s">
        <v>240</v>
      </c>
      <c r="G42" s="398"/>
      <c r="H42" s="398"/>
      <c r="I42" s="417">
        <f>IF(ISERROR(V051_20[[#This Row],[DISTANCIA POR CARTA]]/V051_20[[#This Row],[TIEMPO DE NAVEGACION]]),0,V051_20[[#This Row],[DISTANCIA POR CARTA]]/V051_20[[#This Row],[TIEMPO DE NAVEGACION]])</f>
        <v>0</v>
      </c>
      <c r="J42" s="398"/>
      <c r="K42" s="398"/>
      <c r="L42" s="394">
        <v>0</v>
      </c>
      <c r="M42" s="394">
        <v>0</v>
      </c>
      <c r="N42" s="394">
        <v>0</v>
      </c>
      <c r="O42" s="394">
        <f>SUM(V051_20[[#This Row],[MPAL]:[CALDERA]])</f>
        <v>0</v>
      </c>
      <c r="P42" s="400"/>
      <c r="Q42" s="281">
        <f>(Q41-V051_20[[#This Row],[TOTAL ]])+V051_20[[#This Row],[FAENA]]</f>
        <v>4.9999999999741362E-3</v>
      </c>
      <c r="R42" s="394">
        <v>0.28999999999999998</v>
      </c>
      <c r="S42" s="394">
        <v>0.1</v>
      </c>
      <c r="T42" s="394">
        <v>1.1000000000000001</v>
      </c>
      <c r="U42" s="394">
        <v>0</v>
      </c>
      <c r="V42" s="394">
        <v>0</v>
      </c>
      <c r="W42" s="418">
        <f>SUM(V051_20[[#This Row],[MPAL2]:[GI]])</f>
        <v>1.4900000000000002</v>
      </c>
      <c r="X42" s="394">
        <v>80</v>
      </c>
      <c r="Y42" s="345">
        <f>(Y41-V051_20[[#This Row],[TOTAL]])+V051_20[[#This Row],[FAENA2]]</f>
        <v>95.74</v>
      </c>
      <c r="Z42" s="394"/>
      <c r="AA42" s="394"/>
      <c r="AB42" s="301">
        <f>(AB41-V051_20[[#This Row],[CYLINDER MP]])+V051_20[[#This Row],[FAENA EN LTS]]</f>
        <v>100</v>
      </c>
      <c r="AC42" s="394"/>
      <c r="AD42" s="394"/>
      <c r="AE42" s="301">
        <f>(AE41-V051_20[[#This Row],[CARTER MP.]])+V051_20[[#This Row],[FAENA EN LTS2]]</f>
        <v>100</v>
      </c>
      <c r="AF42" s="394"/>
      <c r="AG42" s="394"/>
      <c r="AH42" s="301">
        <f>(AH41-V051_20[[#This Row],[MOT AUX]])+V051_20[[#This Row],[FAENA EN  LTS]]</f>
        <v>100</v>
      </c>
      <c r="AI42" s="394"/>
      <c r="AJ42" s="394"/>
      <c r="AK42" s="348">
        <f>(AK41-V051_20[[#This Row],[HIDRAULICO]])+V051_20[[#This Row],[FAENA EN LTS3]]</f>
        <v>100</v>
      </c>
    </row>
    <row r="43" spans="1:37" ht="15" customHeight="1" x14ac:dyDescent="0.25">
      <c r="A43" s="386" t="s">
        <v>199</v>
      </c>
      <c r="B43" s="40">
        <v>43830</v>
      </c>
      <c r="C43" s="351">
        <v>0.95000000000000007</v>
      </c>
      <c r="D43" s="37">
        <f>IF(V051_20[[#This Row],[FECHA]]-B42=1,((V051_20[[#This Row],[HORA]]-C42)*24)+24,(V051_20[[#This Row],[HORA]]-C42)*24)</f>
        <v>8.1000000000000032</v>
      </c>
      <c r="E43" s="409" t="s">
        <v>49</v>
      </c>
      <c r="F43" s="29" t="s">
        <v>46</v>
      </c>
      <c r="G43" s="410"/>
      <c r="H43" s="412"/>
      <c r="I43" s="411">
        <f>IF(ISERROR(V051_20[[#This Row],[DISTANCIA POR CARTA]]/V051_20[[#This Row],[TIEMPO DE NAVEGACION]]),0,V051_20[[#This Row],[DISTANCIA POR CARTA]]/V051_20[[#This Row],[TIEMPO DE NAVEGACION]])</f>
        <v>0</v>
      </c>
      <c r="J43" s="410"/>
      <c r="K43" s="410"/>
      <c r="L43" s="418">
        <v>0</v>
      </c>
      <c r="M43" s="418">
        <v>0</v>
      </c>
      <c r="N43" s="418">
        <v>0</v>
      </c>
      <c r="O43" s="394">
        <f>SUM(V051_20[[#This Row],[MPAL]:[CALDERA]])</f>
        <v>0</v>
      </c>
      <c r="P43" s="319"/>
      <c r="Q43" s="281">
        <f>(Q42-V051_20[[#This Row],[TOTAL ]])+V051_20[[#This Row],[FAENA]]</f>
        <v>4.9999999999741362E-3</v>
      </c>
      <c r="R43" s="246">
        <v>0</v>
      </c>
      <c r="S43" s="246">
        <v>0.2</v>
      </c>
      <c r="T43" s="246">
        <v>0.1</v>
      </c>
      <c r="U43" s="246">
        <v>0</v>
      </c>
      <c r="V43" s="246">
        <v>0</v>
      </c>
      <c r="W43" s="418">
        <f>SUM(V051_20[[#This Row],[MPAL2]:[GI]])</f>
        <v>0.30000000000000004</v>
      </c>
      <c r="X43" s="246"/>
      <c r="Y43" s="345">
        <f>(Y42-V051_20[[#This Row],[TOTAL]])+V051_20[[#This Row],[FAENA2]]</f>
        <v>95.44</v>
      </c>
      <c r="Z43" s="246"/>
      <c r="AA43" s="246"/>
      <c r="AB43" s="301">
        <f>(AB42-V051_20[[#This Row],[CYLINDER MP]])+V051_20[[#This Row],[FAENA EN LTS]]</f>
        <v>100</v>
      </c>
      <c r="AC43" s="246"/>
      <c r="AD43" s="246"/>
      <c r="AE43" s="301">
        <f>(AE42-V051_20[[#This Row],[CARTER MP.]])+V051_20[[#This Row],[FAENA EN LTS2]]</f>
        <v>100</v>
      </c>
      <c r="AF43" s="246"/>
      <c r="AG43" s="246"/>
      <c r="AH43" s="301">
        <f>(AH42-V051_20[[#This Row],[MOT AUX]])+V051_20[[#This Row],[FAENA EN  LTS]]</f>
        <v>100</v>
      </c>
      <c r="AI43" s="246"/>
      <c r="AJ43" s="246"/>
      <c r="AK43" s="348">
        <f>(AK42-V051_20[[#This Row],[HIDRAULICO]])+V051_20[[#This Row],[FAENA EN LTS3]]</f>
        <v>100</v>
      </c>
    </row>
    <row r="44" spans="1:37" ht="15" customHeight="1" x14ac:dyDescent="0.25">
      <c r="A44" s="390" t="s">
        <v>199</v>
      </c>
      <c r="B44" s="388">
        <v>43830</v>
      </c>
      <c r="C44" s="396">
        <v>0.97916666666666663</v>
      </c>
      <c r="D44" s="394">
        <f>IF(V051_20[[#This Row],[FECHA]]-B43=1,((V051_20[[#This Row],[HORA]]-C43)*24)+24,(V051_20[[#This Row],[HORA]]-C43)*24)</f>
        <v>0.69999999999999751</v>
      </c>
      <c r="E44" s="416" t="s">
        <v>49</v>
      </c>
      <c r="F44" s="397" t="s">
        <v>238</v>
      </c>
      <c r="G44" s="398"/>
      <c r="H44" s="398"/>
      <c r="I44" s="417">
        <f>IF(ISERROR(V051_20[[#This Row],[DISTANCIA POR CARTA]]/V051_20[[#This Row],[TIEMPO DE NAVEGACION]]),0,V051_20[[#This Row],[DISTANCIA POR CARTA]]/V051_20[[#This Row],[TIEMPO DE NAVEGACION]])</f>
        <v>0</v>
      </c>
      <c r="J44" s="398"/>
      <c r="K44" s="398"/>
      <c r="L44" s="394">
        <v>0</v>
      </c>
      <c r="M44" s="394">
        <v>0</v>
      </c>
      <c r="N44" s="394">
        <v>0</v>
      </c>
      <c r="O44" s="394">
        <f>SUM(V051_20[[#This Row],[MPAL]:[CALDERA]])</f>
        <v>0</v>
      </c>
      <c r="P44" s="400">
        <v>370</v>
      </c>
      <c r="Q44" s="281">
        <f>(Q43-V051_20[[#This Row],[TOTAL ]])+V051_20[[#This Row],[FAENA]]</f>
        <v>370.005</v>
      </c>
      <c r="R44" s="394">
        <v>0.28999999999999998</v>
      </c>
      <c r="S44" s="394">
        <v>0.1</v>
      </c>
      <c r="T44" s="394">
        <v>0.1</v>
      </c>
      <c r="U44" s="394">
        <v>0</v>
      </c>
      <c r="V44" s="394">
        <v>0</v>
      </c>
      <c r="W44" s="418">
        <f>SUM(V051_20[[#This Row],[MPAL2]:[GI]])</f>
        <v>0.49</v>
      </c>
      <c r="X44" s="394"/>
      <c r="Y44" s="345">
        <f>(Y43-V051_20[[#This Row],[TOTAL]])+V051_20[[#This Row],[FAENA2]]</f>
        <v>94.95</v>
      </c>
      <c r="Z44" s="394"/>
      <c r="AA44" s="394"/>
      <c r="AB44" s="301">
        <f>(AB43-V051_20[[#This Row],[CYLINDER MP]])+V051_20[[#This Row],[FAENA EN LTS]]</f>
        <v>100</v>
      </c>
      <c r="AC44" s="394"/>
      <c r="AD44" s="394"/>
      <c r="AE44" s="301">
        <f>(AE43-V051_20[[#This Row],[CARTER MP.]])+V051_20[[#This Row],[FAENA EN LTS2]]</f>
        <v>100</v>
      </c>
      <c r="AF44" s="394"/>
      <c r="AG44" s="394"/>
      <c r="AH44" s="301">
        <f>(AH43-V051_20[[#This Row],[MOT AUX]])+V051_20[[#This Row],[FAENA EN  LTS]]</f>
        <v>100</v>
      </c>
      <c r="AI44" s="394"/>
      <c r="AJ44" s="394"/>
      <c r="AK44" s="348">
        <f>(AK43-V051_20[[#This Row],[HIDRAULICO]])+V051_20[[#This Row],[FAENA EN LTS3]]</f>
        <v>100</v>
      </c>
    </row>
    <row r="45" spans="1:37" x14ac:dyDescent="0.25">
      <c r="A45" s="389" t="s">
        <v>109</v>
      </c>
      <c r="B45" s="40">
        <v>43831</v>
      </c>
      <c r="C45" s="41">
        <v>0.3</v>
      </c>
      <c r="D45" s="37">
        <f>IF(V051_20[[#This Row],[FECHA]]-B44=1,((V051_20[[#This Row],[HORA]]-C44)*24)+24,(V051_20[[#This Row],[HORA]]-C44)*24)</f>
        <v>7.6999999999999993</v>
      </c>
      <c r="E45" s="51" t="s">
        <v>55</v>
      </c>
      <c r="F45" s="29" t="s">
        <v>76</v>
      </c>
      <c r="G45" s="45">
        <v>91</v>
      </c>
      <c r="H45" s="385">
        <v>7.2</v>
      </c>
      <c r="I45" s="344">
        <f>IF(ISERROR(V051_20[[#This Row],[DISTANCIA POR CARTA]]/V051_20[[#This Row],[TIEMPO DE NAVEGACION]]),0,V051_20[[#This Row],[DISTANCIA POR CARTA]]/V051_20[[#This Row],[TIEMPO DE NAVEGACION]])</f>
        <v>12.638888888888889</v>
      </c>
      <c r="J45" s="45" t="s">
        <v>54</v>
      </c>
      <c r="K45" s="45">
        <v>95</v>
      </c>
      <c r="L45" s="418">
        <v>0</v>
      </c>
      <c r="M45" s="418">
        <v>0</v>
      </c>
      <c r="N45" s="418">
        <v>0</v>
      </c>
      <c r="O45" s="394">
        <f>SUM(V051_20[[#This Row],[MPAL]:[CALDERA]])</f>
        <v>0</v>
      </c>
      <c r="P45" s="88"/>
      <c r="Q45" s="281">
        <f>(Q44-V051_20[[#This Row],[TOTAL ]])+V051_20[[#This Row],[FAENA]]</f>
        <v>370.005</v>
      </c>
      <c r="R45" s="37">
        <v>7.97</v>
      </c>
      <c r="S45" s="37">
        <v>0.89</v>
      </c>
      <c r="T45" s="37">
        <v>0.06</v>
      </c>
      <c r="U45" s="37">
        <v>0</v>
      </c>
      <c r="V45" s="37">
        <v>0</v>
      </c>
      <c r="W45" s="418">
        <f>SUM(V051_20[[#This Row],[MPAL2]:[GI]])</f>
        <v>8.92</v>
      </c>
      <c r="X45" s="37"/>
      <c r="Y45" s="345">
        <f>(Y44-V051_20[[#This Row],[TOTAL]])+V051_20[[#This Row],[FAENA2]]</f>
        <v>86.03</v>
      </c>
      <c r="Z45" s="37"/>
      <c r="AA45" s="37"/>
      <c r="AB45" s="301">
        <f>(AB44-V051_20[[#This Row],[CYLINDER MP]])+V051_20[[#This Row],[FAENA EN LTS]]</f>
        <v>100</v>
      </c>
      <c r="AC45" s="37"/>
      <c r="AD45" s="37"/>
      <c r="AE45" s="301">
        <f>(AE44-V051_20[[#This Row],[CARTER MP.]])+V051_20[[#This Row],[FAENA EN LTS2]]</f>
        <v>100</v>
      </c>
      <c r="AF45" s="37"/>
      <c r="AG45" s="37"/>
      <c r="AH45" s="301">
        <f>(AH44-V051_20[[#This Row],[MOT AUX]])+V051_20[[#This Row],[FAENA EN  LTS]]</f>
        <v>100</v>
      </c>
      <c r="AI45" s="37"/>
      <c r="AJ45" s="37"/>
      <c r="AK45" s="348">
        <f>(AK44-V051_20[[#This Row],[HIDRAULICO]])+V051_20[[#This Row],[FAENA EN LTS3]]</f>
        <v>100</v>
      </c>
    </row>
    <row r="46" spans="1:37" x14ac:dyDescent="0.25">
      <c r="A46" s="390" t="s">
        <v>199</v>
      </c>
      <c r="B46" s="388">
        <v>43831</v>
      </c>
      <c r="C46" s="396">
        <v>0.33333333333333331</v>
      </c>
      <c r="D46" s="394">
        <f>IF(V051_20[[#This Row],[FECHA]]-B45=1,((V051_20[[#This Row],[HORA]]-C45)*24)+24,(V051_20[[#This Row],[HORA]]-C45)*24)</f>
        <v>0.79999999999999982</v>
      </c>
      <c r="E46" s="398" t="s">
        <v>47</v>
      </c>
      <c r="F46" s="397" t="s">
        <v>110</v>
      </c>
      <c r="G46" s="398"/>
      <c r="H46" s="398"/>
      <c r="I46" s="399">
        <f>IF(ISERROR(V051_20[[#This Row],[DISTANCIA POR CARTA]]/V051_20[[#This Row],[TIEMPO DE NAVEGACION]]),0,V051_20[[#This Row],[DISTANCIA POR CARTA]]/V051_20[[#This Row],[TIEMPO DE NAVEGACION]])</f>
        <v>0</v>
      </c>
      <c r="J46" s="398"/>
      <c r="K46" s="398"/>
      <c r="L46" s="394">
        <v>0</v>
      </c>
      <c r="M46" s="394">
        <v>0</v>
      </c>
      <c r="N46" s="394">
        <v>0</v>
      </c>
      <c r="O46" s="394">
        <f>SUM(V051_20[[#This Row],[MPAL]:[CALDERA]])</f>
        <v>0</v>
      </c>
      <c r="P46" s="400"/>
      <c r="Q46" s="281">
        <f>(Q45-V051_20[[#This Row],[TOTAL ]])+V051_20[[#This Row],[FAENA]]</f>
        <v>370.005</v>
      </c>
      <c r="R46" s="394">
        <v>0.33</v>
      </c>
      <c r="S46" s="394">
        <v>0.08</v>
      </c>
      <c r="T46" s="394">
        <v>7.0000000000000007E-2</v>
      </c>
      <c r="U46" s="394">
        <v>0</v>
      </c>
      <c r="V46" s="394">
        <v>0</v>
      </c>
      <c r="W46" s="418">
        <f>SUM(V051_20[[#This Row],[MPAL2]:[GI]])</f>
        <v>0.48000000000000004</v>
      </c>
      <c r="X46" s="394"/>
      <c r="Y46" s="345">
        <f>(Y45-V051_20[[#This Row],[TOTAL]])+V051_20[[#This Row],[FAENA2]]</f>
        <v>85.55</v>
      </c>
      <c r="Z46" s="394"/>
      <c r="AA46" s="394"/>
      <c r="AB46" s="301">
        <f>(AB45-V051_20[[#This Row],[CYLINDER MP]])+V051_20[[#This Row],[FAENA EN LTS]]</f>
        <v>100</v>
      </c>
      <c r="AC46" s="394"/>
      <c r="AD46" s="394"/>
      <c r="AE46" s="301">
        <f>(AE45-V051_20[[#This Row],[CARTER MP.]])+V051_20[[#This Row],[FAENA EN LTS2]]</f>
        <v>100</v>
      </c>
      <c r="AF46" s="394"/>
      <c r="AG46" s="394"/>
      <c r="AH46" s="301">
        <f>(AH45-V051_20[[#This Row],[MOT AUX]])+V051_20[[#This Row],[FAENA EN  LTS]]</f>
        <v>100</v>
      </c>
      <c r="AI46" s="394"/>
      <c r="AJ46" s="394"/>
      <c r="AK46" s="348">
        <f>(AK45-V051_20[[#This Row],[HIDRAULICO]])+V051_20[[#This Row],[FAENA EN LTS3]]</f>
        <v>100</v>
      </c>
    </row>
    <row r="47" spans="1:37" x14ac:dyDescent="0.25">
      <c r="A47" s="386" t="s">
        <v>199</v>
      </c>
      <c r="B47" s="40">
        <v>43831</v>
      </c>
      <c r="C47" s="41">
        <v>0.35000000000000003</v>
      </c>
      <c r="D47" s="37">
        <f>IF(V051_20[[#This Row],[FECHA]]-B46=1,((V051_20[[#This Row],[HORA]]-C46)*24)+24,(V051_20[[#This Row],[HORA]]-C46)*24)</f>
        <v>0.40000000000000124</v>
      </c>
      <c r="E47" s="51" t="s">
        <v>47</v>
      </c>
      <c r="F47" s="29" t="s">
        <v>111</v>
      </c>
      <c r="G47" s="51"/>
      <c r="H47" s="51"/>
      <c r="I47" s="344">
        <v>0</v>
      </c>
      <c r="J47" s="51"/>
      <c r="K47" s="51"/>
      <c r="L47" s="418">
        <v>0</v>
      </c>
      <c r="M47" s="418">
        <v>4.1666666666666796E-2</v>
      </c>
      <c r="N47" s="418">
        <v>3.3333333333333437E-2</v>
      </c>
      <c r="O47" s="394">
        <f>SUM(V051_20[[#This Row],[MPAL]:[CALDERA]])</f>
        <v>7.5000000000000233E-2</v>
      </c>
      <c r="P47" s="88"/>
      <c r="Q47" s="281">
        <f>(Q46-V051_20[[#This Row],[TOTAL ]])+V051_20[[#This Row],[FAENA]]</f>
        <v>369.93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418">
        <f>SUM(V051_20[[#This Row],[MPAL2]:[GI]])</f>
        <v>0</v>
      </c>
      <c r="X47" s="37"/>
      <c r="Y47" s="345">
        <f>(Y46-V051_20[[#This Row],[TOTAL]])+V051_20[[#This Row],[FAENA2]]</f>
        <v>85.55</v>
      </c>
      <c r="Z47" s="37"/>
      <c r="AA47" s="37"/>
      <c r="AB47" s="301">
        <f>(AB46-V051_20[[#This Row],[CYLINDER MP]])+V051_20[[#This Row],[FAENA EN LTS]]</f>
        <v>100</v>
      </c>
      <c r="AC47" s="37"/>
      <c r="AD47" s="37"/>
      <c r="AE47" s="301">
        <f>(AE46-V051_20[[#This Row],[CARTER MP.]])+V051_20[[#This Row],[FAENA EN LTS2]]</f>
        <v>100</v>
      </c>
      <c r="AF47" s="37"/>
      <c r="AG47" s="37"/>
      <c r="AH47" s="301">
        <f>(AH46-V051_20[[#This Row],[MOT AUX]])+V051_20[[#This Row],[FAENA EN  LTS]]</f>
        <v>100</v>
      </c>
      <c r="AI47" s="37"/>
      <c r="AJ47" s="37"/>
      <c r="AK47" s="348">
        <f>(AK46-V051_20[[#This Row],[HIDRAULICO]])+V051_20[[#This Row],[FAENA EN LTS3]]</f>
        <v>100</v>
      </c>
    </row>
    <row r="48" spans="1:37" x14ac:dyDescent="0.25">
      <c r="A48" s="390" t="s">
        <v>199</v>
      </c>
      <c r="B48" s="388">
        <v>43831</v>
      </c>
      <c r="C48" s="396">
        <v>0.38750000000000001</v>
      </c>
      <c r="D48" s="394">
        <f>IF(V051_20[[#This Row],[FECHA]]-B47=1,((V051_20[[#This Row],[HORA]]-C47)*24)+24,(V051_20[[#This Row],[HORA]]-C47)*24)</f>
        <v>0.89999999999999947</v>
      </c>
      <c r="E48" s="398" t="s">
        <v>47</v>
      </c>
      <c r="F48" s="397" t="s">
        <v>78</v>
      </c>
      <c r="G48" s="398"/>
      <c r="H48" s="398"/>
      <c r="I48" s="399">
        <f>IF(ISERROR(V051_20[[#This Row],[DISTANCIA POR CARTA]]/V051_20[[#This Row],[TIEMPO DE NAVEGACION]]),0,V051_20[[#This Row],[DISTANCIA POR CARTA]]/V051_20[[#This Row],[TIEMPO DE NAVEGACION]])</f>
        <v>0</v>
      </c>
      <c r="J48" s="398"/>
      <c r="K48" s="398"/>
      <c r="L48" s="394">
        <v>0.37499999999999978</v>
      </c>
      <c r="M48" s="394">
        <v>9.3749999999999944E-2</v>
      </c>
      <c r="N48" s="394">
        <v>7.4999999999999956E-2</v>
      </c>
      <c r="O48" s="394">
        <f>SUM(V051_20[[#This Row],[MPAL]:[CALDERA]])</f>
        <v>0.54374999999999973</v>
      </c>
      <c r="P48" s="400"/>
      <c r="Q48" s="281">
        <f>(Q47-V051_20[[#This Row],[TOTAL ]])+V051_20[[#This Row],[FAENA]]</f>
        <v>369.38625000000002</v>
      </c>
      <c r="R48" s="394">
        <v>0</v>
      </c>
      <c r="S48" s="394">
        <v>0</v>
      </c>
      <c r="T48" s="394">
        <v>0</v>
      </c>
      <c r="U48" s="394">
        <v>0</v>
      </c>
      <c r="V48" s="394">
        <v>0</v>
      </c>
      <c r="W48" s="418">
        <f>SUM(V051_20[[#This Row],[MPAL2]:[GI]])</f>
        <v>0</v>
      </c>
      <c r="X48" s="394"/>
      <c r="Y48" s="345">
        <f>(Y47-V051_20[[#This Row],[TOTAL]])+V051_20[[#This Row],[FAENA2]]</f>
        <v>85.55</v>
      </c>
      <c r="Z48" s="394"/>
      <c r="AA48" s="394"/>
      <c r="AB48" s="301">
        <f>(AB47-V051_20[[#This Row],[CYLINDER MP]])+V051_20[[#This Row],[FAENA EN LTS]]</f>
        <v>100</v>
      </c>
      <c r="AC48" s="394"/>
      <c r="AD48" s="394"/>
      <c r="AE48" s="301">
        <f>(AE47-V051_20[[#This Row],[CARTER MP.]])+V051_20[[#This Row],[FAENA EN LTS2]]</f>
        <v>100</v>
      </c>
      <c r="AF48" s="394"/>
      <c r="AG48" s="394"/>
      <c r="AH48" s="301">
        <f>(AH47-V051_20[[#This Row],[MOT AUX]])+V051_20[[#This Row],[FAENA EN  LTS]]</f>
        <v>100</v>
      </c>
      <c r="AI48" s="394"/>
      <c r="AJ48" s="394"/>
      <c r="AK48" s="348">
        <f>(AK47-V051_20[[#This Row],[HIDRAULICO]])+V051_20[[#This Row],[FAENA EN LTS3]]</f>
        <v>100</v>
      </c>
    </row>
    <row r="49" spans="1:37" x14ac:dyDescent="0.25">
      <c r="A49" s="386" t="s">
        <v>199</v>
      </c>
      <c r="B49" s="40">
        <v>43831</v>
      </c>
      <c r="C49" s="41">
        <v>0.50416666666666665</v>
      </c>
      <c r="D49" s="37">
        <f>IF(V051_20[[#This Row],[FECHA]]-B48=1,((V051_20[[#This Row],[HORA]]-C48)*24)+24,(V051_20[[#This Row],[HORA]]-C48)*24)</f>
        <v>2.7999999999999994</v>
      </c>
      <c r="E49" s="51" t="s">
        <v>49</v>
      </c>
      <c r="F49" s="29" t="s">
        <v>112</v>
      </c>
      <c r="G49" s="51"/>
      <c r="H49" s="51"/>
      <c r="I49" s="344">
        <f>IF(ISERROR(V051_20[[#This Row],[DISTANCIA POR CARTA]]/V051_20[[#This Row],[TIEMPO DE NAVEGACION]]),0,V051_20[[#This Row],[DISTANCIA POR CARTA]]/V051_20[[#This Row],[TIEMPO DE NAVEGACION]])</f>
        <v>0</v>
      </c>
      <c r="J49" s="51"/>
      <c r="K49" s="51"/>
      <c r="L49" s="418">
        <v>0</v>
      </c>
      <c r="M49" s="418">
        <v>0.29166666666666663</v>
      </c>
      <c r="N49" s="418">
        <v>0.23333333333333328</v>
      </c>
      <c r="O49" s="394">
        <f>SUM(V051_20[[#This Row],[MPAL]:[CALDERA]])</f>
        <v>0.52499999999999991</v>
      </c>
      <c r="P49" s="88"/>
      <c r="Q49" s="281">
        <f>(Q48-V051_20[[#This Row],[TOTAL ]])+V051_20[[#This Row],[FAENA]]</f>
        <v>368.86125000000004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418">
        <f>SUM(V051_20[[#This Row],[MPAL2]:[GI]])</f>
        <v>0</v>
      </c>
      <c r="X49" s="37"/>
      <c r="Y49" s="345">
        <f>(Y48-V051_20[[#This Row],[TOTAL]])+V051_20[[#This Row],[FAENA2]]</f>
        <v>85.55</v>
      </c>
      <c r="Z49" s="37"/>
      <c r="AA49" s="37"/>
      <c r="AB49" s="301">
        <f>(AB48-V051_20[[#This Row],[CYLINDER MP]])+V051_20[[#This Row],[FAENA EN LTS]]</f>
        <v>100</v>
      </c>
      <c r="AC49" s="37"/>
      <c r="AD49" s="37"/>
      <c r="AE49" s="301">
        <f>(AE48-V051_20[[#This Row],[CARTER MP.]])+V051_20[[#This Row],[FAENA EN LTS2]]</f>
        <v>100</v>
      </c>
      <c r="AF49" s="37"/>
      <c r="AG49" s="37"/>
      <c r="AH49" s="301">
        <f>(AH48-V051_20[[#This Row],[MOT AUX]])+V051_20[[#This Row],[FAENA EN  LTS]]</f>
        <v>100</v>
      </c>
      <c r="AI49" s="37"/>
      <c r="AJ49" s="37"/>
      <c r="AK49" s="348">
        <f>(AK48-V051_20[[#This Row],[HIDRAULICO]])+V051_20[[#This Row],[FAENA EN LTS3]]</f>
        <v>100</v>
      </c>
    </row>
    <row r="50" spans="1:37" x14ac:dyDescent="0.25">
      <c r="A50" s="390" t="s">
        <v>199</v>
      </c>
      <c r="B50" s="388">
        <v>43831</v>
      </c>
      <c r="C50" s="396">
        <v>0.95833333333333337</v>
      </c>
      <c r="D50" s="394">
        <f>IF(V051_20[[#This Row],[FECHA]]-B49=1,((V051_20[[#This Row],[HORA]]-C49)*24)+24,(V051_20[[#This Row],[HORA]]-C49)*24)</f>
        <v>10.900000000000002</v>
      </c>
      <c r="E50" s="398" t="s">
        <v>51</v>
      </c>
      <c r="F50" s="397" t="s">
        <v>113</v>
      </c>
      <c r="G50" s="398"/>
      <c r="H50" s="398"/>
      <c r="I50" s="399">
        <f>IF(ISERROR(V051_20[[#This Row],[DISTANCIA POR CARTA]]/V051_20[[#This Row],[TIEMPO DE NAVEGACION]]),0,V051_20[[#This Row],[DISTANCIA POR CARTA]]/V051_20[[#This Row],[TIEMPO DE NAVEGACION]])</f>
        <v>0</v>
      </c>
      <c r="J50" s="398"/>
      <c r="K50" s="398"/>
      <c r="L50" s="394">
        <v>0</v>
      </c>
      <c r="M50" s="394">
        <v>1.135416666666667</v>
      </c>
      <c r="N50" s="394">
        <v>0.90833333333333344</v>
      </c>
      <c r="O50" s="394">
        <f>SUM(V051_20[[#This Row],[MPAL]:[CALDERA]])</f>
        <v>2.0437500000000002</v>
      </c>
      <c r="P50" s="400"/>
      <c r="Q50" s="281">
        <f>(Q49-V051_20[[#This Row],[TOTAL ]])+V051_20[[#This Row],[FAENA]]</f>
        <v>366.81750000000005</v>
      </c>
      <c r="R50" s="394">
        <v>0</v>
      </c>
      <c r="S50" s="394">
        <v>0</v>
      </c>
      <c r="T50" s="394">
        <v>0</v>
      </c>
      <c r="U50" s="394">
        <v>0</v>
      </c>
      <c r="V50" s="394">
        <v>2.8</v>
      </c>
      <c r="W50" s="418">
        <f>SUM(V051_20[[#This Row],[MPAL2]:[GI]])</f>
        <v>2.8</v>
      </c>
      <c r="X50" s="394"/>
      <c r="Y50" s="345">
        <f>(Y49-V051_20[[#This Row],[TOTAL]])+V051_20[[#This Row],[FAENA2]]</f>
        <v>82.75</v>
      </c>
      <c r="Z50" s="394"/>
      <c r="AA50" s="394"/>
      <c r="AB50" s="301">
        <f>(AB49-V051_20[[#This Row],[CYLINDER MP]])+V051_20[[#This Row],[FAENA EN LTS]]</f>
        <v>100</v>
      </c>
      <c r="AC50" s="394"/>
      <c r="AD50" s="394"/>
      <c r="AE50" s="301">
        <f>(AE49-V051_20[[#This Row],[CARTER MP.]])+V051_20[[#This Row],[FAENA EN LTS2]]</f>
        <v>100</v>
      </c>
      <c r="AF50" s="394"/>
      <c r="AG50" s="394"/>
      <c r="AH50" s="301">
        <f>(AH49-V051_20[[#This Row],[MOT AUX]])+V051_20[[#This Row],[FAENA EN  LTS]]</f>
        <v>100</v>
      </c>
      <c r="AI50" s="394"/>
      <c r="AJ50" s="394"/>
      <c r="AK50" s="348">
        <f>(AK49-V051_20[[#This Row],[HIDRAULICO]])+V051_20[[#This Row],[FAENA EN LTS3]]</f>
        <v>100</v>
      </c>
    </row>
    <row r="51" spans="1:37" x14ac:dyDescent="0.25">
      <c r="A51" s="387" t="s">
        <v>199</v>
      </c>
      <c r="B51" s="48">
        <v>43832</v>
      </c>
      <c r="C51" s="41">
        <v>8.7500000000000008E-2</v>
      </c>
      <c r="D51" s="37">
        <f>IF(V051_20[[#This Row],[FECHA]]-B50=1,((V051_20[[#This Row],[HORA]]-C50)*24)+24,(V051_20[[#This Row],[HORA]]-C50)*24)</f>
        <v>3.1000000000000014</v>
      </c>
      <c r="E51" s="51" t="s">
        <v>49</v>
      </c>
      <c r="F51" s="29" t="s">
        <v>114</v>
      </c>
      <c r="G51" s="51"/>
      <c r="H51" s="51"/>
      <c r="I51" s="344">
        <f>IF(ISERROR(V051_20[[#This Row],[DISTANCIA POR CARTA]]/V051_20[[#This Row],[TIEMPO DE NAVEGACION]]),0,V051_20[[#This Row],[DISTANCIA POR CARTA]]/V051_20[[#This Row],[TIEMPO DE NAVEGACION]])</f>
        <v>0</v>
      </c>
      <c r="J51" s="51"/>
      <c r="K51" s="51"/>
      <c r="L51" s="418">
        <v>0</v>
      </c>
      <c r="M51" s="418">
        <v>0.32291666666666685</v>
      </c>
      <c r="N51" s="418">
        <v>0.25833333333333341</v>
      </c>
      <c r="O51" s="394">
        <f>SUM(V051_20[[#This Row],[MPAL]:[CALDERA]])</f>
        <v>0.58125000000000027</v>
      </c>
      <c r="P51" s="88"/>
      <c r="Q51" s="281">
        <f>(Q50-V051_20[[#This Row],[TOTAL ]])+V051_20[[#This Row],[FAENA]]</f>
        <v>366.23625000000004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418">
        <f>SUM(V051_20[[#This Row],[MPAL2]:[GI]])</f>
        <v>0</v>
      </c>
      <c r="X51" s="37"/>
      <c r="Y51" s="345">
        <f>(Y50-V051_20[[#This Row],[TOTAL]])+V051_20[[#This Row],[FAENA2]]</f>
        <v>82.75</v>
      </c>
      <c r="Z51" s="37"/>
      <c r="AA51" s="37"/>
      <c r="AB51" s="301">
        <f>(AB50-V051_20[[#This Row],[CYLINDER MP]])+V051_20[[#This Row],[FAENA EN LTS]]</f>
        <v>100</v>
      </c>
      <c r="AC51" s="37"/>
      <c r="AD51" s="37"/>
      <c r="AE51" s="301">
        <f>(AE50-V051_20[[#This Row],[CARTER MP.]])+V051_20[[#This Row],[FAENA EN LTS2]]</f>
        <v>100</v>
      </c>
      <c r="AF51" s="37"/>
      <c r="AG51" s="37"/>
      <c r="AH51" s="301">
        <f>(AH50-V051_20[[#This Row],[MOT AUX]])+V051_20[[#This Row],[FAENA EN  LTS]]</f>
        <v>100</v>
      </c>
      <c r="AI51" s="37"/>
      <c r="AJ51" s="37"/>
      <c r="AK51" s="348">
        <f>(AK50-V051_20[[#This Row],[HIDRAULICO]])+V051_20[[#This Row],[FAENA EN LTS3]]</f>
        <v>100</v>
      </c>
    </row>
    <row r="52" spans="1:37" x14ac:dyDescent="0.25">
      <c r="A52" s="390" t="s">
        <v>199</v>
      </c>
      <c r="B52" s="388">
        <v>43832</v>
      </c>
      <c r="C52" s="396">
        <v>0.1125</v>
      </c>
      <c r="D52" s="394">
        <f>IF(V051_20[[#This Row],[FECHA]]-B51=1,((V051_20[[#This Row],[HORA]]-C51)*24)+24,(V051_20[[#This Row],[HORA]]-C51)*24)</f>
        <v>0.59999999999999987</v>
      </c>
      <c r="E52" s="398" t="s">
        <v>47</v>
      </c>
      <c r="F52" s="397" t="s">
        <v>115</v>
      </c>
      <c r="G52" s="398"/>
      <c r="H52" s="398"/>
      <c r="I52" s="399">
        <f>IF(ISERROR(V051_20[[#This Row],[DISTANCIA POR CARTA]]/V051_20[[#This Row],[TIEMPO DE NAVEGACION]]),0,V051_20[[#This Row],[DISTANCIA POR CARTA]]/V051_20[[#This Row],[TIEMPO DE NAVEGACION]])</f>
        <v>0</v>
      </c>
      <c r="J52" s="398"/>
      <c r="K52" s="398"/>
      <c r="L52" s="394">
        <v>0.24999999999999994</v>
      </c>
      <c r="M52" s="394">
        <v>6.2499999999999986E-2</v>
      </c>
      <c r="N52" s="394">
        <v>4.9999999999999989E-2</v>
      </c>
      <c r="O52" s="394">
        <f>SUM(V051_20[[#This Row],[MPAL]:[CALDERA]])</f>
        <v>0.36249999999999993</v>
      </c>
      <c r="P52" s="400"/>
      <c r="Q52" s="281">
        <f>(Q51-V051_20[[#This Row],[TOTAL ]])+V051_20[[#This Row],[FAENA]]</f>
        <v>365.87375000000003</v>
      </c>
      <c r="R52" s="394">
        <v>0</v>
      </c>
      <c r="S52" s="394">
        <v>0</v>
      </c>
      <c r="T52" s="394">
        <v>0</v>
      </c>
      <c r="U52" s="394">
        <v>0</v>
      </c>
      <c r="V52" s="394">
        <v>0</v>
      </c>
      <c r="W52" s="418">
        <f>SUM(V051_20[[#This Row],[MPAL2]:[GI]])</f>
        <v>0</v>
      </c>
      <c r="X52" s="394"/>
      <c r="Y52" s="345">
        <f>(Y51-V051_20[[#This Row],[TOTAL]])+V051_20[[#This Row],[FAENA2]]</f>
        <v>82.75</v>
      </c>
      <c r="Z52" s="394"/>
      <c r="AA52" s="394"/>
      <c r="AB52" s="301">
        <f>(AB51-V051_20[[#This Row],[CYLINDER MP]])+V051_20[[#This Row],[FAENA EN LTS]]</f>
        <v>100</v>
      </c>
      <c r="AC52" s="394"/>
      <c r="AD52" s="394"/>
      <c r="AE52" s="301">
        <f>(AE51-V051_20[[#This Row],[CARTER MP.]])+V051_20[[#This Row],[FAENA EN LTS2]]</f>
        <v>100</v>
      </c>
      <c r="AF52" s="394"/>
      <c r="AG52" s="394"/>
      <c r="AH52" s="301">
        <f>(AH51-V051_20[[#This Row],[MOT AUX]])+V051_20[[#This Row],[FAENA EN  LTS]]</f>
        <v>100</v>
      </c>
      <c r="AI52" s="394"/>
      <c r="AJ52" s="394"/>
      <c r="AK52" s="348">
        <f>(AK51-V051_20[[#This Row],[HIDRAULICO]])+V051_20[[#This Row],[FAENA EN LTS3]]</f>
        <v>100</v>
      </c>
    </row>
    <row r="53" spans="1:37" x14ac:dyDescent="0.25">
      <c r="A53" s="386" t="s">
        <v>199</v>
      </c>
      <c r="B53" s="48">
        <v>43832</v>
      </c>
      <c r="C53" s="41">
        <v>0.33333333333333331</v>
      </c>
      <c r="D53" s="37">
        <f>IF(V051_20[[#This Row],[FECHA]]-B52=1,((V051_20[[#This Row],[HORA]]-C52)*24)+24,(V051_20[[#This Row],[HORA]]-C52)*24)</f>
        <v>5.3</v>
      </c>
      <c r="E53" s="51" t="s">
        <v>55</v>
      </c>
      <c r="F53" s="29" t="s">
        <v>116</v>
      </c>
      <c r="G53" s="51"/>
      <c r="H53" s="51"/>
      <c r="I53" s="344">
        <f>IF(ISERROR(V051_20[[#This Row],[DISTANCIA POR CARTA]]/V051_20[[#This Row],[TIEMPO DE NAVEGACION]]),0,V051_20[[#This Row],[DISTANCIA POR CARTA]]/V051_20[[#This Row],[TIEMPO DE NAVEGACION]])</f>
        <v>0</v>
      </c>
      <c r="J53" s="51" t="s">
        <v>54</v>
      </c>
      <c r="K53" s="51">
        <v>95</v>
      </c>
      <c r="L53" s="418">
        <v>5.5208333333333339</v>
      </c>
      <c r="M53" s="418">
        <v>0.55208333333333337</v>
      </c>
      <c r="N53" s="418">
        <v>0.44166666666666665</v>
      </c>
      <c r="O53" s="394">
        <f>SUM(V051_20[[#This Row],[MPAL]:[CALDERA]])</f>
        <v>6.5145833333333334</v>
      </c>
      <c r="P53" s="88"/>
      <c r="Q53" s="281">
        <f>(Q52-V051_20[[#This Row],[TOTAL ]])+V051_20[[#This Row],[FAENA]]</f>
        <v>359.35916666666668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418">
        <f>SUM(V051_20[[#This Row],[MPAL2]:[GI]])</f>
        <v>0</v>
      </c>
      <c r="X53" s="37"/>
      <c r="Y53" s="345">
        <f>(Y52-V051_20[[#This Row],[TOTAL]])+V051_20[[#This Row],[FAENA2]]</f>
        <v>82.75</v>
      </c>
      <c r="Z53" s="37"/>
      <c r="AA53" s="37"/>
      <c r="AB53" s="301">
        <f>(AB52-V051_20[[#This Row],[CYLINDER MP]])+V051_20[[#This Row],[FAENA EN LTS]]</f>
        <v>100</v>
      </c>
      <c r="AC53" s="37"/>
      <c r="AD53" s="37"/>
      <c r="AE53" s="301">
        <f>(AE52-V051_20[[#This Row],[CARTER MP.]])+V051_20[[#This Row],[FAENA EN LTS2]]</f>
        <v>100</v>
      </c>
      <c r="AF53" s="37"/>
      <c r="AG53" s="37"/>
      <c r="AH53" s="301">
        <f>(AH52-V051_20[[#This Row],[MOT AUX]])+V051_20[[#This Row],[FAENA EN  LTS]]</f>
        <v>100</v>
      </c>
      <c r="AI53" s="37"/>
      <c r="AJ53" s="37"/>
      <c r="AK53" s="348">
        <f>(AK52-V051_20[[#This Row],[HIDRAULICO]])+V051_20[[#This Row],[FAENA EN LTS3]]</f>
        <v>100</v>
      </c>
    </row>
    <row r="54" spans="1:37" x14ac:dyDescent="0.25">
      <c r="A54" s="390" t="s">
        <v>199</v>
      </c>
      <c r="B54" s="388">
        <v>43833</v>
      </c>
      <c r="C54" s="396">
        <v>9.5833333333333326E-2</v>
      </c>
      <c r="D54" s="394">
        <f>IF(V051_20[[#This Row],[FECHA]]-B53=1,((V051_20[[#This Row],[HORA]]-C53)*24)+24,(V051_20[[#This Row],[HORA]]-C53)*24)</f>
        <v>18.3</v>
      </c>
      <c r="E54" s="398" t="s">
        <v>55</v>
      </c>
      <c r="F54" s="397" t="s">
        <v>80</v>
      </c>
      <c r="G54" s="398">
        <v>266</v>
      </c>
      <c r="H54" s="398">
        <v>23.6</v>
      </c>
      <c r="I54" s="399">
        <f>IF(ISERROR(V051_20[[#This Row],[DISTANCIA POR CARTA]]/V051_20[[#This Row],[TIEMPO DE NAVEGACION]]),0,V051_20[[#This Row],[DISTANCIA POR CARTA]]/V051_20[[#This Row],[TIEMPO DE NAVEGACION]])</f>
        <v>11.271186440677965</v>
      </c>
      <c r="J54" s="398" t="s">
        <v>117</v>
      </c>
      <c r="K54" s="398">
        <v>95</v>
      </c>
      <c r="L54" s="394">
        <v>19.062500000000004</v>
      </c>
      <c r="M54" s="394">
        <v>1.9062500000000002</v>
      </c>
      <c r="N54" s="394">
        <v>1.5249999999999999</v>
      </c>
      <c r="O54" s="394">
        <f>SUM(V051_20[[#This Row],[MPAL]:[CALDERA]])</f>
        <v>22.493750000000002</v>
      </c>
      <c r="P54" s="400"/>
      <c r="Q54" s="281">
        <f>(Q53-V051_20[[#This Row],[TOTAL ]])+V051_20[[#This Row],[FAENA]]</f>
        <v>336.8654166666667</v>
      </c>
      <c r="R54" s="394">
        <v>0</v>
      </c>
      <c r="S54" s="394">
        <v>0</v>
      </c>
      <c r="T54" s="394">
        <v>0</v>
      </c>
      <c r="U54" s="394">
        <v>0</v>
      </c>
      <c r="V54" s="394">
        <v>0</v>
      </c>
      <c r="W54" s="418">
        <f>SUM(V051_20[[#This Row],[MPAL2]:[GI]])</f>
        <v>0</v>
      </c>
      <c r="X54" s="394"/>
      <c r="Y54" s="345">
        <f>(Y53-V051_20[[#This Row],[TOTAL]])+V051_20[[#This Row],[FAENA2]]</f>
        <v>82.75</v>
      </c>
      <c r="Z54" s="394"/>
      <c r="AA54" s="394"/>
      <c r="AB54" s="301">
        <f>(AB53-V051_20[[#This Row],[CYLINDER MP]])+V051_20[[#This Row],[FAENA EN LTS]]</f>
        <v>100</v>
      </c>
      <c r="AC54" s="394"/>
      <c r="AD54" s="394"/>
      <c r="AE54" s="301">
        <f>(AE53-V051_20[[#This Row],[CARTER MP.]])+V051_20[[#This Row],[FAENA EN LTS2]]</f>
        <v>100</v>
      </c>
      <c r="AF54" s="394"/>
      <c r="AG54" s="394"/>
      <c r="AH54" s="301">
        <f>(AH53-V051_20[[#This Row],[MOT AUX]])+V051_20[[#This Row],[FAENA EN  LTS]]</f>
        <v>100</v>
      </c>
      <c r="AI54" s="394"/>
      <c r="AJ54" s="394"/>
      <c r="AK54" s="348">
        <f>(AK53-V051_20[[#This Row],[HIDRAULICO]])+V051_20[[#This Row],[FAENA EN LTS3]]</f>
        <v>100</v>
      </c>
    </row>
    <row r="55" spans="1:37" x14ac:dyDescent="0.25">
      <c r="A55" s="386" t="s">
        <v>199</v>
      </c>
      <c r="B55" s="48">
        <v>43833</v>
      </c>
      <c r="C55" s="41">
        <v>0.11666666666666665</v>
      </c>
      <c r="D55" s="37">
        <f>IF(V051_20[[#This Row],[FECHA]]-B54=1,((V051_20[[#This Row],[HORA]]-C54)*24)+24,(V051_20[[#This Row],[HORA]]-C54)*24)</f>
        <v>0.49999999999999989</v>
      </c>
      <c r="E55" s="51" t="s">
        <v>47</v>
      </c>
      <c r="F55" s="29" t="s">
        <v>118</v>
      </c>
      <c r="G55" s="51"/>
      <c r="H55" s="51"/>
      <c r="I55" s="344">
        <f>IF(ISERROR(V051_20[[#This Row],[DISTANCIA POR CARTA]]/V051_20[[#This Row],[TIEMPO DE NAVEGACION]]),0,V051_20[[#This Row],[DISTANCIA POR CARTA]]/V051_20[[#This Row],[TIEMPO DE NAVEGACION]])</f>
        <v>0</v>
      </c>
      <c r="J55" s="51"/>
      <c r="K55" s="51"/>
      <c r="L55" s="418">
        <v>0.20833333333333329</v>
      </c>
      <c r="M55" s="418">
        <v>5.2083333333333322E-2</v>
      </c>
      <c r="N55" s="418">
        <v>4.1666666666666657E-2</v>
      </c>
      <c r="O55" s="394">
        <f>SUM(V051_20[[#This Row],[MPAL]:[CALDERA]])</f>
        <v>0.30208333333333326</v>
      </c>
      <c r="P55" s="88"/>
      <c r="Q55" s="281">
        <f>(Q54-V051_20[[#This Row],[TOTAL ]])+V051_20[[#This Row],[FAENA]]</f>
        <v>336.56333333333339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418">
        <f>SUM(V051_20[[#This Row],[MPAL2]:[GI]])</f>
        <v>0</v>
      </c>
      <c r="X55" s="37"/>
      <c r="Y55" s="345">
        <f>(Y54-V051_20[[#This Row],[TOTAL]])+V051_20[[#This Row],[FAENA2]]</f>
        <v>82.75</v>
      </c>
      <c r="Z55" s="37"/>
      <c r="AA55" s="37"/>
      <c r="AB55" s="301">
        <f>(AB54-V051_20[[#This Row],[CYLINDER MP]])+V051_20[[#This Row],[FAENA EN LTS]]</f>
        <v>100</v>
      </c>
      <c r="AC55" s="37"/>
      <c r="AD55" s="37"/>
      <c r="AE55" s="301">
        <f>(AE54-V051_20[[#This Row],[CARTER MP.]])+V051_20[[#This Row],[FAENA EN LTS2]]</f>
        <v>100</v>
      </c>
      <c r="AF55" s="37"/>
      <c r="AG55" s="37"/>
      <c r="AH55" s="301">
        <f>(AH54-V051_20[[#This Row],[MOT AUX]])+V051_20[[#This Row],[FAENA EN  LTS]]</f>
        <v>100</v>
      </c>
      <c r="AI55" s="37"/>
      <c r="AJ55" s="37"/>
      <c r="AK55" s="348">
        <f>(AK54-V051_20[[#This Row],[HIDRAULICO]])+V051_20[[#This Row],[FAENA EN LTS3]]</f>
        <v>100</v>
      </c>
    </row>
    <row r="56" spans="1:37" x14ac:dyDescent="0.25">
      <c r="A56" s="390" t="s">
        <v>199</v>
      </c>
      <c r="B56" s="388">
        <v>43833</v>
      </c>
      <c r="C56" s="396">
        <v>0.33333333333333331</v>
      </c>
      <c r="D56" s="394">
        <f>IF(V051_20[[#This Row],[FECHA]]-B55=1,((V051_20[[#This Row],[HORA]]-C55)*24)+24,(V051_20[[#This Row],[HORA]]-C55)*24)</f>
        <v>5.2</v>
      </c>
      <c r="E56" s="398" t="s">
        <v>45</v>
      </c>
      <c r="F56" s="397" t="s">
        <v>119</v>
      </c>
      <c r="G56" s="398"/>
      <c r="H56" s="398"/>
      <c r="I56" s="399">
        <f>IF(ISERROR(V051_20[[#This Row],[DISTANCIA POR CARTA]]/V051_20[[#This Row],[TIEMPO DE NAVEGACION]]),0,V051_20[[#This Row],[DISTANCIA POR CARTA]]/V051_20[[#This Row],[TIEMPO DE NAVEGACION]])</f>
        <v>0</v>
      </c>
      <c r="J56" s="398"/>
      <c r="K56" s="398"/>
      <c r="L56" s="394">
        <v>0</v>
      </c>
      <c r="M56" s="394">
        <v>0.54166666666666674</v>
      </c>
      <c r="N56" s="394">
        <v>0.43333333333333335</v>
      </c>
      <c r="O56" s="394">
        <f>SUM(V051_20[[#This Row],[MPAL]:[CALDERA]])</f>
        <v>0.97500000000000009</v>
      </c>
      <c r="P56" s="400"/>
      <c r="Q56" s="281">
        <f>(Q55-V051_20[[#This Row],[TOTAL ]])+V051_20[[#This Row],[FAENA]]</f>
        <v>335.58833333333337</v>
      </c>
      <c r="R56" s="394">
        <v>0</v>
      </c>
      <c r="S56" s="394">
        <v>0</v>
      </c>
      <c r="T56" s="394">
        <v>0</v>
      </c>
      <c r="U56" s="394">
        <v>0</v>
      </c>
      <c r="V56" s="394">
        <v>0</v>
      </c>
      <c r="W56" s="418">
        <f>SUM(V051_20[[#This Row],[MPAL2]:[GI]])</f>
        <v>0</v>
      </c>
      <c r="X56" s="394"/>
      <c r="Y56" s="345">
        <f>(Y55-V051_20[[#This Row],[TOTAL]])+V051_20[[#This Row],[FAENA2]]</f>
        <v>82.75</v>
      </c>
      <c r="Z56" s="394"/>
      <c r="AA56" s="394"/>
      <c r="AB56" s="301">
        <f>(AB55-V051_20[[#This Row],[CYLINDER MP]])+V051_20[[#This Row],[FAENA EN LTS]]</f>
        <v>100</v>
      </c>
      <c r="AC56" s="394"/>
      <c r="AD56" s="394"/>
      <c r="AE56" s="301">
        <f>(AE55-V051_20[[#This Row],[CARTER MP.]])+V051_20[[#This Row],[FAENA EN LTS2]]</f>
        <v>100</v>
      </c>
      <c r="AF56" s="394"/>
      <c r="AG56" s="394"/>
      <c r="AH56" s="301">
        <f>(AH55-V051_20[[#This Row],[MOT AUX]])+V051_20[[#This Row],[FAENA EN  LTS]]</f>
        <v>100</v>
      </c>
      <c r="AI56" s="394"/>
      <c r="AJ56" s="394"/>
      <c r="AK56" s="348">
        <f>(AK55-V051_20[[#This Row],[HIDRAULICO]])+V051_20[[#This Row],[FAENA EN LTS3]]</f>
        <v>100</v>
      </c>
    </row>
    <row r="57" spans="1:37" x14ac:dyDescent="0.25">
      <c r="A57" s="386" t="s">
        <v>199</v>
      </c>
      <c r="B57" s="48">
        <v>43834</v>
      </c>
      <c r="C57" s="41">
        <v>0.33333333333333331</v>
      </c>
      <c r="D57" s="37">
        <f>IF(V051_20[[#This Row],[FECHA]]-B56=1,((V051_20[[#This Row],[HORA]]-C56)*24)+24,(V051_20[[#This Row],[HORA]]-C56)*24)</f>
        <v>24</v>
      </c>
      <c r="E57" s="51" t="s">
        <v>45</v>
      </c>
      <c r="F57" s="29" t="s">
        <v>119</v>
      </c>
      <c r="G57" s="51"/>
      <c r="H57" s="51"/>
      <c r="I57" s="344">
        <f>IF(ISERROR(V051_20[[#This Row],[DISTANCIA POR CARTA]]/V051_20[[#This Row],[TIEMPO DE NAVEGACION]]),0,V051_20[[#This Row],[DISTANCIA POR CARTA]]/V051_20[[#This Row],[TIEMPO DE NAVEGACION]])</f>
        <v>0</v>
      </c>
      <c r="J57" s="51"/>
      <c r="K57" s="51"/>
      <c r="L57" s="418">
        <v>0</v>
      </c>
      <c r="M57" s="418">
        <v>2.5</v>
      </c>
      <c r="N57" s="418">
        <v>2</v>
      </c>
      <c r="O57" s="394">
        <f>SUM(V051_20[[#This Row],[MPAL]:[CALDERA]])</f>
        <v>4.5</v>
      </c>
      <c r="P57" s="88"/>
      <c r="Q57" s="281">
        <f>(Q56-V051_20[[#This Row],[TOTAL ]])+V051_20[[#This Row],[FAENA]]</f>
        <v>331.08833333333337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418">
        <f>SUM(V051_20[[#This Row],[MPAL2]:[GI]])</f>
        <v>0</v>
      </c>
      <c r="X57" s="37"/>
      <c r="Y57" s="345">
        <f>(Y56-V051_20[[#This Row],[TOTAL]])+V051_20[[#This Row],[FAENA2]]</f>
        <v>82.75</v>
      </c>
      <c r="Z57" s="37"/>
      <c r="AA57" s="37"/>
      <c r="AB57" s="301">
        <f>(AB56-V051_20[[#This Row],[CYLINDER MP]])+V051_20[[#This Row],[FAENA EN LTS]]</f>
        <v>100</v>
      </c>
      <c r="AC57" s="37"/>
      <c r="AD57" s="37"/>
      <c r="AE57" s="301">
        <f>(AE56-V051_20[[#This Row],[CARTER MP.]])+V051_20[[#This Row],[FAENA EN LTS2]]</f>
        <v>100</v>
      </c>
      <c r="AF57" s="37"/>
      <c r="AG57" s="37"/>
      <c r="AH57" s="301">
        <f>(AH56-V051_20[[#This Row],[MOT AUX]])+V051_20[[#This Row],[FAENA EN  LTS]]</f>
        <v>100</v>
      </c>
      <c r="AI57" s="37"/>
      <c r="AJ57" s="37"/>
      <c r="AK57" s="348">
        <f>(AK56-V051_20[[#This Row],[HIDRAULICO]])+V051_20[[#This Row],[FAENA EN LTS3]]</f>
        <v>100</v>
      </c>
    </row>
    <row r="58" spans="1:37" x14ac:dyDescent="0.25">
      <c r="A58" s="390" t="s">
        <v>199</v>
      </c>
      <c r="B58" s="388">
        <v>43835</v>
      </c>
      <c r="C58" s="396">
        <v>0.33333333333333331</v>
      </c>
      <c r="D58" s="394">
        <f>IF(V051_20[[#This Row],[FECHA]]-B57=1,((V051_20[[#This Row],[HORA]]-C57)*24)+24,(V051_20[[#This Row],[HORA]]-C57)*24)</f>
        <v>24</v>
      </c>
      <c r="E58" s="398" t="s">
        <v>45</v>
      </c>
      <c r="F58" s="397" t="s">
        <v>119</v>
      </c>
      <c r="G58" s="398"/>
      <c r="H58" s="398"/>
      <c r="I58" s="399">
        <f>IF(ISERROR(V051_20[[#This Row],[DISTANCIA POR CARTA]]/V051_20[[#This Row],[TIEMPO DE NAVEGACION]]),0,V051_20[[#This Row],[DISTANCIA POR CARTA]]/V051_20[[#This Row],[TIEMPO DE NAVEGACION]])</f>
        <v>0</v>
      </c>
      <c r="J58" s="398"/>
      <c r="K58" s="398"/>
      <c r="L58" s="394">
        <v>0</v>
      </c>
      <c r="M58" s="394">
        <v>2.2000000000000002</v>
      </c>
      <c r="N58" s="394">
        <v>2</v>
      </c>
      <c r="O58" s="394">
        <f>SUM(V051_20[[#This Row],[MPAL]:[CALDERA]])</f>
        <v>4.2</v>
      </c>
      <c r="P58" s="400"/>
      <c r="Q58" s="281">
        <f>(Q57-V051_20[[#This Row],[TOTAL ]])+V051_20[[#This Row],[FAENA]]</f>
        <v>326.88833333333338</v>
      </c>
      <c r="R58" s="394">
        <v>0</v>
      </c>
      <c r="S58" s="394">
        <v>0</v>
      </c>
      <c r="T58" s="394">
        <v>0</v>
      </c>
      <c r="U58" s="394">
        <v>0</v>
      </c>
      <c r="V58" s="394">
        <v>0</v>
      </c>
      <c r="W58" s="418">
        <f>SUM(V051_20[[#This Row],[MPAL2]:[GI]])</f>
        <v>0</v>
      </c>
      <c r="X58" s="394"/>
      <c r="Y58" s="345">
        <f>(Y57-V051_20[[#This Row],[TOTAL]])+V051_20[[#This Row],[FAENA2]]</f>
        <v>82.75</v>
      </c>
      <c r="Z58" s="394"/>
      <c r="AA58" s="394"/>
      <c r="AB58" s="301">
        <f>(AB57-V051_20[[#This Row],[CYLINDER MP]])+V051_20[[#This Row],[FAENA EN LTS]]</f>
        <v>100</v>
      </c>
      <c r="AC58" s="394"/>
      <c r="AD58" s="394"/>
      <c r="AE58" s="301">
        <f>(AE57-V051_20[[#This Row],[CARTER MP.]])+V051_20[[#This Row],[FAENA EN LTS2]]</f>
        <v>100</v>
      </c>
      <c r="AF58" s="394"/>
      <c r="AG58" s="394"/>
      <c r="AH58" s="301">
        <f>(AH57-V051_20[[#This Row],[MOT AUX]])+V051_20[[#This Row],[FAENA EN  LTS]]</f>
        <v>100</v>
      </c>
      <c r="AI58" s="394"/>
      <c r="AJ58" s="394"/>
      <c r="AK58" s="348">
        <f>(AK57-V051_20[[#This Row],[HIDRAULICO]])+V051_20[[#This Row],[FAENA EN LTS3]]</f>
        <v>100</v>
      </c>
    </row>
    <row r="59" spans="1:37" x14ac:dyDescent="0.25">
      <c r="A59" s="386" t="s">
        <v>199</v>
      </c>
      <c r="B59" s="48">
        <v>43836</v>
      </c>
      <c r="C59" s="41">
        <v>0.33333333333333331</v>
      </c>
      <c r="D59" s="37">
        <f>IF(V051_20[[#This Row],[FECHA]]-B58=1,((V051_20[[#This Row],[HORA]]-C58)*24)+24,(V051_20[[#This Row],[HORA]]-C58)*24)</f>
        <v>24</v>
      </c>
      <c r="E59" s="51" t="s">
        <v>45</v>
      </c>
      <c r="F59" s="29" t="s">
        <v>119</v>
      </c>
      <c r="G59" s="51"/>
      <c r="H59" s="51"/>
      <c r="I59" s="344">
        <f>IF(ISERROR(V051_20[[#This Row],[DISTANCIA POR CARTA]]/V051_20[[#This Row],[TIEMPO DE NAVEGACION]]),0,V051_20[[#This Row],[DISTANCIA POR CARTA]]/V051_20[[#This Row],[TIEMPO DE NAVEGACION]])</f>
        <v>0</v>
      </c>
      <c r="J59" s="51"/>
      <c r="K59" s="51"/>
      <c r="L59" s="418">
        <v>0</v>
      </c>
      <c r="M59" s="418">
        <v>2.2000000000000002</v>
      </c>
      <c r="N59" s="418">
        <v>2</v>
      </c>
      <c r="O59" s="394">
        <f>SUM(V051_20[[#This Row],[MPAL]:[CALDERA]])</f>
        <v>4.2</v>
      </c>
      <c r="P59" s="88"/>
      <c r="Q59" s="281">
        <f>(Q58-V051_20[[#This Row],[TOTAL ]])+V051_20[[#This Row],[FAENA]]</f>
        <v>322.68833333333339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418">
        <f>SUM(V051_20[[#This Row],[MPAL2]:[GI]])</f>
        <v>0</v>
      </c>
      <c r="X59" s="37"/>
      <c r="Y59" s="345">
        <f>(Y58-V051_20[[#This Row],[TOTAL]])+V051_20[[#This Row],[FAENA2]]</f>
        <v>82.75</v>
      </c>
      <c r="Z59" s="37"/>
      <c r="AA59" s="37"/>
      <c r="AB59" s="301">
        <f>(AB58-V051_20[[#This Row],[CYLINDER MP]])+V051_20[[#This Row],[FAENA EN LTS]]</f>
        <v>100</v>
      </c>
      <c r="AC59" s="37"/>
      <c r="AD59" s="37"/>
      <c r="AE59" s="301">
        <f>(AE58-V051_20[[#This Row],[CARTER MP.]])+V051_20[[#This Row],[FAENA EN LTS2]]</f>
        <v>100</v>
      </c>
      <c r="AF59" s="37"/>
      <c r="AG59" s="37"/>
      <c r="AH59" s="301">
        <f>(AH58-V051_20[[#This Row],[MOT AUX]])+V051_20[[#This Row],[FAENA EN  LTS]]</f>
        <v>100</v>
      </c>
      <c r="AI59" s="37"/>
      <c r="AJ59" s="37"/>
      <c r="AK59" s="348">
        <f>(AK58-V051_20[[#This Row],[HIDRAULICO]])+V051_20[[#This Row],[FAENA EN LTS3]]</f>
        <v>100</v>
      </c>
    </row>
    <row r="60" spans="1:37" x14ac:dyDescent="0.25">
      <c r="A60" s="390" t="s">
        <v>199</v>
      </c>
      <c r="B60" s="388">
        <v>43836</v>
      </c>
      <c r="C60" s="396">
        <v>0.54166666666666663</v>
      </c>
      <c r="D60" s="394">
        <f>IF(V051_20[[#This Row],[FECHA]]-B59=1,((V051_20[[#This Row],[HORA]]-C59)*24)+24,(V051_20[[#This Row],[HORA]]-C59)*24)</f>
        <v>5</v>
      </c>
      <c r="E60" s="398" t="s">
        <v>45</v>
      </c>
      <c r="F60" s="397" t="s">
        <v>120</v>
      </c>
      <c r="G60" s="398"/>
      <c r="H60" s="398"/>
      <c r="I60" s="399">
        <f>IF(ISERROR(V051_20[[#This Row],[DISTANCIA POR CARTA]]/V051_20[[#This Row],[TIEMPO DE NAVEGACION]]),0,V051_20[[#This Row],[DISTANCIA POR CARTA]]/V051_20[[#This Row],[TIEMPO DE NAVEGACION]])</f>
        <v>0</v>
      </c>
      <c r="J60" s="398"/>
      <c r="K60" s="398"/>
      <c r="L60" s="394">
        <v>0</v>
      </c>
      <c r="M60" s="394">
        <v>0.45833333333333337</v>
      </c>
      <c r="N60" s="394">
        <v>0.41666666666666663</v>
      </c>
      <c r="O60" s="394">
        <f>SUM(V051_20[[#This Row],[MPAL]:[CALDERA]])</f>
        <v>0.875</v>
      </c>
      <c r="P60" s="400"/>
      <c r="Q60" s="281">
        <f>(Q59-V051_20[[#This Row],[TOTAL ]])+V051_20[[#This Row],[FAENA]]</f>
        <v>321.81333333333339</v>
      </c>
      <c r="R60" s="394">
        <v>0</v>
      </c>
      <c r="S60" s="394">
        <v>0</v>
      </c>
      <c r="T60" s="394">
        <v>0</v>
      </c>
      <c r="U60" s="394">
        <v>0</v>
      </c>
      <c r="V60" s="394">
        <v>0</v>
      </c>
      <c r="W60" s="418">
        <f>SUM(V051_20[[#This Row],[MPAL2]:[GI]])</f>
        <v>0</v>
      </c>
      <c r="X60" s="394"/>
      <c r="Y60" s="345">
        <f>(Y59-V051_20[[#This Row],[TOTAL]])+V051_20[[#This Row],[FAENA2]]</f>
        <v>82.75</v>
      </c>
      <c r="Z60" s="394"/>
      <c r="AA60" s="394"/>
      <c r="AB60" s="301">
        <f>(AB59-V051_20[[#This Row],[CYLINDER MP]])+V051_20[[#This Row],[FAENA EN LTS]]</f>
        <v>100</v>
      </c>
      <c r="AC60" s="394"/>
      <c r="AD60" s="394"/>
      <c r="AE60" s="301">
        <f>(AE59-V051_20[[#This Row],[CARTER MP.]])+V051_20[[#This Row],[FAENA EN LTS2]]</f>
        <v>100</v>
      </c>
      <c r="AF60" s="394"/>
      <c r="AG60" s="394"/>
      <c r="AH60" s="301">
        <f>(AH59-V051_20[[#This Row],[MOT AUX]])+V051_20[[#This Row],[FAENA EN  LTS]]</f>
        <v>100</v>
      </c>
      <c r="AI60" s="394"/>
      <c r="AJ60" s="394"/>
      <c r="AK60" s="348">
        <f>(AK59-V051_20[[#This Row],[HIDRAULICO]])+V051_20[[#This Row],[FAENA EN LTS3]]</f>
        <v>100</v>
      </c>
    </row>
    <row r="61" spans="1:37" x14ac:dyDescent="0.25">
      <c r="A61" s="386" t="s">
        <v>199</v>
      </c>
      <c r="B61" s="48">
        <v>43836</v>
      </c>
      <c r="C61" s="41">
        <v>0.59583333333333333</v>
      </c>
      <c r="D61" s="37">
        <f>IF(V051_20[[#This Row],[FECHA]]-B60=1,((V051_20[[#This Row],[HORA]]-C60)*24)+24,(V051_20[[#This Row],[HORA]]-C60)*24)</f>
        <v>1.3000000000000007</v>
      </c>
      <c r="E61" s="51" t="s">
        <v>47</v>
      </c>
      <c r="F61" s="29" t="s">
        <v>121</v>
      </c>
      <c r="G61" s="51"/>
      <c r="H61" s="51"/>
      <c r="I61" s="344">
        <f>IF(ISERROR(V051_20[[#This Row],[DISTANCIA POR CARTA]]/V051_20[[#This Row],[TIEMPO DE NAVEGACION]]),0,V051_20[[#This Row],[DISTANCIA POR CARTA]]/V051_20[[#This Row],[TIEMPO DE NAVEGACION]])</f>
        <v>0</v>
      </c>
      <c r="J61" s="51"/>
      <c r="K61" s="51"/>
      <c r="L61" s="418">
        <v>0.10833333333333339</v>
      </c>
      <c r="M61" s="418">
        <v>0.11916666666666674</v>
      </c>
      <c r="N61" s="418">
        <v>0.10833333333333339</v>
      </c>
      <c r="O61" s="394">
        <f>SUM(V051_20[[#This Row],[MPAL]:[CALDERA]])</f>
        <v>0.33583333333333354</v>
      </c>
      <c r="P61" s="88"/>
      <c r="Q61" s="281">
        <f>(Q60-V051_20[[#This Row],[TOTAL ]])+V051_20[[#This Row],[FAENA]]</f>
        <v>321.47750000000008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418">
        <f>SUM(V051_20[[#This Row],[MPAL2]:[GI]])</f>
        <v>0</v>
      </c>
      <c r="X61" s="37"/>
      <c r="Y61" s="345">
        <f>(Y60-V051_20[[#This Row],[TOTAL]])+V051_20[[#This Row],[FAENA2]]</f>
        <v>82.75</v>
      </c>
      <c r="Z61" s="37"/>
      <c r="AA61" s="37"/>
      <c r="AB61" s="301">
        <f>(AB60-V051_20[[#This Row],[CYLINDER MP]])+V051_20[[#This Row],[FAENA EN LTS]]</f>
        <v>100</v>
      </c>
      <c r="AC61" s="37"/>
      <c r="AD61" s="37"/>
      <c r="AE61" s="301">
        <f>(AE60-V051_20[[#This Row],[CARTER MP.]])+V051_20[[#This Row],[FAENA EN LTS2]]</f>
        <v>100</v>
      </c>
      <c r="AF61" s="37"/>
      <c r="AG61" s="37"/>
      <c r="AH61" s="301">
        <f>(AH60-V051_20[[#This Row],[MOT AUX]])+V051_20[[#This Row],[FAENA EN  LTS]]</f>
        <v>100</v>
      </c>
      <c r="AI61" s="37"/>
      <c r="AJ61" s="37"/>
      <c r="AK61" s="348">
        <f>(AK60-V051_20[[#This Row],[HIDRAULICO]])+V051_20[[#This Row],[FAENA EN LTS3]]</f>
        <v>100</v>
      </c>
    </row>
    <row r="62" spans="1:37" x14ac:dyDescent="0.25">
      <c r="A62" s="390" t="s">
        <v>199</v>
      </c>
      <c r="B62" s="388">
        <v>43836</v>
      </c>
      <c r="C62" s="396">
        <v>0.72083333333333333</v>
      </c>
      <c r="D62" s="394">
        <f>IF(V051_20[[#This Row],[FECHA]]-B61=1,((V051_20[[#This Row],[HORA]]-C61)*24)+24,(V051_20[[#This Row],[HORA]]-C61)*24)</f>
        <v>3</v>
      </c>
      <c r="E62" s="398" t="s">
        <v>49</v>
      </c>
      <c r="F62" s="397" t="s">
        <v>122</v>
      </c>
      <c r="G62" s="398"/>
      <c r="H62" s="398"/>
      <c r="I62" s="399">
        <f>IF(ISERROR(V051_20[[#This Row],[DISTANCIA POR CARTA]]/V051_20[[#This Row],[TIEMPO DE NAVEGACION]]),0,V051_20[[#This Row],[DISTANCIA POR CARTA]]/V051_20[[#This Row],[TIEMPO DE NAVEGACION]])</f>
        <v>0</v>
      </c>
      <c r="J62" s="398"/>
      <c r="K62" s="398"/>
      <c r="L62" s="394">
        <v>0</v>
      </c>
      <c r="M62" s="394">
        <v>0.3125</v>
      </c>
      <c r="N62" s="394">
        <v>0.25</v>
      </c>
      <c r="O62" s="394">
        <f>SUM(V051_20[[#This Row],[MPAL]:[CALDERA]])</f>
        <v>0.5625</v>
      </c>
      <c r="P62" s="400"/>
      <c r="Q62" s="281">
        <f>(Q61-V051_20[[#This Row],[TOTAL ]])+V051_20[[#This Row],[FAENA]]</f>
        <v>320.91500000000008</v>
      </c>
      <c r="R62" s="394">
        <v>0</v>
      </c>
      <c r="S62" s="394">
        <v>0</v>
      </c>
      <c r="T62" s="394">
        <v>0</v>
      </c>
      <c r="U62" s="394">
        <v>0</v>
      </c>
      <c r="V62" s="394">
        <v>0</v>
      </c>
      <c r="W62" s="418">
        <f>SUM(V051_20[[#This Row],[MPAL2]:[GI]])</f>
        <v>0</v>
      </c>
      <c r="X62" s="394"/>
      <c r="Y62" s="345">
        <f>(Y61-V051_20[[#This Row],[TOTAL]])+V051_20[[#This Row],[FAENA2]]</f>
        <v>82.75</v>
      </c>
      <c r="Z62" s="394"/>
      <c r="AA62" s="394"/>
      <c r="AB62" s="301">
        <f>(AB61-V051_20[[#This Row],[CYLINDER MP]])+V051_20[[#This Row],[FAENA EN LTS]]</f>
        <v>100</v>
      </c>
      <c r="AC62" s="394"/>
      <c r="AD62" s="394"/>
      <c r="AE62" s="301">
        <f>(AE61-V051_20[[#This Row],[CARTER MP.]])+V051_20[[#This Row],[FAENA EN LTS2]]</f>
        <v>100</v>
      </c>
      <c r="AF62" s="394"/>
      <c r="AG62" s="394"/>
      <c r="AH62" s="301">
        <f>(AH61-V051_20[[#This Row],[MOT AUX]])+V051_20[[#This Row],[FAENA EN  LTS]]</f>
        <v>100</v>
      </c>
      <c r="AI62" s="394"/>
      <c r="AJ62" s="394"/>
      <c r="AK62" s="348">
        <f>(AK61-V051_20[[#This Row],[HIDRAULICO]])+V051_20[[#This Row],[FAENA EN LTS3]]</f>
        <v>100</v>
      </c>
    </row>
    <row r="63" spans="1:37" x14ac:dyDescent="0.25">
      <c r="A63" s="386" t="s">
        <v>199</v>
      </c>
      <c r="B63" s="48">
        <v>43837</v>
      </c>
      <c r="C63" s="41">
        <v>0.33333333333333331</v>
      </c>
      <c r="D63" s="37">
        <f>IF(V051_20[[#This Row],[FECHA]]-B62=1,((V051_20[[#This Row],[HORA]]-C62)*24)+24,(V051_20[[#This Row],[HORA]]-C62)*24)</f>
        <v>14.7</v>
      </c>
      <c r="E63" s="51" t="s">
        <v>51</v>
      </c>
      <c r="F63" s="29" t="s">
        <v>51</v>
      </c>
      <c r="G63" s="51"/>
      <c r="H63" s="51"/>
      <c r="I63" s="344">
        <f>IF(ISERROR(V051_20[[#This Row],[DISTANCIA POR CARTA]]/V051_20[[#This Row],[TIEMPO DE NAVEGACION]]),0,V051_20[[#This Row],[DISTANCIA POR CARTA]]/V051_20[[#This Row],[TIEMPO DE NAVEGACION]])</f>
        <v>0</v>
      </c>
      <c r="J63" s="51"/>
      <c r="K63" s="51"/>
      <c r="L63" s="418">
        <v>0</v>
      </c>
      <c r="M63" s="418">
        <v>1.53125</v>
      </c>
      <c r="N63" s="418">
        <v>1.2249999999999999</v>
      </c>
      <c r="O63" s="394">
        <f>SUM(V051_20[[#This Row],[MPAL]:[CALDERA]])</f>
        <v>2.7562499999999996</v>
      </c>
      <c r="P63" s="88"/>
      <c r="Q63" s="281">
        <f>(Q62-V051_20[[#This Row],[TOTAL ]])+V051_20[[#This Row],[FAENA]]</f>
        <v>318.15875000000005</v>
      </c>
      <c r="R63" s="37">
        <v>0</v>
      </c>
      <c r="S63" s="37">
        <v>0</v>
      </c>
      <c r="T63" s="37">
        <v>0</v>
      </c>
      <c r="U63" s="37">
        <v>0</v>
      </c>
      <c r="V63" s="37">
        <v>2.2999999999999998</v>
      </c>
      <c r="W63" s="418">
        <f>SUM(V051_20[[#This Row],[MPAL2]:[GI]])</f>
        <v>2.2999999999999998</v>
      </c>
      <c r="X63" s="37"/>
      <c r="Y63" s="345">
        <f>(Y62-V051_20[[#This Row],[TOTAL]])+V051_20[[#This Row],[FAENA2]]</f>
        <v>80.45</v>
      </c>
      <c r="Z63" s="37"/>
      <c r="AA63" s="37"/>
      <c r="AB63" s="301">
        <f>(AB62-V051_20[[#This Row],[CYLINDER MP]])+V051_20[[#This Row],[FAENA EN LTS]]</f>
        <v>100</v>
      </c>
      <c r="AC63" s="37"/>
      <c r="AD63" s="37"/>
      <c r="AE63" s="301">
        <f>(AE62-V051_20[[#This Row],[CARTER MP.]])+V051_20[[#This Row],[FAENA EN LTS2]]</f>
        <v>100</v>
      </c>
      <c r="AF63" s="37"/>
      <c r="AG63" s="37"/>
      <c r="AH63" s="301">
        <f>(AH62-V051_20[[#This Row],[MOT AUX]])+V051_20[[#This Row],[FAENA EN  LTS]]</f>
        <v>100</v>
      </c>
      <c r="AI63" s="37"/>
      <c r="AJ63" s="37"/>
      <c r="AK63" s="348">
        <f>(AK62-V051_20[[#This Row],[HIDRAULICO]])+V051_20[[#This Row],[FAENA EN LTS3]]</f>
        <v>100</v>
      </c>
    </row>
    <row r="64" spans="1:37" x14ac:dyDescent="0.25">
      <c r="A64" s="390" t="s">
        <v>199</v>
      </c>
      <c r="B64" s="388">
        <v>43837</v>
      </c>
      <c r="C64" s="396">
        <v>0.8833333333333333</v>
      </c>
      <c r="D64" s="394">
        <f>IF(V051_20[[#This Row],[FECHA]]-B63=1,((V051_20[[#This Row],[HORA]]-C63)*24)+24,(V051_20[[#This Row],[HORA]]-C63)*24)</f>
        <v>13.200000000000001</v>
      </c>
      <c r="E64" s="398" t="s">
        <v>51</v>
      </c>
      <c r="F64" s="397" t="s">
        <v>123</v>
      </c>
      <c r="G64" s="398"/>
      <c r="H64" s="398"/>
      <c r="I64" s="399">
        <f>IF(ISERROR(V051_20[[#This Row],[DISTANCIA POR CARTA]]/V051_20[[#This Row],[TIEMPO DE NAVEGACION]]),0,V051_20[[#This Row],[DISTANCIA POR CARTA]]/V051_20[[#This Row],[TIEMPO DE NAVEGACION]])</f>
        <v>0</v>
      </c>
      <c r="J64" s="398"/>
      <c r="K64" s="398"/>
      <c r="L64" s="394">
        <v>0</v>
      </c>
      <c r="M64" s="394">
        <v>1.3750000000000002</v>
      </c>
      <c r="N64" s="394">
        <v>1.1000000000000001</v>
      </c>
      <c r="O64" s="394">
        <f>SUM(V051_20[[#This Row],[MPAL]:[CALDERA]])</f>
        <v>2.4750000000000005</v>
      </c>
      <c r="P64" s="400"/>
      <c r="Q64" s="281">
        <f>(Q63-V051_20[[#This Row],[TOTAL ]])+V051_20[[#This Row],[FAENA]]</f>
        <v>315.68375000000003</v>
      </c>
      <c r="R64" s="394">
        <v>0</v>
      </c>
      <c r="S64" s="394">
        <v>0</v>
      </c>
      <c r="T64" s="394">
        <v>0</v>
      </c>
      <c r="U64" s="394">
        <v>0</v>
      </c>
      <c r="V64" s="394">
        <v>2.2000000000000002</v>
      </c>
      <c r="W64" s="418">
        <f>SUM(V051_20[[#This Row],[MPAL2]:[GI]])</f>
        <v>2.2000000000000002</v>
      </c>
      <c r="X64" s="394"/>
      <c r="Y64" s="345">
        <f>(Y63-V051_20[[#This Row],[TOTAL]])+V051_20[[#This Row],[FAENA2]]</f>
        <v>78.25</v>
      </c>
      <c r="Z64" s="394"/>
      <c r="AA64" s="394"/>
      <c r="AB64" s="301">
        <f>(AB63-V051_20[[#This Row],[CYLINDER MP]])+V051_20[[#This Row],[FAENA EN LTS]]</f>
        <v>100</v>
      </c>
      <c r="AC64" s="394"/>
      <c r="AD64" s="394"/>
      <c r="AE64" s="301">
        <f>(AE63-V051_20[[#This Row],[CARTER MP.]])+V051_20[[#This Row],[FAENA EN LTS2]]</f>
        <v>100</v>
      </c>
      <c r="AF64" s="394"/>
      <c r="AG64" s="394"/>
      <c r="AH64" s="301">
        <f>(AH63-V051_20[[#This Row],[MOT AUX]])+V051_20[[#This Row],[FAENA EN  LTS]]</f>
        <v>100</v>
      </c>
      <c r="AI64" s="394"/>
      <c r="AJ64" s="394"/>
      <c r="AK64" s="348">
        <f>(AK63-V051_20[[#This Row],[HIDRAULICO]])+V051_20[[#This Row],[FAENA EN LTS3]]</f>
        <v>100</v>
      </c>
    </row>
    <row r="65" spans="1:37" x14ac:dyDescent="0.25">
      <c r="A65" s="386" t="s">
        <v>199</v>
      </c>
      <c r="B65" s="48">
        <v>43838</v>
      </c>
      <c r="C65" s="41">
        <v>1.6666666666666666E-2</v>
      </c>
      <c r="D65" s="37">
        <f>IF(V051_20[[#This Row],[FECHA]]-B64=1,((V051_20[[#This Row],[HORA]]-C64)*24)+24,(V051_20[[#This Row],[HORA]]-C64)*24)</f>
        <v>3.2000000000000028</v>
      </c>
      <c r="E65" s="51" t="s">
        <v>49</v>
      </c>
      <c r="F65" s="29" t="s">
        <v>120</v>
      </c>
      <c r="G65" s="51"/>
      <c r="H65" s="51"/>
      <c r="I65" s="344">
        <f>IF(ISERROR(V051_20[[#This Row],[DISTANCIA POR CARTA]]/V051_20[[#This Row],[TIEMPO DE NAVEGACION]]),0,V051_20[[#This Row],[DISTANCIA POR CARTA]]/V051_20[[#This Row],[TIEMPO DE NAVEGACION]])</f>
        <v>0</v>
      </c>
      <c r="J65" s="51"/>
      <c r="K65" s="51"/>
      <c r="L65" s="418">
        <v>0</v>
      </c>
      <c r="M65" s="418">
        <v>0.33333333333333365</v>
      </c>
      <c r="N65" s="418">
        <v>0.26666666666666689</v>
      </c>
      <c r="O65" s="394">
        <f>SUM(V051_20[[#This Row],[MPAL]:[CALDERA]])</f>
        <v>0.60000000000000053</v>
      </c>
      <c r="P65" s="88"/>
      <c r="Q65" s="281">
        <f>(Q64-V051_20[[#This Row],[TOTAL ]])+V051_20[[#This Row],[FAENA]]</f>
        <v>315.08375000000001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418">
        <f>SUM(V051_20[[#This Row],[MPAL2]:[GI]])</f>
        <v>0</v>
      </c>
      <c r="X65" s="37"/>
      <c r="Y65" s="345">
        <f>(Y64-V051_20[[#This Row],[TOTAL]])+V051_20[[#This Row],[FAENA2]]</f>
        <v>78.25</v>
      </c>
      <c r="Z65" s="37"/>
      <c r="AA65" s="37"/>
      <c r="AB65" s="301">
        <f>(AB64-V051_20[[#This Row],[CYLINDER MP]])+V051_20[[#This Row],[FAENA EN LTS]]</f>
        <v>100</v>
      </c>
      <c r="AC65" s="37"/>
      <c r="AD65" s="37"/>
      <c r="AE65" s="301">
        <f>(AE64-V051_20[[#This Row],[CARTER MP.]])+V051_20[[#This Row],[FAENA EN LTS2]]</f>
        <v>100</v>
      </c>
      <c r="AF65" s="37"/>
      <c r="AG65" s="37"/>
      <c r="AH65" s="301">
        <f>(AH64-V051_20[[#This Row],[MOT AUX]])+V051_20[[#This Row],[FAENA EN  LTS]]</f>
        <v>100</v>
      </c>
      <c r="AI65" s="37"/>
      <c r="AJ65" s="37"/>
      <c r="AK65" s="348">
        <f>(AK64-V051_20[[#This Row],[HIDRAULICO]])+V051_20[[#This Row],[FAENA EN LTS3]]</f>
        <v>100</v>
      </c>
    </row>
    <row r="66" spans="1:37" x14ac:dyDescent="0.25">
      <c r="A66" s="390" t="s">
        <v>199</v>
      </c>
      <c r="B66" s="388">
        <v>43838</v>
      </c>
      <c r="C66" s="396">
        <v>4.1666666666666664E-2</v>
      </c>
      <c r="D66" s="394">
        <f>IF(V051_20[[#This Row],[FECHA]]-B65=1,((V051_20[[#This Row],[HORA]]-C65)*24)+24,(V051_20[[#This Row],[HORA]]-C65)*24)</f>
        <v>0.6</v>
      </c>
      <c r="E66" s="398" t="s">
        <v>47</v>
      </c>
      <c r="F66" s="397" t="s">
        <v>53</v>
      </c>
      <c r="G66" s="398"/>
      <c r="H66" s="398"/>
      <c r="I66" s="399">
        <f>IF(ISERROR(V051_20[[#This Row],[DISTANCIA POR CARTA]]/V051_20[[#This Row],[TIEMPO DE NAVEGACION]]),0,V051_20[[#This Row],[DISTANCIA POR CARTA]]/V051_20[[#This Row],[TIEMPO DE NAVEGACION]])</f>
        <v>0</v>
      </c>
      <c r="J66" s="398"/>
      <c r="K66" s="398"/>
      <c r="L66" s="394">
        <v>0.125</v>
      </c>
      <c r="M66" s="394">
        <v>6.25E-2</v>
      </c>
      <c r="N66" s="394">
        <v>4.9999999999999996E-2</v>
      </c>
      <c r="O66" s="394">
        <f>SUM(V051_20[[#This Row],[MPAL]:[CALDERA]])</f>
        <v>0.23749999999999999</v>
      </c>
      <c r="P66" s="400"/>
      <c r="Q66" s="281">
        <f>(Q65-V051_20[[#This Row],[TOTAL ]])+V051_20[[#This Row],[FAENA]]</f>
        <v>314.84625</v>
      </c>
      <c r="R66" s="394">
        <v>0</v>
      </c>
      <c r="S66" s="394">
        <v>0</v>
      </c>
      <c r="T66" s="394">
        <v>0</v>
      </c>
      <c r="U66" s="394">
        <v>0</v>
      </c>
      <c r="V66" s="394">
        <v>0</v>
      </c>
      <c r="W66" s="418">
        <f>SUM(V051_20[[#This Row],[MPAL2]:[GI]])</f>
        <v>0</v>
      </c>
      <c r="X66" s="394"/>
      <c r="Y66" s="345">
        <f>(Y65-V051_20[[#This Row],[TOTAL]])+V051_20[[#This Row],[FAENA2]]</f>
        <v>78.25</v>
      </c>
      <c r="Z66" s="394"/>
      <c r="AA66" s="394"/>
      <c r="AB66" s="301">
        <f>(AB65-V051_20[[#This Row],[CYLINDER MP]])+V051_20[[#This Row],[FAENA EN LTS]]</f>
        <v>100</v>
      </c>
      <c r="AC66" s="394"/>
      <c r="AD66" s="394"/>
      <c r="AE66" s="301">
        <f>(AE65-V051_20[[#This Row],[CARTER MP.]])+V051_20[[#This Row],[FAENA EN LTS2]]</f>
        <v>100</v>
      </c>
      <c r="AF66" s="394"/>
      <c r="AG66" s="394"/>
      <c r="AH66" s="301">
        <f>(AH65-V051_20[[#This Row],[MOT AUX]])+V051_20[[#This Row],[FAENA EN  LTS]]</f>
        <v>100</v>
      </c>
      <c r="AI66" s="394"/>
      <c r="AJ66" s="394"/>
      <c r="AK66" s="348">
        <f>(AK65-V051_20[[#This Row],[HIDRAULICO]])+V051_20[[#This Row],[FAENA EN LTS3]]</f>
        <v>100</v>
      </c>
    </row>
    <row r="67" spans="1:37" x14ac:dyDescent="0.25">
      <c r="A67" s="386" t="s">
        <v>199</v>
      </c>
      <c r="B67" s="48">
        <v>43838</v>
      </c>
      <c r="C67" s="41">
        <v>0.33333333333333331</v>
      </c>
      <c r="D67" s="37">
        <f>IF(V051_20[[#This Row],[FECHA]]-B66=1,((V051_20[[#This Row],[HORA]]-C66)*24)+24,(V051_20[[#This Row],[HORA]]-C66)*24)</f>
        <v>6.9999999999999991</v>
      </c>
      <c r="E67" s="51" t="s">
        <v>55</v>
      </c>
      <c r="F67" s="29" t="s">
        <v>124</v>
      </c>
      <c r="G67" s="51"/>
      <c r="H67" s="51"/>
      <c r="I67" s="344">
        <f>IF(ISERROR(V051_20[[#This Row],[DISTANCIA POR CARTA]]/V051_20[[#This Row],[TIEMPO DE NAVEGACION]]),0,V051_20[[#This Row],[DISTANCIA POR CARTA]]/V051_20[[#This Row],[TIEMPO DE NAVEGACION]])</f>
        <v>0</v>
      </c>
      <c r="J67" s="51" t="s">
        <v>81</v>
      </c>
      <c r="K67" s="51">
        <v>95</v>
      </c>
      <c r="L67" s="418">
        <v>6.4166666666666652</v>
      </c>
      <c r="M67" s="418">
        <v>0.72916666666666663</v>
      </c>
      <c r="N67" s="418">
        <v>0</v>
      </c>
      <c r="O67" s="394">
        <f>SUM(V051_20[[#This Row],[MPAL]:[CALDERA]])</f>
        <v>7.1458333333333321</v>
      </c>
      <c r="P67" s="88"/>
      <c r="Q67" s="281">
        <f>(Q66-V051_20[[#This Row],[TOTAL ]])+V051_20[[#This Row],[FAENA]]</f>
        <v>307.70041666666668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418">
        <f>SUM(V051_20[[#This Row],[MPAL2]:[GI]])</f>
        <v>0</v>
      </c>
      <c r="X67" s="37"/>
      <c r="Y67" s="345">
        <f>(Y66-V051_20[[#This Row],[TOTAL]])+V051_20[[#This Row],[FAENA2]]</f>
        <v>78.25</v>
      </c>
      <c r="Z67" s="37"/>
      <c r="AA67" s="37"/>
      <c r="AB67" s="301">
        <f>(AB66-V051_20[[#This Row],[CYLINDER MP]])+V051_20[[#This Row],[FAENA EN LTS]]</f>
        <v>100</v>
      </c>
      <c r="AC67" s="37"/>
      <c r="AD67" s="37"/>
      <c r="AE67" s="301">
        <f>(AE66-V051_20[[#This Row],[CARTER MP.]])+V051_20[[#This Row],[FAENA EN LTS2]]</f>
        <v>100</v>
      </c>
      <c r="AF67" s="37"/>
      <c r="AG67" s="37"/>
      <c r="AH67" s="301">
        <f>(AH66-V051_20[[#This Row],[MOT AUX]])+V051_20[[#This Row],[FAENA EN  LTS]]</f>
        <v>100</v>
      </c>
      <c r="AI67" s="37"/>
      <c r="AJ67" s="37"/>
      <c r="AK67" s="348">
        <f>(AK66-V051_20[[#This Row],[HIDRAULICO]])+V051_20[[#This Row],[FAENA EN LTS3]]</f>
        <v>100</v>
      </c>
    </row>
    <row r="68" spans="1:37" x14ac:dyDescent="0.25">
      <c r="A68" s="390" t="s">
        <v>199</v>
      </c>
      <c r="B68" s="388">
        <v>43838</v>
      </c>
      <c r="C68" s="396">
        <v>0.41666666666666669</v>
      </c>
      <c r="D68" s="394">
        <f>IF(V051_20[[#This Row],[FECHA]]-B67=1,((V051_20[[#This Row],[HORA]]-C67)*24)+24,(V051_20[[#This Row],[HORA]]-C67)*24)</f>
        <v>2.0000000000000009</v>
      </c>
      <c r="E68" s="398" t="s">
        <v>55</v>
      </c>
      <c r="F68" s="397" t="s">
        <v>57</v>
      </c>
      <c r="G68" s="398">
        <v>96</v>
      </c>
      <c r="H68" s="398">
        <v>9</v>
      </c>
      <c r="I68" s="399">
        <f>IF(ISERROR(V051_20[[#This Row],[DISTANCIA POR CARTA]]/V051_20[[#This Row],[TIEMPO DE NAVEGACION]]),0,V051_20[[#This Row],[DISTANCIA POR CARTA]]/V051_20[[#This Row],[TIEMPO DE NAVEGACION]])</f>
        <v>10.666666666666666</v>
      </c>
      <c r="J68" s="398" t="s">
        <v>125</v>
      </c>
      <c r="K68" s="398">
        <v>95</v>
      </c>
      <c r="L68" s="394">
        <v>1.8333333333333341</v>
      </c>
      <c r="M68" s="394">
        <v>0.20833333333333343</v>
      </c>
      <c r="N68" s="394">
        <v>0</v>
      </c>
      <c r="O68" s="394">
        <f>SUM(V051_20[[#This Row],[MPAL]:[CALDERA]])</f>
        <v>2.0416666666666674</v>
      </c>
      <c r="P68" s="400"/>
      <c r="Q68" s="281">
        <f>(Q67-V051_20[[#This Row],[TOTAL ]])+V051_20[[#This Row],[FAENA]]</f>
        <v>305.65875</v>
      </c>
      <c r="R68" s="394">
        <v>0</v>
      </c>
      <c r="S68" s="394">
        <v>0</v>
      </c>
      <c r="T68" s="394">
        <v>0</v>
      </c>
      <c r="U68" s="394">
        <v>0</v>
      </c>
      <c r="V68" s="394">
        <v>0</v>
      </c>
      <c r="W68" s="418">
        <f>SUM(V051_20[[#This Row],[MPAL2]:[GI]])</f>
        <v>0</v>
      </c>
      <c r="X68" s="394"/>
      <c r="Y68" s="345">
        <f>(Y67-V051_20[[#This Row],[TOTAL]])+V051_20[[#This Row],[FAENA2]]</f>
        <v>78.25</v>
      </c>
      <c r="Z68" s="394"/>
      <c r="AA68" s="394"/>
      <c r="AB68" s="301">
        <f>(AB67-V051_20[[#This Row],[CYLINDER MP]])+V051_20[[#This Row],[FAENA EN LTS]]</f>
        <v>100</v>
      </c>
      <c r="AC68" s="394"/>
      <c r="AD68" s="394"/>
      <c r="AE68" s="301">
        <f>(AE67-V051_20[[#This Row],[CARTER MP.]])+V051_20[[#This Row],[FAENA EN LTS2]]</f>
        <v>100</v>
      </c>
      <c r="AF68" s="394"/>
      <c r="AG68" s="394"/>
      <c r="AH68" s="301">
        <f>(AH67-V051_20[[#This Row],[MOT AUX]])+V051_20[[#This Row],[FAENA EN  LTS]]</f>
        <v>100</v>
      </c>
      <c r="AI68" s="394"/>
      <c r="AJ68" s="394"/>
      <c r="AK68" s="348">
        <f>(AK67-V051_20[[#This Row],[HIDRAULICO]])+V051_20[[#This Row],[FAENA EN LTS3]]</f>
        <v>100</v>
      </c>
    </row>
    <row r="69" spans="1:37" x14ac:dyDescent="0.25">
      <c r="A69" s="386" t="s">
        <v>199</v>
      </c>
      <c r="B69" s="48">
        <v>43838</v>
      </c>
      <c r="C69" s="41">
        <v>0.49583333333333335</v>
      </c>
      <c r="D69" s="37">
        <f>IF(V051_20[[#This Row],[FECHA]]-B68=1,((V051_20[[#This Row],[HORA]]-C68)*24)+24,(V051_20[[#This Row],[HORA]]-C68)*24)</f>
        <v>1.9</v>
      </c>
      <c r="E69" s="51" t="s">
        <v>47</v>
      </c>
      <c r="F69" s="29" t="s">
        <v>126</v>
      </c>
      <c r="G69" s="51"/>
      <c r="H69" s="51"/>
      <c r="I69" s="344">
        <f>IF(ISERROR(V051_20[[#This Row],[DISTANCIA POR CARTA]]/V051_20[[#This Row],[TIEMPO DE NAVEGACION]]),0,V051_20[[#This Row],[DISTANCIA POR CARTA]]/V051_20[[#This Row],[TIEMPO DE NAVEGACION]])</f>
        <v>0</v>
      </c>
      <c r="J69" s="51"/>
      <c r="K69" s="51"/>
      <c r="L69" s="418">
        <v>0.15833333333333333</v>
      </c>
      <c r="M69" s="418">
        <v>0.19791666666666666</v>
      </c>
      <c r="N69" s="418">
        <v>0.15833333333333333</v>
      </c>
      <c r="O69" s="394">
        <f>SUM(V051_20[[#This Row],[MPAL]:[CALDERA]])</f>
        <v>0.51458333333333328</v>
      </c>
      <c r="P69" s="88"/>
      <c r="Q69" s="281">
        <f>(Q68-V051_20[[#This Row],[TOTAL ]])+V051_20[[#This Row],[FAENA]]</f>
        <v>305.14416666666665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418">
        <f>SUM(V051_20[[#This Row],[MPAL2]:[GI]])</f>
        <v>0</v>
      </c>
      <c r="X69" s="37"/>
      <c r="Y69" s="345">
        <f>(Y68-V051_20[[#This Row],[TOTAL]])+V051_20[[#This Row],[FAENA2]]</f>
        <v>78.25</v>
      </c>
      <c r="Z69" s="37"/>
      <c r="AA69" s="37"/>
      <c r="AB69" s="301">
        <f>(AB68-V051_20[[#This Row],[CYLINDER MP]])+V051_20[[#This Row],[FAENA EN LTS]]</f>
        <v>100</v>
      </c>
      <c r="AC69" s="37"/>
      <c r="AD69" s="37"/>
      <c r="AE69" s="301">
        <f>(AE68-V051_20[[#This Row],[CARTER MP.]])+V051_20[[#This Row],[FAENA EN LTS2]]</f>
        <v>100</v>
      </c>
      <c r="AF69" s="37"/>
      <c r="AG69" s="37"/>
      <c r="AH69" s="301">
        <f>(AH68-V051_20[[#This Row],[MOT AUX]])+V051_20[[#This Row],[FAENA EN  LTS]]</f>
        <v>100</v>
      </c>
      <c r="AI69" s="37"/>
      <c r="AJ69" s="37"/>
      <c r="AK69" s="348">
        <f>(AK68-V051_20[[#This Row],[HIDRAULICO]])+V051_20[[#This Row],[FAENA EN LTS3]]</f>
        <v>100</v>
      </c>
    </row>
    <row r="70" spans="1:37" x14ac:dyDescent="0.25">
      <c r="A70" s="390" t="s">
        <v>199</v>
      </c>
      <c r="B70" s="388">
        <v>43838</v>
      </c>
      <c r="C70" s="396">
        <v>0.67499999999999993</v>
      </c>
      <c r="D70" s="394">
        <f>IF(V051_20[[#This Row],[FECHA]]-B69=1,((V051_20[[#This Row],[HORA]]-C69)*24)+24,(V051_20[[#This Row],[HORA]]-C69)*24)</f>
        <v>4.299999999999998</v>
      </c>
      <c r="E70" s="398" t="s">
        <v>49</v>
      </c>
      <c r="F70" s="397" t="s">
        <v>127</v>
      </c>
      <c r="G70" s="398"/>
      <c r="H70" s="398"/>
      <c r="I70" s="399">
        <f>IF(ISERROR(V051_20[[#This Row],[DISTANCIA POR CARTA]]/V051_20[[#This Row],[TIEMPO DE NAVEGACION]]),0,V051_20[[#This Row],[DISTANCIA POR CARTA]]/V051_20[[#This Row],[TIEMPO DE NAVEGACION]])</f>
        <v>0</v>
      </c>
      <c r="J70" s="398"/>
      <c r="K70" s="398"/>
      <c r="L70" s="394">
        <v>0</v>
      </c>
      <c r="M70" s="394">
        <v>0.44791666666666646</v>
      </c>
      <c r="N70" s="394">
        <v>0.35833333333333317</v>
      </c>
      <c r="O70" s="394">
        <f>SUM(V051_20[[#This Row],[MPAL]:[CALDERA]])</f>
        <v>0.80624999999999969</v>
      </c>
      <c r="P70" s="400"/>
      <c r="Q70" s="281">
        <f>(Q69-V051_20[[#This Row],[TOTAL ]])+V051_20[[#This Row],[FAENA]]</f>
        <v>304.33791666666667</v>
      </c>
      <c r="R70" s="394">
        <v>0</v>
      </c>
      <c r="S70" s="394">
        <v>0</v>
      </c>
      <c r="T70" s="394">
        <v>0</v>
      </c>
      <c r="U70" s="394">
        <v>0</v>
      </c>
      <c r="V70" s="394">
        <v>0</v>
      </c>
      <c r="W70" s="418">
        <f>SUM(V051_20[[#This Row],[MPAL2]:[GI]])</f>
        <v>0</v>
      </c>
      <c r="X70" s="394"/>
      <c r="Y70" s="345">
        <f>(Y69-V051_20[[#This Row],[TOTAL]])+V051_20[[#This Row],[FAENA2]]</f>
        <v>78.25</v>
      </c>
      <c r="Z70" s="394"/>
      <c r="AA70" s="394"/>
      <c r="AB70" s="301">
        <f>(AB69-V051_20[[#This Row],[CYLINDER MP]])+V051_20[[#This Row],[FAENA EN LTS]]</f>
        <v>100</v>
      </c>
      <c r="AC70" s="394"/>
      <c r="AD70" s="394"/>
      <c r="AE70" s="301">
        <f>(AE69-V051_20[[#This Row],[CARTER MP.]])+V051_20[[#This Row],[FAENA EN LTS2]]</f>
        <v>100</v>
      </c>
      <c r="AF70" s="394"/>
      <c r="AG70" s="394"/>
      <c r="AH70" s="301">
        <f>(AH69-V051_20[[#This Row],[MOT AUX]])+V051_20[[#This Row],[FAENA EN  LTS]]</f>
        <v>100</v>
      </c>
      <c r="AI70" s="394"/>
      <c r="AJ70" s="394"/>
      <c r="AK70" s="348">
        <f>(AK69-V051_20[[#This Row],[HIDRAULICO]])+V051_20[[#This Row],[FAENA EN LTS3]]</f>
        <v>100</v>
      </c>
    </row>
    <row r="71" spans="1:37" x14ac:dyDescent="0.25">
      <c r="A71" s="386" t="s">
        <v>199</v>
      </c>
      <c r="B71" s="48">
        <v>43839</v>
      </c>
      <c r="C71" s="41">
        <v>0.33333333333333331</v>
      </c>
      <c r="D71" s="37">
        <f>IF(V051_20[[#This Row],[FECHA]]-B70=1,((V051_20[[#This Row],[HORA]]-C70)*24)+24,(V051_20[[#This Row],[HORA]]-C70)*24)</f>
        <v>15.8</v>
      </c>
      <c r="E71" s="51" t="s">
        <v>51</v>
      </c>
      <c r="F71" s="29" t="s">
        <v>51</v>
      </c>
      <c r="G71" s="51"/>
      <c r="H71" s="51"/>
      <c r="I71" s="344">
        <f>IF(ISERROR(V051_20[[#This Row],[DISTANCIA POR CARTA]]/V051_20[[#This Row],[TIEMPO DE NAVEGACION]]),0,V051_20[[#This Row],[DISTANCIA POR CARTA]]/V051_20[[#This Row],[TIEMPO DE NAVEGACION]])</f>
        <v>0</v>
      </c>
      <c r="J71" s="51"/>
      <c r="K71" s="51"/>
      <c r="L71" s="418">
        <v>0</v>
      </c>
      <c r="M71" s="418">
        <v>1.6458333333333335</v>
      </c>
      <c r="N71" s="418">
        <v>1.3166666666666667</v>
      </c>
      <c r="O71" s="394">
        <f>SUM(V051_20[[#This Row],[MPAL]:[CALDERA]])</f>
        <v>2.9625000000000004</v>
      </c>
      <c r="P71" s="88"/>
      <c r="Q71" s="281">
        <f>(Q70-V051_20[[#This Row],[TOTAL ]])+V051_20[[#This Row],[FAENA]]</f>
        <v>301.37541666666669</v>
      </c>
      <c r="R71" s="37">
        <v>0</v>
      </c>
      <c r="S71" s="37">
        <v>0</v>
      </c>
      <c r="T71" s="37">
        <v>0</v>
      </c>
      <c r="U71" s="37">
        <v>0</v>
      </c>
      <c r="V71" s="37">
        <v>2.6</v>
      </c>
      <c r="W71" s="418">
        <f>SUM(V051_20[[#This Row],[MPAL2]:[GI]])</f>
        <v>2.6</v>
      </c>
      <c r="X71" s="37"/>
      <c r="Y71" s="345">
        <f>(Y70-V051_20[[#This Row],[TOTAL]])+V051_20[[#This Row],[FAENA2]]</f>
        <v>75.650000000000006</v>
      </c>
      <c r="Z71" s="37"/>
      <c r="AA71" s="37"/>
      <c r="AB71" s="301">
        <f>(AB70-V051_20[[#This Row],[CYLINDER MP]])+V051_20[[#This Row],[FAENA EN LTS]]</f>
        <v>100</v>
      </c>
      <c r="AC71" s="37"/>
      <c r="AD71" s="37"/>
      <c r="AE71" s="301">
        <f>(AE70-V051_20[[#This Row],[CARTER MP.]])+V051_20[[#This Row],[FAENA EN LTS2]]</f>
        <v>100</v>
      </c>
      <c r="AF71" s="37"/>
      <c r="AG71" s="37"/>
      <c r="AH71" s="301">
        <f>(AH70-V051_20[[#This Row],[MOT AUX]])+V051_20[[#This Row],[FAENA EN  LTS]]</f>
        <v>100</v>
      </c>
      <c r="AI71" s="37"/>
      <c r="AJ71" s="37"/>
      <c r="AK71" s="348">
        <f>(AK70-V051_20[[#This Row],[HIDRAULICO]])+V051_20[[#This Row],[FAENA EN LTS3]]</f>
        <v>100</v>
      </c>
    </row>
    <row r="72" spans="1:37" x14ac:dyDescent="0.25">
      <c r="A72" s="390" t="s">
        <v>199</v>
      </c>
      <c r="B72" s="388">
        <v>43839</v>
      </c>
      <c r="C72" s="396">
        <v>0.42499999999999999</v>
      </c>
      <c r="D72" s="394">
        <f>IF(V051_20[[#This Row],[FECHA]]-B71=1,((V051_20[[#This Row],[HORA]]-C71)*24)+24,(V051_20[[#This Row],[HORA]]-C71)*24)</f>
        <v>2.2000000000000002</v>
      </c>
      <c r="E72" s="398" t="s">
        <v>51</v>
      </c>
      <c r="F72" s="397" t="s">
        <v>128</v>
      </c>
      <c r="G72" s="398"/>
      <c r="H72" s="398"/>
      <c r="I72" s="399">
        <f>IF(ISERROR(V051_20[[#This Row],[DISTANCIA POR CARTA]]/V051_20[[#This Row],[TIEMPO DE NAVEGACION]]),0,V051_20[[#This Row],[DISTANCIA POR CARTA]]/V051_20[[#This Row],[TIEMPO DE NAVEGACION]])</f>
        <v>0</v>
      </c>
      <c r="J72" s="398"/>
      <c r="K72" s="398"/>
      <c r="L72" s="394">
        <v>0</v>
      </c>
      <c r="M72" s="394">
        <v>0.22916666666666669</v>
      </c>
      <c r="N72" s="394">
        <v>0.18333333333333335</v>
      </c>
      <c r="O72" s="394">
        <f>SUM(V051_20[[#This Row],[MPAL]:[CALDERA]])</f>
        <v>0.41250000000000003</v>
      </c>
      <c r="P72" s="400"/>
      <c r="Q72" s="281">
        <f>(Q71-V051_20[[#This Row],[TOTAL ]])+V051_20[[#This Row],[FAENA]]</f>
        <v>300.96291666666667</v>
      </c>
      <c r="R72" s="394">
        <v>0</v>
      </c>
      <c r="S72" s="394">
        <v>0</v>
      </c>
      <c r="T72" s="394">
        <v>0</v>
      </c>
      <c r="U72" s="394">
        <v>0</v>
      </c>
      <c r="V72" s="394">
        <v>0.3</v>
      </c>
      <c r="W72" s="418">
        <f>SUM(V051_20[[#This Row],[MPAL2]:[GI]])</f>
        <v>0.3</v>
      </c>
      <c r="X72" s="394"/>
      <c r="Y72" s="345">
        <f>(Y71-V051_20[[#This Row],[TOTAL]])+V051_20[[#This Row],[FAENA2]]</f>
        <v>75.350000000000009</v>
      </c>
      <c r="Z72" s="394"/>
      <c r="AA72" s="394"/>
      <c r="AB72" s="301">
        <f>(AB71-V051_20[[#This Row],[CYLINDER MP]])+V051_20[[#This Row],[FAENA EN LTS]]</f>
        <v>100</v>
      </c>
      <c r="AC72" s="394"/>
      <c r="AD72" s="394"/>
      <c r="AE72" s="301">
        <f>(AE71-V051_20[[#This Row],[CARTER MP.]])+V051_20[[#This Row],[FAENA EN LTS2]]</f>
        <v>100</v>
      </c>
      <c r="AF72" s="394"/>
      <c r="AG72" s="394"/>
      <c r="AH72" s="301">
        <f>(AH71-V051_20[[#This Row],[MOT AUX]])+V051_20[[#This Row],[FAENA EN  LTS]]</f>
        <v>100</v>
      </c>
      <c r="AI72" s="394"/>
      <c r="AJ72" s="394"/>
      <c r="AK72" s="348">
        <f>(AK71-V051_20[[#This Row],[HIDRAULICO]])+V051_20[[#This Row],[FAENA EN LTS3]]</f>
        <v>100</v>
      </c>
    </row>
    <row r="73" spans="1:37" x14ac:dyDescent="0.25">
      <c r="A73" s="386" t="s">
        <v>199</v>
      </c>
      <c r="B73" s="48">
        <v>43839</v>
      </c>
      <c r="C73" s="41">
        <v>0.57500000000000007</v>
      </c>
      <c r="D73" s="37">
        <f>IF(V051_20[[#This Row],[FECHA]]-B72=1,((V051_20[[#This Row],[HORA]]-C72)*24)+24,(V051_20[[#This Row],[HORA]]-C72)*24)</f>
        <v>3.6000000000000019</v>
      </c>
      <c r="E73" s="51" t="s">
        <v>49</v>
      </c>
      <c r="F73" s="29" t="s">
        <v>129</v>
      </c>
      <c r="G73" s="51"/>
      <c r="H73" s="51"/>
      <c r="I73" s="344">
        <f>IF(ISERROR(V051_20[[#This Row],[DISTANCIA POR CARTA]]/V051_20[[#This Row],[TIEMPO DE NAVEGACION]]),0,V051_20[[#This Row],[DISTANCIA POR CARTA]]/V051_20[[#This Row],[TIEMPO DE NAVEGACION]])</f>
        <v>0</v>
      </c>
      <c r="J73" s="51"/>
      <c r="K73" s="51"/>
      <c r="L73" s="418">
        <v>0</v>
      </c>
      <c r="M73" s="418">
        <v>0.37500000000000022</v>
      </c>
      <c r="N73" s="418">
        <v>0.30000000000000016</v>
      </c>
      <c r="O73" s="394">
        <f>SUM(V051_20[[#This Row],[MPAL]:[CALDERA]])</f>
        <v>0.67500000000000038</v>
      </c>
      <c r="P73" s="88"/>
      <c r="Q73" s="281">
        <f>(Q72-V051_20[[#This Row],[TOTAL ]])+V051_20[[#This Row],[FAENA]]</f>
        <v>300.28791666666666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418">
        <f>SUM(V051_20[[#This Row],[MPAL2]:[GI]])</f>
        <v>0</v>
      </c>
      <c r="X73" s="37"/>
      <c r="Y73" s="345">
        <f>(Y72-V051_20[[#This Row],[TOTAL]])+V051_20[[#This Row],[FAENA2]]</f>
        <v>75.350000000000009</v>
      </c>
      <c r="Z73" s="37"/>
      <c r="AA73" s="37"/>
      <c r="AB73" s="301">
        <f>(AB72-V051_20[[#This Row],[CYLINDER MP]])+V051_20[[#This Row],[FAENA EN LTS]]</f>
        <v>100</v>
      </c>
      <c r="AC73" s="37"/>
      <c r="AD73" s="37"/>
      <c r="AE73" s="301">
        <f>(AE72-V051_20[[#This Row],[CARTER MP.]])+V051_20[[#This Row],[FAENA EN LTS2]]</f>
        <v>100</v>
      </c>
      <c r="AF73" s="37"/>
      <c r="AG73" s="37"/>
      <c r="AH73" s="301">
        <f>(AH72-V051_20[[#This Row],[MOT AUX]])+V051_20[[#This Row],[FAENA EN  LTS]]</f>
        <v>100</v>
      </c>
      <c r="AI73" s="37"/>
      <c r="AJ73" s="37"/>
      <c r="AK73" s="348">
        <f>(AK72-V051_20[[#This Row],[HIDRAULICO]])+V051_20[[#This Row],[FAENA EN LTS3]]</f>
        <v>100</v>
      </c>
    </row>
    <row r="74" spans="1:37" x14ac:dyDescent="0.25">
      <c r="A74" s="390" t="s">
        <v>199</v>
      </c>
      <c r="B74" s="388">
        <v>43839</v>
      </c>
      <c r="C74" s="396">
        <v>0.60416666666666663</v>
      </c>
      <c r="D74" s="394">
        <f>IF(V051_20[[#This Row],[FECHA]]-B73=1,((V051_20[[#This Row],[HORA]]-C73)*24)+24,(V051_20[[#This Row],[HORA]]-C73)*24)</f>
        <v>0.69999999999999751</v>
      </c>
      <c r="E74" s="398" t="s">
        <v>47</v>
      </c>
      <c r="F74" s="397" t="s">
        <v>60</v>
      </c>
      <c r="G74" s="398"/>
      <c r="H74" s="398"/>
      <c r="I74" s="399">
        <f>IF(ISERROR(V051_20[[#This Row],[DISTANCIA POR CARTA]]/V051_20[[#This Row],[TIEMPO DE NAVEGACION]]),0,V051_20[[#This Row],[DISTANCIA POR CARTA]]/V051_20[[#This Row],[TIEMPO DE NAVEGACION]])</f>
        <v>0</v>
      </c>
      <c r="J74" s="398"/>
      <c r="K74" s="398"/>
      <c r="L74" s="394">
        <v>0.14583333333333282</v>
      </c>
      <c r="M74" s="394">
        <v>7.2916666666666408E-2</v>
      </c>
      <c r="N74" s="394">
        <v>5.8333333333333126E-2</v>
      </c>
      <c r="O74" s="394">
        <f>SUM(V051_20[[#This Row],[MPAL]:[CALDERA]])</f>
        <v>0.27708333333333235</v>
      </c>
      <c r="P74" s="400"/>
      <c r="Q74" s="281">
        <f>(Q73-V051_20[[#This Row],[TOTAL ]])+V051_20[[#This Row],[FAENA]]</f>
        <v>300.01083333333332</v>
      </c>
      <c r="R74" s="394">
        <v>0</v>
      </c>
      <c r="S74" s="394">
        <v>0</v>
      </c>
      <c r="T74" s="394">
        <v>0</v>
      </c>
      <c r="U74" s="394">
        <v>0</v>
      </c>
      <c r="V74" s="394">
        <v>0</v>
      </c>
      <c r="W74" s="418">
        <f>SUM(V051_20[[#This Row],[MPAL2]:[GI]])</f>
        <v>0</v>
      </c>
      <c r="X74" s="394"/>
      <c r="Y74" s="345">
        <f>(Y73-V051_20[[#This Row],[TOTAL]])+V051_20[[#This Row],[FAENA2]]</f>
        <v>75.350000000000009</v>
      </c>
      <c r="Z74" s="394"/>
      <c r="AA74" s="394"/>
      <c r="AB74" s="301">
        <f>(AB73-V051_20[[#This Row],[CYLINDER MP]])+V051_20[[#This Row],[FAENA EN LTS]]</f>
        <v>100</v>
      </c>
      <c r="AC74" s="394"/>
      <c r="AD74" s="394"/>
      <c r="AE74" s="301">
        <f>(AE73-V051_20[[#This Row],[CARTER MP.]])+V051_20[[#This Row],[FAENA EN LTS2]]</f>
        <v>100</v>
      </c>
      <c r="AF74" s="394"/>
      <c r="AG74" s="394"/>
      <c r="AH74" s="301">
        <f>(AH73-V051_20[[#This Row],[MOT AUX]])+V051_20[[#This Row],[FAENA EN  LTS]]</f>
        <v>100</v>
      </c>
      <c r="AI74" s="394"/>
      <c r="AJ74" s="394"/>
      <c r="AK74" s="348">
        <f>(AK73-V051_20[[#This Row],[HIDRAULICO]])+V051_20[[#This Row],[FAENA EN LTS3]]</f>
        <v>100</v>
      </c>
    </row>
    <row r="75" spans="1:37" x14ac:dyDescent="0.25">
      <c r="A75" s="386" t="s">
        <v>199</v>
      </c>
      <c r="B75" s="48">
        <v>43840</v>
      </c>
      <c r="C75" s="41">
        <v>0.33333333333333331</v>
      </c>
      <c r="D75" s="37">
        <f>IF(V051_20[[#This Row],[FECHA]]-B74=1,((V051_20[[#This Row],[HORA]]-C74)*24)+24,(V051_20[[#This Row],[HORA]]-C74)*24)</f>
        <v>17.5</v>
      </c>
      <c r="E75" s="51" t="s">
        <v>61</v>
      </c>
      <c r="F75" s="29" t="s">
        <v>198</v>
      </c>
      <c r="G75" s="51"/>
      <c r="H75" s="51"/>
      <c r="I75" s="344">
        <f>IF(ISERROR(V051_20[[#This Row],[DISTANCIA POR CARTA]]/V051_20[[#This Row],[TIEMPO DE NAVEGACION]]),0,V051_20[[#This Row],[DISTANCIA POR CARTA]]/V051_20[[#This Row],[TIEMPO DE NAVEGACION]])</f>
        <v>0</v>
      </c>
      <c r="J75" s="51" t="s">
        <v>131</v>
      </c>
      <c r="K75" s="51">
        <v>95</v>
      </c>
      <c r="L75" s="418">
        <v>16.041666666666664</v>
      </c>
      <c r="M75" s="418">
        <v>1.8229166666666667</v>
      </c>
      <c r="N75" s="418">
        <v>0</v>
      </c>
      <c r="O75" s="394">
        <f>SUM(V051_20[[#This Row],[MPAL]:[CALDERA]])</f>
        <v>17.864583333333332</v>
      </c>
      <c r="P75" s="88"/>
      <c r="Q75" s="281">
        <f>(Q74-V051_20[[#This Row],[TOTAL ]])+V051_20[[#This Row],[FAENA]]</f>
        <v>282.14625000000001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418">
        <f>SUM(V051_20[[#This Row],[MPAL2]:[GI]])</f>
        <v>0</v>
      </c>
      <c r="X75" s="37"/>
      <c r="Y75" s="345">
        <f>(Y74-V051_20[[#This Row],[TOTAL]])+V051_20[[#This Row],[FAENA2]]</f>
        <v>75.350000000000009</v>
      </c>
      <c r="Z75" s="37"/>
      <c r="AA75" s="37"/>
      <c r="AB75" s="301">
        <f>(AB74-V051_20[[#This Row],[CYLINDER MP]])+V051_20[[#This Row],[FAENA EN LTS]]</f>
        <v>100</v>
      </c>
      <c r="AC75" s="37"/>
      <c r="AD75" s="37"/>
      <c r="AE75" s="301">
        <f>(AE74-V051_20[[#This Row],[CARTER MP.]])+V051_20[[#This Row],[FAENA EN LTS2]]</f>
        <v>100</v>
      </c>
      <c r="AF75" s="37"/>
      <c r="AG75" s="37"/>
      <c r="AH75" s="301">
        <f>(AH74-V051_20[[#This Row],[MOT AUX]])+V051_20[[#This Row],[FAENA EN  LTS]]</f>
        <v>100</v>
      </c>
      <c r="AI75" s="37"/>
      <c r="AJ75" s="37"/>
      <c r="AK75" s="348">
        <f>(AK74-V051_20[[#This Row],[HIDRAULICO]])+V051_20[[#This Row],[FAENA EN LTS3]]</f>
        <v>100</v>
      </c>
    </row>
    <row r="76" spans="1:37" ht="15.75" thickBot="1" x14ac:dyDescent="0.3">
      <c r="A76" s="401" t="s">
        <v>199</v>
      </c>
      <c r="B76" s="402">
        <v>43840</v>
      </c>
      <c r="C76" s="403">
        <v>0.625</v>
      </c>
      <c r="D76" s="394">
        <f>IF(V051_20[[#This Row],[FECHA]]-B75=1,((V051_20[[#This Row],[HORA]]-C75)*24)+24,(V051_20[[#This Row],[HORA]]-C75)*24)</f>
        <v>7</v>
      </c>
      <c r="E76" s="405" t="s">
        <v>61</v>
      </c>
      <c r="F76" s="404" t="s">
        <v>62</v>
      </c>
      <c r="G76" s="405">
        <v>265</v>
      </c>
      <c r="H76" s="405">
        <v>24.5</v>
      </c>
      <c r="I76" s="406">
        <f>IF(ISERROR(V051_20[[#This Row],[DISTANCIA POR CARTA]]/V051_20[[#This Row],[TIEMPO DE NAVEGACION]]),0,V051_20[[#This Row],[DISTANCIA POR CARTA]]/V051_20[[#This Row],[TIEMPO DE NAVEGACION]])</f>
        <v>10.816326530612244</v>
      </c>
      <c r="J76" s="405" t="s">
        <v>132</v>
      </c>
      <c r="K76" s="405">
        <v>95</v>
      </c>
      <c r="L76" s="407">
        <v>6.4166666666666661</v>
      </c>
      <c r="M76" s="407">
        <v>0.72916666666666674</v>
      </c>
      <c r="N76" s="407">
        <v>0</v>
      </c>
      <c r="O76" s="394">
        <f>SUM(V051_20[[#This Row],[MPAL]:[CALDERA]])</f>
        <v>7.145833333333333</v>
      </c>
      <c r="P76" s="408"/>
      <c r="Q76" s="281">
        <f>(Q75-V051_20[[#This Row],[TOTAL ]])+V051_20[[#This Row],[FAENA]]</f>
        <v>275.00041666666669</v>
      </c>
      <c r="R76" s="407">
        <v>0</v>
      </c>
      <c r="S76" s="407">
        <v>0</v>
      </c>
      <c r="T76" s="407">
        <v>0</v>
      </c>
      <c r="U76" s="407">
        <v>0</v>
      </c>
      <c r="V76" s="407">
        <v>0</v>
      </c>
      <c r="W76" s="418">
        <f>SUM(V051_20[[#This Row],[MPAL2]:[GI]])</f>
        <v>0</v>
      </c>
      <c r="X76" s="407"/>
      <c r="Y76" s="345">
        <f>(Y75-V051_20[[#This Row],[TOTAL]])+V051_20[[#This Row],[FAENA2]]</f>
        <v>75.350000000000009</v>
      </c>
      <c r="Z76" s="407"/>
      <c r="AA76" s="407"/>
      <c r="AB76" s="301">
        <f>(AB75-V051_20[[#This Row],[CYLINDER MP]])+V051_20[[#This Row],[FAENA EN LTS]]</f>
        <v>100</v>
      </c>
      <c r="AC76" s="407"/>
      <c r="AD76" s="407"/>
      <c r="AE76" s="301">
        <f>(AE75-V051_20[[#This Row],[CARTER MP.]])+V051_20[[#This Row],[FAENA EN LTS2]]</f>
        <v>100</v>
      </c>
      <c r="AF76" s="407"/>
      <c r="AG76" s="407"/>
      <c r="AH76" s="349">
        <f>(AH75-V051_20[[#This Row],[MOT AUX]])+V051_20[[#This Row],[FAENA EN  LTS]]</f>
        <v>100</v>
      </c>
      <c r="AI76" s="407"/>
      <c r="AJ76" s="407"/>
      <c r="AK76" s="350">
        <f>(AK75-V051_20[[#This Row],[HIDRAULICO]])+V051_20[[#This Row],[FAENA EN LTS3]]</f>
        <v>100</v>
      </c>
    </row>
    <row r="77" spans="1:37" x14ac:dyDescent="0.25">
      <c r="D77" s="67">
        <f>SUBTOTAL(109,V051_20[TIEMPO Hrs])</f>
        <v>455</v>
      </c>
      <c r="L77" s="68">
        <f>SUBTOTAL(109,V051_20[MPAL])</f>
        <v>84.308333333333351</v>
      </c>
      <c r="M77" s="68">
        <f>SUBTOTAL(109,V051_20[AUX.])</f>
        <v>44.89</v>
      </c>
      <c r="N77" s="68">
        <f>SUBTOTAL(109,V051_20[CALDERA])</f>
        <v>48.801249999999989</v>
      </c>
    </row>
    <row r="78" spans="1:37" x14ac:dyDescent="0.25">
      <c r="M78" s="68"/>
      <c r="O78" s="67">
        <f>SUM(L77:N77)</f>
        <v>177.99958333333333</v>
      </c>
      <c r="Q78" s="116"/>
    </row>
    <row r="79" spans="1:37" ht="19.5" thickBot="1" x14ac:dyDescent="0.35">
      <c r="C79" s="69" t="s">
        <v>187</v>
      </c>
      <c r="D79" s="69"/>
      <c r="E79" s="69"/>
      <c r="F79" s="69"/>
      <c r="G79" s="69"/>
      <c r="H79" s="69"/>
      <c r="N79" s="69"/>
      <c r="O79" s="69"/>
      <c r="T79" s="70" t="s">
        <v>195</v>
      </c>
    </row>
    <row r="80" spans="1:37" ht="15.75" thickBot="1" x14ac:dyDescent="0.3"/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192</v>
      </c>
      <c r="I81" s="71" t="s">
        <v>95</v>
      </c>
      <c r="J81" s="71" t="s">
        <v>96</v>
      </c>
      <c r="K81" s="71" t="s">
        <v>97</v>
      </c>
      <c r="L81" s="73" t="s">
        <v>193</v>
      </c>
      <c r="M81" s="74" t="s">
        <v>99</v>
      </c>
      <c r="N81" s="75" t="s">
        <v>100</v>
      </c>
      <c r="R81" s="111" t="s">
        <v>101</v>
      </c>
      <c r="S81" s="111" t="s">
        <v>194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279">
        <f t="shared" ref="D82:D89" si="0">SUMIF($E$6:$E$76,C82,$D$6:$D$76)</f>
        <v>55.800000000000004</v>
      </c>
      <c r="E82" s="279"/>
      <c r="F82" s="329"/>
      <c r="G82" s="79"/>
      <c r="H82" s="80">
        <f t="shared" ref="H82:H89" si="1">SUMIF($E$6:$E$76,C82,$L$6:$L$76)+SUMIF($E$6:$E$76,C82,$M$6:$M$76)+SUMIF($E$6:$E$76,C82,$N$6:$N$76)</f>
        <v>16.391666666666666</v>
      </c>
      <c r="I82" s="79">
        <f>IF(ISERROR(H82*24/D82),0,H82*24/D82)</f>
        <v>7.0501792114695334</v>
      </c>
      <c r="J82" s="79">
        <v>4.5</v>
      </c>
      <c r="K82" s="78"/>
      <c r="L82" s="79">
        <f>D82*J82/24</f>
        <v>10.4625</v>
      </c>
      <c r="M82" s="80">
        <f t="shared" ref="M82:M89" si="2">L82-H82</f>
        <v>-5.9291666666666654</v>
      </c>
      <c r="N82" s="81"/>
      <c r="Q82" s="117"/>
      <c r="R82" s="118" t="s">
        <v>105</v>
      </c>
      <c r="S82" s="228">
        <f>SUM(V6:V76)</f>
        <v>11.4</v>
      </c>
      <c r="T82" s="84">
        <f>S82*24/($D$83+$D$89)</f>
        <v>1.821571238348868</v>
      </c>
      <c r="U82" s="84">
        <v>6</v>
      </c>
      <c r="V82" s="85">
        <f>($D$83+$D$89)*U82/24</f>
        <v>37.550000000000004</v>
      </c>
      <c r="W82" s="119">
        <f>V82-S82</f>
        <v>26.150000000000006</v>
      </c>
    </row>
    <row r="83" spans="3:23" x14ac:dyDescent="0.25">
      <c r="C83" s="87" t="s">
        <v>51</v>
      </c>
      <c r="D83" s="264">
        <f t="shared" si="0"/>
        <v>65.2</v>
      </c>
      <c r="E83" s="264"/>
      <c r="F83" s="42"/>
      <c r="G83" s="37"/>
      <c r="H83" s="88">
        <f t="shared" si="1"/>
        <v>13.625</v>
      </c>
      <c r="I83" s="37">
        <f>H83*24/D83</f>
        <v>5.0153374233128831</v>
      </c>
      <c r="J83" s="37">
        <v>4.5</v>
      </c>
      <c r="K83" s="47"/>
      <c r="L83" s="37">
        <f>D83*4.5/24</f>
        <v>12.225000000000001</v>
      </c>
      <c r="M83" s="88">
        <f t="shared" si="2"/>
        <v>-1.3999999999999986</v>
      </c>
      <c r="N83" s="89"/>
      <c r="Q83" s="120"/>
      <c r="R83" s="90" t="s">
        <v>106</v>
      </c>
      <c r="S83" s="286">
        <f>SUM(S6:S76)</f>
        <v>2.4200000000000004</v>
      </c>
      <c r="T83" s="84">
        <f>S83*24/($D$83+$D$89)</f>
        <v>0.38668442077230364</v>
      </c>
      <c r="U83" s="88"/>
      <c r="V83" s="88"/>
      <c r="W83" s="121"/>
    </row>
    <row r="84" spans="3:23" x14ac:dyDescent="0.25">
      <c r="C84" s="87" t="s">
        <v>61</v>
      </c>
      <c r="D84" s="264">
        <f t="shared" si="0"/>
        <v>24.5</v>
      </c>
      <c r="E84" s="264">
        <f>SUMIF($E$6:$E$76,C84,$G$6:$G$76)</f>
        <v>265</v>
      </c>
      <c r="F84" s="42">
        <f>E84/D84</f>
        <v>10.816326530612244</v>
      </c>
      <c r="G84" s="37">
        <v>12.5</v>
      </c>
      <c r="H84" s="88">
        <f t="shared" si="1"/>
        <v>25.010416666666661</v>
      </c>
      <c r="I84" s="37">
        <f>H84*24/D84</f>
        <v>24.499999999999996</v>
      </c>
      <c r="J84" s="37">
        <v>30.5</v>
      </c>
      <c r="K84" s="88">
        <f>E84/G84</f>
        <v>21.2</v>
      </c>
      <c r="L84" s="37">
        <f>K84*J84/24</f>
        <v>26.941666666666666</v>
      </c>
      <c r="M84" s="88">
        <f t="shared" si="2"/>
        <v>1.9312500000000057</v>
      </c>
      <c r="N84" s="121">
        <f>K84-D84</f>
        <v>-3.3000000000000007</v>
      </c>
      <c r="Q84" s="120"/>
      <c r="R84" s="90" t="s">
        <v>20</v>
      </c>
      <c r="S84" s="286">
        <f>SUM(T6:T76)</f>
        <v>1.9300000000000004</v>
      </c>
      <c r="T84" s="84">
        <f>S84*24/($D$83+$D$89)</f>
        <v>0.30838881491344877</v>
      </c>
      <c r="U84" s="88"/>
      <c r="V84" s="88"/>
      <c r="W84" s="121"/>
    </row>
    <row r="85" spans="3:23" x14ac:dyDescent="0.25">
      <c r="C85" s="87" t="s">
        <v>55</v>
      </c>
      <c r="D85" s="264">
        <f t="shared" si="0"/>
        <v>63</v>
      </c>
      <c r="E85" s="264">
        <f>SUMIF($E$6:$E$76,C85,$G$6:$G$76)</f>
        <v>453</v>
      </c>
      <c r="F85" s="42">
        <f>E85/D85</f>
        <v>7.1904761904761907</v>
      </c>
      <c r="G85" s="37">
        <v>12</v>
      </c>
      <c r="H85" s="88">
        <f t="shared" si="1"/>
        <v>67.862500000000011</v>
      </c>
      <c r="I85" s="37">
        <f>H85*24/D85</f>
        <v>25.852380952380958</v>
      </c>
      <c r="J85" s="37">
        <v>30.5</v>
      </c>
      <c r="K85" s="88">
        <f>E85/G85</f>
        <v>37.75</v>
      </c>
      <c r="L85" s="37">
        <f>K85*J85/24</f>
        <v>47.973958333333336</v>
      </c>
      <c r="M85" s="88">
        <f t="shared" si="2"/>
        <v>-19.888541666666676</v>
      </c>
      <c r="N85" s="121">
        <f>K85-D85</f>
        <v>-25.25</v>
      </c>
      <c r="Q85" s="120"/>
      <c r="R85" s="90" t="s">
        <v>107</v>
      </c>
      <c r="S85" s="286">
        <f>SUM(U6:U76)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0"/>
        <v>0</v>
      </c>
      <c r="E86" s="264">
        <f>SUMIF($E$6:$E$76,C86,$G$6:$G$76)</f>
        <v>0</v>
      </c>
      <c r="F86" s="42">
        <f>IF(ISERROR(E86/D86),0,E86/D86)</f>
        <v>0</v>
      </c>
      <c r="G86" s="37">
        <v>12</v>
      </c>
      <c r="H86" s="88">
        <f t="shared" si="1"/>
        <v>0</v>
      </c>
      <c r="I86" s="37" t="str">
        <f>IF(ISERROR(H86*24/D86),"0",H86*24/D86)</f>
        <v>0</v>
      </c>
      <c r="J86" s="37">
        <v>30.5</v>
      </c>
      <c r="K86" s="88">
        <f>IF(ISERROR(E86/G86),0,E86/G86)</f>
        <v>0</v>
      </c>
      <c r="L86" s="37">
        <f>K86*J86/24</f>
        <v>0</v>
      </c>
      <c r="M86" s="88">
        <f t="shared" si="2"/>
        <v>0</v>
      </c>
      <c r="N86" s="121">
        <f>K86-D86</f>
        <v>0</v>
      </c>
      <c r="Q86" s="120"/>
      <c r="R86" s="92" t="s">
        <v>24</v>
      </c>
      <c r="S86" s="287">
        <f>SUM(R6:R76)</f>
        <v>9.7999999999999989</v>
      </c>
      <c r="T86" s="84">
        <f>S86*24/($D$83+$D$89)</f>
        <v>1.5659121171770969</v>
      </c>
      <c r="U86" s="98"/>
      <c r="V86" s="98"/>
      <c r="W86" s="122"/>
    </row>
    <row r="87" spans="3:23" x14ac:dyDescent="0.25">
      <c r="C87" s="87" t="s">
        <v>45</v>
      </c>
      <c r="D87" s="264">
        <f t="shared" si="0"/>
        <v>142.30000000000001</v>
      </c>
      <c r="E87" s="264"/>
      <c r="F87" s="42"/>
      <c r="G87" s="37"/>
      <c r="H87" s="88">
        <f t="shared" si="1"/>
        <v>27.270833333333336</v>
      </c>
      <c r="I87" s="37">
        <f>H87*24/D87</f>
        <v>4.5994378074490507</v>
      </c>
      <c r="J87" s="37">
        <v>4.5</v>
      </c>
      <c r="K87" s="47"/>
      <c r="L87" s="37">
        <f>D87*J87/24</f>
        <v>26.681250000000002</v>
      </c>
      <c r="M87" s="88">
        <f t="shared" si="2"/>
        <v>-0.58958333333333357</v>
      </c>
      <c r="N87" s="121"/>
      <c r="Q87" s="120"/>
      <c r="S87" s="68"/>
      <c r="T87" s="143"/>
      <c r="U87" s="68"/>
      <c r="V87" s="68"/>
      <c r="W87" s="68"/>
    </row>
    <row r="88" spans="3:23" ht="15.75" thickBot="1" x14ac:dyDescent="0.3">
      <c r="C88" s="87" t="s">
        <v>47</v>
      </c>
      <c r="D88" s="264">
        <f t="shared" si="0"/>
        <v>19.199999999999989</v>
      </c>
      <c r="E88" s="264"/>
      <c r="F88" s="42"/>
      <c r="G88" s="37"/>
      <c r="H88" s="88">
        <f t="shared" si="1"/>
        <v>9.6858333333333331</v>
      </c>
      <c r="I88" s="37">
        <f>H88*24/D88</f>
        <v>12.107291666666672</v>
      </c>
      <c r="J88" s="37">
        <v>4.5</v>
      </c>
      <c r="K88" s="47"/>
      <c r="L88" s="37">
        <f>D88*J88/24</f>
        <v>3.5999999999999979</v>
      </c>
      <c r="M88" s="88">
        <f t="shared" si="2"/>
        <v>-6.0858333333333352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64">
        <f t="shared" si="0"/>
        <v>85.000000000000014</v>
      </c>
      <c r="E89" s="290"/>
      <c r="F89" s="330"/>
      <c r="G89" s="94"/>
      <c r="H89" s="98">
        <f t="shared" si="1"/>
        <v>18.153333333333336</v>
      </c>
      <c r="I89" s="99">
        <f>H89*24/D89</f>
        <v>5.125647058823529</v>
      </c>
      <c r="J89" s="99">
        <v>4.5</v>
      </c>
      <c r="K89" s="94"/>
      <c r="L89" s="99">
        <f>D89*J89/24</f>
        <v>15.937500000000002</v>
      </c>
      <c r="M89" s="98">
        <f t="shared" si="2"/>
        <v>-2.2158333333333342</v>
      </c>
      <c r="N89" s="122"/>
      <c r="R89" s="100" t="s">
        <v>29</v>
      </c>
      <c r="S89" s="101">
        <f>SUM(S82:S86)</f>
        <v>25.549999999999997</v>
      </c>
      <c r="T89" s="101">
        <f>SUM(T82:T86)</f>
        <v>4.0825565912117172</v>
      </c>
      <c r="U89" s="68"/>
      <c r="V89" s="68"/>
      <c r="W89" s="68"/>
    </row>
    <row r="90" spans="3:23" x14ac:dyDescent="0.25">
      <c r="D90" s="116"/>
      <c r="E90" s="116"/>
      <c r="F90" s="116"/>
      <c r="K90" s="1"/>
      <c r="N90" s="68"/>
      <c r="O90" s="68"/>
      <c r="P90" s="68"/>
      <c r="S90" s="68"/>
      <c r="T90" s="68"/>
      <c r="U90" s="68"/>
      <c r="V90" s="68"/>
      <c r="W90" s="68"/>
    </row>
    <row r="91" spans="3:23" ht="15.75" thickBot="1" x14ac:dyDescent="0.3">
      <c r="D91" s="116"/>
      <c r="E91" s="116"/>
      <c r="F91" s="116"/>
      <c r="K91" s="1"/>
      <c r="N91" s="68"/>
      <c r="O91" s="68"/>
      <c r="P91" s="68"/>
    </row>
    <row r="92" spans="3:23" ht="15.75" thickBot="1" x14ac:dyDescent="0.3">
      <c r="C92" s="103" t="s">
        <v>29</v>
      </c>
      <c r="D92" s="284">
        <f>SUM(D82:D89)</f>
        <v>455</v>
      </c>
      <c r="E92" s="284">
        <f>SUM(E82:E89)</f>
        <v>718</v>
      </c>
      <c r="F92" s="284">
        <f>SUM(F82:F89)/2</f>
        <v>9.0034013605442169</v>
      </c>
      <c r="H92" s="101">
        <f>SUM(H82:H89)</f>
        <v>177.99958333333333</v>
      </c>
      <c r="L92" s="104">
        <f>SUM(L82:L89)</f>
        <v>143.82187500000001</v>
      </c>
      <c r="M92" s="101">
        <f>SUM(M82:M89)</f>
        <v>-34.177708333333342</v>
      </c>
      <c r="N92" s="123">
        <f>SUM(N82:N89)</f>
        <v>-28.55</v>
      </c>
    </row>
    <row r="93" spans="3:23" x14ac:dyDescent="0.25">
      <c r="I93"/>
    </row>
    <row r="94" spans="3:23" x14ac:dyDescent="0.25">
      <c r="I94"/>
    </row>
    <row r="95" spans="3:23" x14ac:dyDescent="0.25">
      <c r="I95"/>
    </row>
    <row r="96" spans="3:23" x14ac:dyDescent="0.25">
      <c r="I96"/>
    </row>
    <row r="130" ht="15.75" customHeight="1" x14ac:dyDescent="0.25"/>
    <row r="131" ht="49.5" customHeight="1" x14ac:dyDescent="0.25"/>
  </sheetData>
  <sheetProtection sheet="1" objects="1" scenarios="1" formatCells="0" formatColumns="0" formatRows="0" insertColumns="0" insertRows="0" deleteRows="0" autoFilter="0" pivotTables="0"/>
  <protectedRanges>
    <protectedRange sqref="B4:C4" name="Rango16"/>
    <protectedRange sqref="AK4" name="Rango15"/>
    <protectedRange sqref="AH4" name="R7"/>
    <protectedRange sqref="AE4" name="Rango13"/>
    <protectedRange sqref="AB4" name="Rango12"/>
    <protectedRange sqref="Y4" name="Rango11"/>
    <protectedRange sqref="Q4" name="Rango10"/>
    <protectedRange sqref="AI6:AJ76" name="Rango9"/>
    <protectedRange sqref="AF47:AG76" name="Rango8"/>
    <protectedRange sqref="AC6:AD76" name="Rango7"/>
    <protectedRange sqref="Z6:AA76" name="Rango6"/>
    <protectedRange sqref="X6:X76" name="Rango5"/>
    <protectedRange sqref="R6:V76" name="Rango4"/>
    <protectedRange sqref="P6:P76" name="Rango3"/>
    <protectedRange sqref="E6:H76 AI6:AJ76 AF6:AG76 AC6:AD76 Z6:AA76 X6:X76 R6:V76 P6:P76 J6:N76" name="Rango2"/>
    <protectedRange sqref="A46:C76 B45:C45 A6:C44" name="Rango1"/>
    <protectedRange sqref="A45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phoneticPr fontId="15" type="noConversion"/>
  <conditionalFormatting sqref="I6:I76">
    <cfRule type="cellIs" dxfId="1231" priority="2" operator="greaterThan">
      <formula>0</formula>
    </cfRule>
  </conditionalFormatting>
  <conditionalFormatting sqref="J6:J76">
    <cfRule type="cellIs" dxfId="1230" priority="1" operator="greaterThan">
      <formula>"S5"</formula>
    </cfRule>
  </conditionalFormatting>
  <dataValidations count="1">
    <dataValidation type="list" allowBlank="1" showInputMessage="1" showErrorMessage="1" sqref="E6:E76">
      <formula1>$C$82:$C$90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AK75"/>
  <sheetViews>
    <sheetView workbookViewId="0">
      <pane xSplit="6" ySplit="5" topLeftCell="O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7" sqref="D57"/>
    </sheetView>
  </sheetViews>
  <sheetFormatPr baseColWidth="10" defaultColWidth="11.5703125" defaultRowHeight="15" x14ac:dyDescent="0.25"/>
  <cols>
    <col min="1" max="1" width="11.7109375" bestFit="1" customWidth="1"/>
    <col min="2" max="2" width="12.42578125" bestFit="1" customWidth="1"/>
    <col min="3" max="3" width="27.5703125" customWidth="1"/>
    <col min="4" max="4" width="15.28515625" customWidth="1"/>
    <col min="5" max="5" width="22.7109375" customWidth="1"/>
    <col min="6" max="6" width="23.28515625" customWidth="1"/>
    <col min="7" max="8" width="15.7109375" customWidth="1"/>
    <col min="9" max="9" width="18.7109375" style="1" customWidth="1"/>
    <col min="10" max="10" width="15.7109375" customWidth="1"/>
    <col min="11" max="11" width="15.85546875" customWidth="1"/>
    <col min="12" max="14" width="11.5703125" customWidth="1"/>
    <col min="15" max="16" width="14" customWidth="1"/>
    <col min="17" max="17" width="12.7109375" customWidth="1"/>
    <col min="18" max="19" width="11.5703125" customWidth="1"/>
    <col min="20" max="20" width="14.5703125" customWidth="1"/>
    <col min="21" max="21" width="15.28515625" customWidth="1"/>
    <col min="22" max="22" width="18.42578125" customWidth="1"/>
    <col min="23" max="23" width="12.5703125" customWidth="1"/>
    <col min="24" max="24" width="11.28515625" customWidth="1"/>
    <col min="26" max="26" width="13.7109375" customWidth="1"/>
    <col min="28" max="28" width="17.28515625" customWidth="1"/>
    <col min="29" max="29" width="12.5703125" customWidth="1"/>
    <col min="31" max="31" width="16.140625" customWidth="1"/>
    <col min="34" max="34" width="14.140625" customWidth="1"/>
    <col min="35" max="35" width="13" customWidth="1"/>
    <col min="37" max="37" width="16.42578125" customWidth="1"/>
  </cols>
  <sheetData>
    <row r="1" spans="1:37" ht="15.75" thickBot="1" x14ac:dyDescent="0.3"/>
    <row r="2" spans="1:37" ht="15.75" customHeight="1" thickBot="1" x14ac:dyDescent="0.3">
      <c r="A2" s="2"/>
      <c r="B2" s="3"/>
      <c r="C2" s="3"/>
      <c r="D2" s="3"/>
      <c r="E2" s="3"/>
      <c r="F2" s="3"/>
      <c r="G2" s="537"/>
      <c r="H2" s="537"/>
      <c r="I2" s="537"/>
      <c r="J2" s="537"/>
      <c r="K2" s="537"/>
      <c r="L2" s="537"/>
      <c r="M2" s="537"/>
      <c r="N2" s="537"/>
      <c r="O2" s="537"/>
      <c r="P2" s="537"/>
      <c r="Q2" s="537"/>
      <c r="R2" s="537"/>
      <c r="S2" s="537"/>
      <c r="T2" s="537"/>
      <c r="U2" s="537"/>
      <c r="V2" s="537"/>
      <c r="W2" s="537"/>
      <c r="X2" s="537"/>
      <c r="Y2" s="537"/>
      <c r="Z2" s="537"/>
      <c r="AA2" s="537"/>
      <c r="AB2" s="537"/>
      <c r="AC2" s="537"/>
      <c r="AD2" s="537"/>
      <c r="AE2" s="537"/>
      <c r="AF2" s="537"/>
      <c r="AG2" s="537"/>
      <c r="AH2" s="537"/>
      <c r="AI2" s="537"/>
      <c r="AJ2" s="537"/>
      <c r="AK2" s="538"/>
    </row>
    <row r="3" spans="1:37" ht="15.75" thickBot="1" x14ac:dyDescent="0.3">
      <c r="G3" s="539" t="s">
        <v>0</v>
      </c>
      <c r="H3" s="540"/>
      <c r="I3" s="540"/>
      <c r="J3" s="540"/>
      <c r="K3" s="541"/>
      <c r="L3" s="542" t="s">
        <v>1</v>
      </c>
      <c r="M3" s="543"/>
      <c r="N3" s="543"/>
      <c r="O3" s="543"/>
      <c r="P3" s="543"/>
      <c r="Q3" s="544"/>
      <c r="R3" s="545" t="s">
        <v>2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43840</v>
      </c>
      <c r="C4" s="341">
        <v>0.625</v>
      </c>
      <c r="D4" s="338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5">
        <v>275</v>
      </c>
      <c r="R4" s="553" t="s">
        <v>183</v>
      </c>
      <c r="S4" s="554"/>
      <c r="T4" s="554"/>
      <c r="U4" s="554"/>
      <c r="V4" s="554"/>
      <c r="W4" s="554"/>
      <c r="X4" s="555"/>
      <c r="Y4" s="5">
        <v>75.349999999999994</v>
      </c>
      <c r="Z4" s="6"/>
      <c r="AA4" s="7" t="s">
        <v>184</v>
      </c>
      <c r="AB4" s="8">
        <v>100</v>
      </c>
      <c r="AC4" s="9"/>
      <c r="AD4" s="7" t="s">
        <v>184</v>
      </c>
      <c r="AE4" s="8">
        <v>100</v>
      </c>
      <c r="AG4" s="7" t="s">
        <v>184</v>
      </c>
      <c r="AH4" s="8">
        <v>100</v>
      </c>
      <c r="AJ4" s="7" t="s">
        <v>184</v>
      </c>
      <c r="AK4" s="8">
        <v>100</v>
      </c>
    </row>
    <row r="5" spans="1:37" ht="30.75" thickBot="1" x14ac:dyDescent="0.3">
      <c r="A5" s="10" t="s">
        <v>7</v>
      </c>
      <c r="B5" s="11" t="s">
        <v>8</v>
      </c>
      <c r="C5" s="12" t="s">
        <v>9</v>
      </c>
      <c r="D5" s="12" t="s">
        <v>10</v>
      </c>
      <c r="E5" s="12" t="s">
        <v>11</v>
      </c>
      <c r="F5" s="13" t="s">
        <v>12</v>
      </c>
      <c r="G5" s="14" t="s">
        <v>13</v>
      </c>
      <c r="H5" s="15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3" t="s">
        <v>133</v>
      </c>
      <c r="B6" s="236">
        <v>43840</v>
      </c>
      <c r="C6" s="237">
        <v>0.64583333333333337</v>
      </c>
      <c r="D6" s="37">
        <f>IF(V052_20[[#This Row],[FECHA]]-B4=1,((V052_20[[#This Row],[HORA]]-C4)*24)+24,(V052_20[[#This Row],[HORA]]-C4)*24)</f>
        <v>0.50000000000000089</v>
      </c>
      <c r="E6" s="243" t="s">
        <v>47</v>
      </c>
      <c r="F6" s="244" t="s">
        <v>83</v>
      </c>
      <c r="G6" s="241"/>
      <c r="H6" s="50"/>
      <c r="I6" s="33">
        <v>0</v>
      </c>
      <c r="J6" s="243"/>
      <c r="K6" s="244"/>
      <c r="L6" s="317">
        <v>0.10416666666666685</v>
      </c>
      <c r="M6" s="318">
        <v>5.2083333333333426E-2</v>
      </c>
      <c r="N6" s="318">
        <v>4.1666666666666741E-2</v>
      </c>
      <c r="O6" s="318">
        <f>SUM(V052_20[[#This Row],[MPAL]:[CALDERA]])</f>
        <v>0.19791666666666702</v>
      </c>
      <c r="P6" s="318"/>
      <c r="Q6" s="271">
        <f>(Q4-V052_20[[#This Row],[TOTAL ]])+V052_20[[#This Row],[FAENA]]</f>
        <v>274.80208333333331</v>
      </c>
      <c r="R6" s="317">
        <v>0</v>
      </c>
      <c r="S6" s="318">
        <v>0</v>
      </c>
      <c r="T6" s="318">
        <v>0</v>
      </c>
      <c r="U6" s="318">
        <v>0</v>
      </c>
      <c r="V6" s="318">
        <v>0</v>
      </c>
      <c r="W6" s="298">
        <f>SUM(V052_20[[#This Row],[MPAL2]:[GI]])</f>
        <v>0</v>
      </c>
      <c r="X6" s="318"/>
      <c r="Y6" s="296">
        <f>(Y4-V052_20[[#This Row],[TOTAL]])+V052_20[[#This Row],[FAENA2]]</f>
        <v>75.349999999999994</v>
      </c>
      <c r="Z6" s="317"/>
      <c r="AA6" s="318"/>
      <c r="AB6" s="336">
        <f>(AB4-V052_20[[#This Row],[CYLINDER MP]])+V052_20[[#This Row],[FAENA EN LTS]]</f>
        <v>100</v>
      </c>
      <c r="AC6" s="318"/>
      <c r="AD6" s="318"/>
      <c r="AE6" s="336">
        <f>(AE4-V052_20[[#This Row],[CARTER MP.]])+V052_20[[#This Row],[FAENA EN LTS2]]</f>
        <v>100</v>
      </c>
      <c r="AF6" s="318"/>
      <c r="AG6" s="318"/>
      <c r="AH6" s="336">
        <f>(AH4-V052_20[[#This Row],[MOT AUX]])+V052_20[[#This Row],[FAENA EN  LTS]]</f>
        <v>100</v>
      </c>
      <c r="AI6" s="318"/>
      <c r="AJ6" s="318"/>
      <c r="AK6" s="337">
        <f>(AK4-V052_20[[#This Row],[HIDRAULICO]])+V052_20[[#This Row],[FAENA EN LTS3]]</f>
        <v>100</v>
      </c>
    </row>
    <row r="7" spans="1:37" x14ac:dyDescent="0.25">
      <c r="A7" s="263" t="s">
        <v>133</v>
      </c>
      <c r="B7" s="48">
        <v>43840</v>
      </c>
      <c r="C7" s="41">
        <v>0.6791666666666667</v>
      </c>
      <c r="D7" s="42">
        <f>IF(V052_20[[#This Row],[FECHA]]-B6=1,((V052_20[[#This Row],[HORA]]-C6)*24)+24,(V052_20[[#This Row],[HORA]]-C6)*24)</f>
        <v>0.79999999999999982</v>
      </c>
      <c r="E7" s="51" t="s">
        <v>49</v>
      </c>
      <c r="F7" s="52" t="s">
        <v>134</v>
      </c>
      <c r="G7" s="49"/>
      <c r="H7" s="50"/>
      <c r="I7" s="33">
        <f>IF(ISERROR(V052_20[[#This Row],[DISTANCIA POR CARTA]]/V052_20[[#This Row],[TIEMPO DE NAVEGACION]]),0,V052_20[[#This Row],[DISTANCIA POR CARTA]]/V052_20[[#This Row],[TIEMPO DE NAVEGACION]])</f>
        <v>0</v>
      </c>
      <c r="J7" s="51"/>
      <c r="K7" s="52"/>
      <c r="L7" s="295">
        <v>0</v>
      </c>
      <c r="M7" s="294">
        <v>8.3333333333333315E-2</v>
      </c>
      <c r="N7" s="294">
        <v>6.6666666666666652E-2</v>
      </c>
      <c r="O7" s="294">
        <f>SUM(V052_20[[#This Row],[MPAL]:[CALDERA]])</f>
        <v>0.14999999999999997</v>
      </c>
      <c r="P7" s="294"/>
      <c r="Q7" s="271">
        <f>(Q6-V052_20[[#This Row],[TOTAL ]])+V052_20[[#This Row],[FAENA]]</f>
        <v>274.65208333333334</v>
      </c>
      <c r="R7" s="295">
        <v>0</v>
      </c>
      <c r="S7" s="294">
        <v>0</v>
      </c>
      <c r="T7" s="294">
        <v>0</v>
      </c>
      <c r="U7" s="294">
        <v>0</v>
      </c>
      <c r="V7" s="294">
        <v>0</v>
      </c>
      <c r="W7" s="298">
        <f>SUM(V052_20[[#This Row],[MPAL2]:[GI]])</f>
        <v>0</v>
      </c>
      <c r="X7" s="294"/>
      <c r="Y7" s="296">
        <f>(Y6-V052_20[[#This Row],[TOTAL]])+V052_20[[#This Row],[FAENA2]]</f>
        <v>75.349999999999994</v>
      </c>
      <c r="Z7" s="295"/>
      <c r="AA7" s="294"/>
      <c r="AB7" s="336">
        <f>(AB6-V052_20[[#This Row],[CYLINDER MP]])+V052_20[[#This Row],[FAENA EN LTS]]</f>
        <v>100</v>
      </c>
      <c r="AC7" s="294"/>
      <c r="AD7" s="294"/>
      <c r="AE7" s="336">
        <f>(AE6-V052_20[[#This Row],[CARTER MP.]])+V052_20[[#This Row],[FAENA EN LTS2]]</f>
        <v>100</v>
      </c>
      <c r="AF7" s="294"/>
      <c r="AG7" s="294"/>
      <c r="AH7" s="336">
        <f>(AH6-V052_20[[#This Row],[MOT AUX]])+V052_20[[#This Row],[FAENA EN  LTS]]</f>
        <v>100</v>
      </c>
      <c r="AI7" s="294"/>
      <c r="AJ7" s="294"/>
      <c r="AK7" s="337">
        <f>(AK6-V052_20[[#This Row],[HIDRAULICO]])+V052_20[[#This Row],[FAENA EN LTS3]]</f>
        <v>100</v>
      </c>
    </row>
    <row r="8" spans="1:37" x14ac:dyDescent="0.25">
      <c r="A8" s="263" t="s">
        <v>133</v>
      </c>
      <c r="B8" s="48">
        <v>43840</v>
      </c>
      <c r="C8" s="58">
        <v>0.85</v>
      </c>
      <c r="D8" s="42">
        <f>IF(V052_20[[#This Row],[FECHA]]-B7=1,((V052_20[[#This Row],[HORA]]-C7)*24)+24,(V052_20[[#This Row],[HORA]]-C7)*24)</f>
        <v>4.0999999999999988</v>
      </c>
      <c r="E8" s="51" t="s">
        <v>47</v>
      </c>
      <c r="F8" s="52" t="s">
        <v>83</v>
      </c>
      <c r="G8" s="59"/>
      <c r="H8" s="60"/>
      <c r="I8" s="33">
        <f>IF(ISERROR(V052_20[[#This Row],[DISTANCIA POR CARTA]]/V052_20[[#This Row],[TIEMPO DE NAVEGACION]]),0,V052_20[[#This Row],[DISTANCIA POR CARTA]]/V052_20[[#This Row],[TIEMPO DE NAVEGACION]])</f>
        <v>0</v>
      </c>
      <c r="J8" s="64"/>
      <c r="K8" s="61"/>
      <c r="L8" s="297">
        <v>0.51249999999999984</v>
      </c>
      <c r="M8" s="298">
        <v>0.4270833333333332</v>
      </c>
      <c r="N8" s="298">
        <v>0.34166666666666656</v>
      </c>
      <c r="O8" s="294">
        <f>SUM(V052_20[[#This Row],[MPAL]:[CALDERA]])</f>
        <v>1.2812499999999996</v>
      </c>
      <c r="P8" s="298"/>
      <c r="Q8" s="271">
        <f>(Q7-V052_20[[#This Row],[TOTAL ]])+V052_20[[#This Row],[FAENA]]</f>
        <v>273.37083333333334</v>
      </c>
      <c r="R8" s="297">
        <v>0</v>
      </c>
      <c r="S8" s="298">
        <v>0</v>
      </c>
      <c r="T8" s="298">
        <v>0</v>
      </c>
      <c r="U8" s="298">
        <v>0</v>
      </c>
      <c r="V8" s="298">
        <v>0</v>
      </c>
      <c r="W8" s="298">
        <f>SUM(V052_20[[#This Row],[MPAL2]:[GI]])</f>
        <v>0</v>
      </c>
      <c r="X8" s="298"/>
      <c r="Y8" s="296">
        <f>(Y7-V052_20[[#This Row],[TOTAL]])+V052_20[[#This Row],[FAENA2]]</f>
        <v>75.349999999999994</v>
      </c>
      <c r="Z8" s="297"/>
      <c r="AA8" s="298"/>
      <c r="AB8" s="336">
        <f>(AB7-V052_20[[#This Row],[CYLINDER MP]])+V052_20[[#This Row],[FAENA EN LTS]]</f>
        <v>100</v>
      </c>
      <c r="AC8" s="298"/>
      <c r="AD8" s="298"/>
      <c r="AE8" s="336">
        <f>(AE7-V052_20[[#This Row],[CARTER MP.]])+V052_20[[#This Row],[FAENA EN LTS2]]</f>
        <v>100</v>
      </c>
      <c r="AF8" s="298"/>
      <c r="AG8" s="298"/>
      <c r="AH8" s="336">
        <f>(AH7-V052_20[[#This Row],[MOT AUX]])+V052_20[[#This Row],[FAENA EN  LTS]]</f>
        <v>100</v>
      </c>
      <c r="AI8" s="298"/>
      <c r="AJ8" s="298"/>
      <c r="AK8" s="337">
        <f>(AK7-V052_20[[#This Row],[HIDRAULICO]])+V052_20[[#This Row],[FAENA EN LTS3]]</f>
        <v>100</v>
      </c>
    </row>
    <row r="9" spans="1:37" x14ac:dyDescent="0.25">
      <c r="A9" s="263" t="s">
        <v>133</v>
      </c>
      <c r="B9" s="48">
        <v>43841</v>
      </c>
      <c r="C9" s="41">
        <v>0.33333333333333331</v>
      </c>
      <c r="D9" s="42">
        <f>IF(V052_20[[#This Row],[FECHA]]-B8=1,((V052_20[[#This Row],[HORA]]-C8)*24)+24,(V052_20[[#This Row],[HORA]]-C8)*24)</f>
        <v>11.600000000000001</v>
      </c>
      <c r="E9" s="51" t="s">
        <v>45</v>
      </c>
      <c r="F9" s="52" t="s">
        <v>130</v>
      </c>
      <c r="G9" s="49"/>
      <c r="H9" s="50"/>
      <c r="I9" s="33">
        <f>IF(ISERROR(V052_20[[#This Row],[DISTANCIA POR CARTA]]/V052_20[[#This Row],[TIEMPO DE NAVEGACION]]),0,V052_20[[#This Row],[DISTANCIA POR CARTA]]/V052_20[[#This Row],[TIEMPO DE NAVEGACION]])</f>
        <v>0</v>
      </c>
      <c r="J9" s="51"/>
      <c r="K9" s="52"/>
      <c r="L9" s="295">
        <v>0</v>
      </c>
      <c r="M9" s="294">
        <v>1.2083333333333335</v>
      </c>
      <c r="N9" s="294">
        <v>0.96666666666666679</v>
      </c>
      <c r="O9" s="294">
        <f>SUM(V052_20[[#This Row],[MPAL]:[CALDERA]])</f>
        <v>2.1750000000000003</v>
      </c>
      <c r="P9" s="294"/>
      <c r="Q9" s="271">
        <f>(Q8-V052_20[[#This Row],[TOTAL ]])+V052_20[[#This Row],[FAENA]]</f>
        <v>271.19583333333333</v>
      </c>
      <c r="R9" s="295">
        <v>0</v>
      </c>
      <c r="S9" s="294">
        <v>0</v>
      </c>
      <c r="T9" s="294">
        <v>0</v>
      </c>
      <c r="U9" s="294">
        <v>0</v>
      </c>
      <c r="V9" s="294">
        <v>0</v>
      </c>
      <c r="W9" s="298">
        <f>SUM(V052_20[[#This Row],[MPAL2]:[GI]])</f>
        <v>0</v>
      </c>
      <c r="X9" s="294"/>
      <c r="Y9" s="296">
        <f>(Y8-V052_20[[#This Row],[TOTAL]])+V052_20[[#This Row],[FAENA2]]</f>
        <v>75.349999999999994</v>
      </c>
      <c r="Z9" s="295"/>
      <c r="AA9" s="294"/>
      <c r="AB9" s="336">
        <f>(AB8-V052_20[[#This Row],[CYLINDER MP]])+V052_20[[#This Row],[FAENA EN LTS]]</f>
        <v>100</v>
      </c>
      <c r="AC9" s="294"/>
      <c r="AD9" s="294"/>
      <c r="AE9" s="336">
        <f>(AE8-V052_20[[#This Row],[CARTER MP.]])+V052_20[[#This Row],[FAENA EN LTS2]]</f>
        <v>100</v>
      </c>
      <c r="AF9" s="294"/>
      <c r="AG9" s="294"/>
      <c r="AH9" s="336">
        <f>(AH8-V052_20[[#This Row],[MOT AUX]])+V052_20[[#This Row],[FAENA EN  LTS]]</f>
        <v>100</v>
      </c>
      <c r="AI9" s="294"/>
      <c r="AJ9" s="294"/>
      <c r="AK9" s="337">
        <f>(AK8-V052_20[[#This Row],[HIDRAULICO]])+V052_20[[#This Row],[FAENA EN LTS3]]</f>
        <v>100</v>
      </c>
    </row>
    <row r="10" spans="1:37" x14ac:dyDescent="0.25">
      <c r="A10" s="263" t="s">
        <v>133</v>
      </c>
      <c r="B10" s="48">
        <v>43841</v>
      </c>
      <c r="C10" s="41">
        <v>0.5541666666666667</v>
      </c>
      <c r="D10" s="42">
        <f>IF(V052_20[[#This Row],[FECHA]]-B9=1,((V052_20[[#This Row],[HORA]]-C9)*24)+24,(V052_20[[#This Row],[HORA]]-C9)*24)</f>
        <v>5.3000000000000007</v>
      </c>
      <c r="E10" s="51" t="s">
        <v>45</v>
      </c>
      <c r="F10" s="52" t="s">
        <v>134</v>
      </c>
      <c r="G10" s="49"/>
      <c r="H10" s="50"/>
      <c r="I10" s="33">
        <f>IF(ISERROR(V052_20[[#This Row],[DISTANCIA POR CARTA]]/V052_20[[#This Row],[TIEMPO DE NAVEGACION]]),0,V052_20[[#This Row],[DISTANCIA POR CARTA]]/V052_20[[#This Row],[TIEMPO DE NAVEGACION]])</f>
        <v>0</v>
      </c>
      <c r="J10" s="51"/>
      <c r="K10" s="52"/>
      <c r="L10" s="295">
        <v>0</v>
      </c>
      <c r="M10" s="294">
        <v>0.55208333333333348</v>
      </c>
      <c r="N10" s="294">
        <v>0.44166666666666671</v>
      </c>
      <c r="O10" s="294">
        <f>SUM(V052_20[[#This Row],[MPAL]:[CALDERA]])</f>
        <v>0.99375000000000013</v>
      </c>
      <c r="P10" s="294"/>
      <c r="Q10" s="271">
        <f>(Q9-V052_20[[#This Row],[TOTAL ]])+V052_20[[#This Row],[FAENA]]</f>
        <v>270.20208333333335</v>
      </c>
      <c r="R10" s="295">
        <v>0</v>
      </c>
      <c r="S10" s="294">
        <v>0</v>
      </c>
      <c r="T10" s="294">
        <v>0</v>
      </c>
      <c r="U10" s="294">
        <v>0</v>
      </c>
      <c r="V10" s="294">
        <v>0</v>
      </c>
      <c r="W10" s="298">
        <f>SUM(V052_20[[#This Row],[MPAL2]:[GI]])</f>
        <v>0</v>
      </c>
      <c r="X10" s="294"/>
      <c r="Y10" s="296">
        <f>(Y9-V052_20[[#This Row],[TOTAL]])+V052_20[[#This Row],[FAENA2]]</f>
        <v>75.349999999999994</v>
      </c>
      <c r="Z10" s="295"/>
      <c r="AA10" s="294"/>
      <c r="AB10" s="336">
        <f>(AB9-V052_20[[#This Row],[CYLINDER MP]])+V052_20[[#This Row],[FAENA EN LTS]]</f>
        <v>100</v>
      </c>
      <c r="AC10" s="294"/>
      <c r="AD10" s="294"/>
      <c r="AE10" s="336">
        <f>(AE9-V052_20[[#This Row],[CARTER MP.]])+V052_20[[#This Row],[FAENA EN LTS2]]</f>
        <v>100</v>
      </c>
      <c r="AF10" s="294"/>
      <c r="AG10" s="294"/>
      <c r="AH10" s="336">
        <f>(AH9-V052_20[[#This Row],[MOT AUX]])+V052_20[[#This Row],[FAENA EN  LTS]]</f>
        <v>100</v>
      </c>
      <c r="AI10" s="294"/>
      <c r="AJ10" s="294"/>
      <c r="AK10" s="337">
        <f>(AK9-V052_20[[#This Row],[HIDRAULICO]])+V052_20[[#This Row],[FAENA EN LTS3]]</f>
        <v>100</v>
      </c>
    </row>
    <row r="11" spans="1:37" x14ac:dyDescent="0.25">
      <c r="A11" s="263" t="s">
        <v>133</v>
      </c>
      <c r="B11" s="48">
        <v>43841</v>
      </c>
      <c r="C11" s="41">
        <v>0.65416666666666667</v>
      </c>
      <c r="D11" s="42">
        <f>IF(V052_20[[#This Row],[FECHA]]-B10=1,((V052_20[[#This Row],[HORA]]-C10)*24)+24,(V052_20[[#This Row],[HORA]]-C10)*24)</f>
        <v>2.3999999999999995</v>
      </c>
      <c r="E11" s="51" t="s">
        <v>47</v>
      </c>
      <c r="F11" s="52" t="s">
        <v>83</v>
      </c>
      <c r="G11" s="49"/>
      <c r="H11" s="50"/>
      <c r="I11" s="33">
        <f>IF(ISERROR(V052_20[[#This Row],[DISTANCIA POR CARTA]]/V052_20[[#This Row],[TIEMPO DE NAVEGACION]]),0,V052_20[[#This Row],[DISTANCIA POR CARTA]]/V052_20[[#This Row],[TIEMPO DE NAVEGACION]])</f>
        <v>0</v>
      </c>
      <c r="J11" s="51"/>
      <c r="K11" s="52"/>
      <c r="L11" s="295">
        <v>0.29999999999999993</v>
      </c>
      <c r="M11" s="294">
        <v>0.24999999999999994</v>
      </c>
      <c r="N11" s="294">
        <v>0.19999999999999996</v>
      </c>
      <c r="O11" s="294">
        <f>SUM(V052_20[[#This Row],[MPAL]:[CALDERA]])</f>
        <v>0.74999999999999978</v>
      </c>
      <c r="P11" s="294"/>
      <c r="Q11" s="271">
        <f>(Q10-V052_20[[#This Row],[TOTAL ]])+V052_20[[#This Row],[FAENA]]</f>
        <v>269.45208333333335</v>
      </c>
      <c r="R11" s="295">
        <v>0</v>
      </c>
      <c r="S11" s="294">
        <v>0</v>
      </c>
      <c r="T11" s="294">
        <v>0</v>
      </c>
      <c r="U11" s="294">
        <v>0</v>
      </c>
      <c r="V11" s="294">
        <v>0</v>
      </c>
      <c r="W11" s="298">
        <f>SUM(V052_20[[#This Row],[MPAL2]:[GI]])</f>
        <v>0</v>
      </c>
      <c r="X11" s="294"/>
      <c r="Y11" s="296">
        <f>(Y10-V052_20[[#This Row],[TOTAL]])+V052_20[[#This Row],[FAENA2]]</f>
        <v>75.349999999999994</v>
      </c>
      <c r="Z11" s="295"/>
      <c r="AA11" s="294"/>
      <c r="AB11" s="336">
        <f>(AB10-V052_20[[#This Row],[CYLINDER MP]])+V052_20[[#This Row],[FAENA EN LTS]]</f>
        <v>100</v>
      </c>
      <c r="AC11" s="294"/>
      <c r="AD11" s="294"/>
      <c r="AE11" s="336">
        <f>(AE10-V052_20[[#This Row],[CARTER MP.]])+V052_20[[#This Row],[FAENA EN LTS2]]</f>
        <v>100</v>
      </c>
      <c r="AF11" s="294"/>
      <c r="AG11" s="294"/>
      <c r="AH11" s="336">
        <f>(AH10-V052_20[[#This Row],[MOT AUX]])+V052_20[[#This Row],[FAENA EN  LTS]]</f>
        <v>100</v>
      </c>
      <c r="AI11" s="294"/>
      <c r="AJ11" s="294"/>
      <c r="AK11" s="337">
        <f>(AK10-V052_20[[#This Row],[HIDRAULICO]])+V052_20[[#This Row],[FAENA EN LTS3]]</f>
        <v>100</v>
      </c>
    </row>
    <row r="12" spans="1:37" x14ac:dyDescent="0.25">
      <c r="A12" s="263" t="s">
        <v>133</v>
      </c>
      <c r="B12" s="48">
        <v>43841</v>
      </c>
      <c r="C12" s="41">
        <v>0.91249999999999998</v>
      </c>
      <c r="D12" s="42">
        <f>IF(V052_20[[#This Row],[FECHA]]-B11=1,((V052_20[[#This Row],[HORA]]-C11)*24)+24,(V052_20[[#This Row],[HORA]]-C11)*24)</f>
        <v>6.1999999999999993</v>
      </c>
      <c r="E12" s="51" t="s">
        <v>49</v>
      </c>
      <c r="F12" s="52" t="s">
        <v>135</v>
      </c>
      <c r="G12" s="49"/>
      <c r="H12" s="50"/>
      <c r="I12" s="33">
        <f>IF(ISERROR(V052_20[[#This Row],[DISTANCIA POR CARTA]]/V052_20[[#This Row],[TIEMPO DE NAVEGACION]]),0,V052_20[[#This Row],[DISTANCIA POR CARTA]]/V052_20[[#This Row],[TIEMPO DE NAVEGACION]])</f>
        <v>0</v>
      </c>
      <c r="J12" s="51"/>
      <c r="K12" s="52"/>
      <c r="L12" s="295">
        <v>0</v>
      </c>
      <c r="M12" s="294">
        <v>0.64583333333333326</v>
      </c>
      <c r="N12" s="294">
        <v>0.51666666666666661</v>
      </c>
      <c r="O12" s="294">
        <f>SUM(V052_20[[#This Row],[MPAL]:[CALDERA]])</f>
        <v>1.1624999999999999</v>
      </c>
      <c r="P12" s="294"/>
      <c r="Q12" s="271">
        <f>(Q11-V052_20[[#This Row],[TOTAL ]])+V052_20[[#This Row],[FAENA]]</f>
        <v>268.28958333333333</v>
      </c>
      <c r="R12" s="295">
        <v>0</v>
      </c>
      <c r="S12" s="294">
        <v>0</v>
      </c>
      <c r="T12" s="294">
        <v>0</v>
      </c>
      <c r="U12" s="294">
        <v>0</v>
      </c>
      <c r="V12" s="294">
        <v>0</v>
      </c>
      <c r="W12" s="298">
        <f>SUM(V052_20[[#This Row],[MPAL2]:[GI]])</f>
        <v>0</v>
      </c>
      <c r="X12" s="294"/>
      <c r="Y12" s="296">
        <f>(Y11-V052_20[[#This Row],[TOTAL]])+V052_20[[#This Row],[FAENA2]]</f>
        <v>75.349999999999994</v>
      </c>
      <c r="Z12" s="295"/>
      <c r="AA12" s="294"/>
      <c r="AB12" s="336">
        <f>(AB11-V052_20[[#This Row],[CYLINDER MP]])+V052_20[[#This Row],[FAENA EN LTS]]</f>
        <v>100</v>
      </c>
      <c r="AC12" s="294"/>
      <c r="AD12" s="294"/>
      <c r="AE12" s="336">
        <f>(AE11-V052_20[[#This Row],[CARTER MP.]])+V052_20[[#This Row],[FAENA EN LTS2]]</f>
        <v>100</v>
      </c>
      <c r="AF12" s="294"/>
      <c r="AG12" s="294"/>
      <c r="AH12" s="336">
        <f>(AH11-V052_20[[#This Row],[MOT AUX]])+V052_20[[#This Row],[FAENA EN  LTS]]</f>
        <v>100</v>
      </c>
      <c r="AI12" s="294"/>
      <c r="AJ12" s="294"/>
      <c r="AK12" s="337">
        <f>(AK11-V052_20[[#This Row],[HIDRAULICO]])+V052_20[[#This Row],[FAENA EN LTS3]]</f>
        <v>100</v>
      </c>
    </row>
    <row r="13" spans="1:37" x14ac:dyDescent="0.25">
      <c r="A13" s="263" t="s">
        <v>133</v>
      </c>
      <c r="B13" s="48">
        <v>43842</v>
      </c>
      <c r="C13" s="41">
        <v>0.33333333333333331</v>
      </c>
      <c r="D13" s="42">
        <f>IF(V052_20[[#This Row],[FECHA]]-B12=1,((V052_20[[#This Row],[HORA]]-C12)*24)+24,(V052_20[[#This Row],[HORA]]-C12)*24)</f>
        <v>10.100000000000001</v>
      </c>
      <c r="E13" s="51" t="s">
        <v>71</v>
      </c>
      <c r="F13" s="52" t="s">
        <v>130</v>
      </c>
      <c r="G13" s="49"/>
      <c r="H13" s="50"/>
      <c r="I13" s="33">
        <f>IF(ISERROR(V052_20[[#This Row],[DISTANCIA POR CARTA]]/V052_20[[#This Row],[TIEMPO DE NAVEGACION]]),0,V052_20[[#This Row],[DISTANCIA POR CARTA]]/V052_20[[#This Row],[TIEMPO DE NAVEGACION]])</f>
        <v>0</v>
      </c>
      <c r="J13" s="51"/>
      <c r="K13" s="52"/>
      <c r="L13" s="295">
        <v>0</v>
      </c>
      <c r="M13" s="294">
        <v>1.0520833333333335</v>
      </c>
      <c r="N13" s="294">
        <v>0.84166666666666679</v>
      </c>
      <c r="O13" s="294">
        <f>SUM(V052_20[[#This Row],[MPAL]:[CALDERA]])</f>
        <v>1.8937500000000003</v>
      </c>
      <c r="P13" s="294"/>
      <c r="Q13" s="271">
        <f>(Q12-V052_20[[#This Row],[TOTAL ]])+V052_20[[#This Row],[FAENA]]</f>
        <v>266.39583333333331</v>
      </c>
      <c r="R13" s="295">
        <v>0</v>
      </c>
      <c r="S13" s="294">
        <v>0</v>
      </c>
      <c r="T13" s="294">
        <v>0</v>
      </c>
      <c r="U13" s="294">
        <v>0</v>
      </c>
      <c r="V13" s="294">
        <v>0</v>
      </c>
      <c r="W13" s="298">
        <f>SUM(V052_20[[#This Row],[MPAL2]:[GI]])</f>
        <v>0</v>
      </c>
      <c r="X13" s="294"/>
      <c r="Y13" s="296">
        <f>(Y12-V052_20[[#This Row],[TOTAL]])+V052_20[[#This Row],[FAENA2]]</f>
        <v>75.349999999999994</v>
      </c>
      <c r="Z13" s="295"/>
      <c r="AA13" s="294"/>
      <c r="AB13" s="336">
        <f>(AB12-V052_20[[#This Row],[CYLINDER MP]])+V052_20[[#This Row],[FAENA EN LTS]]</f>
        <v>100</v>
      </c>
      <c r="AC13" s="294"/>
      <c r="AD13" s="294"/>
      <c r="AE13" s="336">
        <f>(AE12-V052_20[[#This Row],[CARTER MP.]])+V052_20[[#This Row],[FAENA EN LTS2]]</f>
        <v>100</v>
      </c>
      <c r="AF13" s="294"/>
      <c r="AG13" s="294"/>
      <c r="AH13" s="336">
        <f>(AH12-V052_20[[#This Row],[MOT AUX]])+V052_20[[#This Row],[FAENA EN  LTS]]</f>
        <v>100</v>
      </c>
      <c r="AI13" s="294"/>
      <c r="AJ13" s="294"/>
      <c r="AK13" s="337">
        <f>(AK12-V052_20[[#This Row],[HIDRAULICO]])+V052_20[[#This Row],[FAENA EN LTS3]]</f>
        <v>100</v>
      </c>
    </row>
    <row r="14" spans="1:37" x14ac:dyDescent="0.25">
      <c r="A14" s="263" t="s">
        <v>133</v>
      </c>
      <c r="B14" s="48">
        <v>43843</v>
      </c>
      <c r="C14" s="41">
        <v>0.33333333333333331</v>
      </c>
      <c r="D14" s="42">
        <f>IF(V052_20[[#This Row],[FECHA]]-B13=1,((V052_20[[#This Row],[HORA]]-C13)*24)+24,(V052_20[[#This Row],[HORA]]-C13)*24)</f>
        <v>24</v>
      </c>
      <c r="E14" s="51" t="s">
        <v>71</v>
      </c>
      <c r="F14" s="52" t="s">
        <v>130</v>
      </c>
      <c r="G14" s="49"/>
      <c r="H14" s="50"/>
      <c r="I14" s="33">
        <f>IF(ISERROR(V052_20[[#This Row],[DISTANCIA POR CARTA]]/V052_20[[#This Row],[TIEMPO DE NAVEGACION]]),0,V052_20[[#This Row],[DISTANCIA POR CARTA]]/V052_20[[#This Row],[TIEMPO DE NAVEGACION]])</f>
        <v>0</v>
      </c>
      <c r="J14" s="51"/>
      <c r="K14" s="52"/>
      <c r="L14" s="295">
        <v>0</v>
      </c>
      <c r="M14" s="294">
        <v>2.5</v>
      </c>
      <c r="N14" s="294">
        <v>2</v>
      </c>
      <c r="O14" s="294">
        <f>SUM(V052_20[[#This Row],[MPAL]:[CALDERA]])</f>
        <v>4.5</v>
      </c>
      <c r="P14" s="294"/>
      <c r="Q14" s="271">
        <f>(Q13-V052_20[[#This Row],[TOTAL ]])+V052_20[[#This Row],[FAENA]]</f>
        <v>261.89583333333331</v>
      </c>
      <c r="R14" s="295">
        <v>0</v>
      </c>
      <c r="S14" s="294">
        <v>0</v>
      </c>
      <c r="T14" s="294">
        <v>0</v>
      </c>
      <c r="U14" s="294">
        <v>0</v>
      </c>
      <c r="V14" s="294">
        <v>0</v>
      </c>
      <c r="W14" s="298">
        <f>SUM(V052_20[[#This Row],[MPAL2]:[GI]])</f>
        <v>0</v>
      </c>
      <c r="X14" s="294"/>
      <c r="Y14" s="296">
        <f>(Y13-V052_20[[#This Row],[TOTAL]])+V052_20[[#This Row],[FAENA2]]</f>
        <v>75.349999999999994</v>
      </c>
      <c r="Z14" s="295"/>
      <c r="AA14" s="294"/>
      <c r="AB14" s="336">
        <f>(AB13-V052_20[[#This Row],[CYLINDER MP]])+V052_20[[#This Row],[FAENA EN LTS]]</f>
        <v>100</v>
      </c>
      <c r="AC14" s="294"/>
      <c r="AD14" s="294"/>
      <c r="AE14" s="336">
        <f>(AE13-V052_20[[#This Row],[CARTER MP.]])+V052_20[[#This Row],[FAENA EN LTS2]]</f>
        <v>100</v>
      </c>
      <c r="AF14" s="294"/>
      <c r="AG14" s="294"/>
      <c r="AH14" s="336">
        <f>(AH13-V052_20[[#This Row],[MOT AUX]])+V052_20[[#This Row],[FAENA EN  LTS]]</f>
        <v>100</v>
      </c>
      <c r="AI14" s="294"/>
      <c r="AJ14" s="294"/>
      <c r="AK14" s="337">
        <f>(AK13-V052_20[[#This Row],[HIDRAULICO]])+V052_20[[#This Row],[FAENA EN LTS3]]</f>
        <v>100</v>
      </c>
    </row>
    <row r="15" spans="1:37" x14ac:dyDescent="0.25">
      <c r="A15" s="263" t="s">
        <v>133</v>
      </c>
      <c r="B15" s="48">
        <v>43843</v>
      </c>
      <c r="C15" s="41">
        <v>0.63750000000000007</v>
      </c>
      <c r="D15" s="42">
        <f>IF(V052_20[[#This Row],[FECHA]]-B14=1,((V052_20[[#This Row],[HORA]]-C14)*24)+24,(V052_20[[#This Row],[HORA]]-C14)*24)</f>
        <v>7.3000000000000025</v>
      </c>
      <c r="E15" s="51" t="s">
        <v>71</v>
      </c>
      <c r="F15" s="52" t="s">
        <v>136</v>
      </c>
      <c r="G15" s="49"/>
      <c r="H15" s="50"/>
      <c r="I15" s="33">
        <f>IF(ISERROR(V052_20[[#This Row],[DISTANCIA POR CARTA]]/V052_20[[#This Row],[TIEMPO DE NAVEGACION]]),0,V052_20[[#This Row],[DISTANCIA POR CARTA]]/V052_20[[#This Row],[TIEMPO DE NAVEGACION]])</f>
        <v>0</v>
      </c>
      <c r="J15" s="51"/>
      <c r="K15" s="52"/>
      <c r="L15" s="295">
        <v>0</v>
      </c>
      <c r="M15" s="294">
        <v>0.76041666666666696</v>
      </c>
      <c r="N15" s="294">
        <v>0.6083333333333335</v>
      </c>
      <c r="O15" s="294">
        <f>SUM(V052_20[[#This Row],[MPAL]:[CALDERA]])</f>
        <v>1.3687500000000004</v>
      </c>
      <c r="P15" s="294"/>
      <c r="Q15" s="271">
        <f>(Q14-V052_20[[#This Row],[TOTAL ]])+V052_20[[#This Row],[FAENA]]</f>
        <v>260.52708333333334</v>
      </c>
      <c r="R15" s="295">
        <v>0</v>
      </c>
      <c r="S15" s="294">
        <v>0</v>
      </c>
      <c r="T15" s="294">
        <v>0</v>
      </c>
      <c r="U15" s="294">
        <v>0</v>
      </c>
      <c r="V15" s="294">
        <v>0</v>
      </c>
      <c r="W15" s="298">
        <f>SUM(V052_20[[#This Row],[MPAL2]:[GI]])</f>
        <v>0</v>
      </c>
      <c r="X15" s="294"/>
      <c r="Y15" s="296">
        <f>(Y14-V052_20[[#This Row],[TOTAL]])+V052_20[[#This Row],[FAENA2]]</f>
        <v>75.349999999999994</v>
      </c>
      <c r="Z15" s="295"/>
      <c r="AA15" s="294"/>
      <c r="AB15" s="336">
        <f>(AB14-V052_20[[#This Row],[CYLINDER MP]])+V052_20[[#This Row],[FAENA EN LTS]]</f>
        <v>100</v>
      </c>
      <c r="AC15" s="294"/>
      <c r="AD15" s="294"/>
      <c r="AE15" s="336">
        <f>(AE14-V052_20[[#This Row],[CARTER MP.]])+V052_20[[#This Row],[FAENA EN LTS2]]</f>
        <v>100</v>
      </c>
      <c r="AF15" s="294"/>
      <c r="AG15" s="294"/>
      <c r="AH15" s="336">
        <f>(AH14-V052_20[[#This Row],[MOT AUX]])+V052_20[[#This Row],[FAENA EN  LTS]]</f>
        <v>100</v>
      </c>
      <c r="AI15" s="294"/>
      <c r="AJ15" s="294"/>
      <c r="AK15" s="337">
        <f>(AK14-V052_20[[#This Row],[HIDRAULICO]])+V052_20[[#This Row],[FAENA EN LTS3]]</f>
        <v>100</v>
      </c>
    </row>
    <row r="16" spans="1:37" x14ac:dyDescent="0.25">
      <c r="A16" s="263" t="s">
        <v>133</v>
      </c>
      <c r="B16" s="48">
        <v>43843</v>
      </c>
      <c r="C16" s="41">
        <v>0.8125</v>
      </c>
      <c r="D16" s="42">
        <f>IF(V052_20[[#This Row],[FECHA]]-B15=1,((V052_20[[#This Row],[HORA]]-C15)*24)+24,(V052_20[[#This Row],[HORA]]-C15)*24)</f>
        <v>4.1999999999999984</v>
      </c>
      <c r="E16" s="51" t="s">
        <v>49</v>
      </c>
      <c r="F16" s="52" t="s">
        <v>134</v>
      </c>
      <c r="G16" s="49"/>
      <c r="H16" s="50"/>
      <c r="I16" s="33">
        <f>IF(ISERROR(V052_20[[#This Row],[DISTANCIA POR CARTA]]/V052_20[[#This Row],[TIEMPO DE NAVEGACION]]),0,V052_20[[#This Row],[DISTANCIA POR CARTA]]/V052_20[[#This Row],[TIEMPO DE NAVEGACION]])</f>
        <v>0</v>
      </c>
      <c r="J16" s="51"/>
      <c r="K16" s="52"/>
      <c r="L16" s="295">
        <v>0</v>
      </c>
      <c r="M16" s="294">
        <v>0.43749999999999983</v>
      </c>
      <c r="N16" s="294">
        <v>0.34999999999999987</v>
      </c>
      <c r="O16" s="294">
        <f>SUM(V052_20[[#This Row],[MPAL]:[CALDERA]])</f>
        <v>0.78749999999999964</v>
      </c>
      <c r="P16" s="294"/>
      <c r="Q16" s="271">
        <f>(Q15-V052_20[[#This Row],[TOTAL ]])+V052_20[[#This Row],[FAENA]]</f>
        <v>259.73958333333331</v>
      </c>
      <c r="R16" s="295">
        <v>0</v>
      </c>
      <c r="S16" s="294">
        <v>0</v>
      </c>
      <c r="T16" s="294">
        <v>0</v>
      </c>
      <c r="U16" s="294">
        <v>0</v>
      </c>
      <c r="V16" s="294">
        <v>0</v>
      </c>
      <c r="W16" s="298">
        <f>SUM(V052_20[[#This Row],[MPAL2]:[GI]])</f>
        <v>0</v>
      </c>
      <c r="X16" s="294"/>
      <c r="Y16" s="296">
        <f>(Y15-V052_20[[#This Row],[TOTAL]])+V052_20[[#This Row],[FAENA2]]</f>
        <v>75.349999999999994</v>
      </c>
      <c r="Z16" s="295"/>
      <c r="AA16" s="294"/>
      <c r="AB16" s="336">
        <f>(AB15-V052_20[[#This Row],[CYLINDER MP]])+V052_20[[#This Row],[FAENA EN LTS]]</f>
        <v>100</v>
      </c>
      <c r="AC16" s="294"/>
      <c r="AD16" s="294"/>
      <c r="AE16" s="336">
        <f>(AE15-V052_20[[#This Row],[CARTER MP.]])+V052_20[[#This Row],[FAENA EN LTS2]]</f>
        <v>100</v>
      </c>
      <c r="AF16" s="294"/>
      <c r="AG16" s="294"/>
      <c r="AH16" s="336">
        <f>(AH15-V052_20[[#This Row],[MOT AUX]])+V052_20[[#This Row],[FAENA EN  LTS]]</f>
        <v>100</v>
      </c>
      <c r="AI16" s="294"/>
      <c r="AJ16" s="294"/>
      <c r="AK16" s="337">
        <f>(AK15-V052_20[[#This Row],[HIDRAULICO]])+V052_20[[#This Row],[FAENA EN LTS3]]</f>
        <v>100</v>
      </c>
    </row>
    <row r="17" spans="1:37" x14ac:dyDescent="0.25">
      <c r="A17" s="263" t="s">
        <v>133</v>
      </c>
      <c r="B17" s="48">
        <v>43843</v>
      </c>
      <c r="C17" s="41">
        <v>0.84166666666666667</v>
      </c>
      <c r="D17" s="42">
        <f>IF(V052_20[[#This Row],[FECHA]]-B16=1,((V052_20[[#This Row],[HORA]]-C16)*24)+24,(V052_20[[#This Row],[HORA]]-C16)*24)</f>
        <v>0.70000000000000018</v>
      </c>
      <c r="E17" s="51" t="s">
        <v>47</v>
      </c>
      <c r="F17" s="52" t="s">
        <v>83</v>
      </c>
      <c r="G17" s="49"/>
      <c r="H17" s="50"/>
      <c r="I17" s="33">
        <f>IF(ISERROR(V052_20[[#This Row],[DISTANCIA POR CARTA]]/V052_20[[#This Row],[TIEMPO DE NAVEGACION]]),0,V052_20[[#This Row],[DISTANCIA POR CARTA]]/V052_20[[#This Row],[TIEMPO DE NAVEGACION]])</f>
        <v>0</v>
      </c>
      <c r="J17" s="51"/>
      <c r="K17" s="52"/>
      <c r="L17" s="295">
        <v>5.8333333333333348E-2</v>
      </c>
      <c r="M17" s="294">
        <v>7.2916666666666685E-2</v>
      </c>
      <c r="N17" s="294">
        <v>5.8333333333333348E-2</v>
      </c>
      <c r="O17" s="294">
        <f>SUM(V052_20[[#This Row],[MPAL]:[CALDERA]])</f>
        <v>0.18958333333333338</v>
      </c>
      <c r="P17" s="294"/>
      <c r="Q17" s="271">
        <f>(Q16-V052_20[[#This Row],[TOTAL ]])+V052_20[[#This Row],[FAENA]]</f>
        <v>259.54999999999995</v>
      </c>
      <c r="R17" s="295">
        <v>0</v>
      </c>
      <c r="S17" s="294">
        <v>0</v>
      </c>
      <c r="T17" s="294">
        <v>0</v>
      </c>
      <c r="U17" s="294">
        <v>0</v>
      </c>
      <c r="V17" s="294">
        <v>0</v>
      </c>
      <c r="W17" s="298">
        <f>SUM(V052_20[[#This Row],[MPAL2]:[GI]])</f>
        <v>0</v>
      </c>
      <c r="X17" s="294"/>
      <c r="Y17" s="296">
        <f>(Y16-V052_20[[#This Row],[TOTAL]])+V052_20[[#This Row],[FAENA2]]</f>
        <v>75.349999999999994</v>
      </c>
      <c r="Z17" s="295"/>
      <c r="AA17" s="294"/>
      <c r="AB17" s="336">
        <f>(AB16-V052_20[[#This Row],[CYLINDER MP]])+V052_20[[#This Row],[FAENA EN LTS]]</f>
        <v>100</v>
      </c>
      <c r="AC17" s="294"/>
      <c r="AD17" s="294"/>
      <c r="AE17" s="336">
        <f>(AE16-V052_20[[#This Row],[CARTER MP.]])+V052_20[[#This Row],[FAENA EN LTS2]]</f>
        <v>100</v>
      </c>
      <c r="AF17" s="294"/>
      <c r="AG17" s="294"/>
      <c r="AH17" s="336">
        <f>(AH16-V052_20[[#This Row],[MOT AUX]])+V052_20[[#This Row],[FAENA EN  LTS]]</f>
        <v>100</v>
      </c>
      <c r="AI17" s="294"/>
      <c r="AJ17" s="294"/>
      <c r="AK17" s="337">
        <f>(AK16-V052_20[[#This Row],[HIDRAULICO]])+V052_20[[#This Row],[FAENA EN LTS3]]</f>
        <v>100</v>
      </c>
    </row>
    <row r="18" spans="1:37" x14ac:dyDescent="0.25">
      <c r="A18" s="263" t="s">
        <v>133</v>
      </c>
      <c r="B18" s="48">
        <v>43844</v>
      </c>
      <c r="C18" s="41">
        <v>0.30416666666666664</v>
      </c>
      <c r="D18" s="42">
        <f>IF(V052_20[[#This Row],[FECHA]]-B17=1,((V052_20[[#This Row],[HORA]]-C17)*24)+24,(V052_20[[#This Row],[HORA]]-C17)*24)</f>
        <v>11.099999999999998</v>
      </c>
      <c r="E18" s="51" t="s">
        <v>45</v>
      </c>
      <c r="F18" s="52" t="s">
        <v>134</v>
      </c>
      <c r="G18" s="49"/>
      <c r="H18" s="50"/>
      <c r="I18" s="33">
        <f>IF(ISERROR(V052_20[[#This Row],[DISTANCIA POR CARTA]]/V052_20[[#This Row],[TIEMPO DE NAVEGACION]]),0,V052_20[[#This Row],[DISTANCIA POR CARTA]]/V052_20[[#This Row],[TIEMPO DE NAVEGACION]])</f>
        <v>0</v>
      </c>
      <c r="J18" s="51"/>
      <c r="K18" s="52"/>
      <c r="L18" s="295">
        <v>0</v>
      </c>
      <c r="M18" s="294">
        <v>1.1562499999999998</v>
      </c>
      <c r="N18" s="294">
        <v>0.92499999999999982</v>
      </c>
      <c r="O18" s="294">
        <f>SUM(V052_20[[#This Row],[MPAL]:[CALDERA]])</f>
        <v>2.0812499999999998</v>
      </c>
      <c r="P18" s="294"/>
      <c r="Q18" s="271">
        <f>(Q17-V052_20[[#This Row],[TOTAL ]])+V052_20[[#This Row],[FAENA]]</f>
        <v>257.46874999999994</v>
      </c>
      <c r="R18" s="295">
        <v>0</v>
      </c>
      <c r="S18" s="294">
        <v>0</v>
      </c>
      <c r="T18" s="294">
        <v>0</v>
      </c>
      <c r="U18" s="294">
        <v>0</v>
      </c>
      <c r="V18" s="294">
        <v>0</v>
      </c>
      <c r="W18" s="298">
        <f>SUM(V052_20[[#This Row],[MPAL2]:[GI]])</f>
        <v>0</v>
      </c>
      <c r="X18" s="294"/>
      <c r="Y18" s="296">
        <f>(Y17-V052_20[[#This Row],[TOTAL]])+V052_20[[#This Row],[FAENA2]]</f>
        <v>75.349999999999994</v>
      </c>
      <c r="Z18" s="295"/>
      <c r="AA18" s="294"/>
      <c r="AB18" s="336">
        <f>(AB17-V052_20[[#This Row],[CYLINDER MP]])+V052_20[[#This Row],[FAENA EN LTS]]</f>
        <v>100</v>
      </c>
      <c r="AC18" s="294"/>
      <c r="AD18" s="294"/>
      <c r="AE18" s="336">
        <f>(AE17-V052_20[[#This Row],[CARTER MP.]])+V052_20[[#This Row],[FAENA EN LTS2]]</f>
        <v>100</v>
      </c>
      <c r="AF18" s="294"/>
      <c r="AG18" s="294"/>
      <c r="AH18" s="336">
        <f>(AH17-V052_20[[#This Row],[MOT AUX]])+V052_20[[#This Row],[FAENA EN  LTS]]</f>
        <v>100</v>
      </c>
      <c r="AI18" s="294"/>
      <c r="AJ18" s="294"/>
      <c r="AK18" s="337">
        <f>(AK17-V052_20[[#This Row],[HIDRAULICO]])+V052_20[[#This Row],[FAENA EN LTS3]]</f>
        <v>100</v>
      </c>
    </row>
    <row r="19" spans="1:37" x14ac:dyDescent="0.25">
      <c r="A19" s="263" t="s">
        <v>133</v>
      </c>
      <c r="B19" s="48">
        <v>43844</v>
      </c>
      <c r="C19" s="41">
        <v>0.32083333333333336</v>
      </c>
      <c r="D19" s="42">
        <f>IF(V052_20[[#This Row],[FECHA]]-B18=1,((V052_20[[#This Row],[HORA]]-C18)*24)+24,(V052_20[[#This Row],[HORA]]-C18)*24)</f>
        <v>0.40000000000000124</v>
      </c>
      <c r="E19" s="51" t="s">
        <v>47</v>
      </c>
      <c r="F19" s="52" t="s">
        <v>75</v>
      </c>
      <c r="G19" s="49"/>
      <c r="H19" s="50"/>
      <c r="I19" s="33">
        <f>IF(ISERROR(V052_20[[#This Row],[DISTANCIA POR CARTA]]/V052_20[[#This Row],[TIEMPO DE NAVEGACION]]),0,V052_20[[#This Row],[DISTANCIA POR CARTA]]/V052_20[[#This Row],[TIEMPO DE NAVEGACION]])</f>
        <v>0</v>
      </c>
      <c r="J19" s="51"/>
      <c r="K19" s="52"/>
      <c r="L19" s="295">
        <v>8.3333333333333592E-2</v>
      </c>
      <c r="M19" s="294">
        <v>4.1666666666666796E-2</v>
      </c>
      <c r="N19" s="294">
        <v>3.3333333333333437E-2</v>
      </c>
      <c r="O19" s="294">
        <f>SUM(V052_20[[#This Row],[MPAL]:[CALDERA]])</f>
        <v>0.15833333333333383</v>
      </c>
      <c r="P19" s="294"/>
      <c r="Q19" s="271">
        <f>(Q18-V052_20[[#This Row],[TOTAL ]])+V052_20[[#This Row],[FAENA]]</f>
        <v>257.31041666666658</v>
      </c>
      <c r="R19" s="295">
        <v>0</v>
      </c>
      <c r="S19" s="294">
        <v>0</v>
      </c>
      <c r="T19" s="294">
        <v>0</v>
      </c>
      <c r="U19" s="294">
        <v>0</v>
      </c>
      <c r="V19" s="294">
        <v>0</v>
      </c>
      <c r="W19" s="298">
        <f>SUM(V052_20[[#This Row],[MPAL2]:[GI]])</f>
        <v>0</v>
      </c>
      <c r="X19" s="294"/>
      <c r="Y19" s="296">
        <f>(Y18-V052_20[[#This Row],[TOTAL]])+V052_20[[#This Row],[FAENA2]]</f>
        <v>75.349999999999994</v>
      </c>
      <c r="Z19" s="295"/>
      <c r="AA19" s="294"/>
      <c r="AB19" s="336">
        <f>(AB18-V052_20[[#This Row],[CYLINDER MP]])+V052_20[[#This Row],[FAENA EN LTS]]</f>
        <v>100</v>
      </c>
      <c r="AC19" s="294"/>
      <c r="AD19" s="294"/>
      <c r="AE19" s="336">
        <f>(AE18-V052_20[[#This Row],[CARTER MP.]])+V052_20[[#This Row],[FAENA EN LTS2]]</f>
        <v>100</v>
      </c>
      <c r="AF19" s="294"/>
      <c r="AG19" s="294"/>
      <c r="AH19" s="336">
        <f>(AH18-V052_20[[#This Row],[MOT AUX]])+V052_20[[#This Row],[FAENA EN  LTS]]</f>
        <v>100</v>
      </c>
      <c r="AI19" s="294"/>
      <c r="AJ19" s="294"/>
      <c r="AK19" s="337">
        <f>(AK18-V052_20[[#This Row],[HIDRAULICO]])+V052_20[[#This Row],[FAENA EN LTS3]]</f>
        <v>100</v>
      </c>
    </row>
    <row r="20" spans="1:37" x14ac:dyDescent="0.25">
      <c r="A20" s="263" t="s">
        <v>133</v>
      </c>
      <c r="B20" s="48">
        <v>43844</v>
      </c>
      <c r="C20" s="41">
        <v>0.33333333333333331</v>
      </c>
      <c r="D20" s="42">
        <f>IF(V052_20[[#This Row],[FECHA]]-B19=1,((V052_20[[#This Row],[HORA]]-C19)*24)+24,(V052_20[[#This Row],[HORA]]-C19)*24)</f>
        <v>0.29999999999999893</v>
      </c>
      <c r="E20" s="51" t="s">
        <v>55</v>
      </c>
      <c r="F20" s="52" t="s">
        <v>110</v>
      </c>
      <c r="G20" s="49"/>
      <c r="H20" s="50"/>
      <c r="I20" s="33">
        <f>IF(ISERROR(V052_20[[#This Row],[DISTANCIA POR CARTA]]/V052_20[[#This Row],[TIEMPO DE NAVEGACION]]),0,V052_20[[#This Row],[DISTANCIA POR CARTA]]/V052_20[[#This Row],[TIEMPO DE NAVEGACION]])</f>
        <v>0</v>
      </c>
      <c r="J20" s="51" t="s">
        <v>54</v>
      </c>
      <c r="K20" s="52">
        <v>95</v>
      </c>
      <c r="L20" s="295">
        <v>0.27499999999999902</v>
      </c>
      <c r="M20" s="294">
        <v>3.1249999999999889E-2</v>
      </c>
      <c r="N20" s="294">
        <v>0</v>
      </c>
      <c r="O20" s="294">
        <f>SUM(V052_20[[#This Row],[MPAL]:[CALDERA]])</f>
        <v>0.30624999999999891</v>
      </c>
      <c r="P20" s="294"/>
      <c r="Q20" s="271">
        <f>(Q19-V052_20[[#This Row],[TOTAL ]])+V052_20[[#This Row],[FAENA]]</f>
        <v>257.00416666666661</v>
      </c>
      <c r="R20" s="295">
        <v>0</v>
      </c>
      <c r="S20" s="294">
        <v>0</v>
      </c>
      <c r="T20" s="294">
        <v>0</v>
      </c>
      <c r="U20" s="294">
        <v>0</v>
      </c>
      <c r="V20" s="294">
        <v>0</v>
      </c>
      <c r="W20" s="298">
        <f>SUM(V052_20[[#This Row],[MPAL2]:[GI]])</f>
        <v>0</v>
      </c>
      <c r="X20" s="294"/>
      <c r="Y20" s="296">
        <f>(Y19-V052_20[[#This Row],[TOTAL]])+V052_20[[#This Row],[FAENA2]]</f>
        <v>75.349999999999994</v>
      </c>
      <c r="Z20" s="295"/>
      <c r="AA20" s="294"/>
      <c r="AB20" s="336">
        <f>(AB19-V052_20[[#This Row],[CYLINDER MP]])+V052_20[[#This Row],[FAENA EN LTS]]</f>
        <v>100</v>
      </c>
      <c r="AC20" s="294"/>
      <c r="AD20" s="294"/>
      <c r="AE20" s="336">
        <f>(AE19-V052_20[[#This Row],[CARTER MP.]])+V052_20[[#This Row],[FAENA EN LTS2]]</f>
        <v>100</v>
      </c>
      <c r="AF20" s="294"/>
      <c r="AG20" s="294"/>
      <c r="AH20" s="336">
        <f>(AH19-V052_20[[#This Row],[MOT AUX]])+V052_20[[#This Row],[FAENA EN  LTS]]</f>
        <v>100</v>
      </c>
      <c r="AI20" s="294"/>
      <c r="AJ20" s="294"/>
      <c r="AK20" s="337">
        <f>(AK19-V052_20[[#This Row],[HIDRAULICO]])+V052_20[[#This Row],[FAENA EN LTS3]]</f>
        <v>100</v>
      </c>
    </row>
    <row r="21" spans="1:37" x14ac:dyDescent="0.25">
      <c r="A21" s="263" t="s">
        <v>133</v>
      </c>
      <c r="B21" s="48">
        <v>43844</v>
      </c>
      <c r="C21" s="41">
        <v>0.64583333333333337</v>
      </c>
      <c r="D21" s="42">
        <f>IF(V052_20[[#This Row],[FECHA]]-B20=1,((V052_20[[#This Row],[HORA]]-C20)*24)+24,(V052_20[[#This Row],[HORA]]-C20)*24)</f>
        <v>7.5000000000000018</v>
      </c>
      <c r="E21" s="51" t="s">
        <v>55</v>
      </c>
      <c r="F21" s="52" t="s">
        <v>76</v>
      </c>
      <c r="G21" s="49">
        <v>91</v>
      </c>
      <c r="H21" s="50">
        <v>7.8</v>
      </c>
      <c r="I21" s="33">
        <f>IF(ISERROR(V052_20[[#This Row],[DISTANCIA POR CARTA]]/V052_20[[#This Row],[TIEMPO DE NAVEGACION]]),0,V052_20[[#This Row],[DISTANCIA POR CARTA]]/V052_20[[#This Row],[TIEMPO DE NAVEGACION]])</f>
        <v>11.666666666666666</v>
      </c>
      <c r="J21" s="51" t="s">
        <v>117</v>
      </c>
      <c r="K21" s="52">
        <v>95</v>
      </c>
      <c r="L21" s="295">
        <v>6.8750000000000018</v>
      </c>
      <c r="M21" s="294">
        <v>0.78125000000000022</v>
      </c>
      <c r="N21" s="294">
        <v>0</v>
      </c>
      <c r="O21" s="294">
        <f>SUM(V052_20[[#This Row],[MPAL]:[CALDERA]])</f>
        <v>7.6562500000000018</v>
      </c>
      <c r="P21" s="294"/>
      <c r="Q21" s="271">
        <f>(Q20-V052_20[[#This Row],[TOTAL ]])+V052_20[[#This Row],[FAENA]]</f>
        <v>249.34791666666661</v>
      </c>
      <c r="R21" s="295">
        <v>0</v>
      </c>
      <c r="S21" s="294">
        <v>0</v>
      </c>
      <c r="T21" s="294">
        <v>0</v>
      </c>
      <c r="U21" s="294">
        <v>0</v>
      </c>
      <c r="V21" s="294">
        <v>0</v>
      </c>
      <c r="W21" s="298">
        <f>SUM(V052_20[[#This Row],[MPAL2]:[GI]])</f>
        <v>0</v>
      </c>
      <c r="X21" s="294"/>
      <c r="Y21" s="296">
        <f>(Y20-V052_20[[#This Row],[TOTAL]])+V052_20[[#This Row],[FAENA2]]</f>
        <v>75.349999999999994</v>
      </c>
      <c r="Z21" s="295"/>
      <c r="AA21" s="294"/>
      <c r="AB21" s="336">
        <f>(AB20-V052_20[[#This Row],[CYLINDER MP]])+V052_20[[#This Row],[FAENA EN LTS]]</f>
        <v>100</v>
      </c>
      <c r="AC21" s="294"/>
      <c r="AD21" s="294"/>
      <c r="AE21" s="336">
        <f>(AE20-V052_20[[#This Row],[CARTER MP.]])+V052_20[[#This Row],[FAENA EN LTS2]]</f>
        <v>100</v>
      </c>
      <c r="AF21" s="294"/>
      <c r="AG21" s="294"/>
      <c r="AH21" s="336">
        <f>(AH20-V052_20[[#This Row],[MOT AUX]])+V052_20[[#This Row],[FAENA EN  LTS]]</f>
        <v>100</v>
      </c>
      <c r="AI21" s="294"/>
      <c r="AJ21" s="294"/>
      <c r="AK21" s="337">
        <f>(AK20-V052_20[[#This Row],[HIDRAULICO]])+V052_20[[#This Row],[FAENA EN LTS3]]</f>
        <v>100</v>
      </c>
    </row>
    <row r="22" spans="1:37" x14ac:dyDescent="0.25">
      <c r="A22" s="263" t="s">
        <v>133</v>
      </c>
      <c r="B22" s="48">
        <v>43844</v>
      </c>
      <c r="C22" s="41">
        <v>0.65416666666666667</v>
      </c>
      <c r="D22" s="42">
        <f>IF(V052_20[[#This Row],[FECHA]]-B21=1,((V052_20[[#This Row],[HORA]]-C21)*24)+24,(V052_20[[#This Row],[HORA]]-C21)*24)</f>
        <v>0.19999999999999929</v>
      </c>
      <c r="E22" s="51" t="s">
        <v>47</v>
      </c>
      <c r="F22" s="52" t="s">
        <v>78</v>
      </c>
      <c r="G22" s="49"/>
      <c r="H22" s="50"/>
      <c r="I22" s="33">
        <f>IF(ISERROR(V052_20[[#This Row],[DISTANCIA POR CARTA]]/V052_20[[#This Row],[TIEMPO DE NAVEGACION]]),0,V052_20[[#This Row],[DISTANCIA POR CARTA]]/V052_20[[#This Row],[TIEMPO DE NAVEGACION]])</f>
        <v>0</v>
      </c>
      <c r="J22" s="51"/>
      <c r="K22" s="52"/>
      <c r="L22" s="295">
        <v>4.1666666666666519E-2</v>
      </c>
      <c r="M22" s="294">
        <v>2.0833333333333259E-2</v>
      </c>
      <c r="N22" s="294">
        <v>1.6666666666666607E-2</v>
      </c>
      <c r="O22" s="294">
        <f>SUM(V052_20[[#This Row],[MPAL]:[CALDERA]])</f>
        <v>7.9166666666666385E-2</v>
      </c>
      <c r="P22" s="294"/>
      <c r="Q22" s="271">
        <f>(Q21-V052_20[[#This Row],[TOTAL ]])+V052_20[[#This Row],[FAENA]]</f>
        <v>249.26874999999993</v>
      </c>
      <c r="R22" s="295">
        <v>0</v>
      </c>
      <c r="S22" s="294">
        <v>0</v>
      </c>
      <c r="T22" s="294">
        <v>0</v>
      </c>
      <c r="U22" s="294">
        <v>0</v>
      </c>
      <c r="V22" s="294">
        <v>0</v>
      </c>
      <c r="W22" s="298">
        <f>SUM(V052_20[[#This Row],[MPAL2]:[GI]])</f>
        <v>0</v>
      </c>
      <c r="X22" s="294"/>
      <c r="Y22" s="296">
        <f>(Y21-V052_20[[#This Row],[TOTAL]])+V052_20[[#This Row],[FAENA2]]</f>
        <v>75.349999999999994</v>
      </c>
      <c r="Z22" s="295"/>
      <c r="AA22" s="294"/>
      <c r="AB22" s="336">
        <f>(AB21-V052_20[[#This Row],[CYLINDER MP]])+V052_20[[#This Row],[FAENA EN LTS]]</f>
        <v>100</v>
      </c>
      <c r="AC22" s="294"/>
      <c r="AD22" s="294"/>
      <c r="AE22" s="336">
        <f>(AE21-V052_20[[#This Row],[CARTER MP.]])+V052_20[[#This Row],[FAENA EN LTS2]]</f>
        <v>100</v>
      </c>
      <c r="AF22" s="294"/>
      <c r="AG22" s="294"/>
      <c r="AH22" s="336">
        <f>(AH21-V052_20[[#This Row],[MOT AUX]])+V052_20[[#This Row],[FAENA EN  LTS]]</f>
        <v>100</v>
      </c>
      <c r="AI22" s="294"/>
      <c r="AJ22" s="294"/>
      <c r="AK22" s="337">
        <f>(AK21-V052_20[[#This Row],[HIDRAULICO]])+V052_20[[#This Row],[FAENA EN LTS3]]</f>
        <v>100</v>
      </c>
    </row>
    <row r="23" spans="1:37" x14ac:dyDescent="0.25">
      <c r="A23" s="263" t="s">
        <v>133</v>
      </c>
      <c r="B23" s="48">
        <v>43844</v>
      </c>
      <c r="C23" s="41">
        <v>0.8666666666666667</v>
      </c>
      <c r="D23" s="42">
        <f>IF(V052_20[[#This Row],[FECHA]]-B22=1,((V052_20[[#This Row],[HORA]]-C22)*24)+24,(V052_20[[#This Row],[HORA]]-C22)*24)</f>
        <v>5.1000000000000005</v>
      </c>
      <c r="E23" s="51" t="s">
        <v>45</v>
      </c>
      <c r="F23" s="52" t="s">
        <v>137</v>
      </c>
      <c r="G23" s="49"/>
      <c r="H23" s="50"/>
      <c r="I23" s="33">
        <f>IF(ISERROR(V052_20[[#This Row],[DISTANCIA POR CARTA]]/V052_20[[#This Row],[TIEMPO DE NAVEGACION]]),0,V052_20[[#This Row],[DISTANCIA POR CARTA]]/V052_20[[#This Row],[TIEMPO DE NAVEGACION]])</f>
        <v>0</v>
      </c>
      <c r="J23" s="51"/>
      <c r="K23" s="52"/>
      <c r="L23" s="295">
        <v>0</v>
      </c>
      <c r="M23" s="294">
        <v>0.53125000000000011</v>
      </c>
      <c r="N23" s="294">
        <v>0.42500000000000004</v>
      </c>
      <c r="O23" s="294">
        <f>SUM(V052_20[[#This Row],[MPAL]:[CALDERA]])</f>
        <v>0.95625000000000016</v>
      </c>
      <c r="P23" s="294"/>
      <c r="Q23" s="271">
        <f>(Q22-V052_20[[#This Row],[TOTAL ]])+V052_20[[#This Row],[FAENA]]</f>
        <v>248.31249999999991</v>
      </c>
      <c r="R23" s="295">
        <v>0</v>
      </c>
      <c r="S23" s="294">
        <v>0</v>
      </c>
      <c r="T23" s="294">
        <v>0</v>
      </c>
      <c r="U23" s="294">
        <v>0</v>
      </c>
      <c r="V23" s="294">
        <v>0</v>
      </c>
      <c r="W23" s="298">
        <f>SUM(V052_20[[#This Row],[MPAL2]:[GI]])</f>
        <v>0</v>
      </c>
      <c r="X23" s="294"/>
      <c r="Y23" s="296">
        <f>(Y22-V052_20[[#This Row],[TOTAL]])+V052_20[[#This Row],[FAENA2]]</f>
        <v>75.349999999999994</v>
      </c>
      <c r="Z23" s="295"/>
      <c r="AA23" s="294"/>
      <c r="AB23" s="336">
        <f>(AB22-V052_20[[#This Row],[CYLINDER MP]])+V052_20[[#This Row],[FAENA EN LTS]]</f>
        <v>100</v>
      </c>
      <c r="AC23" s="294"/>
      <c r="AD23" s="294"/>
      <c r="AE23" s="336">
        <f>(AE22-V052_20[[#This Row],[CARTER MP.]])+V052_20[[#This Row],[FAENA EN LTS2]]</f>
        <v>100</v>
      </c>
      <c r="AF23" s="294"/>
      <c r="AG23" s="294"/>
      <c r="AH23" s="336">
        <f>(AH22-V052_20[[#This Row],[MOT AUX]])+V052_20[[#This Row],[FAENA EN  LTS]]</f>
        <v>100</v>
      </c>
      <c r="AI23" s="294"/>
      <c r="AJ23" s="294"/>
      <c r="AK23" s="337">
        <f>(AK22-V052_20[[#This Row],[HIDRAULICO]])+V052_20[[#This Row],[FAENA EN LTS3]]</f>
        <v>100</v>
      </c>
    </row>
    <row r="24" spans="1:37" x14ac:dyDescent="0.25">
      <c r="A24" s="263" t="s">
        <v>133</v>
      </c>
      <c r="B24" s="48">
        <v>43844</v>
      </c>
      <c r="C24" s="41">
        <v>0.94166666666666676</v>
      </c>
      <c r="D24" s="42">
        <f>IF(V052_20[[#This Row],[FECHA]]-B23=1,((V052_20[[#This Row],[HORA]]-C23)*24)+24,(V052_20[[#This Row],[HORA]]-C23)*24)</f>
        <v>1.8000000000000016</v>
      </c>
      <c r="E24" s="51" t="s">
        <v>47</v>
      </c>
      <c r="F24" s="52" t="s">
        <v>78</v>
      </c>
      <c r="G24" s="49"/>
      <c r="H24" s="50"/>
      <c r="I24" s="33">
        <f>IF(ISERROR(V052_20[[#This Row],[DISTANCIA POR CARTA]]/V052_20[[#This Row],[TIEMPO DE NAVEGACION]]),0,V052_20[[#This Row],[DISTANCIA POR CARTA]]/V052_20[[#This Row],[TIEMPO DE NAVEGACION]])</f>
        <v>0</v>
      </c>
      <c r="J24" s="51"/>
      <c r="K24" s="52"/>
      <c r="L24" s="295">
        <v>0.15000000000000013</v>
      </c>
      <c r="M24" s="294">
        <v>0.18750000000000017</v>
      </c>
      <c r="N24" s="294">
        <v>0.15000000000000013</v>
      </c>
      <c r="O24" s="294">
        <f>SUM(V052_20[[#This Row],[MPAL]:[CALDERA]])</f>
        <v>0.48750000000000043</v>
      </c>
      <c r="P24" s="294"/>
      <c r="Q24" s="271">
        <f>(Q23-V052_20[[#This Row],[TOTAL ]])+V052_20[[#This Row],[FAENA]]</f>
        <v>247.8249999999999</v>
      </c>
      <c r="R24" s="295">
        <v>0</v>
      </c>
      <c r="S24" s="294">
        <v>0</v>
      </c>
      <c r="T24" s="294">
        <v>0</v>
      </c>
      <c r="U24" s="294">
        <v>0</v>
      </c>
      <c r="V24" s="294">
        <v>0</v>
      </c>
      <c r="W24" s="298">
        <f>SUM(V052_20[[#This Row],[MPAL2]:[GI]])</f>
        <v>0</v>
      </c>
      <c r="X24" s="294"/>
      <c r="Y24" s="296">
        <f>(Y23-V052_20[[#This Row],[TOTAL]])+V052_20[[#This Row],[FAENA2]]</f>
        <v>75.349999999999994</v>
      </c>
      <c r="Z24" s="295"/>
      <c r="AA24" s="294"/>
      <c r="AB24" s="336">
        <f>(AB23-V052_20[[#This Row],[CYLINDER MP]])+V052_20[[#This Row],[FAENA EN LTS]]</f>
        <v>100</v>
      </c>
      <c r="AC24" s="294"/>
      <c r="AD24" s="294"/>
      <c r="AE24" s="336">
        <f>(AE23-V052_20[[#This Row],[CARTER MP.]])+V052_20[[#This Row],[FAENA EN LTS2]]</f>
        <v>100</v>
      </c>
      <c r="AF24" s="294"/>
      <c r="AG24" s="294"/>
      <c r="AH24" s="336">
        <f>(AH23-V052_20[[#This Row],[MOT AUX]])+V052_20[[#This Row],[FAENA EN  LTS]]</f>
        <v>100</v>
      </c>
      <c r="AI24" s="294"/>
      <c r="AJ24" s="294"/>
      <c r="AK24" s="337">
        <f>(AK23-V052_20[[#This Row],[HIDRAULICO]])+V052_20[[#This Row],[FAENA EN LTS3]]</f>
        <v>100</v>
      </c>
    </row>
    <row r="25" spans="1:37" x14ac:dyDescent="0.25">
      <c r="A25" s="263" t="s">
        <v>133</v>
      </c>
      <c r="B25" s="48">
        <v>43844</v>
      </c>
      <c r="C25" s="41">
        <v>0.99583333333333324</v>
      </c>
      <c r="D25" s="42">
        <f>IF(V052_20[[#This Row],[FECHA]]-B24=1,((V052_20[[#This Row],[HORA]]-C24)*24)+24,(V052_20[[#This Row],[HORA]]-C24)*24)</f>
        <v>1.2999999999999954</v>
      </c>
      <c r="E25" s="51" t="s">
        <v>49</v>
      </c>
      <c r="F25" s="52" t="s">
        <v>112</v>
      </c>
      <c r="G25" s="49"/>
      <c r="H25" s="50"/>
      <c r="I25" s="33">
        <f>IF(ISERROR(V052_20[[#This Row],[DISTANCIA POR CARTA]]/V052_20[[#This Row],[TIEMPO DE NAVEGACION]]),0,V052_20[[#This Row],[DISTANCIA POR CARTA]]/V052_20[[#This Row],[TIEMPO DE NAVEGACION]])</f>
        <v>0</v>
      </c>
      <c r="J25" s="51"/>
      <c r="K25" s="52"/>
      <c r="L25" s="295">
        <v>0</v>
      </c>
      <c r="M25" s="294">
        <v>0.14583333333333309</v>
      </c>
      <c r="N25" s="294">
        <v>0.11666666666666647</v>
      </c>
      <c r="O25" s="294">
        <f>SUM(V052_20[[#This Row],[MPAL]:[CALDERA]])</f>
        <v>0.26249999999999957</v>
      </c>
      <c r="P25" s="294"/>
      <c r="Q25" s="271">
        <f>(Q24-V052_20[[#This Row],[TOTAL ]])+V052_20[[#This Row],[FAENA]]</f>
        <v>247.56249999999991</v>
      </c>
      <c r="R25" s="295">
        <v>0</v>
      </c>
      <c r="S25" s="294">
        <v>0</v>
      </c>
      <c r="T25" s="294">
        <v>0</v>
      </c>
      <c r="U25" s="294">
        <v>0</v>
      </c>
      <c r="V25" s="294">
        <v>0</v>
      </c>
      <c r="W25" s="298">
        <f>SUM(V052_20[[#This Row],[MPAL2]:[GI]])</f>
        <v>0</v>
      </c>
      <c r="X25" s="294"/>
      <c r="Y25" s="296">
        <f>(Y24-V052_20[[#This Row],[TOTAL]])+V052_20[[#This Row],[FAENA2]]</f>
        <v>75.349999999999994</v>
      </c>
      <c r="Z25" s="295"/>
      <c r="AA25" s="294"/>
      <c r="AB25" s="336">
        <f>(AB24-V052_20[[#This Row],[CYLINDER MP]])+V052_20[[#This Row],[FAENA EN LTS]]</f>
        <v>100</v>
      </c>
      <c r="AC25" s="294"/>
      <c r="AD25" s="294"/>
      <c r="AE25" s="336">
        <f>(AE24-V052_20[[#This Row],[CARTER MP.]])+V052_20[[#This Row],[FAENA EN LTS2]]</f>
        <v>100</v>
      </c>
      <c r="AF25" s="294"/>
      <c r="AG25" s="294"/>
      <c r="AH25" s="336">
        <f>(AH24-V052_20[[#This Row],[MOT AUX]])+V052_20[[#This Row],[FAENA EN  LTS]]</f>
        <v>100</v>
      </c>
      <c r="AI25" s="294"/>
      <c r="AJ25" s="294"/>
      <c r="AK25" s="337">
        <f>(AK24-V052_20[[#This Row],[HIDRAULICO]])+V052_20[[#This Row],[FAENA EN LTS3]]</f>
        <v>100</v>
      </c>
    </row>
    <row r="26" spans="1:37" x14ac:dyDescent="0.25">
      <c r="A26" s="263" t="s">
        <v>133</v>
      </c>
      <c r="B26" s="48">
        <v>43845</v>
      </c>
      <c r="C26" s="41">
        <v>0.33333333333333331</v>
      </c>
      <c r="D26" s="42">
        <f>IF(V052_20[[#This Row],[FECHA]]-B25=1,((V052_20[[#This Row],[HORA]]-C25)*24)+24,(V052_20[[#This Row],[HORA]]-C25)*24)</f>
        <v>8.1000000000000032</v>
      </c>
      <c r="E26" s="51" t="s">
        <v>51</v>
      </c>
      <c r="F26" s="52" t="s">
        <v>110</v>
      </c>
      <c r="G26" s="49"/>
      <c r="H26" s="50"/>
      <c r="I26" s="33">
        <f>IF(ISERROR(V052_20[[#This Row],[DISTANCIA POR CARTA]]/V052_20[[#This Row],[TIEMPO DE NAVEGACION]]),0,V052_20[[#This Row],[DISTANCIA POR CARTA]]/V052_20[[#This Row],[TIEMPO DE NAVEGACION]])</f>
        <v>0</v>
      </c>
      <c r="J26" s="51"/>
      <c r="K26" s="52"/>
      <c r="L26" s="295">
        <v>0</v>
      </c>
      <c r="M26" s="294">
        <v>0.83333333333333337</v>
      </c>
      <c r="N26" s="294">
        <v>0.66666666666666663</v>
      </c>
      <c r="O26" s="294">
        <f>SUM(V052_20[[#This Row],[MPAL]:[CALDERA]])</f>
        <v>1.5</v>
      </c>
      <c r="P26" s="294"/>
      <c r="Q26" s="271">
        <f>(Q25-V052_20[[#This Row],[TOTAL ]])+V052_20[[#This Row],[FAENA]]</f>
        <v>246.06249999999991</v>
      </c>
      <c r="R26" s="295">
        <v>0</v>
      </c>
      <c r="S26" s="294">
        <v>0</v>
      </c>
      <c r="T26" s="294">
        <v>0</v>
      </c>
      <c r="U26" s="294">
        <v>0</v>
      </c>
      <c r="V26" s="294">
        <v>1.3</v>
      </c>
      <c r="W26" s="298">
        <f>SUM(V052_20[[#This Row],[MPAL2]:[GI]])</f>
        <v>1.3</v>
      </c>
      <c r="X26" s="294"/>
      <c r="Y26" s="296">
        <f>(Y25-V052_20[[#This Row],[TOTAL]])+V052_20[[#This Row],[FAENA2]]</f>
        <v>74.05</v>
      </c>
      <c r="Z26" s="295"/>
      <c r="AA26" s="294"/>
      <c r="AB26" s="336">
        <f>(AB25-V052_20[[#This Row],[CYLINDER MP]])+V052_20[[#This Row],[FAENA EN LTS]]</f>
        <v>100</v>
      </c>
      <c r="AC26" s="294"/>
      <c r="AD26" s="294"/>
      <c r="AE26" s="336">
        <f>(AE25-V052_20[[#This Row],[CARTER MP.]])+V052_20[[#This Row],[FAENA EN LTS2]]</f>
        <v>100</v>
      </c>
      <c r="AF26" s="294"/>
      <c r="AG26" s="294"/>
      <c r="AH26" s="336">
        <f>(AH25-V052_20[[#This Row],[MOT AUX]])+V052_20[[#This Row],[FAENA EN  LTS]]</f>
        <v>100</v>
      </c>
      <c r="AI26" s="294"/>
      <c r="AJ26" s="294"/>
      <c r="AK26" s="337">
        <f>(AK25-V052_20[[#This Row],[HIDRAULICO]])+V052_20[[#This Row],[FAENA EN LTS3]]</f>
        <v>100</v>
      </c>
    </row>
    <row r="27" spans="1:37" x14ac:dyDescent="0.25">
      <c r="A27" s="263" t="s">
        <v>133</v>
      </c>
      <c r="B27" s="48">
        <v>43845</v>
      </c>
      <c r="C27" s="41">
        <v>0.42083333333333334</v>
      </c>
      <c r="D27" s="42">
        <f>IF(V052_20[[#This Row],[FECHA]]-B26=1,((V052_20[[#This Row],[HORA]]-C26)*24)+24,(V052_20[[#This Row],[HORA]]-C26)*24)</f>
        <v>2.1000000000000005</v>
      </c>
      <c r="E27" s="51" t="s">
        <v>51</v>
      </c>
      <c r="F27" s="52" t="s">
        <v>138</v>
      </c>
      <c r="G27" s="49"/>
      <c r="H27" s="50"/>
      <c r="I27" s="33">
        <f>IF(ISERROR(V052_20[[#This Row],[DISTANCIA POR CARTA]]/V052_20[[#This Row],[TIEMPO DE NAVEGACION]]),0,V052_20[[#This Row],[DISTANCIA POR CARTA]]/V052_20[[#This Row],[TIEMPO DE NAVEGACION]])</f>
        <v>0</v>
      </c>
      <c r="J27" s="51"/>
      <c r="K27" s="52"/>
      <c r="L27" s="295">
        <v>0</v>
      </c>
      <c r="M27" s="294">
        <v>0.21875000000000006</v>
      </c>
      <c r="N27" s="294">
        <v>0.17500000000000004</v>
      </c>
      <c r="O27" s="294">
        <f>SUM(V052_20[[#This Row],[MPAL]:[CALDERA]])</f>
        <v>0.3937500000000001</v>
      </c>
      <c r="P27" s="294"/>
      <c r="Q27" s="271">
        <f>(Q26-V052_20[[#This Row],[TOTAL ]])+V052_20[[#This Row],[FAENA]]</f>
        <v>245.6687499999999</v>
      </c>
      <c r="R27" s="295">
        <v>0</v>
      </c>
      <c r="S27" s="294">
        <v>0</v>
      </c>
      <c r="T27" s="294">
        <v>0</v>
      </c>
      <c r="U27" s="294">
        <v>0</v>
      </c>
      <c r="V27" s="294">
        <v>0.3</v>
      </c>
      <c r="W27" s="298">
        <f>SUM(V052_20[[#This Row],[MPAL2]:[GI]])</f>
        <v>0.3</v>
      </c>
      <c r="X27" s="294"/>
      <c r="Y27" s="296">
        <f>(Y26-V052_20[[#This Row],[TOTAL]])+V052_20[[#This Row],[FAENA2]]</f>
        <v>73.75</v>
      </c>
      <c r="Z27" s="295"/>
      <c r="AA27" s="294"/>
      <c r="AB27" s="336">
        <f>(AB26-V052_20[[#This Row],[CYLINDER MP]])+V052_20[[#This Row],[FAENA EN LTS]]</f>
        <v>100</v>
      </c>
      <c r="AC27" s="294"/>
      <c r="AD27" s="294"/>
      <c r="AE27" s="336">
        <f>(AE26-V052_20[[#This Row],[CARTER MP.]])+V052_20[[#This Row],[FAENA EN LTS2]]</f>
        <v>100</v>
      </c>
      <c r="AF27" s="294"/>
      <c r="AG27" s="294"/>
      <c r="AH27" s="336">
        <f>(AH26-V052_20[[#This Row],[MOT AUX]])+V052_20[[#This Row],[FAENA EN  LTS]]</f>
        <v>100</v>
      </c>
      <c r="AI27" s="294"/>
      <c r="AJ27" s="294"/>
      <c r="AK27" s="337">
        <f>(AK26-V052_20[[#This Row],[HIDRAULICO]])+V052_20[[#This Row],[FAENA EN LTS3]]</f>
        <v>100</v>
      </c>
    </row>
    <row r="28" spans="1:37" x14ac:dyDescent="0.25">
      <c r="A28" s="263" t="s">
        <v>133</v>
      </c>
      <c r="B28" s="48">
        <v>43845</v>
      </c>
      <c r="C28" s="41">
        <v>0.57500000000000007</v>
      </c>
      <c r="D28" s="42">
        <f>IF(V052_20[[#This Row],[FECHA]]-B27=1,((V052_20[[#This Row],[HORA]]-C27)*24)+24,(V052_20[[#This Row],[HORA]]-C27)*24)</f>
        <v>3.7000000000000015</v>
      </c>
      <c r="E28" s="51" t="s">
        <v>49</v>
      </c>
      <c r="F28" s="52" t="s">
        <v>137</v>
      </c>
      <c r="G28" s="49"/>
      <c r="H28" s="50"/>
      <c r="I28" s="33">
        <f>IF(ISERROR(V052_20[[#This Row],[DISTANCIA POR CARTA]]/V052_20[[#This Row],[TIEMPO DE NAVEGACION]]),0,V052_20[[#This Row],[DISTANCIA POR CARTA]]/V052_20[[#This Row],[TIEMPO DE NAVEGACION]])</f>
        <v>0</v>
      </c>
      <c r="J28" s="51"/>
      <c r="K28" s="52"/>
      <c r="L28" s="295">
        <v>0</v>
      </c>
      <c r="M28" s="294">
        <v>0.38541666666666685</v>
      </c>
      <c r="N28" s="294">
        <v>0.30833333333333346</v>
      </c>
      <c r="O28" s="294">
        <f>SUM(V052_20[[#This Row],[MPAL]:[CALDERA]])</f>
        <v>0.69375000000000031</v>
      </c>
      <c r="P28" s="294"/>
      <c r="Q28" s="271">
        <f>(Q27-V052_20[[#This Row],[TOTAL ]])+V052_20[[#This Row],[FAENA]]</f>
        <v>244.97499999999991</v>
      </c>
      <c r="R28" s="295">
        <v>0</v>
      </c>
      <c r="S28" s="294">
        <v>0</v>
      </c>
      <c r="T28" s="294">
        <v>0</v>
      </c>
      <c r="U28" s="294">
        <v>0</v>
      </c>
      <c r="V28" s="294">
        <v>0</v>
      </c>
      <c r="W28" s="298">
        <f>SUM(V052_20[[#This Row],[MPAL2]:[GI]])</f>
        <v>0</v>
      </c>
      <c r="X28" s="294"/>
      <c r="Y28" s="296">
        <f>(Y27-V052_20[[#This Row],[TOTAL]])+V052_20[[#This Row],[FAENA2]]</f>
        <v>73.75</v>
      </c>
      <c r="Z28" s="295"/>
      <c r="AA28" s="294"/>
      <c r="AB28" s="336">
        <f>(AB27-V052_20[[#This Row],[CYLINDER MP]])+V052_20[[#This Row],[FAENA EN LTS]]</f>
        <v>100</v>
      </c>
      <c r="AC28" s="294"/>
      <c r="AD28" s="294"/>
      <c r="AE28" s="336">
        <f>(AE27-V052_20[[#This Row],[CARTER MP.]])+V052_20[[#This Row],[FAENA EN LTS2]]</f>
        <v>100</v>
      </c>
      <c r="AF28" s="294"/>
      <c r="AG28" s="294"/>
      <c r="AH28" s="336">
        <f>(AH27-V052_20[[#This Row],[MOT AUX]])+V052_20[[#This Row],[FAENA EN  LTS]]</f>
        <v>100</v>
      </c>
      <c r="AI28" s="294"/>
      <c r="AJ28" s="294"/>
      <c r="AK28" s="337">
        <f>(AK27-V052_20[[#This Row],[HIDRAULICO]])+V052_20[[#This Row],[FAENA EN LTS3]]</f>
        <v>100</v>
      </c>
    </row>
    <row r="29" spans="1:37" x14ac:dyDescent="0.25">
      <c r="A29" s="263" t="s">
        <v>133</v>
      </c>
      <c r="B29" s="48">
        <v>43845</v>
      </c>
      <c r="C29" s="41">
        <v>0.60416666666666663</v>
      </c>
      <c r="D29" s="42">
        <f>IF(V052_20[[#This Row],[FECHA]]-B28=1,((V052_20[[#This Row],[HORA]]-C28)*24)+24,(V052_20[[#This Row],[HORA]]-C28)*24)</f>
        <v>0.69999999999999751</v>
      </c>
      <c r="E29" s="51" t="s">
        <v>47</v>
      </c>
      <c r="F29" s="52" t="s">
        <v>79</v>
      </c>
      <c r="G29" s="49"/>
      <c r="H29" s="50"/>
      <c r="I29" s="33">
        <f>IF(ISERROR(V052_20[[#This Row],[DISTANCIA POR CARTA]]/V052_20[[#This Row],[TIEMPO DE NAVEGACION]]),0,V052_20[[#This Row],[DISTANCIA POR CARTA]]/V052_20[[#This Row],[TIEMPO DE NAVEGACION]])</f>
        <v>0</v>
      </c>
      <c r="J29" s="51"/>
      <c r="K29" s="52"/>
      <c r="L29" s="295">
        <v>5.8333333333333126E-2</v>
      </c>
      <c r="M29" s="294">
        <v>7.2916666666666408E-2</v>
      </c>
      <c r="N29" s="294">
        <v>5.8333333333333126E-2</v>
      </c>
      <c r="O29" s="294">
        <f>SUM(V052_20[[#This Row],[MPAL]:[CALDERA]])</f>
        <v>0.18958333333333266</v>
      </c>
      <c r="P29" s="294"/>
      <c r="Q29" s="271">
        <f>(Q28-V052_20[[#This Row],[TOTAL ]])+V052_20[[#This Row],[FAENA]]</f>
        <v>244.78541666666658</v>
      </c>
      <c r="R29" s="295">
        <v>0</v>
      </c>
      <c r="S29" s="294">
        <v>0</v>
      </c>
      <c r="T29" s="294">
        <v>0</v>
      </c>
      <c r="U29" s="294">
        <v>0</v>
      </c>
      <c r="V29" s="294">
        <v>0</v>
      </c>
      <c r="W29" s="298">
        <f>SUM(V052_20[[#This Row],[MPAL2]:[GI]])</f>
        <v>0</v>
      </c>
      <c r="X29" s="294"/>
      <c r="Y29" s="296">
        <f>(Y28-V052_20[[#This Row],[TOTAL]])+V052_20[[#This Row],[FAENA2]]</f>
        <v>73.75</v>
      </c>
      <c r="Z29" s="295"/>
      <c r="AA29" s="294"/>
      <c r="AB29" s="336">
        <f>(AB28-V052_20[[#This Row],[CYLINDER MP]])+V052_20[[#This Row],[FAENA EN LTS]]</f>
        <v>100</v>
      </c>
      <c r="AC29" s="294"/>
      <c r="AD29" s="294"/>
      <c r="AE29" s="336">
        <f>(AE28-V052_20[[#This Row],[CARTER MP.]])+V052_20[[#This Row],[FAENA EN LTS2]]</f>
        <v>100</v>
      </c>
      <c r="AF29" s="294"/>
      <c r="AG29" s="294"/>
      <c r="AH29" s="336">
        <f>(AH28-V052_20[[#This Row],[MOT AUX]])+V052_20[[#This Row],[FAENA EN  LTS]]</f>
        <v>100</v>
      </c>
      <c r="AI29" s="294"/>
      <c r="AJ29" s="294"/>
      <c r="AK29" s="337">
        <f>(AK28-V052_20[[#This Row],[HIDRAULICO]])+V052_20[[#This Row],[FAENA EN LTS3]]</f>
        <v>100</v>
      </c>
    </row>
    <row r="30" spans="1:37" x14ac:dyDescent="0.25">
      <c r="A30" s="263" t="s">
        <v>133</v>
      </c>
      <c r="B30" s="48">
        <v>43846</v>
      </c>
      <c r="C30" s="41">
        <v>0.33333333333333331</v>
      </c>
      <c r="D30" s="42">
        <f>IF(V052_20[[#This Row],[FECHA]]-B29=1,((V052_20[[#This Row],[HORA]]-C29)*24)+24,(V052_20[[#This Row],[HORA]]-C29)*24)</f>
        <v>17.5</v>
      </c>
      <c r="E30" s="51" t="s">
        <v>55</v>
      </c>
      <c r="F30" s="52" t="s">
        <v>119</v>
      </c>
      <c r="G30" s="49"/>
      <c r="H30" s="50"/>
      <c r="I30" s="33">
        <f>IF(ISERROR(V052_20[[#This Row],[DISTANCIA POR CARTA]]/V052_20[[#This Row],[TIEMPO DE NAVEGACION]]),0,V052_20[[#This Row],[DISTANCIA POR CARTA]]/V052_20[[#This Row],[TIEMPO DE NAVEGACION]])</f>
        <v>0</v>
      </c>
      <c r="J30" s="51" t="s">
        <v>54</v>
      </c>
      <c r="K30" s="52">
        <v>95</v>
      </c>
      <c r="L30" s="295">
        <v>16.041666666666664</v>
      </c>
      <c r="M30" s="294">
        <v>1.8229166666666667</v>
      </c>
      <c r="N30" s="294">
        <v>0</v>
      </c>
      <c r="O30" s="294">
        <f>SUM(V052_20[[#This Row],[MPAL]:[CALDERA]])</f>
        <v>17.864583333333332</v>
      </c>
      <c r="P30" s="294"/>
      <c r="Q30" s="271">
        <f>(Q29-V052_20[[#This Row],[TOTAL ]])+V052_20[[#This Row],[FAENA]]</f>
        <v>226.92083333333323</v>
      </c>
      <c r="R30" s="295">
        <v>0</v>
      </c>
      <c r="S30" s="294">
        <v>0</v>
      </c>
      <c r="T30" s="294">
        <v>0</v>
      </c>
      <c r="U30" s="294">
        <v>0</v>
      </c>
      <c r="V30" s="294">
        <v>0</v>
      </c>
      <c r="W30" s="298">
        <f>SUM(V052_20[[#This Row],[MPAL2]:[GI]])</f>
        <v>0</v>
      </c>
      <c r="X30" s="294"/>
      <c r="Y30" s="296">
        <f>(Y29-V052_20[[#This Row],[TOTAL]])+V052_20[[#This Row],[FAENA2]]</f>
        <v>73.75</v>
      </c>
      <c r="Z30" s="295"/>
      <c r="AA30" s="294"/>
      <c r="AB30" s="336">
        <f>(AB29-V052_20[[#This Row],[CYLINDER MP]])+V052_20[[#This Row],[FAENA EN LTS]]</f>
        <v>100</v>
      </c>
      <c r="AC30" s="294"/>
      <c r="AD30" s="294"/>
      <c r="AE30" s="336">
        <f>(AE29-V052_20[[#This Row],[CARTER MP.]])+V052_20[[#This Row],[FAENA EN LTS2]]</f>
        <v>100</v>
      </c>
      <c r="AF30" s="294"/>
      <c r="AG30" s="294"/>
      <c r="AH30" s="336">
        <f>(AH29-V052_20[[#This Row],[MOT AUX]])+V052_20[[#This Row],[FAENA EN  LTS]]</f>
        <v>100</v>
      </c>
      <c r="AI30" s="294"/>
      <c r="AJ30" s="294"/>
      <c r="AK30" s="337">
        <f>(AK29-V052_20[[#This Row],[HIDRAULICO]])+V052_20[[#This Row],[FAENA EN LTS3]]</f>
        <v>100</v>
      </c>
    </row>
    <row r="31" spans="1:37" x14ac:dyDescent="0.25">
      <c r="A31" s="263" t="s">
        <v>133</v>
      </c>
      <c r="B31" s="48">
        <v>43846</v>
      </c>
      <c r="C31" s="41">
        <v>0.54166666666666663</v>
      </c>
      <c r="D31" s="42">
        <f>IF(V052_20[[#This Row],[FECHA]]-B30=1,((V052_20[[#This Row],[HORA]]-C30)*24)+24,(V052_20[[#This Row],[HORA]]-C30)*24)</f>
        <v>5</v>
      </c>
      <c r="E31" s="51" t="s">
        <v>55</v>
      </c>
      <c r="F31" s="52" t="s">
        <v>139</v>
      </c>
      <c r="G31" s="49">
        <v>266</v>
      </c>
      <c r="H31" s="50">
        <v>22.5</v>
      </c>
      <c r="I31" s="33">
        <f>IF(ISERROR(V052_20[[#This Row],[DISTANCIA POR CARTA]]/V052_20[[#This Row],[TIEMPO DE NAVEGACION]]),0,V052_20[[#This Row],[DISTANCIA POR CARTA]]/V052_20[[#This Row],[TIEMPO DE NAVEGACION]])</f>
        <v>11.822222222222223</v>
      </c>
      <c r="J31" s="51" t="s">
        <v>117</v>
      </c>
      <c r="K31" s="52">
        <v>95</v>
      </c>
      <c r="L31" s="295">
        <v>4.583333333333333</v>
      </c>
      <c r="M31" s="294">
        <v>0.52083333333333337</v>
      </c>
      <c r="N31" s="294">
        <v>0</v>
      </c>
      <c r="O31" s="294">
        <f>SUM(V052_20[[#This Row],[MPAL]:[CALDERA]])</f>
        <v>5.1041666666666661</v>
      </c>
      <c r="P31" s="294"/>
      <c r="Q31" s="271">
        <f>(Q30-V052_20[[#This Row],[TOTAL ]])+V052_20[[#This Row],[FAENA]]</f>
        <v>221.81666666666658</v>
      </c>
      <c r="R31" s="295">
        <v>0</v>
      </c>
      <c r="S31" s="294">
        <v>0</v>
      </c>
      <c r="T31" s="294">
        <v>0</v>
      </c>
      <c r="U31" s="294">
        <v>0</v>
      </c>
      <c r="V31" s="294">
        <v>0</v>
      </c>
      <c r="W31" s="298">
        <f>SUM(V052_20[[#This Row],[MPAL2]:[GI]])</f>
        <v>0</v>
      </c>
      <c r="X31" s="294"/>
      <c r="Y31" s="296">
        <f>(Y30-V052_20[[#This Row],[TOTAL]])+V052_20[[#This Row],[FAENA2]]</f>
        <v>73.75</v>
      </c>
      <c r="Z31" s="295"/>
      <c r="AA31" s="294"/>
      <c r="AB31" s="336">
        <f>(AB30-V052_20[[#This Row],[CYLINDER MP]])+V052_20[[#This Row],[FAENA EN LTS]]</f>
        <v>100</v>
      </c>
      <c r="AC31" s="294"/>
      <c r="AD31" s="294"/>
      <c r="AE31" s="336">
        <f>(AE30-V052_20[[#This Row],[CARTER MP.]])+V052_20[[#This Row],[FAENA EN LTS2]]</f>
        <v>100</v>
      </c>
      <c r="AF31" s="294"/>
      <c r="AG31" s="294"/>
      <c r="AH31" s="336">
        <f>(AH30-V052_20[[#This Row],[MOT AUX]])+V052_20[[#This Row],[FAENA EN  LTS]]</f>
        <v>100</v>
      </c>
      <c r="AI31" s="294"/>
      <c r="AJ31" s="294"/>
      <c r="AK31" s="337">
        <f>(AK30-V052_20[[#This Row],[HIDRAULICO]])+V052_20[[#This Row],[FAENA EN LTS3]]</f>
        <v>100</v>
      </c>
    </row>
    <row r="32" spans="1:37" x14ac:dyDescent="0.25">
      <c r="A32" s="263" t="s">
        <v>133</v>
      </c>
      <c r="B32" s="48">
        <v>43846</v>
      </c>
      <c r="C32" s="41">
        <v>0.5625</v>
      </c>
      <c r="D32" s="42">
        <f>IF(V052_20[[#This Row],[FECHA]]-B31=1,((V052_20[[#This Row],[HORA]]-C31)*24)+24,(V052_20[[#This Row],[HORA]]-C31)*24)</f>
        <v>0.50000000000000089</v>
      </c>
      <c r="E32" s="51" t="s">
        <v>47</v>
      </c>
      <c r="F32" s="52" t="s">
        <v>121</v>
      </c>
      <c r="G32" s="49"/>
      <c r="H32" s="50"/>
      <c r="I32" s="33">
        <f>IF(ISERROR(V052_20[[#This Row],[DISTANCIA POR CARTA]]/V052_20[[#This Row],[TIEMPO DE NAVEGACION]]),0,V052_20[[#This Row],[DISTANCIA POR CARTA]]/V052_20[[#This Row],[TIEMPO DE NAVEGACION]])</f>
        <v>0</v>
      </c>
      <c r="J32" s="51"/>
      <c r="K32" s="52"/>
      <c r="L32" s="295">
        <v>4.1666666666666741E-2</v>
      </c>
      <c r="M32" s="294">
        <v>5.2083333333333426E-2</v>
      </c>
      <c r="N32" s="294">
        <v>4.1666666666666741E-2</v>
      </c>
      <c r="O32" s="294">
        <f>SUM(V052_20[[#This Row],[MPAL]:[CALDERA]])</f>
        <v>0.13541666666666691</v>
      </c>
      <c r="P32" s="294"/>
      <c r="Q32" s="271">
        <f>(Q31-V052_20[[#This Row],[TOTAL ]])+V052_20[[#This Row],[FAENA]]</f>
        <v>221.68124999999992</v>
      </c>
      <c r="R32" s="295">
        <v>0</v>
      </c>
      <c r="S32" s="294">
        <v>0</v>
      </c>
      <c r="T32" s="294">
        <v>0</v>
      </c>
      <c r="U32" s="294">
        <v>0</v>
      </c>
      <c r="V32" s="294">
        <v>0</v>
      </c>
      <c r="W32" s="298">
        <f>SUM(V052_20[[#This Row],[MPAL2]:[GI]])</f>
        <v>0</v>
      </c>
      <c r="X32" s="294"/>
      <c r="Y32" s="296">
        <f>(Y31-V052_20[[#This Row],[TOTAL]])+V052_20[[#This Row],[FAENA2]]</f>
        <v>73.75</v>
      </c>
      <c r="Z32" s="295"/>
      <c r="AA32" s="294"/>
      <c r="AB32" s="336">
        <f>(AB31-V052_20[[#This Row],[CYLINDER MP]])+V052_20[[#This Row],[FAENA EN LTS]]</f>
        <v>100</v>
      </c>
      <c r="AC32" s="294"/>
      <c r="AD32" s="294"/>
      <c r="AE32" s="336">
        <f>(AE31-V052_20[[#This Row],[CARTER MP.]])+V052_20[[#This Row],[FAENA EN LTS2]]</f>
        <v>100</v>
      </c>
      <c r="AF32" s="294"/>
      <c r="AG32" s="294"/>
      <c r="AH32" s="336">
        <f>(AH31-V052_20[[#This Row],[MOT AUX]])+V052_20[[#This Row],[FAENA EN  LTS]]</f>
        <v>100</v>
      </c>
      <c r="AI32" s="294"/>
      <c r="AJ32" s="294"/>
      <c r="AK32" s="337">
        <f>(AK31-V052_20[[#This Row],[HIDRAULICO]])+V052_20[[#This Row],[FAENA EN LTS3]]</f>
        <v>100</v>
      </c>
    </row>
    <row r="33" spans="1:37" x14ac:dyDescent="0.25">
      <c r="A33" s="263" t="s">
        <v>133</v>
      </c>
      <c r="B33" s="48">
        <v>43847</v>
      </c>
      <c r="C33" s="41">
        <v>0.33333333333333331</v>
      </c>
      <c r="D33" s="42">
        <f>IF(V052_20[[#This Row],[FECHA]]-B32=1,((V052_20[[#This Row],[HORA]]-C32)*24)+24,(V052_20[[#This Row],[HORA]]-C32)*24)</f>
        <v>18.5</v>
      </c>
      <c r="E33" s="51" t="s">
        <v>45</v>
      </c>
      <c r="F33" s="52" t="s">
        <v>119</v>
      </c>
      <c r="G33" s="49"/>
      <c r="H33" s="50"/>
      <c r="I33" s="33">
        <f>IF(ISERROR(V052_20[[#This Row],[DISTANCIA POR CARTA]]/V052_20[[#This Row],[TIEMPO DE NAVEGACION]]),0,V052_20[[#This Row],[DISTANCIA POR CARTA]]/V052_20[[#This Row],[TIEMPO DE NAVEGACION]])</f>
        <v>0</v>
      </c>
      <c r="J33" s="51"/>
      <c r="K33" s="52"/>
      <c r="L33" s="295">
        <v>0</v>
      </c>
      <c r="M33" s="294">
        <v>1.9270833333333335</v>
      </c>
      <c r="N33" s="294">
        <v>1.5416666666666665</v>
      </c>
      <c r="O33" s="294">
        <f>SUM(V052_20[[#This Row],[MPAL]:[CALDERA]])</f>
        <v>3.46875</v>
      </c>
      <c r="P33" s="294"/>
      <c r="Q33" s="271">
        <f>(Q32-V052_20[[#This Row],[TOTAL ]])+V052_20[[#This Row],[FAENA]]</f>
        <v>218.21249999999992</v>
      </c>
      <c r="R33" s="295">
        <v>0</v>
      </c>
      <c r="S33" s="294">
        <v>0</v>
      </c>
      <c r="T33" s="294">
        <v>0</v>
      </c>
      <c r="U33" s="294">
        <v>0</v>
      </c>
      <c r="V33" s="294">
        <v>0</v>
      </c>
      <c r="W33" s="298">
        <f>SUM(V052_20[[#This Row],[MPAL2]:[GI]])</f>
        <v>0</v>
      </c>
      <c r="X33" s="294"/>
      <c r="Y33" s="296">
        <f>(Y32-V052_20[[#This Row],[TOTAL]])+V052_20[[#This Row],[FAENA2]]</f>
        <v>73.75</v>
      </c>
      <c r="Z33" s="295"/>
      <c r="AA33" s="294"/>
      <c r="AB33" s="336">
        <f>(AB32-V052_20[[#This Row],[CYLINDER MP]])+V052_20[[#This Row],[FAENA EN LTS]]</f>
        <v>100</v>
      </c>
      <c r="AC33" s="294"/>
      <c r="AD33" s="294"/>
      <c r="AE33" s="336">
        <f>(AE32-V052_20[[#This Row],[CARTER MP.]])+V052_20[[#This Row],[FAENA EN LTS2]]</f>
        <v>100</v>
      </c>
      <c r="AF33" s="294"/>
      <c r="AG33" s="294"/>
      <c r="AH33" s="336">
        <f>(AH32-V052_20[[#This Row],[MOT AUX]])+V052_20[[#This Row],[FAENA EN  LTS]]</f>
        <v>100</v>
      </c>
      <c r="AI33" s="294"/>
      <c r="AJ33" s="294"/>
      <c r="AK33" s="337">
        <f>(AK32-V052_20[[#This Row],[HIDRAULICO]])+V052_20[[#This Row],[FAENA EN LTS3]]</f>
        <v>100</v>
      </c>
    </row>
    <row r="34" spans="1:37" x14ac:dyDescent="0.25">
      <c r="A34" s="263" t="s">
        <v>133</v>
      </c>
      <c r="B34" s="48">
        <v>43848</v>
      </c>
      <c r="C34" s="41">
        <v>0.28333333333333333</v>
      </c>
      <c r="D34" s="42">
        <f>IF(V052_20[[#This Row],[FECHA]]-B33=1,((V052_20[[#This Row],[HORA]]-C33)*24)+24,(V052_20[[#This Row],[HORA]]-C33)*24)</f>
        <v>22.8</v>
      </c>
      <c r="E34" s="51" t="s">
        <v>45</v>
      </c>
      <c r="F34" s="52" t="s">
        <v>120</v>
      </c>
      <c r="G34" s="49"/>
      <c r="H34" s="50"/>
      <c r="I34" s="33">
        <f>IF(ISERROR(V052_20[[#This Row],[DISTANCIA POR CARTA]]/V052_20[[#This Row],[TIEMPO DE NAVEGACION]]),0,V052_20[[#This Row],[DISTANCIA POR CARTA]]/V052_20[[#This Row],[TIEMPO DE NAVEGACION]])</f>
        <v>0</v>
      </c>
      <c r="J34" s="51"/>
      <c r="K34" s="52"/>
      <c r="L34" s="295">
        <v>0</v>
      </c>
      <c r="M34" s="294">
        <v>2.375</v>
      </c>
      <c r="N34" s="294">
        <v>1.9</v>
      </c>
      <c r="O34" s="294">
        <f>SUM(V052_20[[#This Row],[MPAL]:[CALDERA]])</f>
        <v>4.2750000000000004</v>
      </c>
      <c r="P34" s="294"/>
      <c r="Q34" s="271">
        <f>(Q33-V052_20[[#This Row],[TOTAL ]])+V052_20[[#This Row],[FAENA]]</f>
        <v>213.93749999999991</v>
      </c>
      <c r="R34" s="295">
        <v>0</v>
      </c>
      <c r="S34" s="294">
        <v>0</v>
      </c>
      <c r="T34" s="294">
        <v>0</v>
      </c>
      <c r="U34" s="294">
        <v>0</v>
      </c>
      <c r="V34" s="294">
        <v>0</v>
      </c>
      <c r="W34" s="298">
        <f>SUM(V052_20[[#This Row],[MPAL2]:[GI]])</f>
        <v>0</v>
      </c>
      <c r="X34" s="294"/>
      <c r="Y34" s="296">
        <f>(Y33-V052_20[[#This Row],[TOTAL]])+V052_20[[#This Row],[FAENA2]]</f>
        <v>73.75</v>
      </c>
      <c r="Z34" s="295"/>
      <c r="AA34" s="294"/>
      <c r="AB34" s="336">
        <f>(AB33-V052_20[[#This Row],[CYLINDER MP]])+V052_20[[#This Row],[FAENA EN LTS]]</f>
        <v>100</v>
      </c>
      <c r="AC34" s="294"/>
      <c r="AD34" s="294"/>
      <c r="AE34" s="336">
        <f>(AE33-V052_20[[#This Row],[CARTER MP.]])+V052_20[[#This Row],[FAENA EN LTS2]]</f>
        <v>100</v>
      </c>
      <c r="AF34" s="294"/>
      <c r="AG34" s="294"/>
      <c r="AH34" s="336">
        <f>(AH33-V052_20[[#This Row],[MOT AUX]])+V052_20[[#This Row],[FAENA EN  LTS]]</f>
        <v>100</v>
      </c>
      <c r="AI34" s="294"/>
      <c r="AJ34" s="294"/>
      <c r="AK34" s="337">
        <f>(AK33-V052_20[[#This Row],[HIDRAULICO]])+V052_20[[#This Row],[FAENA EN LTS3]]</f>
        <v>100</v>
      </c>
    </row>
    <row r="35" spans="1:37" x14ac:dyDescent="0.25">
      <c r="A35" s="263" t="s">
        <v>133</v>
      </c>
      <c r="B35" s="48">
        <v>43848</v>
      </c>
      <c r="C35" s="41">
        <v>0.33333333333333331</v>
      </c>
      <c r="D35" s="42">
        <f>IF(V052_20[[#This Row],[FECHA]]-B34=1,((V052_20[[#This Row],[HORA]]-C34)*24)+24,(V052_20[[#This Row],[HORA]]-C34)*24)</f>
        <v>1.1999999999999997</v>
      </c>
      <c r="E35" s="51" t="s">
        <v>47</v>
      </c>
      <c r="F35" s="52" t="s">
        <v>119</v>
      </c>
      <c r="G35" s="49"/>
      <c r="H35" s="50"/>
      <c r="I35" s="33">
        <f>IF(ISERROR(V052_20[[#This Row],[DISTANCIA POR CARTA]]/V052_20[[#This Row],[TIEMPO DE NAVEGACION]]),0,V052_20[[#This Row],[DISTANCIA POR CARTA]]/V052_20[[#This Row],[TIEMPO DE NAVEGACION]])</f>
        <v>0</v>
      </c>
      <c r="J35" s="51"/>
      <c r="K35" s="52"/>
      <c r="L35" s="295">
        <v>9.9999999999999978E-2</v>
      </c>
      <c r="M35" s="294">
        <v>0.12499999999999997</v>
      </c>
      <c r="N35" s="294">
        <v>9.9999999999999978E-2</v>
      </c>
      <c r="O35" s="294">
        <f>SUM(V052_20[[#This Row],[MPAL]:[CALDERA]])</f>
        <v>0.32499999999999996</v>
      </c>
      <c r="P35" s="294"/>
      <c r="Q35" s="271">
        <f>(Q34-V052_20[[#This Row],[TOTAL ]])+V052_20[[#This Row],[FAENA]]</f>
        <v>213.61249999999993</v>
      </c>
      <c r="R35" s="295">
        <v>0</v>
      </c>
      <c r="S35" s="294">
        <v>0</v>
      </c>
      <c r="T35" s="294">
        <v>0</v>
      </c>
      <c r="U35" s="294">
        <v>0</v>
      </c>
      <c r="V35" s="294">
        <v>0</v>
      </c>
      <c r="W35" s="298">
        <f>SUM(V052_20[[#This Row],[MPAL2]:[GI]])</f>
        <v>0</v>
      </c>
      <c r="X35" s="294"/>
      <c r="Y35" s="296">
        <f>(Y34-V052_20[[#This Row],[TOTAL]])+V052_20[[#This Row],[FAENA2]]</f>
        <v>73.75</v>
      </c>
      <c r="Z35" s="295"/>
      <c r="AA35" s="294"/>
      <c r="AB35" s="336">
        <f>(AB34-V052_20[[#This Row],[CYLINDER MP]])+V052_20[[#This Row],[FAENA EN LTS]]</f>
        <v>100</v>
      </c>
      <c r="AC35" s="294"/>
      <c r="AD35" s="294"/>
      <c r="AE35" s="336">
        <f>(AE34-V052_20[[#This Row],[CARTER MP.]])+V052_20[[#This Row],[FAENA EN LTS2]]</f>
        <v>100</v>
      </c>
      <c r="AF35" s="294"/>
      <c r="AG35" s="294"/>
      <c r="AH35" s="336">
        <f>(AH34-V052_20[[#This Row],[MOT AUX]])+V052_20[[#This Row],[FAENA EN  LTS]]</f>
        <v>100</v>
      </c>
      <c r="AI35" s="294"/>
      <c r="AJ35" s="294"/>
      <c r="AK35" s="337">
        <f>(AK34-V052_20[[#This Row],[HIDRAULICO]])+V052_20[[#This Row],[FAENA EN LTS3]]</f>
        <v>100</v>
      </c>
    </row>
    <row r="36" spans="1:37" x14ac:dyDescent="0.25">
      <c r="A36" s="263" t="s">
        <v>133</v>
      </c>
      <c r="B36" s="48">
        <v>43848</v>
      </c>
      <c r="C36" s="41">
        <v>0.35416666666666669</v>
      </c>
      <c r="D36" s="42">
        <f>IF(V052_20[[#This Row],[FECHA]]-B35=1,((V052_20[[#This Row],[HORA]]-C35)*24)+24,(V052_20[[#This Row],[HORA]]-C35)*24)</f>
        <v>0.50000000000000089</v>
      </c>
      <c r="E36" s="51" t="s">
        <v>47</v>
      </c>
      <c r="F36" s="52" t="s">
        <v>121</v>
      </c>
      <c r="G36" s="49"/>
      <c r="H36" s="50"/>
      <c r="I36" s="33">
        <f>IF(ISERROR(V052_20[[#This Row],[DISTANCIA POR CARTA]]/V052_20[[#This Row],[TIEMPO DE NAVEGACION]]),0,V052_20[[#This Row],[DISTANCIA POR CARTA]]/V052_20[[#This Row],[TIEMPO DE NAVEGACION]])</f>
        <v>0</v>
      </c>
      <c r="J36" s="51"/>
      <c r="K36" s="52"/>
      <c r="L36" s="295">
        <v>4.1666666666666741E-2</v>
      </c>
      <c r="M36" s="294">
        <v>5.2083333333333426E-2</v>
      </c>
      <c r="N36" s="294">
        <v>4.1666666666666741E-2</v>
      </c>
      <c r="O36" s="294">
        <f>SUM(V052_20[[#This Row],[MPAL]:[CALDERA]])</f>
        <v>0.13541666666666691</v>
      </c>
      <c r="P36" s="294"/>
      <c r="Q36" s="271">
        <f>(Q35-V052_20[[#This Row],[TOTAL ]])+V052_20[[#This Row],[FAENA]]</f>
        <v>213.47708333333327</v>
      </c>
      <c r="R36" s="295">
        <v>0</v>
      </c>
      <c r="S36" s="294">
        <v>0</v>
      </c>
      <c r="T36" s="294">
        <v>0</v>
      </c>
      <c r="U36" s="294">
        <v>0</v>
      </c>
      <c r="V36" s="294">
        <v>0</v>
      </c>
      <c r="W36" s="298">
        <f>SUM(V052_20[[#This Row],[MPAL2]:[GI]])</f>
        <v>0</v>
      </c>
      <c r="X36" s="294"/>
      <c r="Y36" s="296">
        <f>(Y35-V052_20[[#This Row],[TOTAL]])+V052_20[[#This Row],[FAENA2]]</f>
        <v>73.75</v>
      </c>
      <c r="Z36" s="295"/>
      <c r="AA36" s="294"/>
      <c r="AB36" s="336">
        <f>(AB35-V052_20[[#This Row],[CYLINDER MP]])+V052_20[[#This Row],[FAENA EN LTS]]</f>
        <v>100</v>
      </c>
      <c r="AC36" s="294"/>
      <c r="AD36" s="294"/>
      <c r="AE36" s="336">
        <f>(AE35-V052_20[[#This Row],[CARTER MP.]])+V052_20[[#This Row],[FAENA EN LTS2]]</f>
        <v>100</v>
      </c>
      <c r="AF36" s="294"/>
      <c r="AG36" s="294"/>
      <c r="AH36" s="336">
        <f>(AH35-V052_20[[#This Row],[MOT AUX]])+V052_20[[#This Row],[FAENA EN  LTS]]</f>
        <v>100</v>
      </c>
      <c r="AI36" s="294"/>
      <c r="AJ36" s="294"/>
      <c r="AK36" s="337">
        <f>(AK35-V052_20[[#This Row],[HIDRAULICO]])+V052_20[[#This Row],[FAENA EN LTS3]]</f>
        <v>100</v>
      </c>
    </row>
    <row r="37" spans="1:37" x14ac:dyDescent="0.25">
      <c r="A37" s="263" t="s">
        <v>133</v>
      </c>
      <c r="B37" s="48">
        <v>43848</v>
      </c>
      <c r="C37" s="41">
        <v>0.47916666666666669</v>
      </c>
      <c r="D37" s="42">
        <f>IF(V052_20[[#This Row],[FECHA]]-B36=1,((V052_20[[#This Row],[HORA]]-C36)*24)+24,(V052_20[[#This Row],[HORA]]-C36)*24)</f>
        <v>3</v>
      </c>
      <c r="E37" s="51" t="s">
        <v>49</v>
      </c>
      <c r="F37" s="52" t="s">
        <v>140</v>
      </c>
      <c r="G37" s="49"/>
      <c r="H37" s="50"/>
      <c r="I37" s="33">
        <f>IF(ISERROR(V052_20[[#This Row],[DISTANCIA POR CARTA]]/V052_20[[#This Row],[TIEMPO DE NAVEGACION]]),0,V052_20[[#This Row],[DISTANCIA POR CARTA]]/V052_20[[#This Row],[TIEMPO DE NAVEGACION]])</f>
        <v>0</v>
      </c>
      <c r="J37" s="51"/>
      <c r="K37" s="52"/>
      <c r="L37" s="295">
        <v>0</v>
      </c>
      <c r="M37" s="294">
        <v>0.3125</v>
      </c>
      <c r="N37" s="294">
        <v>0.25</v>
      </c>
      <c r="O37" s="294">
        <f>SUM(V052_20[[#This Row],[MPAL]:[CALDERA]])</f>
        <v>0.5625</v>
      </c>
      <c r="P37" s="294"/>
      <c r="Q37" s="271">
        <f>(Q36-V052_20[[#This Row],[TOTAL ]])+V052_20[[#This Row],[FAENA]]</f>
        <v>212.91458333333327</v>
      </c>
      <c r="R37" s="295">
        <v>0</v>
      </c>
      <c r="S37" s="294">
        <v>0</v>
      </c>
      <c r="T37" s="294">
        <v>0</v>
      </c>
      <c r="U37" s="294">
        <v>0</v>
      </c>
      <c r="V37" s="294">
        <v>0</v>
      </c>
      <c r="W37" s="298">
        <f>SUM(V052_20[[#This Row],[MPAL2]:[GI]])</f>
        <v>0</v>
      </c>
      <c r="X37" s="294"/>
      <c r="Y37" s="296">
        <f>(Y36-V052_20[[#This Row],[TOTAL]])+V052_20[[#This Row],[FAENA2]]</f>
        <v>73.75</v>
      </c>
      <c r="Z37" s="295"/>
      <c r="AA37" s="294"/>
      <c r="AB37" s="336">
        <f>(AB36-V052_20[[#This Row],[CYLINDER MP]])+V052_20[[#This Row],[FAENA EN LTS]]</f>
        <v>100</v>
      </c>
      <c r="AC37" s="294"/>
      <c r="AD37" s="294"/>
      <c r="AE37" s="336">
        <f>(AE36-V052_20[[#This Row],[CARTER MP.]])+V052_20[[#This Row],[FAENA EN LTS2]]</f>
        <v>100</v>
      </c>
      <c r="AF37" s="294"/>
      <c r="AG37" s="294"/>
      <c r="AH37" s="336">
        <f>(AH36-V052_20[[#This Row],[MOT AUX]])+V052_20[[#This Row],[FAENA EN  LTS]]</f>
        <v>100</v>
      </c>
      <c r="AI37" s="294"/>
      <c r="AJ37" s="294"/>
      <c r="AK37" s="337">
        <f>(AK36-V052_20[[#This Row],[HIDRAULICO]])+V052_20[[#This Row],[FAENA EN LTS3]]</f>
        <v>100</v>
      </c>
    </row>
    <row r="38" spans="1:37" x14ac:dyDescent="0.25">
      <c r="A38" s="263" t="s">
        <v>133</v>
      </c>
      <c r="B38" s="48">
        <v>43849</v>
      </c>
      <c r="C38" s="41">
        <v>0.33333333333333331</v>
      </c>
      <c r="D38" s="42">
        <f>IF(V052_20[[#This Row],[FECHA]]-B37=1,((V052_20[[#This Row],[HORA]]-C37)*24)+24,(V052_20[[#This Row],[HORA]]-C37)*24)</f>
        <v>20.5</v>
      </c>
      <c r="E38" s="51" t="s">
        <v>51</v>
      </c>
      <c r="F38" s="52" t="s">
        <v>119</v>
      </c>
      <c r="G38" s="49"/>
      <c r="H38" s="50"/>
      <c r="I38" s="33">
        <f>IF(ISERROR(V052_20[[#This Row],[DISTANCIA POR CARTA]]/V052_20[[#This Row],[TIEMPO DE NAVEGACION]]),0,V052_20[[#This Row],[DISTANCIA POR CARTA]]/V052_20[[#This Row],[TIEMPO DE NAVEGACION]])</f>
        <v>0</v>
      </c>
      <c r="J38" s="51"/>
      <c r="K38" s="52"/>
      <c r="L38" s="295">
        <v>0</v>
      </c>
      <c r="M38" s="294">
        <v>2.135416666666667</v>
      </c>
      <c r="N38" s="294">
        <v>1.7083333333333333</v>
      </c>
      <c r="O38" s="294">
        <f>SUM(V052_20[[#This Row],[MPAL]:[CALDERA]])</f>
        <v>3.84375</v>
      </c>
      <c r="P38" s="294"/>
      <c r="Q38" s="271">
        <f>(Q37-V052_20[[#This Row],[TOTAL ]])+V052_20[[#This Row],[FAENA]]</f>
        <v>209.07083333333327</v>
      </c>
      <c r="R38" s="295">
        <v>0</v>
      </c>
      <c r="S38" s="294">
        <v>0</v>
      </c>
      <c r="T38" s="294">
        <v>0</v>
      </c>
      <c r="U38" s="294">
        <v>0</v>
      </c>
      <c r="V38" s="294">
        <v>3.35</v>
      </c>
      <c r="W38" s="298">
        <f>SUM(V052_20[[#This Row],[MPAL2]:[GI]])</f>
        <v>3.35</v>
      </c>
      <c r="X38" s="294"/>
      <c r="Y38" s="296">
        <f>(Y37-V052_20[[#This Row],[TOTAL]])+V052_20[[#This Row],[FAENA2]]</f>
        <v>70.400000000000006</v>
      </c>
      <c r="Z38" s="295"/>
      <c r="AA38" s="294"/>
      <c r="AB38" s="336">
        <f>(AB37-V052_20[[#This Row],[CYLINDER MP]])+V052_20[[#This Row],[FAENA EN LTS]]</f>
        <v>100</v>
      </c>
      <c r="AC38" s="294"/>
      <c r="AD38" s="294"/>
      <c r="AE38" s="336">
        <f>(AE37-V052_20[[#This Row],[CARTER MP.]])+V052_20[[#This Row],[FAENA EN LTS2]]</f>
        <v>100</v>
      </c>
      <c r="AF38" s="294"/>
      <c r="AG38" s="294"/>
      <c r="AH38" s="336">
        <f>(AH37-V052_20[[#This Row],[MOT AUX]])+V052_20[[#This Row],[FAENA EN  LTS]]</f>
        <v>100</v>
      </c>
      <c r="AI38" s="294"/>
      <c r="AJ38" s="294"/>
      <c r="AK38" s="337">
        <f>(AK37-V052_20[[#This Row],[HIDRAULICO]])+V052_20[[#This Row],[FAENA EN LTS3]]</f>
        <v>100</v>
      </c>
    </row>
    <row r="39" spans="1:37" x14ac:dyDescent="0.25">
      <c r="A39" s="263" t="s">
        <v>133</v>
      </c>
      <c r="B39" s="48">
        <v>43849</v>
      </c>
      <c r="C39" s="41">
        <v>0.48749999999999999</v>
      </c>
      <c r="D39" s="42">
        <f>IF(V052_20[[#This Row],[FECHA]]-B38=1,((V052_20[[#This Row],[HORA]]-C38)*24)+24,(V052_20[[#This Row],[HORA]]-C38)*24)</f>
        <v>3.7</v>
      </c>
      <c r="E39" s="51" t="s">
        <v>51</v>
      </c>
      <c r="F39" s="52" t="s">
        <v>123</v>
      </c>
      <c r="G39" s="49"/>
      <c r="H39" s="50"/>
      <c r="I39" s="33">
        <f>IF(ISERROR(V052_20[[#This Row],[DISTANCIA POR CARTA]]/V052_20[[#This Row],[TIEMPO DE NAVEGACION]]),0,V052_20[[#This Row],[DISTANCIA POR CARTA]]/V052_20[[#This Row],[TIEMPO DE NAVEGACION]])</f>
        <v>0</v>
      </c>
      <c r="J39" s="51"/>
      <c r="K39" s="52"/>
      <c r="L39" s="295">
        <v>0</v>
      </c>
      <c r="M39" s="294">
        <v>0.38541666666666669</v>
      </c>
      <c r="N39" s="294">
        <v>0.30833333333333335</v>
      </c>
      <c r="O39" s="294">
        <f>SUM(V052_20[[#This Row],[MPAL]:[CALDERA]])</f>
        <v>0.69375000000000009</v>
      </c>
      <c r="P39" s="294"/>
      <c r="Q39" s="271">
        <f>(Q38-V052_20[[#This Row],[TOTAL ]])+V052_20[[#This Row],[FAENA]]</f>
        <v>208.37708333333327</v>
      </c>
      <c r="R39" s="295">
        <v>0</v>
      </c>
      <c r="S39" s="294">
        <v>0</v>
      </c>
      <c r="T39" s="294">
        <v>0</v>
      </c>
      <c r="U39" s="294">
        <v>0</v>
      </c>
      <c r="V39" s="294">
        <v>0.6</v>
      </c>
      <c r="W39" s="298">
        <f>SUM(V052_20[[#This Row],[MPAL2]:[GI]])</f>
        <v>0.6</v>
      </c>
      <c r="X39" s="294"/>
      <c r="Y39" s="296">
        <f>(Y38-V052_20[[#This Row],[TOTAL]])+V052_20[[#This Row],[FAENA2]]</f>
        <v>69.800000000000011</v>
      </c>
      <c r="Z39" s="295"/>
      <c r="AA39" s="294"/>
      <c r="AB39" s="336">
        <f>(AB38-V052_20[[#This Row],[CYLINDER MP]])+V052_20[[#This Row],[FAENA EN LTS]]</f>
        <v>100</v>
      </c>
      <c r="AC39" s="294"/>
      <c r="AD39" s="294"/>
      <c r="AE39" s="336">
        <f>(AE38-V052_20[[#This Row],[CARTER MP.]])+V052_20[[#This Row],[FAENA EN LTS2]]</f>
        <v>100</v>
      </c>
      <c r="AF39" s="294"/>
      <c r="AG39" s="294"/>
      <c r="AH39" s="336">
        <f>(AH38-V052_20[[#This Row],[MOT AUX]])+V052_20[[#This Row],[FAENA EN  LTS]]</f>
        <v>100</v>
      </c>
      <c r="AI39" s="294"/>
      <c r="AJ39" s="294"/>
      <c r="AK39" s="337">
        <f>(AK38-V052_20[[#This Row],[HIDRAULICO]])+V052_20[[#This Row],[FAENA EN LTS3]]</f>
        <v>100</v>
      </c>
    </row>
    <row r="40" spans="1:37" x14ac:dyDescent="0.25">
      <c r="A40" s="263" t="s">
        <v>133</v>
      </c>
      <c r="B40" s="48">
        <v>43849</v>
      </c>
      <c r="C40" s="41">
        <v>0.625</v>
      </c>
      <c r="D40" s="42">
        <f>IF(V052_20[[#This Row],[FECHA]]-B39=1,((V052_20[[#This Row],[HORA]]-C39)*24)+24,(V052_20[[#This Row],[HORA]]-C39)*24)</f>
        <v>3.3000000000000003</v>
      </c>
      <c r="E40" s="51" t="s">
        <v>49</v>
      </c>
      <c r="F40" s="52" t="s">
        <v>120</v>
      </c>
      <c r="G40" s="49"/>
      <c r="H40" s="50"/>
      <c r="I40" s="33">
        <f>IF(ISERROR(V052_20[[#This Row],[DISTANCIA POR CARTA]]/V052_20[[#This Row],[TIEMPO DE NAVEGACION]]),0,V052_20[[#This Row],[DISTANCIA POR CARTA]]/V052_20[[#This Row],[TIEMPO DE NAVEGACION]])</f>
        <v>0</v>
      </c>
      <c r="J40" s="51"/>
      <c r="K40" s="52"/>
      <c r="L40" s="295">
        <v>0</v>
      </c>
      <c r="M40" s="294">
        <v>0.34375000000000006</v>
      </c>
      <c r="N40" s="294">
        <v>0.27500000000000002</v>
      </c>
      <c r="O40" s="294">
        <f>SUM(V052_20[[#This Row],[MPAL]:[CALDERA]])</f>
        <v>0.61875000000000013</v>
      </c>
      <c r="P40" s="294"/>
      <c r="Q40" s="271">
        <f>(Q39-V052_20[[#This Row],[TOTAL ]])+V052_20[[#This Row],[FAENA]]</f>
        <v>207.75833333333327</v>
      </c>
      <c r="R40" s="295">
        <v>0</v>
      </c>
      <c r="S40" s="294">
        <v>0</v>
      </c>
      <c r="T40" s="294">
        <v>0</v>
      </c>
      <c r="U40" s="294">
        <v>0</v>
      </c>
      <c r="V40" s="294">
        <v>0</v>
      </c>
      <c r="W40" s="298">
        <f>SUM(V052_20[[#This Row],[MPAL2]:[GI]])</f>
        <v>0</v>
      </c>
      <c r="X40" s="294"/>
      <c r="Y40" s="296">
        <f>(Y39-V052_20[[#This Row],[TOTAL]])+V052_20[[#This Row],[FAENA2]]</f>
        <v>69.800000000000011</v>
      </c>
      <c r="Z40" s="295"/>
      <c r="AA40" s="294"/>
      <c r="AB40" s="336">
        <f>(AB39-V052_20[[#This Row],[CYLINDER MP]])+V052_20[[#This Row],[FAENA EN LTS]]</f>
        <v>100</v>
      </c>
      <c r="AC40" s="294"/>
      <c r="AD40" s="294"/>
      <c r="AE40" s="336">
        <f>(AE39-V052_20[[#This Row],[CARTER MP.]])+V052_20[[#This Row],[FAENA EN LTS2]]</f>
        <v>100</v>
      </c>
      <c r="AF40" s="294"/>
      <c r="AG40" s="294"/>
      <c r="AH40" s="336">
        <f>(AH39-V052_20[[#This Row],[MOT AUX]])+V052_20[[#This Row],[FAENA EN  LTS]]</f>
        <v>100</v>
      </c>
      <c r="AI40" s="294"/>
      <c r="AJ40" s="294"/>
      <c r="AK40" s="337">
        <f>(AK39-V052_20[[#This Row],[HIDRAULICO]])+V052_20[[#This Row],[FAENA EN LTS3]]</f>
        <v>100</v>
      </c>
    </row>
    <row r="41" spans="1:37" x14ac:dyDescent="0.25">
      <c r="A41" s="263" t="s">
        <v>133</v>
      </c>
      <c r="B41" s="48">
        <v>43849</v>
      </c>
      <c r="C41" s="41">
        <v>0.64583333333333337</v>
      </c>
      <c r="D41" s="42">
        <f>IF(V052_20[[#This Row],[FECHA]]-B40=1,((V052_20[[#This Row],[HORA]]-C40)*24)+24,(V052_20[[#This Row],[HORA]]-C40)*24)</f>
        <v>0.50000000000000089</v>
      </c>
      <c r="E41" s="51" t="s">
        <v>47</v>
      </c>
      <c r="F41" s="52" t="s">
        <v>141</v>
      </c>
      <c r="G41" s="49"/>
      <c r="H41" s="50"/>
      <c r="I41" s="33">
        <f>IF(ISERROR(V052_20[[#This Row],[DISTANCIA POR CARTA]]/V052_20[[#This Row],[TIEMPO DE NAVEGACION]]),0,V052_20[[#This Row],[DISTANCIA POR CARTA]]/V052_20[[#This Row],[TIEMPO DE NAVEGACION]])</f>
        <v>0</v>
      </c>
      <c r="J41" s="51" t="s">
        <v>54</v>
      </c>
      <c r="K41" s="52">
        <v>95</v>
      </c>
      <c r="L41" s="295">
        <v>0.10416666666666685</v>
      </c>
      <c r="M41" s="294">
        <v>5.2083333333333426E-2</v>
      </c>
      <c r="N41" s="294">
        <v>4.1666666666666741E-2</v>
      </c>
      <c r="O41" s="294">
        <f>SUM(V052_20[[#This Row],[MPAL]:[CALDERA]])</f>
        <v>0.19791666666666702</v>
      </c>
      <c r="P41" s="294"/>
      <c r="Q41" s="271">
        <f>(Q40-V052_20[[#This Row],[TOTAL ]])+V052_20[[#This Row],[FAENA]]</f>
        <v>207.56041666666661</v>
      </c>
      <c r="R41" s="295">
        <v>0</v>
      </c>
      <c r="S41" s="294">
        <v>0</v>
      </c>
      <c r="T41" s="294">
        <v>0</v>
      </c>
      <c r="U41" s="294">
        <v>0</v>
      </c>
      <c r="V41" s="294">
        <v>0</v>
      </c>
      <c r="W41" s="298">
        <f>SUM(V052_20[[#This Row],[MPAL2]:[GI]])</f>
        <v>0</v>
      </c>
      <c r="X41" s="294"/>
      <c r="Y41" s="296">
        <f>(Y40-V052_20[[#This Row],[TOTAL]])+V052_20[[#This Row],[FAENA2]]</f>
        <v>69.800000000000011</v>
      </c>
      <c r="Z41" s="295"/>
      <c r="AA41" s="294"/>
      <c r="AB41" s="336">
        <f>(AB40-V052_20[[#This Row],[CYLINDER MP]])+V052_20[[#This Row],[FAENA EN LTS]]</f>
        <v>100</v>
      </c>
      <c r="AC41" s="294"/>
      <c r="AD41" s="294"/>
      <c r="AE41" s="336">
        <f>(AE40-V052_20[[#This Row],[CARTER MP.]])+V052_20[[#This Row],[FAENA EN LTS2]]</f>
        <v>100</v>
      </c>
      <c r="AF41" s="294"/>
      <c r="AG41" s="294"/>
      <c r="AH41" s="336">
        <f>(AH40-V052_20[[#This Row],[MOT AUX]])+V052_20[[#This Row],[FAENA EN  LTS]]</f>
        <v>100</v>
      </c>
      <c r="AI41" s="294"/>
      <c r="AJ41" s="294"/>
      <c r="AK41" s="337">
        <f>(AK40-V052_20[[#This Row],[HIDRAULICO]])+V052_20[[#This Row],[FAENA EN LTS3]]</f>
        <v>100</v>
      </c>
    </row>
    <row r="42" spans="1:37" x14ac:dyDescent="0.25">
      <c r="A42" s="263" t="s">
        <v>133</v>
      </c>
      <c r="B42" s="48">
        <v>43850</v>
      </c>
      <c r="C42" s="41">
        <v>1.2499999999999999E-2</v>
      </c>
      <c r="D42" s="42">
        <f>IF(V052_20[[#This Row],[FECHA]]-B41=1,((V052_20[[#This Row],[HORA]]-C41)*24)+24,(V052_20[[#This Row],[HORA]]-C41)*24)</f>
        <v>8.7999999999999972</v>
      </c>
      <c r="E42" s="51" t="s">
        <v>55</v>
      </c>
      <c r="F42" s="52" t="s">
        <v>57</v>
      </c>
      <c r="G42" s="49">
        <v>96</v>
      </c>
      <c r="H42" s="50">
        <v>8.8000000000000007</v>
      </c>
      <c r="I42" s="33">
        <f>IF(ISERROR(V052_20[[#This Row],[DISTANCIA POR CARTA]]/V052_20[[#This Row],[TIEMPO DE NAVEGACION]]),0,V052_20[[#This Row],[DISTANCIA POR CARTA]]/V052_20[[#This Row],[TIEMPO DE NAVEGACION]])</f>
        <v>10.909090909090908</v>
      </c>
      <c r="J42" s="51" t="s">
        <v>117</v>
      </c>
      <c r="K42" s="52">
        <v>95</v>
      </c>
      <c r="L42" s="295">
        <v>8.0666666666666629</v>
      </c>
      <c r="M42" s="294">
        <v>0.91666666666666641</v>
      </c>
      <c r="N42" s="294">
        <v>0</v>
      </c>
      <c r="O42" s="294">
        <f>SUM(V052_20[[#This Row],[MPAL]:[CALDERA]])</f>
        <v>8.983333333333329</v>
      </c>
      <c r="P42" s="294"/>
      <c r="Q42" s="271">
        <f>(Q41-V052_20[[#This Row],[TOTAL ]])+V052_20[[#This Row],[FAENA]]</f>
        <v>198.57708333333329</v>
      </c>
      <c r="R42" s="295">
        <v>0</v>
      </c>
      <c r="S42" s="294">
        <v>0</v>
      </c>
      <c r="T42" s="294">
        <v>0</v>
      </c>
      <c r="U42" s="294">
        <v>0</v>
      </c>
      <c r="V42" s="294">
        <v>0</v>
      </c>
      <c r="W42" s="298">
        <f>SUM(V052_20[[#This Row],[MPAL2]:[GI]])</f>
        <v>0</v>
      </c>
      <c r="X42" s="294"/>
      <c r="Y42" s="296">
        <f>(Y41-V052_20[[#This Row],[TOTAL]])+V052_20[[#This Row],[FAENA2]]</f>
        <v>69.800000000000011</v>
      </c>
      <c r="Z42" s="295"/>
      <c r="AA42" s="294"/>
      <c r="AB42" s="336">
        <f>(AB41-V052_20[[#This Row],[CYLINDER MP]])+V052_20[[#This Row],[FAENA EN LTS]]</f>
        <v>100</v>
      </c>
      <c r="AC42" s="294"/>
      <c r="AD42" s="294"/>
      <c r="AE42" s="336">
        <f>(AE41-V052_20[[#This Row],[CARTER MP.]])+V052_20[[#This Row],[FAENA EN LTS2]]</f>
        <v>100</v>
      </c>
      <c r="AF42" s="294"/>
      <c r="AG42" s="294"/>
      <c r="AH42" s="336">
        <f>(AH41-V052_20[[#This Row],[MOT AUX]])+V052_20[[#This Row],[FAENA EN  LTS]]</f>
        <v>100</v>
      </c>
      <c r="AI42" s="294"/>
      <c r="AJ42" s="294"/>
      <c r="AK42" s="337">
        <f>(AK41-V052_20[[#This Row],[HIDRAULICO]])+V052_20[[#This Row],[FAENA EN LTS3]]</f>
        <v>100</v>
      </c>
    </row>
    <row r="43" spans="1:37" x14ac:dyDescent="0.25">
      <c r="A43" s="263" t="s">
        <v>133</v>
      </c>
      <c r="B43" s="48">
        <v>43850</v>
      </c>
      <c r="C43" s="41">
        <v>9.9999999999999992E-2</v>
      </c>
      <c r="D43" s="42">
        <f>IF(V052_20[[#This Row],[FECHA]]-B42=1,((V052_20[[#This Row],[HORA]]-C42)*24)+24,(V052_20[[#This Row],[HORA]]-C42)*24)</f>
        <v>2.0999999999999996</v>
      </c>
      <c r="E43" s="51" t="s">
        <v>47</v>
      </c>
      <c r="F43" s="52" t="s">
        <v>126</v>
      </c>
      <c r="G43" s="49"/>
      <c r="H43" s="50"/>
      <c r="I43" s="33">
        <f>IF(ISERROR(V052_20[[#This Row],[DISTANCIA POR CARTA]]/V052_20[[#This Row],[TIEMPO DE NAVEGACION]]),0,V052_20[[#This Row],[DISTANCIA POR CARTA]]/V052_20[[#This Row],[TIEMPO DE NAVEGACION]])</f>
        <v>0</v>
      </c>
      <c r="J43" s="51"/>
      <c r="K43" s="52"/>
      <c r="L43" s="295">
        <v>0.17499999999999996</v>
      </c>
      <c r="M43" s="294">
        <v>0.21874999999999997</v>
      </c>
      <c r="N43" s="294">
        <v>0.17499999999999996</v>
      </c>
      <c r="O43" s="294">
        <f>SUM(V052_20[[#This Row],[MPAL]:[CALDERA]])</f>
        <v>0.56874999999999987</v>
      </c>
      <c r="P43" s="294"/>
      <c r="Q43" s="271">
        <f>(Q42-V052_20[[#This Row],[TOTAL ]])+V052_20[[#This Row],[FAENA]]</f>
        <v>198.0083333333333</v>
      </c>
      <c r="R43" s="295">
        <v>0</v>
      </c>
      <c r="S43" s="294">
        <v>0</v>
      </c>
      <c r="T43" s="294">
        <v>0</v>
      </c>
      <c r="U43" s="294">
        <v>0</v>
      </c>
      <c r="V43" s="294">
        <v>0</v>
      </c>
      <c r="W43" s="298">
        <f>SUM(V052_20[[#This Row],[MPAL2]:[GI]])</f>
        <v>0</v>
      </c>
      <c r="X43" s="294"/>
      <c r="Y43" s="296">
        <f>(Y42-V052_20[[#This Row],[TOTAL]])+V052_20[[#This Row],[FAENA2]]</f>
        <v>69.800000000000011</v>
      </c>
      <c r="Z43" s="295"/>
      <c r="AA43" s="294"/>
      <c r="AB43" s="336">
        <f>(AB42-V052_20[[#This Row],[CYLINDER MP]])+V052_20[[#This Row],[FAENA EN LTS]]</f>
        <v>100</v>
      </c>
      <c r="AC43" s="294"/>
      <c r="AD43" s="294"/>
      <c r="AE43" s="336">
        <f>(AE42-V052_20[[#This Row],[CARTER MP.]])+V052_20[[#This Row],[FAENA EN LTS2]]</f>
        <v>100</v>
      </c>
      <c r="AF43" s="294"/>
      <c r="AG43" s="294"/>
      <c r="AH43" s="336">
        <f>(AH42-V052_20[[#This Row],[MOT AUX]])+V052_20[[#This Row],[FAENA EN  LTS]]</f>
        <v>100</v>
      </c>
      <c r="AI43" s="294"/>
      <c r="AJ43" s="294"/>
      <c r="AK43" s="337">
        <f>(AK42-V052_20[[#This Row],[HIDRAULICO]])+V052_20[[#This Row],[FAENA EN LTS3]]</f>
        <v>100</v>
      </c>
    </row>
    <row r="44" spans="1:37" x14ac:dyDescent="0.25">
      <c r="A44" s="263" t="s">
        <v>133</v>
      </c>
      <c r="B44" s="48">
        <v>43850</v>
      </c>
      <c r="C44" s="41">
        <v>0.3</v>
      </c>
      <c r="D44" s="42">
        <f>IF(V052_20[[#This Row],[FECHA]]-B43=1,((V052_20[[#This Row],[HORA]]-C43)*24)+24,(V052_20[[#This Row],[HORA]]-C43)*24)</f>
        <v>4.8000000000000007</v>
      </c>
      <c r="E44" s="51" t="s">
        <v>49</v>
      </c>
      <c r="F44" s="52" t="s">
        <v>127</v>
      </c>
      <c r="G44" s="49"/>
      <c r="H44" s="50"/>
      <c r="I44" s="33">
        <f>IF(ISERROR(V052_20[[#This Row],[DISTANCIA POR CARTA]]/V052_20[[#This Row],[TIEMPO DE NAVEGACION]]),0,V052_20[[#This Row],[DISTANCIA POR CARTA]]/V052_20[[#This Row],[TIEMPO DE NAVEGACION]])</f>
        <v>0</v>
      </c>
      <c r="J44" s="51"/>
      <c r="K44" s="52"/>
      <c r="L44" s="295">
        <v>0</v>
      </c>
      <c r="M44" s="294">
        <v>0.50000000000000011</v>
      </c>
      <c r="N44" s="294">
        <v>0.4</v>
      </c>
      <c r="O44" s="294">
        <f>SUM(V052_20[[#This Row],[MPAL]:[CALDERA]])</f>
        <v>0.90000000000000013</v>
      </c>
      <c r="P44" s="294"/>
      <c r="Q44" s="271">
        <f>(Q43-V052_20[[#This Row],[TOTAL ]])+V052_20[[#This Row],[FAENA]]</f>
        <v>197.10833333333329</v>
      </c>
      <c r="R44" s="295">
        <v>0</v>
      </c>
      <c r="S44" s="294">
        <v>0</v>
      </c>
      <c r="T44" s="294">
        <v>0</v>
      </c>
      <c r="U44" s="294">
        <v>0</v>
      </c>
      <c r="V44" s="294">
        <v>0</v>
      </c>
      <c r="W44" s="298">
        <f>SUM(V052_20[[#This Row],[MPAL2]:[GI]])</f>
        <v>0</v>
      </c>
      <c r="X44" s="294"/>
      <c r="Y44" s="296">
        <f>(Y43-V052_20[[#This Row],[TOTAL]])+V052_20[[#This Row],[FAENA2]]</f>
        <v>69.800000000000011</v>
      </c>
      <c r="Z44" s="295"/>
      <c r="AA44" s="294"/>
      <c r="AB44" s="336">
        <f>(AB43-V052_20[[#This Row],[CYLINDER MP]])+V052_20[[#This Row],[FAENA EN LTS]]</f>
        <v>100</v>
      </c>
      <c r="AC44" s="294"/>
      <c r="AD44" s="294"/>
      <c r="AE44" s="336">
        <f>(AE43-V052_20[[#This Row],[CARTER MP.]])+V052_20[[#This Row],[FAENA EN LTS2]]</f>
        <v>100</v>
      </c>
      <c r="AF44" s="294"/>
      <c r="AG44" s="294"/>
      <c r="AH44" s="336">
        <f>(AH43-V052_20[[#This Row],[MOT AUX]])+V052_20[[#This Row],[FAENA EN  LTS]]</f>
        <v>100</v>
      </c>
      <c r="AI44" s="294"/>
      <c r="AJ44" s="294"/>
      <c r="AK44" s="337">
        <f>(AK43-V052_20[[#This Row],[HIDRAULICO]])+V052_20[[#This Row],[FAENA EN LTS3]]</f>
        <v>100</v>
      </c>
    </row>
    <row r="45" spans="1:37" x14ac:dyDescent="0.25">
      <c r="A45" s="263" t="s">
        <v>133</v>
      </c>
      <c r="B45" s="48">
        <v>43850</v>
      </c>
      <c r="C45" s="41">
        <v>0.33333333333333331</v>
      </c>
      <c r="D45" s="42">
        <f>IF(V052_20[[#This Row],[FECHA]]-B44=1,((V052_20[[#This Row],[HORA]]-C44)*24)+24,(V052_20[[#This Row],[HORA]]-C44)*24)</f>
        <v>0.79999999999999982</v>
      </c>
      <c r="E45" s="51" t="s">
        <v>51</v>
      </c>
      <c r="F45" s="52" t="s">
        <v>124</v>
      </c>
      <c r="G45" s="49"/>
      <c r="H45" s="50"/>
      <c r="I45" s="33">
        <f>IF(ISERROR(V052_20[[#This Row],[DISTANCIA POR CARTA]]/V052_20[[#This Row],[TIEMPO DE NAVEGACION]]),0,V052_20[[#This Row],[DISTANCIA POR CARTA]]/V052_20[[#This Row],[TIEMPO DE NAVEGACION]])</f>
        <v>0</v>
      </c>
      <c r="J45" s="51"/>
      <c r="K45" s="52"/>
      <c r="L45" s="295">
        <v>0</v>
      </c>
      <c r="M45" s="294">
        <v>8.3333333333333315E-2</v>
      </c>
      <c r="N45" s="294">
        <v>6.6666666666666652E-2</v>
      </c>
      <c r="O45" s="294">
        <f>SUM(V052_20[[#This Row],[MPAL]:[CALDERA]])</f>
        <v>0.14999999999999997</v>
      </c>
      <c r="P45" s="294"/>
      <c r="Q45" s="271">
        <f>(Q44-V052_20[[#This Row],[TOTAL ]])+V052_20[[#This Row],[FAENA]]</f>
        <v>196.95833333333329</v>
      </c>
      <c r="R45" s="295">
        <v>0</v>
      </c>
      <c r="S45" s="294">
        <v>0</v>
      </c>
      <c r="T45" s="294">
        <v>0</v>
      </c>
      <c r="U45" s="294">
        <v>0</v>
      </c>
      <c r="V45" s="294">
        <v>0.1</v>
      </c>
      <c r="W45" s="298">
        <f>SUM(V052_20[[#This Row],[MPAL2]:[GI]])</f>
        <v>0.1</v>
      </c>
      <c r="X45" s="294"/>
      <c r="Y45" s="296">
        <f>(Y44-V052_20[[#This Row],[TOTAL]])+V052_20[[#This Row],[FAENA2]]</f>
        <v>69.700000000000017</v>
      </c>
      <c r="Z45" s="295"/>
      <c r="AA45" s="294"/>
      <c r="AB45" s="336">
        <f>(AB44-V052_20[[#This Row],[CYLINDER MP]])+V052_20[[#This Row],[FAENA EN LTS]]</f>
        <v>100</v>
      </c>
      <c r="AC45" s="294"/>
      <c r="AD45" s="294"/>
      <c r="AE45" s="336">
        <f>(AE44-V052_20[[#This Row],[CARTER MP.]])+V052_20[[#This Row],[FAENA EN LTS2]]</f>
        <v>100</v>
      </c>
      <c r="AF45" s="294"/>
      <c r="AG45" s="294"/>
      <c r="AH45" s="336">
        <f>(AH44-V052_20[[#This Row],[MOT AUX]])+V052_20[[#This Row],[FAENA EN  LTS]]</f>
        <v>100</v>
      </c>
      <c r="AI45" s="294"/>
      <c r="AJ45" s="294"/>
      <c r="AK45" s="337">
        <f>(AK44-V052_20[[#This Row],[HIDRAULICO]])+V052_20[[#This Row],[FAENA EN LTS3]]</f>
        <v>100</v>
      </c>
    </row>
    <row r="46" spans="1:37" x14ac:dyDescent="0.25">
      <c r="A46" s="263" t="s">
        <v>133</v>
      </c>
      <c r="B46" s="48">
        <v>43850</v>
      </c>
      <c r="C46" s="41">
        <v>0.90833333333333333</v>
      </c>
      <c r="D46" s="42">
        <f>IF(V052_20[[#This Row],[FECHA]]-B45=1,((V052_20[[#This Row],[HORA]]-C45)*24)+24,(V052_20[[#This Row],[HORA]]-C45)*24)</f>
        <v>13.799999999999999</v>
      </c>
      <c r="E46" s="51" t="s">
        <v>51</v>
      </c>
      <c r="F46" s="52" t="s">
        <v>128</v>
      </c>
      <c r="G46" s="49"/>
      <c r="H46" s="50"/>
      <c r="I46" s="33">
        <f>IF(ISERROR(V052_20[[#This Row],[DISTANCIA POR CARTA]]/V052_20[[#This Row],[TIEMPO DE NAVEGACION]]),0,V052_20[[#This Row],[DISTANCIA POR CARTA]]/V052_20[[#This Row],[TIEMPO DE NAVEGACION]])</f>
        <v>0</v>
      </c>
      <c r="J46" s="51"/>
      <c r="K46" s="52"/>
      <c r="L46" s="295">
        <v>0</v>
      </c>
      <c r="M46" s="294">
        <v>1.4375</v>
      </c>
      <c r="N46" s="294">
        <v>1.1499999999999999</v>
      </c>
      <c r="O46" s="294">
        <f>SUM(V052_20[[#This Row],[MPAL]:[CALDERA]])</f>
        <v>2.5874999999999999</v>
      </c>
      <c r="P46" s="294"/>
      <c r="Q46" s="271">
        <f>(Q45-V052_20[[#This Row],[TOTAL ]])+V052_20[[#This Row],[FAENA]]</f>
        <v>194.37083333333328</v>
      </c>
      <c r="R46" s="295">
        <v>0</v>
      </c>
      <c r="S46" s="294">
        <v>0</v>
      </c>
      <c r="T46" s="294">
        <v>0</v>
      </c>
      <c r="U46" s="294">
        <v>0</v>
      </c>
      <c r="V46" s="294">
        <v>2.2999999999999998</v>
      </c>
      <c r="W46" s="298">
        <f>SUM(V052_20[[#This Row],[MPAL2]:[GI]])</f>
        <v>2.2999999999999998</v>
      </c>
      <c r="X46" s="294"/>
      <c r="Y46" s="296">
        <f>(Y45-V052_20[[#This Row],[TOTAL]])+V052_20[[#This Row],[FAENA2]]</f>
        <v>67.40000000000002</v>
      </c>
      <c r="Z46" s="295"/>
      <c r="AA46" s="294"/>
      <c r="AB46" s="336">
        <f>(AB45-V052_20[[#This Row],[CYLINDER MP]])+V052_20[[#This Row],[FAENA EN LTS]]</f>
        <v>100</v>
      </c>
      <c r="AC46" s="294"/>
      <c r="AD46" s="294"/>
      <c r="AE46" s="336">
        <f>(AE45-V052_20[[#This Row],[CARTER MP.]])+V052_20[[#This Row],[FAENA EN LTS2]]</f>
        <v>100</v>
      </c>
      <c r="AF46" s="294"/>
      <c r="AG46" s="294"/>
      <c r="AH46" s="336">
        <f>(AH45-V052_20[[#This Row],[MOT AUX]])+V052_20[[#This Row],[FAENA EN  LTS]]</f>
        <v>100</v>
      </c>
      <c r="AI46" s="294"/>
      <c r="AJ46" s="294"/>
      <c r="AK46" s="337">
        <f>(AK45-V052_20[[#This Row],[HIDRAULICO]])+V052_20[[#This Row],[FAENA EN LTS3]]</f>
        <v>100</v>
      </c>
    </row>
    <row r="47" spans="1:37" x14ac:dyDescent="0.25">
      <c r="A47" s="263" t="s">
        <v>133</v>
      </c>
      <c r="B47" s="48">
        <v>43851</v>
      </c>
      <c r="C47" s="41">
        <v>2.4999999999999998E-2</v>
      </c>
      <c r="D47" s="42">
        <f>IF(V052_20[[#This Row],[FECHA]]-B46=1,((V052_20[[#This Row],[HORA]]-C46)*24)+24,(V052_20[[#This Row],[HORA]]-C46)*24)</f>
        <v>2.8000000000000007</v>
      </c>
      <c r="E47" s="51" t="s">
        <v>49</v>
      </c>
      <c r="F47" s="52" t="s">
        <v>129</v>
      </c>
      <c r="G47" s="49"/>
      <c r="H47" s="50"/>
      <c r="I47" s="33">
        <f>IF(ISERROR(V052_20[[#This Row],[DISTANCIA POR CARTA]]/V052_20[[#This Row],[TIEMPO DE NAVEGACION]]),0,V052_20[[#This Row],[DISTANCIA POR CARTA]]/V052_20[[#This Row],[TIEMPO DE NAVEGACION]])</f>
        <v>0</v>
      </c>
      <c r="J47" s="51"/>
      <c r="K47" s="52"/>
      <c r="L47" s="295">
        <v>0</v>
      </c>
      <c r="M47" s="294">
        <v>0.29166666666666674</v>
      </c>
      <c r="N47" s="294">
        <v>0.23333333333333339</v>
      </c>
      <c r="O47" s="294">
        <f>SUM(V052_20[[#This Row],[MPAL]:[CALDERA]])</f>
        <v>0.52500000000000013</v>
      </c>
      <c r="P47" s="294"/>
      <c r="Q47" s="271">
        <f>(Q46-V052_20[[#This Row],[TOTAL ]])+V052_20[[#This Row],[FAENA]]</f>
        <v>193.84583333333327</v>
      </c>
      <c r="R47" s="295">
        <v>0</v>
      </c>
      <c r="S47" s="294">
        <v>0</v>
      </c>
      <c r="T47" s="294">
        <v>0</v>
      </c>
      <c r="U47" s="294">
        <v>0</v>
      </c>
      <c r="V47" s="294">
        <v>0</v>
      </c>
      <c r="W47" s="298">
        <f>SUM(V052_20[[#This Row],[MPAL2]:[GI]])</f>
        <v>0</v>
      </c>
      <c r="X47" s="294"/>
      <c r="Y47" s="296">
        <f>(Y46-V052_20[[#This Row],[TOTAL]])+V052_20[[#This Row],[FAENA2]]</f>
        <v>67.40000000000002</v>
      </c>
      <c r="Z47" s="295"/>
      <c r="AA47" s="294"/>
      <c r="AB47" s="336">
        <f>(AB46-V052_20[[#This Row],[CYLINDER MP]])+V052_20[[#This Row],[FAENA EN LTS]]</f>
        <v>100</v>
      </c>
      <c r="AC47" s="294"/>
      <c r="AD47" s="294"/>
      <c r="AE47" s="336">
        <f>(AE46-V052_20[[#This Row],[CARTER MP.]])+V052_20[[#This Row],[FAENA EN LTS2]]</f>
        <v>100</v>
      </c>
      <c r="AF47" s="294"/>
      <c r="AG47" s="294"/>
      <c r="AH47" s="336">
        <f>(AH46-V052_20[[#This Row],[MOT AUX]])+V052_20[[#This Row],[FAENA EN  LTS]]</f>
        <v>100</v>
      </c>
      <c r="AI47" s="294"/>
      <c r="AJ47" s="294"/>
      <c r="AK47" s="337">
        <f>(AK46-V052_20[[#This Row],[HIDRAULICO]])+V052_20[[#This Row],[FAENA EN LTS3]]</f>
        <v>100</v>
      </c>
    </row>
    <row r="48" spans="1:37" x14ac:dyDescent="0.25">
      <c r="A48" s="263" t="s">
        <v>133</v>
      </c>
      <c r="B48" s="48">
        <v>43851</v>
      </c>
      <c r="C48" s="41">
        <v>4.9999999999999996E-2</v>
      </c>
      <c r="D48" s="42">
        <f>IF(V052_20[[#This Row],[FECHA]]-B47=1,((V052_20[[#This Row],[HORA]]-C47)*24)+24,(V052_20[[#This Row],[HORA]]-C47)*24)</f>
        <v>0.6</v>
      </c>
      <c r="E48" s="51" t="s">
        <v>47</v>
      </c>
      <c r="F48" s="52" t="s">
        <v>87</v>
      </c>
      <c r="G48" s="49"/>
      <c r="H48" s="50"/>
      <c r="I48" s="33">
        <f>IF(ISERROR(V052_20[[#This Row],[DISTANCIA POR CARTA]]/V052_20[[#This Row],[TIEMPO DE NAVEGACION]]),0,V052_20[[#This Row],[DISTANCIA POR CARTA]]/V052_20[[#This Row],[TIEMPO DE NAVEGACION]])</f>
        <v>0</v>
      </c>
      <c r="J48" s="51" t="s">
        <v>54</v>
      </c>
      <c r="K48" s="52">
        <v>95</v>
      </c>
      <c r="L48" s="295">
        <v>0.125</v>
      </c>
      <c r="M48" s="294">
        <v>6.25E-2</v>
      </c>
      <c r="N48" s="294">
        <v>4.9999999999999996E-2</v>
      </c>
      <c r="O48" s="294">
        <f>SUM(V052_20[[#This Row],[MPAL]:[CALDERA]])</f>
        <v>0.23749999999999999</v>
      </c>
      <c r="P48" s="294"/>
      <c r="Q48" s="271">
        <f>(Q47-V052_20[[#This Row],[TOTAL ]])+V052_20[[#This Row],[FAENA]]</f>
        <v>193.60833333333326</v>
      </c>
      <c r="R48" s="295">
        <v>0</v>
      </c>
      <c r="S48" s="294">
        <v>0</v>
      </c>
      <c r="T48" s="294">
        <v>0</v>
      </c>
      <c r="U48" s="294">
        <v>0</v>
      </c>
      <c r="V48" s="294">
        <v>0</v>
      </c>
      <c r="W48" s="298">
        <f>SUM(V052_20[[#This Row],[MPAL2]:[GI]])</f>
        <v>0</v>
      </c>
      <c r="X48" s="294"/>
      <c r="Y48" s="296">
        <f>(Y47-V052_20[[#This Row],[TOTAL]])+V052_20[[#This Row],[FAENA2]]</f>
        <v>67.40000000000002</v>
      </c>
      <c r="Z48" s="295"/>
      <c r="AA48" s="294"/>
      <c r="AB48" s="336">
        <f>(AB47-V052_20[[#This Row],[CYLINDER MP]])+V052_20[[#This Row],[FAENA EN LTS]]</f>
        <v>100</v>
      </c>
      <c r="AC48" s="294"/>
      <c r="AD48" s="294"/>
      <c r="AE48" s="336">
        <f>(AE47-V052_20[[#This Row],[CARTER MP.]])+V052_20[[#This Row],[FAENA EN LTS2]]</f>
        <v>100</v>
      </c>
      <c r="AF48" s="294"/>
      <c r="AG48" s="294"/>
      <c r="AH48" s="336">
        <f>(AH47-V052_20[[#This Row],[MOT AUX]])+V052_20[[#This Row],[FAENA EN  LTS]]</f>
        <v>100</v>
      </c>
      <c r="AI48" s="294"/>
      <c r="AJ48" s="294"/>
      <c r="AK48" s="337">
        <f>(AK47-V052_20[[#This Row],[HIDRAULICO]])+V052_20[[#This Row],[FAENA EN LTS3]]</f>
        <v>100</v>
      </c>
    </row>
    <row r="49" spans="1:37" x14ac:dyDescent="0.25">
      <c r="A49" s="263" t="s">
        <v>133</v>
      </c>
      <c r="B49" s="48">
        <v>43851</v>
      </c>
      <c r="C49" s="41">
        <v>0.3</v>
      </c>
      <c r="D49" s="42">
        <f>IF(V052_20[[#This Row],[FECHA]]-B48=1,((V052_20[[#This Row],[HORA]]-C48)*24)+24,(V052_20[[#This Row],[HORA]]-C48)*24)</f>
        <v>6</v>
      </c>
      <c r="E49" s="51" t="s">
        <v>55</v>
      </c>
      <c r="F49" s="52" t="s">
        <v>142</v>
      </c>
      <c r="G49" s="49">
        <v>62</v>
      </c>
      <c r="H49" s="50">
        <v>6</v>
      </c>
      <c r="I49" s="33">
        <f>IF(ISERROR(V052_20[[#This Row],[DISTANCIA POR CARTA]]/V052_20[[#This Row],[TIEMPO DE NAVEGACION]]),0,V052_20[[#This Row],[DISTANCIA POR CARTA]]/V052_20[[#This Row],[TIEMPO DE NAVEGACION]])</f>
        <v>10.333333333333334</v>
      </c>
      <c r="J49" s="51" t="s">
        <v>117</v>
      </c>
      <c r="K49" s="52">
        <v>95</v>
      </c>
      <c r="L49" s="295">
        <v>5.5</v>
      </c>
      <c r="M49" s="294">
        <v>0.625</v>
      </c>
      <c r="N49" s="294">
        <v>0</v>
      </c>
      <c r="O49" s="294">
        <f>SUM(V052_20[[#This Row],[MPAL]:[CALDERA]])</f>
        <v>6.125</v>
      </c>
      <c r="P49" s="294"/>
      <c r="Q49" s="271">
        <f>(Q48-V052_20[[#This Row],[TOTAL ]])+V052_20[[#This Row],[FAENA]]</f>
        <v>187.48333333333326</v>
      </c>
      <c r="R49" s="295">
        <v>0</v>
      </c>
      <c r="S49" s="294">
        <v>0</v>
      </c>
      <c r="T49" s="294">
        <v>0</v>
      </c>
      <c r="U49" s="294">
        <v>0</v>
      </c>
      <c r="V49" s="294">
        <v>0</v>
      </c>
      <c r="W49" s="298">
        <f>SUM(V052_20[[#This Row],[MPAL2]:[GI]])</f>
        <v>0</v>
      </c>
      <c r="X49" s="294"/>
      <c r="Y49" s="296">
        <f>(Y48-V052_20[[#This Row],[TOTAL]])+V052_20[[#This Row],[FAENA2]]</f>
        <v>67.40000000000002</v>
      </c>
      <c r="Z49" s="295"/>
      <c r="AA49" s="294"/>
      <c r="AB49" s="336">
        <f>(AB48-V052_20[[#This Row],[CYLINDER MP]])+V052_20[[#This Row],[FAENA EN LTS]]</f>
        <v>100</v>
      </c>
      <c r="AC49" s="294"/>
      <c r="AD49" s="294"/>
      <c r="AE49" s="336">
        <f>(AE48-V052_20[[#This Row],[CARTER MP.]])+V052_20[[#This Row],[FAENA EN LTS2]]</f>
        <v>100</v>
      </c>
      <c r="AF49" s="294"/>
      <c r="AG49" s="294"/>
      <c r="AH49" s="336">
        <f>(AH48-V052_20[[#This Row],[MOT AUX]])+V052_20[[#This Row],[FAENA EN  LTS]]</f>
        <v>100</v>
      </c>
      <c r="AI49" s="294"/>
      <c r="AJ49" s="294"/>
      <c r="AK49" s="337">
        <f>(AK48-V052_20[[#This Row],[HIDRAULICO]])+V052_20[[#This Row],[FAENA EN LTS3]]</f>
        <v>100</v>
      </c>
    </row>
    <row r="50" spans="1:37" x14ac:dyDescent="0.25">
      <c r="A50" s="263" t="s">
        <v>133</v>
      </c>
      <c r="B50" s="48">
        <v>43851</v>
      </c>
      <c r="C50" s="41">
        <v>0.33333333333333331</v>
      </c>
      <c r="D50" s="42">
        <f>IF(V052_20[[#This Row],[FECHA]]-B49=1,((V052_20[[#This Row],[HORA]]-C49)*24)+24,(V052_20[[#This Row],[HORA]]-C49)*24)</f>
        <v>0.79999999999999982</v>
      </c>
      <c r="E50" s="51" t="s">
        <v>47</v>
      </c>
      <c r="F50" s="52" t="s">
        <v>143</v>
      </c>
      <c r="G50" s="49"/>
      <c r="H50" s="50"/>
      <c r="I50" s="33">
        <f>IF(ISERROR(V052_20[[#This Row],[DISTANCIA POR CARTA]]/V052_20[[#This Row],[TIEMPO DE NAVEGACION]]),0,V052_20[[#This Row],[DISTANCIA POR CARTA]]/V052_20[[#This Row],[TIEMPO DE NAVEGACION]])</f>
        <v>0</v>
      </c>
      <c r="J50" s="51"/>
      <c r="K50" s="52"/>
      <c r="L50" s="295">
        <v>6.6666666666666652E-2</v>
      </c>
      <c r="M50" s="294">
        <v>8.3333333333333315E-2</v>
      </c>
      <c r="N50" s="294">
        <v>6.6666666666666652E-2</v>
      </c>
      <c r="O50" s="294">
        <f>SUM(V052_20[[#This Row],[MPAL]:[CALDERA]])</f>
        <v>0.21666666666666662</v>
      </c>
      <c r="P50" s="294"/>
      <c r="Q50" s="271">
        <f>(Q49-V052_20[[#This Row],[TOTAL ]])+V052_20[[#This Row],[FAENA]]</f>
        <v>187.26666666666659</v>
      </c>
      <c r="R50" s="295">
        <v>0</v>
      </c>
      <c r="S50" s="294">
        <v>0</v>
      </c>
      <c r="T50" s="294">
        <v>0</v>
      </c>
      <c r="U50" s="294">
        <v>0</v>
      </c>
      <c r="V50" s="294">
        <v>0</v>
      </c>
      <c r="W50" s="298">
        <f>SUM(V052_20[[#This Row],[MPAL2]:[GI]])</f>
        <v>0</v>
      </c>
      <c r="X50" s="294"/>
      <c r="Y50" s="296">
        <f>(Y49-V052_20[[#This Row],[TOTAL]])+V052_20[[#This Row],[FAENA2]]</f>
        <v>67.40000000000002</v>
      </c>
      <c r="Z50" s="295"/>
      <c r="AA50" s="294"/>
      <c r="AB50" s="336">
        <f>(AB49-V052_20[[#This Row],[CYLINDER MP]])+V052_20[[#This Row],[FAENA EN LTS]]</f>
        <v>100</v>
      </c>
      <c r="AC50" s="294"/>
      <c r="AD50" s="294"/>
      <c r="AE50" s="336">
        <f>(AE49-V052_20[[#This Row],[CARTER MP.]])+V052_20[[#This Row],[FAENA EN LTS2]]</f>
        <v>100</v>
      </c>
      <c r="AF50" s="294"/>
      <c r="AG50" s="294"/>
      <c r="AH50" s="336">
        <f>(AH49-V052_20[[#This Row],[MOT AUX]])+V052_20[[#This Row],[FAENA EN  LTS]]</f>
        <v>100</v>
      </c>
      <c r="AI50" s="294"/>
      <c r="AJ50" s="294"/>
      <c r="AK50" s="337">
        <f>(AK49-V052_20[[#This Row],[HIDRAULICO]])+V052_20[[#This Row],[FAENA EN LTS3]]</f>
        <v>100</v>
      </c>
    </row>
    <row r="51" spans="1:37" x14ac:dyDescent="0.25">
      <c r="A51" s="263" t="s">
        <v>133</v>
      </c>
      <c r="B51" s="48">
        <v>43851</v>
      </c>
      <c r="C51" s="41">
        <v>0.4375</v>
      </c>
      <c r="D51" s="42">
        <f>IF(V052_20[[#This Row],[FECHA]]-B50=1,((V052_20[[#This Row],[HORA]]-C50)*24)+24,(V052_20[[#This Row],[HORA]]-C50)*24)</f>
        <v>2.5000000000000004</v>
      </c>
      <c r="E51" s="51" t="s">
        <v>47</v>
      </c>
      <c r="F51" s="52" t="s">
        <v>144</v>
      </c>
      <c r="G51" s="49"/>
      <c r="H51" s="50"/>
      <c r="I51" s="33">
        <f>IF(ISERROR(V052_20[[#This Row],[DISTANCIA POR CARTA]]/V052_20[[#This Row],[TIEMPO DE NAVEGACION]]),0,V052_20[[#This Row],[DISTANCIA POR CARTA]]/V052_20[[#This Row],[TIEMPO DE NAVEGACION]])</f>
        <v>0</v>
      </c>
      <c r="J51" s="51"/>
      <c r="K51" s="52"/>
      <c r="L51" s="295">
        <v>0.20833333333333337</v>
      </c>
      <c r="M51" s="294">
        <v>0.26041666666666674</v>
      </c>
      <c r="N51" s="294">
        <v>0.20833333333333337</v>
      </c>
      <c r="O51" s="294">
        <f>SUM(V052_20[[#This Row],[MPAL]:[CALDERA]])</f>
        <v>0.67708333333333348</v>
      </c>
      <c r="P51" s="294"/>
      <c r="Q51" s="271">
        <f>(Q50-V052_20[[#This Row],[TOTAL ]])+V052_20[[#This Row],[FAENA]]</f>
        <v>186.58958333333325</v>
      </c>
      <c r="R51" s="295">
        <v>0</v>
      </c>
      <c r="S51" s="294">
        <v>0</v>
      </c>
      <c r="T51" s="294">
        <v>0</v>
      </c>
      <c r="U51" s="294">
        <v>0</v>
      </c>
      <c r="V51" s="294">
        <v>0</v>
      </c>
      <c r="W51" s="298">
        <f>SUM(V052_20[[#This Row],[MPAL2]:[GI]])</f>
        <v>0</v>
      </c>
      <c r="X51" s="294"/>
      <c r="Y51" s="296">
        <f>(Y50-V052_20[[#This Row],[TOTAL]])+V052_20[[#This Row],[FAENA2]]</f>
        <v>67.40000000000002</v>
      </c>
      <c r="Z51" s="295"/>
      <c r="AA51" s="294"/>
      <c r="AB51" s="336">
        <f>(AB50-V052_20[[#This Row],[CYLINDER MP]])+V052_20[[#This Row],[FAENA EN LTS]]</f>
        <v>100</v>
      </c>
      <c r="AC51" s="294"/>
      <c r="AD51" s="294"/>
      <c r="AE51" s="336">
        <f>(AE50-V052_20[[#This Row],[CARTER MP.]])+V052_20[[#This Row],[FAENA EN LTS2]]</f>
        <v>100</v>
      </c>
      <c r="AF51" s="294"/>
      <c r="AG51" s="294"/>
      <c r="AH51" s="336">
        <f>(AH50-V052_20[[#This Row],[MOT AUX]])+V052_20[[#This Row],[FAENA EN  LTS]]</f>
        <v>100</v>
      </c>
      <c r="AI51" s="294"/>
      <c r="AJ51" s="294"/>
      <c r="AK51" s="337">
        <f>(AK50-V052_20[[#This Row],[HIDRAULICO]])+V052_20[[#This Row],[FAENA EN LTS3]]</f>
        <v>100</v>
      </c>
    </row>
    <row r="52" spans="1:37" x14ac:dyDescent="0.25">
      <c r="A52" s="263" t="s">
        <v>133</v>
      </c>
      <c r="B52" s="48">
        <v>43851</v>
      </c>
      <c r="C52" s="41">
        <v>0.97499999999999998</v>
      </c>
      <c r="D52" s="42">
        <f>IF(V052_20[[#This Row],[FECHA]]-B51=1,((V052_20[[#This Row],[HORA]]-C51)*24)+24,(V052_20[[#This Row],[HORA]]-C51)*24)</f>
        <v>12.899999999999999</v>
      </c>
      <c r="E52" s="51" t="s">
        <v>51</v>
      </c>
      <c r="F52" s="52" t="s">
        <v>143</v>
      </c>
      <c r="G52" s="49"/>
      <c r="H52" s="50"/>
      <c r="I52" s="33">
        <f>IF(ISERROR(V052_20[[#This Row],[DISTANCIA POR CARTA]]/V052_20[[#This Row],[TIEMPO DE NAVEGACION]]),0,V052_20[[#This Row],[DISTANCIA POR CARTA]]/V052_20[[#This Row],[TIEMPO DE NAVEGACION]])</f>
        <v>0</v>
      </c>
      <c r="J52" s="51"/>
      <c r="K52" s="52"/>
      <c r="L52" s="295">
        <v>0</v>
      </c>
      <c r="M52" s="294">
        <v>1.34375</v>
      </c>
      <c r="N52" s="294">
        <v>1.0749999999999997</v>
      </c>
      <c r="O52" s="294">
        <f>SUM(V052_20[[#This Row],[MPAL]:[CALDERA]])</f>
        <v>2.4187499999999997</v>
      </c>
      <c r="P52" s="294"/>
      <c r="Q52" s="271">
        <f>(Q51-V052_20[[#This Row],[TOTAL ]])+V052_20[[#This Row],[FAENA]]</f>
        <v>184.17083333333326</v>
      </c>
      <c r="R52" s="295">
        <v>0</v>
      </c>
      <c r="S52" s="294">
        <v>0</v>
      </c>
      <c r="T52" s="294">
        <v>0</v>
      </c>
      <c r="U52" s="294">
        <v>0</v>
      </c>
      <c r="V52" s="294">
        <v>2.1</v>
      </c>
      <c r="W52" s="298">
        <f>SUM(V052_20[[#This Row],[MPAL2]:[GI]])</f>
        <v>2.1</v>
      </c>
      <c r="X52" s="294"/>
      <c r="Y52" s="296">
        <f>(Y51-V052_20[[#This Row],[TOTAL]])+V052_20[[#This Row],[FAENA2]]</f>
        <v>65.300000000000026</v>
      </c>
      <c r="Z52" s="295"/>
      <c r="AA52" s="294"/>
      <c r="AB52" s="336">
        <f>(AB51-V052_20[[#This Row],[CYLINDER MP]])+V052_20[[#This Row],[FAENA EN LTS]]</f>
        <v>100</v>
      </c>
      <c r="AC52" s="294"/>
      <c r="AD52" s="294"/>
      <c r="AE52" s="336">
        <f>(AE51-V052_20[[#This Row],[CARTER MP.]])+V052_20[[#This Row],[FAENA EN LTS2]]</f>
        <v>100</v>
      </c>
      <c r="AF52" s="294"/>
      <c r="AG52" s="294"/>
      <c r="AH52" s="336">
        <f>(AH51-V052_20[[#This Row],[MOT AUX]])+V052_20[[#This Row],[FAENA EN  LTS]]</f>
        <v>100</v>
      </c>
      <c r="AI52" s="294"/>
      <c r="AJ52" s="294"/>
      <c r="AK52" s="337">
        <f>(AK51-V052_20[[#This Row],[HIDRAULICO]])+V052_20[[#This Row],[FAENA EN LTS3]]</f>
        <v>100</v>
      </c>
    </row>
    <row r="53" spans="1:37" x14ac:dyDescent="0.25">
      <c r="A53" s="263" t="s">
        <v>133</v>
      </c>
      <c r="B53" s="48">
        <v>43852</v>
      </c>
      <c r="C53" s="41">
        <v>0.11666666666666665</v>
      </c>
      <c r="D53" s="42">
        <f>IF(V052_20[[#This Row],[FECHA]]-B52=1,((V052_20[[#This Row],[HORA]]-C52)*24)+24,(V052_20[[#This Row],[HORA]]-C52)*24)</f>
        <v>3.4000000000000021</v>
      </c>
      <c r="E53" s="51" t="s">
        <v>49</v>
      </c>
      <c r="F53" s="52" t="s">
        <v>145</v>
      </c>
      <c r="G53" s="49"/>
      <c r="H53" s="50"/>
      <c r="I53" s="33">
        <f>IF(ISERROR(V052_20[[#This Row],[DISTANCIA POR CARTA]]/V052_20[[#This Row],[TIEMPO DE NAVEGACION]]),0,V052_20[[#This Row],[DISTANCIA POR CARTA]]/V052_20[[#This Row],[TIEMPO DE NAVEGACION]])</f>
        <v>0</v>
      </c>
      <c r="J53" s="51"/>
      <c r="K53" s="52"/>
      <c r="L53" s="295">
        <v>0</v>
      </c>
      <c r="M53" s="294">
        <v>0.35416666666666691</v>
      </c>
      <c r="N53" s="294">
        <v>0.3</v>
      </c>
      <c r="O53" s="294">
        <f>SUM(V052_20[[#This Row],[MPAL]:[CALDERA]])</f>
        <v>0.6541666666666669</v>
      </c>
      <c r="P53" s="294"/>
      <c r="Q53" s="271">
        <f>(Q52-V052_20[[#This Row],[TOTAL ]])+V052_20[[#This Row],[FAENA]]</f>
        <v>183.51666666666659</v>
      </c>
      <c r="R53" s="295">
        <v>0</v>
      </c>
      <c r="S53" s="294">
        <v>0</v>
      </c>
      <c r="T53" s="294">
        <v>0</v>
      </c>
      <c r="U53" s="294">
        <v>0</v>
      </c>
      <c r="V53" s="294">
        <v>0</v>
      </c>
      <c r="W53" s="298">
        <f>SUM(V052_20[[#This Row],[MPAL2]:[GI]])</f>
        <v>0</v>
      </c>
      <c r="X53" s="294"/>
      <c r="Y53" s="296">
        <f>(Y52-V052_20[[#This Row],[TOTAL]])+V052_20[[#This Row],[FAENA2]]</f>
        <v>65.300000000000026</v>
      </c>
      <c r="Z53" s="295"/>
      <c r="AA53" s="294"/>
      <c r="AB53" s="336">
        <f>(AB52-V052_20[[#This Row],[CYLINDER MP]])+V052_20[[#This Row],[FAENA EN LTS]]</f>
        <v>100</v>
      </c>
      <c r="AC53" s="294"/>
      <c r="AD53" s="294"/>
      <c r="AE53" s="336">
        <f>(AE52-V052_20[[#This Row],[CARTER MP.]])+V052_20[[#This Row],[FAENA EN LTS2]]</f>
        <v>100</v>
      </c>
      <c r="AF53" s="294"/>
      <c r="AG53" s="294"/>
      <c r="AH53" s="336">
        <f>(AH52-V052_20[[#This Row],[MOT AUX]])+V052_20[[#This Row],[FAENA EN  LTS]]</f>
        <v>100</v>
      </c>
      <c r="AI53" s="294"/>
      <c r="AJ53" s="294"/>
      <c r="AK53" s="337">
        <f>(AK52-V052_20[[#This Row],[HIDRAULICO]])+V052_20[[#This Row],[FAENA EN LTS3]]</f>
        <v>100</v>
      </c>
    </row>
    <row r="54" spans="1:37" x14ac:dyDescent="0.25">
      <c r="A54" s="263" t="s">
        <v>133</v>
      </c>
      <c r="B54" s="48">
        <v>43852</v>
      </c>
      <c r="C54" s="41">
        <v>0.15416666666666667</v>
      </c>
      <c r="D54" s="42">
        <f>IF(V052_20[[#This Row],[FECHA]]-B53=1,((V052_20[[#This Row],[HORA]]-C53)*24)+24,(V052_20[[#This Row],[HORA]]-C53)*24)</f>
        <v>0.90000000000000047</v>
      </c>
      <c r="E54" s="51" t="s">
        <v>47</v>
      </c>
      <c r="F54" s="52" t="s">
        <v>60</v>
      </c>
      <c r="G54" s="49"/>
      <c r="H54" s="50"/>
      <c r="I54" s="33">
        <f>IF(ISERROR(V052_20[[#This Row],[DISTANCIA POR CARTA]]/V052_20[[#This Row],[TIEMPO DE NAVEGACION]]),0,V052_20[[#This Row],[DISTANCIA POR CARTA]]/V052_20[[#This Row],[TIEMPO DE NAVEGACION]])</f>
        <v>0</v>
      </c>
      <c r="J54" s="51" t="s">
        <v>54</v>
      </c>
      <c r="K54" s="52">
        <v>95</v>
      </c>
      <c r="L54" s="295">
        <v>0.18750000000000011</v>
      </c>
      <c r="M54" s="294">
        <v>9.3750000000000056E-2</v>
      </c>
      <c r="N54" s="294">
        <v>8.5000000000000006E-2</v>
      </c>
      <c r="O54" s="294">
        <f>SUM(V052_20[[#This Row],[MPAL]:[CALDERA]])</f>
        <v>0.36625000000000019</v>
      </c>
      <c r="P54" s="294"/>
      <c r="Q54" s="271">
        <f>(Q53-V052_20[[#This Row],[TOTAL ]])+V052_20[[#This Row],[FAENA]]</f>
        <v>183.15041666666659</v>
      </c>
      <c r="R54" s="295">
        <v>0</v>
      </c>
      <c r="S54" s="294">
        <v>0</v>
      </c>
      <c r="T54" s="294">
        <v>0</v>
      </c>
      <c r="U54" s="294">
        <v>0</v>
      </c>
      <c r="V54" s="294">
        <v>0</v>
      </c>
      <c r="W54" s="298">
        <f>SUM(V052_20[[#This Row],[MPAL2]:[GI]])</f>
        <v>0</v>
      </c>
      <c r="X54" s="294"/>
      <c r="Y54" s="296">
        <f>(Y53-V052_20[[#This Row],[TOTAL]])+V052_20[[#This Row],[FAENA2]]</f>
        <v>65.300000000000026</v>
      </c>
      <c r="Z54" s="295"/>
      <c r="AA54" s="294"/>
      <c r="AB54" s="336">
        <f>(AB53-V052_20[[#This Row],[CYLINDER MP]])+V052_20[[#This Row],[FAENA EN LTS]]</f>
        <v>100</v>
      </c>
      <c r="AC54" s="294"/>
      <c r="AD54" s="294"/>
      <c r="AE54" s="336">
        <f>(AE53-V052_20[[#This Row],[CARTER MP.]])+V052_20[[#This Row],[FAENA EN LTS2]]</f>
        <v>100</v>
      </c>
      <c r="AF54" s="294"/>
      <c r="AG54" s="294"/>
      <c r="AH54" s="336">
        <f>(AH53-V052_20[[#This Row],[MOT AUX]])+V052_20[[#This Row],[FAENA EN  LTS]]</f>
        <v>100</v>
      </c>
      <c r="AI54" s="294"/>
      <c r="AJ54" s="294"/>
      <c r="AK54" s="337">
        <f>(AK53-V052_20[[#This Row],[HIDRAULICO]])+V052_20[[#This Row],[FAENA EN LTS3]]</f>
        <v>100</v>
      </c>
    </row>
    <row r="55" spans="1:37" x14ac:dyDescent="0.25">
      <c r="A55" s="263" t="s">
        <v>133</v>
      </c>
      <c r="B55" s="48">
        <v>43852</v>
      </c>
      <c r="C55" s="41">
        <v>0.33333333333333331</v>
      </c>
      <c r="D55" s="42">
        <f>IF(V052_20[[#This Row],[FECHA]]-B54=1,((V052_20[[#This Row],[HORA]]-C54)*24)+24,(V052_20[[#This Row],[HORA]]-C54)*24)</f>
        <v>4.2999999999999989</v>
      </c>
      <c r="E55" s="51" t="s">
        <v>61</v>
      </c>
      <c r="F55" s="52" t="s">
        <v>130</v>
      </c>
      <c r="G55" s="49"/>
      <c r="H55" s="50"/>
      <c r="I55" s="33">
        <f>IF(ISERROR(V052_20[[#This Row],[DISTANCIA POR CARTA]]/V052_20[[#This Row],[TIEMPO DE NAVEGACION]]),0,V052_20[[#This Row],[DISTANCIA POR CARTA]]/V052_20[[#This Row],[TIEMPO DE NAVEGACION]])</f>
        <v>0</v>
      </c>
      <c r="J55" s="51" t="s">
        <v>54</v>
      </c>
      <c r="K55" s="52">
        <v>95</v>
      </c>
      <c r="L55" s="295">
        <v>3.9416666666666655</v>
      </c>
      <c r="M55" s="294">
        <v>0.44791666666666657</v>
      </c>
      <c r="N55" s="294">
        <v>0</v>
      </c>
      <c r="O55" s="294">
        <f>SUM(V052_20[[#This Row],[MPAL]:[CALDERA]])</f>
        <v>4.3895833333333325</v>
      </c>
      <c r="P55" s="294"/>
      <c r="Q55" s="271">
        <f>(Q54-V052_20[[#This Row],[TOTAL ]])+V052_20[[#This Row],[FAENA]]</f>
        <v>178.76083333333327</v>
      </c>
      <c r="R55" s="295">
        <v>0</v>
      </c>
      <c r="S55" s="294">
        <v>0</v>
      </c>
      <c r="T55" s="294">
        <v>0</v>
      </c>
      <c r="U55" s="294">
        <v>0</v>
      </c>
      <c r="V55" s="294">
        <v>0</v>
      </c>
      <c r="W55" s="298">
        <f>SUM(V052_20[[#This Row],[MPAL2]:[GI]])</f>
        <v>0</v>
      </c>
      <c r="X55" s="294"/>
      <c r="Y55" s="296">
        <f>(Y54-V052_20[[#This Row],[TOTAL]])+V052_20[[#This Row],[FAENA2]]</f>
        <v>65.300000000000026</v>
      </c>
      <c r="Z55" s="295"/>
      <c r="AA55" s="294"/>
      <c r="AB55" s="336">
        <f>(AB54-V052_20[[#This Row],[CYLINDER MP]])+V052_20[[#This Row],[FAENA EN LTS]]</f>
        <v>100</v>
      </c>
      <c r="AC55" s="294"/>
      <c r="AD55" s="294"/>
      <c r="AE55" s="336">
        <f>(AE54-V052_20[[#This Row],[CARTER MP.]])+V052_20[[#This Row],[FAENA EN LTS2]]</f>
        <v>100</v>
      </c>
      <c r="AF55" s="294"/>
      <c r="AG55" s="294"/>
      <c r="AH55" s="336">
        <f>(AH54-V052_20[[#This Row],[MOT AUX]])+V052_20[[#This Row],[FAENA EN  LTS]]</f>
        <v>100</v>
      </c>
      <c r="AI55" s="294"/>
      <c r="AJ55" s="294"/>
      <c r="AK55" s="337">
        <f>(AK54-V052_20[[#This Row],[HIDRAULICO]])+V052_20[[#This Row],[FAENA EN LTS3]]</f>
        <v>100</v>
      </c>
    </row>
    <row r="56" spans="1:37" x14ac:dyDescent="0.25">
      <c r="A56" s="263" t="s">
        <v>133</v>
      </c>
      <c r="B56" s="48">
        <v>43852</v>
      </c>
      <c r="C56" s="41">
        <v>0.85416666666666663</v>
      </c>
      <c r="D56" s="42">
        <f>IF(V052_20[[#This Row],[FECHA]]-B55=1,((V052_20[[#This Row],[HORA]]-C55)*24)+24,(V052_20[[#This Row],[HORA]]-C55)*24)</f>
        <v>12.499999999999998</v>
      </c>
      <c r="E56" s="51" t="s">
        <v>61</v>
      </c>
      <c r="F56" s="52" t="s">
        <v>62</v>
      </c>
      <c r="G56" s="49">
        <v>201</v>
      </c>
      <c r="H56" s="50">
        <v>16.8</v>
      </c>
      <c r="I56" s="33">
        <f>IF(ISERROR(V052_20[[#This Row],[DISTANCIA POR CARTA]]/V052_20[[#This Row],[TIEMPO DE NAVEGACION]]),0,V052_20[[#This Row],[DISTANCIA POR CARTA]]/V052_20[[#This Row],[TIEMPO DE NAVEGACION]])</f>
        <v>11.964285714285714</v>
      </c>
      <c r="J56" s="51" t="s">
        <v>117</v>
      </c>
      <c r="K56" s="52">
        <v>95</v>
      </c>
      <c r="L56" s="295">
        <v>11.45833333333333</v>
      </c>
      <c r="M56" s="294">
        <v>1.3020833333333333</v>
      </c>
      <c r="N56" s="294">
        <v>0</v>
      </c>
      <c r="O56" s="294">
        <f>SUM(V052_20[[#This Row],[MPAL]:[CALDERA]])</f>
        <v>12.760416666666664</v>
      </c>
      <c r="P56" s="294"/>
      <c r="Q56" s="271">
        <f>(Q55-V052_20[[#This Row],[TOTAL ]])+V052_20[[#This Row],[FAENA]]</f>
        <v>166.00041666666661</v>
      </c>
      <c r="R56" s="295">
        <v>0</v>
      </c>
      <c r="S56" s="294">
        <v>0</v>
      </c>
      <c r="T56" s="294">
        <v>0</v>
      </c>
      <c r="U56" s="294">
        <v>0</v>
      </c>
      <c r="V56" s="294">
        <v>0</v>
      </c>
      <c r="W56" s="298">
        <f>SUM(V052_20[[#This Row],[MPAL2]:[GI]])</f>
        <v>0</v>
      </c>
      <c r="X56" s="294"/>
      <c r="Y56" s="296">
        <f>(Y55-V052_20[[#This Row],[TOTAL]])+V052_20[[#This Row],[FAENA2]]</f>
        <v>65.300000000000026</v>
      </c>
      <c r="Z56" s="295"/>
      <c r="AA56" s="294"/>
      <c r="AB56" s="336">
        <f>(AB55-V052_20[[#This Row],[CYLINDER MP]])+V052_20[[#This Row],[FAENA EN LTS]]</f>
        <v>100</v>
      </c>
      <c r="AC56" s="294"/>
      <c r="AD56" s="294"/>
      <c r="AE56" s="336">
        <f>(AE55-V052_20[[#This Row],[CARTER MP.]])+V052_20[[#This Row],[FAENA EN LTS2]]</f>
        <v>100</v>
      </c>
      <c r="AF56" s="294"/>
      <c r="AG56" s="294"/>
      <c r="AH56" s="336">
        <f>(AH55-V052_20[[#This Row],[MOT AUX]])+V052_20[[#This Row],[FAENA EN  LTS]]</f>
        <v>100</v>
      </c>
      <c r="AI56" s="294"/>
      <c r="AJ56" s="294"/>
      <c r="AK56" s="337">
        <f>(AK55-V052_20[[#This Row],[HIDRAULICO]])+V052_20[[#This Row],[FAENA EN LTS3]]</f>
        <v>100</v>
      </c>
    </row>
    <row r="57" spans="1:37" x14ac:dyDescent="0.25">
      <c r="D57" s="67">
        <f>SUBTOTAL(109,V052_20[TIEMPO Hrs])</f>
        <v>293.5</v>
      </c>
      <c r="L57" s="68">
        <f>SUBTOTAL(109,V052_20[MPAL])</f>
        <v>59.099999999999994</v>
      </c>
      <c r="M57" s="68">
        <f>SUBTOTAL(109,V052_20[AUX.])</f>
        <v>30.572916666666671</v>
      </c>
      <c r="N57" s="68">
        <f>SUBTOTAL(109,V052_20[CALDERA])</f>
        <v>19.326666666666664</v>
      </c>
    </row>
    <row r="58" spans="1:37" x14ac:dyDescent="0.25">
      <c r="L58" s="68"/>
      <c r="M58" s="68"/>
      <c r="O58" s="67">
        <f>SUM(L57:N57)</f>
        <v>108.99958333333333</v>
      </c>
    </row>
    <row r="59" spans="1:37" ht="19.5" thickBot="1" x14ac:dyDescent="0.35">
      <c r="C59" s="69" t="s">
        <v>88</v>
      </c>
      <c r="D59" s="69"/>
      <c r="E59" s="69"/>
      <c r="F59" s="69"/>
      <c r="G59" s="69"/>
      <c r="H59" s="69"/>
      <c r="Q59" s="70" t="s">
        <v>89</v>
      </c>
    </row>
    <row r="60" spans="1:37" ht="19.5" thickBot="1" x14ac:dyDescent="0.35">
      <c r="C60" s="69"/>
      <c r="D60" s="69"/>
      <c r="E60" s="69"/>
      <c r="F60" s="69"/>
      <c r="G60" s="69"/>
      <c r="H60" s="69"/>
      <c r="S60" s="70"/>
    </row>
    <row r="61" spans="1:37" ht="60.75" thickBot="1" x14ac:dyDescent="0.3">
      <c r="C61" s="265" t="s">
        <v>11</v>
      </c>
      <c r="D61" s="265" t="s">
        <v>90</v>
      </c>
      <c r="E61" s="266" t="s">
        <v>91</v>
      </c>
      <c r="F61" s="266" t="s">
        <v>92</v>
      </c>
      <c r="G61" s="266" t="s">
        <v>93</v>
      </c>
      <c r="H61" s="265" t="s">
        <v>94</v>
      </c>
      <c r="I61" s="265" t="s">
        <v>95</v>
      </c>
      <c r="J61" s="265" t="s">
        <v>96</v>
      </c>
      <c r="K61" s="265" t="s">
        <v>97</v>
      </c>
      <c r="L61" s="267" t="s">
        <v>98</v>
      </c>
      <c r="M61" s="268" t="s">
        <v>99</v>
      </c>
      <c r="N61" s="269" t="s">
        <v>100</v>
      </c>
      <c r="Q61" s="111" t="s">
        <v>101</v>
      </c>
      <c r="R61" s="111" t="s">
        <v>94</v>
      </c>
      <c r="S61" s="111" t="s">
        <v>102</v>
      </c>
      <c r="T61" s="111" t="s">
        <v>96</v>
      </c>
      <c r="U61" s="111" t="s">
        <v>103</v>
      </c>
      <c r="V61" s="111" t="s">
        <v>104</v>
      </c>
    </row>
    <row r="62" spans="1:37" x14ac:dyDescent="0.25">
      <c r="C62" s="77" t="s">
        <v>71</v>
      </c>
      <c r="D62" s="279">
        <f>SUMIF(V052_20[ACTIVIDAD REALIZADA],C62,V052_20[TIEMPO Hrs])</f>
        <v>41.400000000000006</v>
      </c>
      <c r="E62" s="279"/>
      <c r="F62" s="329"/>
      <c r="G62" s="79"/>
      <c r="H62" s="80">
        <f>SUMIF(V052_20[ACTIVIDAD REALIZADA],C62,V052_20[MPAL])+SUMIF(V052_20[ACTIVIDAD REALIZADA],C62,V052_20[AUX.])+SUMIF(V052_20[ACTIVIDAD REALIZADA],C62,V052_20[CALDERA])</f>
        <v>7.7625000000000002</v>
      </c>
      <c r="I62" s="79">
        <f>H62*24/D62</f>
        <v>4.5</v>
      </c>
      <c r="J62" s="79">
        <v>4.5</v>
      </c>
      <c r="K62" s="78"/>
      <c r="L62" s="79">
        <f>D62*J62/24</f>
        <v>7.7625000000000002</v>
      </c>
      <c r="M62" s="80">
        <f t="shared" ref="M62:M69" si="0">L62-H62</f>
        <v>0</v>
      </c>
      <c r="N62" s="81"/>
      <c r="P62" s="82"/>
      <c r="Q62" s="83" t="s">
        <v>105</v>
      </c>
      <c r="R62" s="228">
        <f>SUM(V052_20[GI])</f>
        <v>10.049999999999999</v>
      </c>
      <c r="S62" s="84">
        <f>R62*24/($D$63+$D$69)</f>
        <v>2.5283018867924527</v>
      </c>
      <c r="T62" s="84">
        <v>6</v>
      </c>
      <c r="U62" s="85">
        <f>($D$63+$D$69)*T62/24</f>
        <v>23.850000000000005</v>
      </c>
      <c r="V62" s="86">
        <f>U62-R62</f>
        <v>13.800000000000006</v>
      </c>
    </row>
    <row r="63" spans="1:37" x14ac:dyDescent="0.25">
      <c r="C63" s="87" t="s">
        <v>51</v>
      </c>
      <c r="D63" s="264">
        <f>SUMIF(V052_20[ACTIVIDAD REALIZADA],C63,V052_20[TIEMPO Hrs])</f>
        <v>61.9</v>
      </c>
      <c r="E63" s="264"/>
      <c r="F63" s="42"/>
      <c r="G63" s="37"/>
      <c r="H63" s="88">
        <f>SUMIF(V052_20[ACTIVIDAD REALIZADA],C63,V052_20[MPAL])+SUMIF(V052_20[ACTIVIDAD REALIZADA],C63,V052_20[AUX.])+SUMIF(V052_20[ACTIVIDAD REALIZADA],C63,V052_20[CALDERA])</f>
        <v>11.587499999999999</v>
      </c>
      <c r="I63" s="37">
        <f>H63*24/D63</f>
        <v>4.4927302100161546</v>
      </c>
      <c r="J63" s="37">
        <v>4.5</v>
      </c>
      <c r="K63" s="47"/>
      <c r="L63" s="37">
        <f>D63*4.5/24</f>
        <v>11.606250000000001</v>
      </c>
      <c r="M63" s="88">
        <f t="shared" si="0"/>
        <v>1.8750000000002487E-2</v>
      </c>
      <c r="N63" s="89"/>
      <c r="Q63" s="90" t="s">
        <v>106</v>
      </c>
      <c r="R63" s="286">
        <f>SUM(V052_20[ [ AUX] ])</f>
        <v>0</v>
      </c>
      <c r="S63" s="84">
        <f>R63*24/($D$63+$D$69)</f>
        <v>0</v>
      </c>
      <c r="T63" s="88"/>
      <c r="U63" s="88"/>
      <c r="V63" s="121"/>
    </row>
    <row r="64" spans="1:37" x14ac:dyDescent="0.25">
      <c r="C64" s="91" t="s">
        <v>61</v>
      </c>
      <c r="D64" s="264">
        <f>SUMIF(V052_20[ACTIVIDAD REALIZADA],C64,V052_20[TIEMPO Hrs])</f>
        <v>16.799999999999997</v>
      </c>
      <c r="E64" s="264">
        <f>SUMIF(V052_20[ACTIVIDAD REALIZADA],C64,V052_20[DISTANCIA POR CARTA])</f>
        <v>201</v>
      </c>
      <c r="F64" s="42">
        <f>E64/D64</f>
        <v>11.964285714285717</v>
      </c>
      <c r="G64" s="37">
        <v>12.5</v>
      </c>
      <c r="H64" s="88">
        <f>SUMIF(V052_20[ACTIVIDAD REALIZADA],C64,V052_20[MPAL])+SUMIF(V052_20[ACTIVIDAD REALIZADA],C64,V052_20[AUX.])+SUMIF(V052_20[ACTIVIDAD REALIZADA],C64,V052_20[CALDERA])</f>
        <v>17.149999999999995</v>
      </c>
      <c r="I64" s="37">
        <f>H64*24/D64</f>
        <v>24.5</v>
      </c>
      <c r="J64" s="37">
        <v>30.5</v>
      </c>
      <c r="K64" s="47">
        <f>E64/G64</f>
        <v>16.079999999999998</v>
      </c>
      <c r="L64" s="37">
        <f>K64*J64/24</f>
        <v>20.434999999999999</v>
      </c>
      <c r="M64" s="88">
        <f t="shared" si="0"/>
        <v>3.2850000000000037</v>
      </c>
      <c r="N64" s="89">
        <f>K64-D64</f>
        <v>-0.71999999999999886</v>
      </c>
      <c r="Q64" s="90" t="s">
        <v>20</v>
      </c>
      <c r="R64" s="286">
        <f>SUM(T6:T56)</f>
        <v>0</v>
      </c>
      <c r="S64" s="84">
        <f>R64*24/($D$63+$D$69)</f>
        <v>0</v>
      </c>
      <c r="T64" s="88"/>
      <c r="U64" s="88"/>
      <c r="V64" s="121"/>
    </row>
    <row r="65" spans="3:22" x14ac:dyDescent="0.25">
      <c r="C65" s="91" t="s">
        <v>55</v>
      </c>
      <c r="D65" s="264">
        <f>SUMIF(V052_20[ACTIVIDAD REALIZADA],C65,V052_20[TIEMPO Hrs])</f>
        <v>45.099999999999994</v>
      </c>
      <c r="E65" s="264">
        <f>SUMIF(V052_20[ACTIVIDAD REALIZADA],C65,V052_20[DISTANCIA POR CARTA])</f>
        <v>515</v>
      </c>
      <c r="F65" s="42">
        <f>E65/D65</f>
        <v>11.419068736141908</v>
      </c>
      <c r="G65" s="37">
        <v>12</v>
      </c>
      <c r="H65" s="88">
        <f>SUMIF(V052_20[ACTIVIDAD REALIZADA],C65,V052_20[MPAL])+SUMIF(V052_20[ACTIVIDAD REALIZADA],C65,V052_20[AUX.])+SUMIF(V052_20[ACTIVIDAD REALIZADA],C65,V052_20[CALDERA])</f>
        <v>46.039583333333319</v>
      </c>
      <c r="I65" s="37">
        <f>H65*24/D65</f>
        <v>24.499999999999993</v>
      </c>
      <c r="J65" s="37">
        <v>30.5</v>
      </c>
      <c r="K65" s="264">
        <f>E65/G65</f>
        <v>42.916666666666664</v>
      </c>
      <c r="L65" s="37">
        <f>K65*J65/24</f>
        <v>54.53993055555555</v>
      </c>
      <c r="M65" s="88">
        <f t="shared" si="0"/>
        <v>8.5003472222222314</v>
      </c>
      <c r="N65" s="121">
        <f>K65-D65</f>
        <v>-2.18333333333333</v>
      </c>
      <c r="Q65" s="90" t="s">
        <v>107</v>
      </c>
      <c r="R65" s="286">
        <f>SUM(U6:U56)</f>
        <v>0</v>
      </c>
      <c r="S65" s="84">
        <f>R65*24/($D$63+$D$69)</f>
        <v>0</v>
      </c>
      <c r="T65" s="88"/>
      <c r="U65" s="88"/>
      <c r="V65" s="121"/>
    </row>
    <row r="66" spans="3:22" ht="15.75" thickBot="1" x14ac:dyDescent="0.3">
      <c r="C66" s="91" t="s">
        <v>108</v>
      </c>
      <c r="D66" s="264">
        <f>SUMIF(V052_20[ACTIVIDAD REALIZADA],C66,V052_20[TIEMPO Hrs])</f>
        <v>0</v>
      </c>
      <c r="E66" s="264">
        <f>SUMIF(V052_20[ACTIVIDAD REALIZADA],C66,V052_20[DISTANCIA POR CARTA])</f>
        <v>0</v>
      </c>
      <c r="F66" s="42">
        <f>IF(ISERROR(E66/D66),0,E66/D66)</f>
        <v>0</v>
      </c>
      <c r="G66" s="37">
        <v>12</v>
      </c>
      <c r="H66" s="88">
        <f>SUMIF(V052_20[ACTIVIDAD REALIZADA],C66,V052_20[MPAL])+SUMIF(V052_20[ACTIVIDAD REALIZADA],C66,V052_20[AUX.])+SUMIF(V052_20[ACTIVIDAD REALIZADA],C66,V052_20[CALDERA])</f>
        <v>0</v>
      </c>
      <c r="I66" s="37">
        <f>IF(ISERROR(H66*24/D66),0,H66*24/D66)</f>
        <v>0</v>
      </c>
      <c r="J66" s="37">
        <v>30.5</v>
      </c>
      <c r="K66" s="47">
        <f>IF(ISERROR(E66/F66),0,E66/F66)</f>
        <v>0</v>
      </c>
      <c r="L66" s="37">
        <f>IF(ISERROR(K66*J66/24),0,K66*J66/24)</f>
        <v>0</v>
      </c>
      <c r="M66" s="88">
        <f t="shared" si="0"/>
        <v>0</v>
      </c>
      <c r="N66" s="89">
        <f>K66-D66</f>
        <v>0</v>
      </c>
      <c r="Q66" s="92" t="s">
        <v>24</v>
      </c>
      <c r="R66" s="287">
        <f>SUM(R6:R56)</f>
        <v>0</v>
      </c>
      <c r="S66" s="84">
        <f>R66*24/($D$63+$D$69)</f>
        <v>0</v>
      </c>
      <c r="T66" s="98"/>
      <c r="U66" s="98"/>
      <c r="V66" s="122"/>
    </row>
    <row r="67" spans="3:22" x14ac:dyDescent="0.25">
      <c r="C67" s="87" t="s">
        <v>45</v>
      </c>
      <c r="D67" s="264">
        <f>SUMIF(V052_20[ACTIVIDAD REALIZADA],C67,V052_20[TIEMPO Hrs])</f>
        <v>74.400000000000006</v>
      </c>
      <c r="E67" s="264"/>
      <c r="F67" s="42"/>
      <c r="G67" s="37"/>
      <c r="H67" s="88">
        <f>SUMIF(V052_20[ACTIVIDAD REALIZADA],C67,V052_20[MPAL])+SUMIF(V052_20[ACTIVIDAD REALIZADA],C67,V052_20[AUX.])+SUMIF(V052_20[ACTIVIDAD REALIZADA],C67,V052_20[CALDERA])</f>
        <v>13.95</v>
      </c>
      <c r="I67" s="37">
        <f>H67*24/D67</f>
        <v>4.4999999999999991</v>
      </c>
      <c r="J67" s="37">
        <v>4.5</v>
      </c>
      <c r="K67" s="47"/>
      <c r="L67" s="37">
        <f>D67*J67/24</f>
        <v>13.950000000000001</v>
      </c>
      <c r="M67" s="88">
        <f t="shared" si="0"/>
        <v>0</v>
      </c>
      <c r="N67" s="89"/>
      <c r="R67" s="68"/>
      <c r="S67" s="143"/>
      <c r="T67" s="68"/>
      <c r="U67" s="68"/>
      <c r="V67" s="68"/>
    </row>
    <row r="68" spans="3:22" ht="15.75" thickBot="1" x14ac:dyDescent="0.3">
      <c r="C68" s="87" t="s">
        <v>47</v>
      </c>
      <c r="D68" s="264">
        <f>SUMIF(V052_20[ACTIVIDAD REALIZADA],C68,V052_20[TIEMPO Hrs])</f>
        <v>20.400000000000002</v>
      </c>
      <c r="E68" s="264"/>
      <c r="F68" s="42"/>
      <c r="G68" s="37"/>
      <c r="H68" s="88">
        <f>SUMIF(V052_20[ACTIVIDAD REALIZADA],C68,V052_20[MPAL])+SUMIF(V052_20[ACTIVIDAD REALIZADA],C68,V052_20[AUX.])+SUMIF(V052_20[ACTIVIDAD REALIZADA],C68,V052_20[CALDERA])</f>
        <v>6.1933333333333342</v>
      </c>
      <c r="I68" s="37">
        <f>H68*24/D68</f>
        <v>7.2862745098039214</v>
      </c>
      <c r="J68" s="37">
        <v>4.5</v>
      </c>
      <c r="K68" s="47"/>
      <c r="L68" s="37">
        <f>D68*J68/24</f>
        <v>3.8250000000000006</v>
      </c>
      <c r="M68" s="88">
        <f t="shared" si="0"/>
        <v>-2.3683333333333336</v>
      </c>
      <c r="N68" s="89"/>
      <c r="R68" s="68"/>
      <c r="S68" s="68"/>
      <c r="T68" s="68"/>
      <c r="U68" s="68"/>
      <c r="V68" s="68"/>
    </row>
    <row r="69" spans="3:22" ht="15.75" thickBot="1" x14ac:dyDescent="0.3">
      <c r="C69" s="97" t="s">
        <v>49</v>
      </c>
      <c r="D69" s="290">
        <f>SUMIF(V052_20[ACTIVIDAD REALIZADA],C69,V052_20[TIEMPO Hrs])</f>
        <v>33.5</v>
      </c>
      <c r="E69" s="290"/>
      <c r="F69" s="290"/>
      <c r="G69" s="94"/>
      <c r="H69" s="98">
        <f>SUMIF(V052_20[ACTIVIDAD REALIZADA],C69,V052_20[MPAL])+SUMIF(V052_20[ACTIVIDAD REALIZADA],C69,V052_20[AUX.])+SUMIF(V052_20[ACTIVIDAD REALIZADA],C69,V052_20[CALDERA])</f>
        <v>6.3166666666666664</v>
      </c>
      <c r="I69" s="99">
        <f>H69*24/D69</f>
        <v>4.5253731343283583</v>
      </c>
      <c r="J69" s="99">
        <v>4.5</v>
      </c>
      <c r="K69" s="94"/>
      <c r="L69" s="99">
        <f>D69*J69/24</f>
        <v>6.28125</v>
      </c>
      <c r="M69" s="98">
        <f t="shared" si="0"/>
        <v>-3.541666666666643E-2</v>
      </c>
      <c r="N69" s="95"/>
      <c r="Q69" s="100" t="s">
        <v>29</v>
      </c>
      <c r="R69" s="101">
        <f>SUM(R62:R66)</f>
        <v>10.049999999999999</v>
      </c>
      <c r="S69" s="101">
        <f>SUM(S62:S66)</f>
        <v>2.5283018867924527</v>
      </c>
      <c r="T69" s="68"/>
      <c r="U69" s="68"/>
      <c r="V69" s="68"/>
    </row>
    <row r="70" spans="3:22" ht="15.75" thickBot="1" x14ac:dyDescent="0.3">
      <c r="D70" s="116"/>
      <c r="E70" s="116"/>
      <c r="F70" s="116"/>
      <c r="J70" s="68"/>
      <c r="K70" s="102"/>
      <c r="N70" s="68"/>
      <c r="O70" s="68"/>
    </row>
    <row r="71" spans="3:22" ht="15.75" thickBot="1" x14ac:dyDescent="0.3">
      <c r="C71" s="103" t="s">
        <v>29</v>
      </c>
      <c r="D71" s="284">
        <f>SUM(D62:D69)</f>
        <v>293.5</v>
      </c>
      <c r="E71" s="284">
        <f>SUM(E62:E69)</f>
        <v>716</v>
      </c>
      <c r="F71" s="284">
        <f>SUM(F62:F69)/2</f>
        <v>11.691677225213812</v>
      </c>
      <c r="H71" s="101">
        <f>SUM(H62:H69)</f>
        <v>108.99958333333331</v>
      </c>
      <c r="L71" s="104">
        <f>SUM(L62:L69)</f>
        <v>118.39993055555556</v>
      </c>
      <c r="M71" s="101">
        <f>SUM(M62:M69)</f>
        <v>9.4003472222222371</v>
      </c>
      <c r="N71" s="123">
        <f>SUM(N62:N69)</f>
        <v>-2.9033333333333289</v>
      </c>
    </row>
    <row r="73" spans="3:22" x14ac:dyDescent="0.25">
      <c r="L73" s="105"/>
    </row>
    <row r="74" spans="3:22" x14ac:dyDescent="0.25">
      <c r="L74" s="105"/>
    </row>
    <row r="75" spans="3:22" x14ac:dyDescent="0.25">
      <c r="L75" s="105"/>
    </row>
  </sheetData>
  <sheetProtection sheet="1" objects="1" scenarios="1" insertColumns="0" insertRows="0"/>
  <protectedRanges>
    <protectedRange sqref="AK4" name="Rango15"/>
    <protectedRange sqref="AH4" name="Rango13"/>
    <protectedRange sqref="AE4" name="Rango11"/>
    <protectedRange sqref="AB4" name="Rango10"/>
    <protectedRange sqref="Y4" name="Rango7"/>
    <protectedRange sqref="Q4" name="Rango4"/>
    <protectedRange sqref="AI6:AJ56" name="Rango9_1"/>
    <protectedRange sqref="AF6:AG56" name="Rango8_1"/>
    <protectedRange sqref="AC6:AD56" name="Rango7_1"/>
    <protectedRange sqref="Z6:AA56" name="Rango6_1"/>
    <protectedRange sqref="X6:X56" name="Rango5_1"/>
    <protectedRange sqref="R6:V56" name="Rango4_1"/>
    <protectedRange sqref="P6:P56" name="Rango3_1"/>
    <protectedRange sqref="E6:N56" name="Rango2_1"/>
    <protectedRange sqref="A6:C56" name="Rango1_1"/>
  </protectedRanges>
  <mergeCells count="7">
    <mergeCell ref="G2:AK2"/>
    <mergeCell ref="G3:K4"/>
    <mergeCell ref="L3:Q3"/>
    <mergeCell ref="R3:Y3"/>
    <mergeCell ref="Z3:AK3"/>
    <mergeCell ref="L4:P4"/>
    <mergeCell ref="R4:X4"/>
  </mergeCells>
  <conditionalFormatting sqref="I6:I56">
    <cfRule type="cellIs" dxfId="1188" priority="2" operator="greaterThan">
      <formula>0</formula>
    </cfRule>
  </conditionalFormatting>
  <conditionalFormatting sqref="J6:J56">
    <cfRule type="cellIs" dxfId="1187" priority="1" operator="greaterThan">
      <formula>"S5"</formula>
    </cfRule>
  </conditionalFormatting>
  <dataValidations count="1">
    <dataValidation type="list" allowBlank="1" showInputMessage="1" showErrorMessage="1" sqref="E6:E56">
      <formula1>$C$122:$C$130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AK75"/>
  <sheetViews>
    <sheetView zoomScale="80" zoomScaleNormal="8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2" sqref="D52"/>
    </sheetView>
  </sheetViews>
  <sheetFormatPr baseColWidth="10" defaultColWidth="11.5703125" defaultRowHeight="15" x14ac:dyDescent="0.25"/>
  <cols>
    <col min="1" max="1" width="12.5703125" bestFit="1" customWidth="1"/>
    <col min="2" max="2" width="14.42578125" bestFit="1" customWidth="1"/>
    <col min="3" max="3" width="27.42578125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8" width="20.140625" customWidth="1"/>
    <col min="9" max="9" width="17.28515625" style="1" customWidth="1"/>
    <col min="10" max="10" width="15.7109375" style="1" customWidth="1"/>
    <col min="11" max="11" width="15.7109375" customWidth="1"/>
    <col min="12" max="12" width="15.85546875" customWidth="1"/>
    <col min="13" max="13" width="13" customWidth="1"/>
    <col min="14" max="14" width="16.42578125" customWidth="1"/>
    <col min="15" max="15" width="15.28515625" customWidth="1"/>
    <col min="16" max="16" width="19.5703125" customWidth="1"/>
    <col min="17" max="17" width="14" customWidth="1"/>
    <col min="18" max="18" width="12.7109375" customWidth="1"/>
    <col min="19" max="19" width="11.5703125" customWidth="1"/>
    <col min="20" max="20" width="12.85546875" customWidth="1"/>
    <col min="21" max="22" width="15.28515625" customWidth="1"/>
    <col min="23" max="23" width="13.7109375" customWidth="1"/>
    <col min="24" max="24" width="12.5703125" customWidth="1"/>
    <col min="25" max="25" width="11.28515625" customWidth="1"/>
    <col min="27" max="27" width="13.7109375" customWidth="1"/>
    <col min="28" max="28" width="13" customWidth="1"/>
    <col min="29" max="29" width="17.28515625" customWidth="1"/>
    <col min="30" max="30" width="12.5703125" customWidth="1"/>
    <col min="32" max="32" width="13.140625" customWidth="1"/>
    <col min="35" max="35" width="15" customWidth="1"/>
    <col min="36" max="36" width="13" customWidth="1"/>
    <col min="38" max="38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60" t="s">
        <v>150</v>
      </c>
      <c r="S3" s="561"/>
      <c r="T3" s="561"/>
      <c r="U3" s="561"/>
      <c r="V3" s="561"/>
      <c r="W3" s="561"/>
      <c r="X3" s="561"/>
      <c r="Y3" s="562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43852</v>
      </c>
      <c r="C4" s="341">
        <v>0.85416666666666663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166</v>
      </c>
      <c r="R4" s="553" t="s">
        <v>183</v>
      </c>
      <c r="S4" s="554"/>
      <c r="T4" s="554"/>
      <c r="U4" s="554"/>
      <c r="V4" s="554"/>
      <c r="W4" s="554"/>
      <c r="X4" s="555"/>
      <c r="Y4" s="283">
        <v>65.3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7</v>
      </c>
      <c r="AK4" s="304">
        <v>100</v>
      </c>
    </row>
    <row r="5" spans="1:37" ht="48.75" customHeight="1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5" t="s">
        <v>14</v>
      </c>
      <c r="I5" s="129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273" t="s">
        <v>24</v>
      </c>
      <c r="S5" s="274" t="s">
        <v>25</v>
      </c>
      <c r="T5" s="274" t="s">
        <v>26</v>
      </c>
      <c r="U5" s="275" t="s">
        <v>27</v>
      </c>
      <c r="V5" s="275" t="s">
        <v>28</v>
      </c>
      <c r="W5" s="275" t="s">
        <v>29</v>
      </c>
      <c r="X5" s="276" t="s">
        <v>30</v>
      </c>
      <c r="Y5" s="277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72" t="s">
        <v>44</v>
      </c>
      <c r="B6" s="48">
        <v>43852</v>
      </c>
      <c r="C6" s="41">
        <v>0.875</v>
      </c>
      <c r="D6" s="42">
        <f>IF(V053_20[[#This Row],[FECHA]]-B4=1,((V053_20[[#This Row],[HORA]]-C4)*24)+24,(V053_20[[#This Row],[HORA]]-C4)*24)</f>
        <v>0.50000000000000089</v>
      </c>
      <c r="E6" s="45" t="s">
        <v>47</v>
      </c>
      <c r="F6" s="66" t="s">
        <v>130</v>
      </c>
      <c r="G6" s="49"/>
      <c r="H6" s="50"/>
      <c r="I6" s="33">
        <v>0</v>
      </c>
      <c r="J6" s="51"/>
      <c r="K6" s="52"/>
      <c r="L6" s="53">
        <v>0.10416666666666684</v>
      </c>
      <c r="M6" s="37">
        <v>5.2083333333333426E-2</v>
      </c>
      <c r="N6" s="37">
        <v>4.1666666666666741E-2</v>
      </c>
      <c r="O6" s="418">
        <f>SUM(V053_20[[#This Row],[MPAL]:[CALDERA]])</f>
        <v>0.19791666666666702</v>
      </c>
      <c r="P6" s="88"/>
      <c r="Q6" s="270">
        <f>(Q4-V053_20[[#This Row],[TOTAL ]])+V053_20[[#This Row],[FAENA]]</f>
        <v>165.80208333333334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63">
        <f>SUM(V053_20[[#This Row],[MPAL2]:[GI]])</f>
        <v>0</v>
      </c>
      <c r="X6" s="37"/>
      <c r="Y6" s="335">
        <f>(Y4-V053_20[[#This Row],[TOTAL]])+V053_20[[#This Row],[FAENA2]]</f>
        <v>65.3</v>
      </c>
      <c r="Z6" s="53"/>
      <c r="AA6" s="37"/>
      <c r="AB6" s="301">
        <f>(AB4-V053_20[[#This Row],[CYLINDER MP]])+V053_20[[#This Row],[FAENA EN LTS]]</f>
        <v>100</v>
      </c>
      <c r="AC6" s="37"/>
      <c r="AD6" s="37"/>
      <c r="AE6" s="301">
        <f>(AE4-V053_20[[#This Row],[CARTER MP.]])+V053_20[[#This Row],[FAENA EN LTS2]]</f>
        <v>100</v>
      </c>
      <c r="AF6" s="37"/>
      <c r="AG6" s="37"/>
      <c r="AH6" s="301">
        <f>(AH4-V053_20[[#This Row],[MOT AUX]])+V053_20[[#This Row],[FAENA EN  LTS]]</f>
        <v>100</v>
      </c>
      <c r="AI6" s="37"/>
      <c r="AJ6" s="37"/>
      <c r="AK6" s="302">
        <f>(AK4-V053_20[[#This Row],[HIDRAULICO]])+V053_20[[#This Row],[FAENA EN LTS3]]</f>
        <v>100</v>
      </c>
    </row>
    <row r="7" spans="1:37" x14ac:dyDescent="0.25">
      <c r="A7" s="272" t="s">
        <v>44</v>
      </c>
      <c r="B7" s="48">
        <v>43852</v>
      </c>
      <c r="C7" s="41">
        <v>0.93333333333333324</v>
      </c>
      <c r="D7" s="42">
        <f>IF(V053_20[[#This Row],[FECHA]]-B6=1,((V053_20[[#This Row],[HORA]]-C6)*24)+24,(V053_20[[#This Row],[HORA]]-C6)*24)</f>
        <v>1.3999999999999977</v>
      </c>
      <c r="E7" s="45" t="s">
        <v>45</v>
      </c>
      <c r="F7" s="66" t="s">
        <v>134</v>
      </c>
      <c r="G7" s="49"/>
      <c r="H7" s="50"/>
      <c r="I7" s="33">
        <f>IF(ISERROR(V053_20[[#This Row],[DISTANCIA POR CARTA]]/V053_20[[#This Row],[TIEMPO DE NAVEGACION]]),0,V053_20[[#This Row],[DISTANCIA POR CARTA]]/V053_20[[#This Row],[TIEMPO DE NAVEGACION]])</f>
        <v>0</v>
      </c>
      <c r="J7" s="51"/>
      <c r="K7" s="52"/>
      <c r="L7" s="53">
        <v>0</v>
      </c>
      <c r="M7" s="37">
        <v>0.14583333333333309</v>
      </c>
      <c r="N7" s="37">
        <v>0.11666666666666647</v>
      </c>
      <c r="O7" s="37">
        <f>SUM(V053_20[[#This Row],[MPAL]:[CALDERA]])</f>
        <v>0.26249999999999957</v>
      </c>
      <c r="P7" s="88"/>
      <c r="Q7" s="270">
        <f>(Q6 -V053_20[[#This Row],[TOTAL ]])+V053_20[[#This Row],[FAENA]]</f>
        <v>165.53958333333335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63">
        <f>SUM(V053_20[[#This Row],[MPAL2]:[GI]])</f>
        <v>0</v>
      </c>
      <c r="X7" s="37"/>
      <c r="Y7" s="335">
        <f>(Y6-V053_20[[#This Row],[TOTAL]])+V053_20[[#This Row],[FAENA2]]</f>
        <v>65.3</v>
      </c>
      <c r="Z7" s="53"/>
      <c r="AA7" s="37"/>
      <c r="AB7" s="301">
        <f>(AB6-V053_20[[#This Row],[CYLINDER MP]])+V053_20[[#This Row],[FAENA EN LTS]]</f>
        <v>100</v>
      </c>
      <c r="AC7" s="37"/>
      <c r="AD7" s="37"/>
      <c r="AE7" s="301">
        <f>(AE6-V053_20[[#This Row],[CARTER MP.]])+V053_20[[#This Row],[FAENA EN LTS2]]</f>
        <v>100</v>
      </c>
      <c r="AF7" s="37"/>
      <c r="AG7" s="37"/>
      <c r="AH7" s="301">
        <f>(AH6-V053_20[[#This Row],[MOT AUX]])+V053_20[[#This Row],[FAENA EN  LTS]]</f>
        <v>100</v>
      </c>
      <c r="AI7" s="37"/>
      <c r="AJ7" s="37"/>
      <c r="AK7" s="302">
        <f>(AK6-V053_20[[#This Row],[HIDRAULICO]])+V053_20[[#This Row],[FAENA EN LTS3]]</f>
        <v>100</v>
      </c>
    </row>
    <row r="8" spans="1:37" x14ac:dyDescent="0.25">
      <c r="A8" s="272" t="s">
        <v>44</v>
      </c>
      <c r="B8" s="48">
        <v>43853</v>
      </c>
      <c r="C8" s="41">
        <v>2.0833333333333332E-2</v>
      </c>
      <c r="D8" s="42">
        <f>IF(V053_20[[#This Row],[FECHA]]-B7=1,((V053_20[[#This Row],[HORA]]-C7)*24)+24,(V053_20[[#This Row],[HORA]]-C7)*24)</f>
        <v>2.1000000000000014</v>
      </c>
      <c r="E8" s="45" t="s">
        <v>47</v>
      </c>
      <c r="F8" s="66" t="s">
        <v>83</v>
      </c>
      <c r="G8" s="49"/>
      <c r="H8" s="50"/>
      <c r="I8" s="33">
        <f>IF(ISERROR(V053_20[[#This Row],[DISTANCIA POR CARTA]]/V053_20[[#This Row],[TIEMPO DE NAVEGACION]]),0,V053_20[[#This Row],[DISTANCIA POR CARTA]]/V053_20[[#This Row],[TIEMPO DE NAVEGACION]])</f>
        <v>0</v>
      </c>
      <c r="J8" s="51"/>
      <c r="K8" s="52"/>
      <c r="L8" s="53">
        <v>0.43750000000000033</v>
      </c>
      <c r="M8" s="37">
        <v>0.21875000000000017</v>
      </c>
      <c r="N8" s="37">
        <v>0.1750000000000001</v>
      </c>
      <c r="O8" s="418">
        <f>SUM(V053_20[[#This Row],[MPAL]:[CALDERA]])</f>
        <v>0.83125000000000049</v>
      </c>
      <c r="P8" s="88"/>
      <c r="Q8" s="270">
        <f>(Q7 -V053_20[[#This Row],[TOTAL ]])+V053_20[[#This Row],[FAENA]]</f>
        <v>164.70833333333334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63">
        <f>SUM(V053_20[[#This Row],[MPAL2]:[GI]])</f>
        <v>0</v>
      </c>
      <c r="X8" s="37"/>
      <c r="Y8" s="335">
        <f>(Y7-V053_20[[#This Row],[TOTAL]])+V053_20[[#This Row],[FAENA2]]</f>
        <v>65.3</v>
      </c>
      <c r="Z8" s="53"/>
      <c r="AA8" s="37"/>
      <c r="AB8" s="301">
        <f>(AB7-V053_20[[#This Row],[CYLINDER MP]])+V053_20[[#This Row],[FAENA EN LTS]]</f>
        <v>100</v>
      </c>
      <c r="AC8" s="37"/>
      <c r="AD8" s="37"/>
      <c r="AE8" s="301">
        <f>(AE7-V053_20[[#This Row],[CARTER MP.]])+V053_20[[#This Row],[FAENA EN LTS2]]</f>
        <v>100</v>
      </c>
      <c r="AF8" s="37"/>
      <c r="AG8" s="37"/>
      <c r="AH8" s="301">
        <f>(AH7-V053_20[[#This Row],[MOT AUX]])+V053_20[[#This Row],[FAENA EN  LTS]]</f>
        <v>100</v>
      </c>
      <c r="AI8" s="37"/>
      <c r="AJ8" s="37"/>
      <c r="AK8" s="302">
        <f>(AK7-V053_20[[#This Row],[HIDRAULICO]])+V053_20[[#This Row],[FAENA EN LTS3]]</f>
        <v>100</v>
      </c>
    </row>
    <row r="9" spans="1:37" x14ac:dyDescent="0.25">
      <c r="A9" s="272" t="s">
        <v>44</v>
      </c>
      <c r="B9" s="48">
        <v>43853</v>
      </c>
      <c r="C9" s="41">
        <v>0.23750000000000002</v>
      </c>
      <c r="D9" s="42">
        <f>IF(V053_20[[#This Row],[FECHA]]-B8=1,((V053_20[[#This Row],[HORA]]-C8)*24)+24,(V053_20[[#This Row],[HORA]]-C8)*24)</f>
        <v>5.2</v>
      </c>
      <c r="E9" s="45" t="s">
        <v>49</v>
      </c>
      <c r="F9" s="66" t="s">
        <v>135</v>
      </c>
      <c r="G9" s="49"/>
      <c r="H9" s="50"/>
      <c r="I9" s="33">
        <f>IF(ISERROR(V053_20[[#This Row],[DISTANCIA POR CARTA]]/V053_20[[#This Row],[TIEMPO DE NAVEGACION]]),0,V053_20[[#This Row],[DISTANCIA POR CARTA]]/V053_20[[#This Row],[TIEMPO DE NAVEGACION]])</f>
        <v>0</v>
      </c>
      <c r="J9" s="51"/>
      <c r="K9" s="52"/>
      <c r="L9" s="53">
        <v>0</v>
      </c>
      <c r="M9" s="37">
        <v>0.54166666666666674</v>
      </c>
      <c r="N9" s="37">
        <v>0.43333333333333335</v>
      </c>
      <c r="O9" s="418">
        <f>SUM(V053_20[[#This Row],[MPAL]:[CALDERA]])</f>
        <v>0.97500000000000009</v>
      </c>
      <c r="P9" s="88"/>
      <c r="Q9" s="270">
        <f>(Q8 -V053_20[[#This Row],[TOTAL ]])+V053_20[[#This Row],[FAENA]]</f>
        <v>163.73333333333335</v>
      </c>
      <c r="R9" s="53">
        <v>0</v>
      </c>
      <c r="S9" s="37">
        <v>0</v>
      </c>
      <c r="T9" s="37">
        <v>0</v>
      </c>
      <c r="U9" s="37">
        <v>0</v>
      </c>
      <c r="V9" s="37">
        <v>0</v>
      </c>
      <c r="W9" s="63">
        <f>SUM(V053_20[[#This Row],[MPAL2]:[GI]])</f>
        <v>0</v>
      </c>
      <c r="X9" s="37"/>
      <c r="Y9" s="335">
        <f>(Y8-V053_20[[#This Row],[TOTAL]])+V053_20[[#This Row],[FAENA2]]</f>
        <v>65.3</v>
      </c>
      <c r="Z9" s="53"/>
      <c r="AA9" s="37"/>
      <c r="AB9" s="301">
        <f>(AB8-V053_20[[#This Row],[CYLINDER MP]])+V053_20[[#This Row],[FAENA EN LTS]]</f>
        <v>100</v>
      </c>
      <c r="AC9" s="37"/>
      <c r="AD9" s="37"/>
      <c r="AE9" s="301">
        <f>(AE8-V053_20[[#This Row],[CARTER MP.]])+V053_20[[#This Row],[FAENA EN LTS2]]</f>
        <v>100</v>
      </c>
      <c r="AF9" s="37"/>
      <c r="AG9" s="37"/>
      <c r="AH9" s="301">
        <f>(AH8-V053_20[[#This Row],[MOT AUX]])+V053_20[[#This Row],[FAENA EN  LTS]]</f>
        <v>100</v>
      </c>
      <c r="AI9" s="37"/>
      <c r="AJ9" s="37"/>
      <c r="AK9" s="302">
        <f>(AK8-V053_20[[#This Row],[HIDRAULICO]])+V053_20[[#This Row],[FAENA EN LTS3]]</f>
        <v>100</v>
      </c>
    </row>
    <row r="10" spans="1:37" x14ac:dyDescent="0.25">
      <c r="A10" s="272" t="s">
        <v>44</v>
      </c>
      <c r="B10" s="48">
        <v>43853</v>
      </c>
      <c r="C10" s="41">
        <v>0.33333333333333331</v>
      </c>
      <c r="D10" s="42">
        <f>IF(V053_20[[#This Row],[FECHA]]-B9=1,((V053_20[[#This Row],[HORA]]-C9)*24)+24,(V053_20[[#This Row],[HORA]]-C9)*24)</f>
        <v>2.2999999999999989</v>
      </c>
      <c r="E10" s="45" t="s">
        <v>71</v>
      </c>
      <c r="F10" s="66" t="s">
        <v>130</v>
      </c>
      <c r="G10" s="49"/>
      <c r="H10" s="50"/>
      <c r="I10" s="33">
        <f>IF(ISERROR(V053_20[[#This Row],[DISTANCIA POR CARTA]]/V053_20[[#This Row],[TIEMPO DE NAVEGACION]]),0,V053_20[[#This Row],[DISTANCIA POR CARTA]]/V053_20[[#This Row],[TIEMPO DE NAVEGACION]])</f>
        <v>0</v>
      </c>
      <c r="J10" s="51"/>
      <c r="K10" s="52"/>
      <c r="L10" s="53">
        <v>0</v>
      </c>
      <c r="M10" s="37">
        <v>0.23958333333333323</v>
      </c>
      <c r="N10" s="37">
        <v>0.19166666666666657</v>
      </c>
      <c r="O10" s="418">
        <f>SUM(V053_20[[#This Row],[MPAL]:[CALDERA]])</f>
        <v>0.4312499999999998</v>
      </c>
      <c r="P10" s="88"/>
      <c r="Q10" s="270">
        <f>(Q9 -V053_20[[#This Row],[TOTAL ]])+V053_20[[#This Row],[FAENA]]</f>
        <v>163.30208333333334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63">
        <f>SUM(V053_20[[#This Row],[MPAL2]:[GI]])</f>
        <v>0</v>
      </c>
      <c r="X10" s="37"/>
      <c r="Y10" s="335">
        <f>(Y9-V053_20[[#This Row],[TOTAL]])+V053_20[[#This Row],[FAENA2]]</f>
        <v>65.3</v>
      </c>
      <c r="Z10" s="53"/>
      <c r="AA10" s="37"/>
      <c r="AB10" s="301">
        <f>(AB9-V053_20[[#This Row],[CYLINDER MP]])+V053_20[[#This Row],[FAENA EN LTS]]</f>
        <v>100</v>
      </c>
      <c r="AC10" s="37"/>
      <c r="AD10" s="37"/>
      <c r="AE10" s="301">
        <f>(AE9-V053_20[[#This Row],[CARTER MP.]])+V053_20[[#This Row],[FAENA EN LTS2]]</f>
        <v>100</v>
      </c>
      <c r="AF10" s="37"/>
      <c r="AG10" s="37"/>
      <c r="AH10" s="301">
        <f>(AH9-V053_20[[#This Row],[MOT AUX]])+V053_20[[#This Row],[FAENA EN  LTS]]</f>
        <v>100</v>
      </c>
      <c r="AI10" s="37"/>
      <c r="AJ10" s="37"/>
      <c r="AK10" s="302">
        <f>(AK9-V053_20[[#This Row],[HIDRAULICO]])+V053_20[[#This Row],[FAENA EN LTS3]]</f>
        <v>100</v>
      </c>
    </row>
    <row r="11" spans="1:37" x14ac:dyDescent="0.25">
      <c r="A11" s="272" t="s">
        <v>44</v>
      </c>
      <c r="B11" s="48">
        <v>43854</v>
      </c>
      <c r="C11" s="41">
        <v>0.33333333333333331</v>
      </c>
      <c r="D11" s="42">
        <f>IF(V053_20[[#This Row],[FECHA]]-B10=1,((V053_20[[#This Row],[HORA]]-C10)*24)+24,(V053_20[[#This Row],[HORA]]-C10)*24)</f>
        <v>24</v>
      </c>
      <c r="E11" s="45" t="s">
        <v>71</v>
      </c>
      <c r="F11" s="66" t="s">
        <v>130</v>
      </c>
      <c r="G11" s="49"/>
      <c r="H11" s="50"/>
      <c r="I11" s="33">
        <f>IF(ISERROR(V053_20[[#This Row],[DISTANCIA POR CARTA]]/V053_20[[#This Row],[TIEMPO DE NAVEGACION]]),0,V053_20[[#This Row],[DISTANCIA POR CARTA]]/V053_20[[#This Row],[TIEMPO DE NAVEGACION]])</f>
        <v>0</v>
      </c>
      <c r="J11" s="51"/>
      <c r="K11" s="52"/>
      <c r="L11" s="53">
        <v>0</v>
      </c>
      <c r="M11" s="37">
        <v>2.5</v>
      </c>
      <c r="N11" s="37">
        <v>2</v>
      </c>
      <c r="O11" s="418">
        <f>SUM(V053_20[[#This Row],[MPAL]:[CALDERA]])</f>
        <v>4.5</v>
      </c>
      <c r="P11" s="88"/>
      <c r="Q11" s="270">
        <f>(Q10 -V053_20[[#This Row],[TOTAL ]])+V053_20[[#This Row],[FAENA]]</f>
        <v>158.80208333333334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63">
        <f>SUM(V053_20[[#This Row],[MPAL2]:[GI]])</f>
        <v>0</v>
      </c>
      <c r="X11" s="37"/>
      <c r="Y11" s="335">
        <f>(Y10-V053_20[[#This Row],[TOTAL]])+V053_20[[#This Row],[FAENA2]]</f>
        <v>65.3</v>
      </c>
      <c r="Z11" s="53"/>
      <c r="AA11" s="37"/>
      <c r="AB11" s="301">
        <f>(AB10-V053_20[[#This Row],[CYLINDER MP]])+V053_20[[#This Row],[FAENA EN LTS]]</f>
        <v>100</v>
      </c>
      <c r="AC11" s="37"/>
      <c r="AD11" s="37"/>
      <c r="AE11" s="301">
        <f>(AE10-V053_20[[#This Row],[CARTER MP.]])+V053_20[[#This Row],[FAENA EN LTS2]]</f>
        <v>100</v>
      </c>
      <c r="AF11" s="37"/>
      <c r="AG11" s="37"/>
      <c r="AH11" s="301">
        <f>(AH10-V053_20[[#This Row],[MOT AUX]])+V053_20[[#This Row],[FAENA EN  LTS]]</f>
        <v>100</v>
      </c>
      <c r="AI11" s="37"/>
      <c r="AJ11" s="37"/>
      <c r="AK11" s="302">
        <f>(AK10-V053_20[[#This Row],[HIDRAULICO]])+V053_20[[#This Row],[FAENA EN LTS3]]</f>
        <v>100</v>
      </c>
    </row>
    <row r="12" spans="1:37" x14ac:dyDescent="0.25">
      <c r="A12" s="272" t="s">
        <v>44</v>
      </c>
      <c r="B12" s="48">
        <v>43854</v>
      </c>
      <c r="C12" s="41">
        <v>0.82500000000000007</v>
      </c>
      <c r="D12" s="42">
        <f>IF(V053_20[[#This Row],[FECHA]]-B11=1,((V053_20[[#This Row],[HORA]]-C11)*24)+24,(V053_20[[#This Row],[HORA]]-C11)*24)</f>
        <v>11.800000000000002</v>
      </c>
      <c r="E12" s="45" t="s">
        <v>71</v>
      </c>
      <c r="F12" s="66" t="s">
        <v>136</v>
      </c>
      <c r="G12" s="49"/>
      <c r="H12" s="50"/>
      <c r="I12" s="33">
        <f>IF(ISERROR(V053_20[[#This Row],[DISTANCIA POR CARTA]]/V053_20[[#This Row],[TIEMPO DE NAVEGACION]]),0,V053_20[[#This Row],[DISTANCIA POR CARTA]]/V053_20[[#This Row],[TIEMPO DE NAVEGACION]])</f>
        <v>0</v>
      </c>
      <c r="J12" s="51"/>
      <c r="K12" s="52"/>
      <c r="L12" s="53">
        <v>0</v>
      </c>
      <c r="M12" s="37">
        <v>1.229166666666667</v>
      </c>
      <c r="N12" s="37">
        <v>0.9833333333333335</v>
      </c>
      <c r="O12" s="418">
        <f>SUM(V053_20[[#This Row],[MPAL]:[CALDERA]])</f>
        <v>2.2125000000000004</v>
      </c>
      <c r="P12" s="88"/>
      <c r="Q12" s="270">
        <f>(Q11 -V053_20[[#This Row],[TOTAL ]])+V053_20[[#This Row],[FAENA]]</f>
        <v>156.58958333333334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63">
        <f>SUM(V053_20[[#This Row],[MPAL2]:[GI]])</f>
        <v>0</v>
      </c>
      <c r="X12" s="37"/>
      <c r="Y12" s="335">
        <f>(Y11-V053_20[[#This Row],[TOTAL]])+V053_20[[#This Row],[FAENA2]]</f>
        <v>65.3</v>
      </c>
      <c r="Z12" s="53"/>
      <c r="AA12" s="37"/>
      <c r="AB12" s="301">
        <f>(AB11-V053_20[[#This Row],[CYLINDER MP]])+V053_20[[#This Row],[FAENA EN LTS]]</f>
        <v>100</v>
      </c>
      <c r="AC12" s="37"/>
      <c r="AD12" s="37"/>
      <c r="AE12" s="301">
        <f>(AE11-V053_20[[#This Row],[CARTER MP.]])+V053_20[[#This Row],[FAENA EN LTS2]]</f>
        <v>100</v>
      </c>
      <c r="AF12" s="37"/>
      <c r="AG12" s="37"/>
      <c r="AH12" s="301">
        <f>(AH11-V053_20[[#This Row],[MOT AUX]])+V053_20[[#This Row],[FAENA EN  LTS]]</f>
        <v>100</v>
      </c>
      <c r="AI12" s="37"/>
      <c r="AJ12" s="37"/>
      <c r="AK12" s="302">
        <f>(AK11-V053_20[[#This Row],[HIDRAULICO]])+V053_20[[#This Row],[FAENA EN LTS3]]</f>
        <v>100</v>
      </c>
    </row>
    <row r="13" spans="1:37" x14ac:dyDescent="0.25">
      <c r="A13" s="272" t="s">
        <v>44</v>
      </c>
      <c r="B13" s="48">
        <v>43855</v>
      </c>
      <c r="C13" s="41">
        <v>0.14166666666666666</v>
      </c>
      <c r="D13" s="42">
        <f>IF(V053_20[[#This Row],[FECHA]]-B12=1,((V053_20[[#This Row],[HORA]]-C12)*24)+24,(V053_20[[#This Row],[HORA]]-C12)*24)</f>
        <v>7.6000000000000014</v>
      </c>
      <c r="E13" s="45" t="s">
        <v>49</v>
      </c>
      <c r="F13" s="66" t="s">
        <v>134</v>
      </c>
      <c r="G13" s="49"/>
      <c r="H13" s="50"/>
      <c r="I13" s="33">
        <f>IF(ISERROR(V053_20[[#This Row],[DISTANCIA POR CARTA]]/V053_20[[#This Row],[TIEMPO DE NAVEGACION]]),0,V053_20[[#This Row],[DISTANCIA POR CARTA]]/V053_20[[#This Row],[TIEMPO DE NAVEGACION]])</f>
        <v>0</v>
      </c>
      <c r="J13" s="51"/>
      <c r="K13" s="52"/>
      <c r="L13" s="53">
        <v>0</v>
      </c>
      <c r="M13" s="37">
        <v>0.79166666666666685</v>
      </c>
      <c r="N13" s="37">
        <v>0.63333333333333341</v>
      </c>
      <c r="O13" s="418">
        <f>SUM(V053_20[[#This Row],[MPAL]:[CALDERA]])</f>
        <v>1.4250000000000003</v>
      </c>
      <c r="P13" s="88"/>
      <c r="Q13" s="270">
        <f>(Q12 -V053_20[[#This Row],[TOTAL ]])+V053_20[[#This Row],[FAENA]]</f>
        <v>155.16458333333333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63">
        <f>SUM(V053_20[[#This Row],[MPAL2]:[GI]])</f>
        <v>0</v>
      </c>
      <c r="X13" s="37"/>
      <c r="Y13" s="335">
        <f>(Y12-V053_20[[#This Row],[TOTAL]])+V053_20[[#This Row],[FAENA2]]</f>
        <v>65.3</v>
      </c>
      <c r="Z13" s="53"/>
      <c r="AA13" s="37"/>
      <c r="AB13" s="301">
        <f>(AB12-V053_20[[#This Row],[CYLINDER MP]])+V053_20[[#This Row],[FAENA EN LTS]]</f>
        <v>100</v>
      </c>
      <c r="AC13" s="37"/>
      <c r="AD13" s="37"/>
      <c r="AE13" s="301">
        <f>(AE12-V053_20[[#This Row],[CARTER MP.]])+V053_20[[#This Row],[FAENA EN LTS2]]</f>
        <v>100</v>
      </c>
      <c r="AF13" s="37"/>
      <c r="AG13" s="37"/>
      <c r="AH13" s="301">
        <f>(AH12-V053_20[[#This Row],[MOT AUX]])+V053_20[[#This Row],[FAENA EN  LTS]]</f>
        <v>100</v>
      </c>
      <c r="AI13" s="37"/>
      <c r="AJ13" s="37"/>
      <c r="AK13" s="302">
        <f>(AK12-V053_20[[#This Row],[HIDRAULICO]])+V053_20[[#This Row],[FAENA EN LTS3]]</f>
        <v>100</v>
      </c>
    </row>
    <row r="14" spans="1:37" x14ac:dyDescent="0.25">
      <c r="A14" s="272" t="s">
        <v>44</v>
      </c>
      <c r="B14" s="48">
        <v>43855</v>
      </c>
      <c r="C14" s="41">
        <v>0.19166666666666665</v>
      </c>
      <c r="D14" s="42">
        <f>IF(V053_20[[#This Row],[FECHA]]-B13=1,((V053_20[[#This Row],[HORA]]-C13)*24)+24,(V053_20[[#This Row],[HORA]]-C13)*24)</f>
        <v>1.1999999999999997</v>
      </c>
      <c r="E14" s="45" t="s">
        <v>47</v>
      </c>
      <c r="F14" s="66" t="s">
        <v>146</v>
      </c>
      <c r="G14" s="49"/>
      <c r="H14" s="50"/>
      <c r="I14" s="33">
        <f>IF(ISERROR(V053_20[[#This Row],[DISTANCIA POR CARTA]]/V053_20[[#This Row],[TIEMPO DE NAVEGACION]]),0,V053_20[[#This Row],[DISTANCIA POR CARTA]]/V053_20[[#This Row],[TIEMPO DE NAVEGACION]])</f>
        <v>0</v>
      </c>
      <c r="J14" s="51"/>
      <c r="K14" s="52"/>
      <c r="L14" s="53">
        <v>0.24999999999999994</v>
      </c>
      <c r="M14" s="37">
        <v>0.12499999999999997</v>
      </c>
      <c r="N14" s="37">
        <v>9.9999999999999978E-2</v>
      </c>
      <c r="O14" s="418">
        <f>SUM(V053_20[[#This Row],[MPAL]:[CALDERA]])</f>
        <v>0.47499999999999987</v>
      </c>
      <c r="P14" s="88"/>
      <c r="Q14" s="270">
        <f>(Q13 -V053_20[[#This Row],[TOTAL ]])+V053_20[[#This Row],[FAENA]]</f>
        <v>154.68958333333333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63">
        <f>SUM(V053_20[[#This Row],[MPAL2]:[GI]])</f>
        <v>0</v>
      </c>
      <c r="X14" s="37"/>
      <c r="Y14" s="335">
        <f>(Y13-V053_20[[#This Row],[TOTAL]])+V053_20[[#This Row],[FAENA2]]</f>
        <v>65.3</v>
      </c>
      <c r="Z14" s="53"/>
      <c r="AA14" s="37"/>
      <c r="AB14" s="301">
        <f>(AB13-V053_20[[#This Row],[CYLINDER MP]])+V053_20[[#This Row],[FAENA EN LTS]]</f>
        <v>100</v>
      </c>
      <c r="AC14" s="37"/>
      <c r="AD14" s="37"/>
      <c r="AE14" s="301">
        <f>(AE13-V053_20[[#This Row],[CARTER MP.]])+V053_20[[#This Row],[FAENA EN LTS2]]</f>
        <v>100</v>
      </c>
      <c r="AF14" s="37"/>
      <c r="AG14" s="37"/>
      <c r="AH14" s="301">
        <f>(AH13-V053_20[[#This Row],[MOT AUX]])+V053_20[[#This Row],[FAENA EN  LTS]]</f>
        <v>100</v>
      </c>
      <c r="AI14" s="37"/>
      <c r="AJ14" s="37"/>
      <c r="AK14" s="302">
        <f>(AK13-V053_20[[#This Row],[HIDRAULICO]])+V053_20[[#This Row],[FAENA EN LTS3]]</f>
        <v>100</v>
      </c>
    </row>
    <row r="15" spans="1:37" x14ac:dyDescent="0.25">
      <c r="A15" s="272" t="s">
        <v>44</v>
      </c>
      <c r="B15" s="48">
        <v>43855</v>
      </c>
      <c r="C15" s="41">
        <v>0.29166666666666669</v>
      </c>
      <c r="D15" s="42">
        <f>IF(V053_20[[#This Row],[FECHA]]-B14=1,((V053_20[[#This Row],[HORA]]-C14)*24)+24,(V053_20[[#This Row],[HORA]]-C14)*24)</f>
        <v>2.4000000000000008</v>
      </c>
      <c r="E15" s="45" t="s">
        <v>45</v>
      </c>
      <c r="F15" s="66" t="s">
        <v>134</v>
      </c>
      <c r="G15" s="49"/>
      <c r="H15" s="50"/>
      <c r="I15" s="33">
        <f>IF(ISERROR(V053_20[[#This Row],[DISTANCIA POR CARTA]]/V053_20[[#This Row],[TIEMPO DE NAVEGACION]]),0,V053_20[[#This Row],[DISTANCIA POR CARTA]]/V053_20[[#This Row],[TIEMPO DE NAVEGACION]])</f>
        <v>0</v>
      </c>
      <c r="J15" s="51"/>
      <c r="K15" s="52"/>
      <c r="L15" s="53">
        <v>0</v>
      </c>
      <c r="M15" s="37">
        <v>0.25000000000000011</v>
      </c>
      <c r="N15" s="37">
        <v>0.20000000000000007</v>
      </c>
      <c r="O15" s="418">
        <f>SUM(V053_20[[#This Row],[MPAL]:[CALDERA]])</f>
        <v>0.45000000000000018</v>
      </c>
      <c r="P15" s="88"/>
      <c r="Q15" s="270">
        <f>(Q14 -V053_20[[#This Row],[TOTAL ]])+V053_20[[#This Row],[FAENA]]</f>
        <v>154.23958333333334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63">
        <f>SUM(V053_20[[#This Row],[MPAL2]:[GI]])</f>
        <v>0</v>
      </c>
      <c r="X15" s="37"/>
      <c r="Y15" s="335">
        <f>(Y14-V053_20[[#This Row],[TOTAL]])+V053_20[[#This Row],[FAENA2]]</f>
        <v>65.3</v>
      </c>
      <c r="Z15" s="53"/>
      <c r="AA15" s="37"/>
      <c r="AB15" s="301">
        <f>(AB14-V053_20[[#This Row],[CYLINDER MP]])+V053_20[[#This Row],[FAENA EN LTS]]</f>
        <v>100</v>
      </c>
      <c r="AC15" s="37"/>
      <c r="AD15" s="37"/>
      <c r="AE15" s="301">
        <f>(AE14-V053_20[[#This Row],[CARTER MP.]])+V053_20[[#This Row],[FAENA EN LTS2]]</f>
        <v>100</v>
      </c>
      <c r="AF15" s="37"/>
      <c r="AG15" s="37"/>
      <c r="AH15" s="301">
        <f>(AH14-V053_20[[#This Row],[MOT AUX]])+V053_20[[#This Row],[FAENA EN  LTS]]</f>
        <v>100</v>
      </c>
      <c r="AI15" s="37"/>
      <c r="AJ15" s="37"/>
      <c r="AK15" s="302">
        <f>(AK14-V053_20[[#This Row],[HIDRAULICO]])+V053_20[[#This Row],[FAENA EN LTS3]]</f>
        <v>100</v>
      </c>
    </row>
    <row r="16" spans="1:37" x14ac:dyDescent="0.25">
      <c r="A16" s="272" t="s">
        <v>44</v>
      </c>
      <c r="B16" s="48">
        <v>43855</v>
      </c>
      <c r="C16" s="41">
        <v>0.3</v>
      </c>
      <c r="D16" s="42">
        <f>IF(V053_20[[#This Row],[FECHA]]-B15=1,((V053_20[[#This Row],[HORA]]-C15)*24)+24,(V053_20[[#This Row],[HORA]]-C15)*24)</f>
        <v>0.19999999999999929</v>
      </c>
      <c r="E16" s="45" t="s">
        <v>47</v>
      </c>
      <c r="F16" s="66" t="s">
        <v>75</v>
      </c>
      <c r="G16" s="49"/>
      <c r="H16" s="50"/>
      <c r="I16" s="33">
        <f>IF(ISERROR(V053_20[[#This Row],[DISTANCIA POR CARTA]]/V053_20[[#This Row],[TIEMPO DE NAVEGACION]]),0,V053_20[[#This Row],[DISTANCIA POR CARTA]]/V053_20[[#This Row],[TIEMPO DE NAVEGACION]])</f>
        <v>0</v>
      </c>
      <c r="J16" s="51"/>
      <c r="K16" s="52"/>
      <c r="L16" s="53">
        <v>8.3333333333333037E-2</v>
      </c>
      <c r="M16" s="37">
        <v>2.0833333333333259E-2</v>
      </c>
      <c r="N16" s="37">
        <v>1.6666666666666607E-2</v>
      </c>
      <c r="O16" s="418">
        <f>SUM(V053_20[[#This Row],[MPAL]:[CALDERA]])</f>
        <v>0.1208333333333329</v>
      </c>
      <c r="P16" s="88"/>
      <c r="Q16" s="270">
        <f>(Q15 -V053_20[[#This Row],[TOTAL ]])+V053_20[[#This Row],[FAENA]]</f>
        <v>154.11875000000001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63">
        <f>SUM(V053_20[[#This Row],[MPAL2]:[GI]])</f>
        <v>0</v>
      </c>
      <c r="X16" s="37"/>
      <c r="Y16" s="335">
        <f>(Y15-V053_20[[#This Row],[TOTAL]])+V053_20[[#This Row],[FAENA2]]</f>
        <v>65.3</v>
      </c>
      <c r="Z16" s="53"/>
      <c r="AA16" s="37"/>
      <c r="AB16" s="301">
        <f>(AB15-V053_20[[#This Row],[CYLINDER MP]])+V053_20[[#This Row],[FAENA EN LTS]]</f>
        <v>100</v>
      </c>
      <c r="AC16" s="37"/>
      <c r="AD16" s="37"/>
      <c r="AE16" s="301">
        <f>(AE15-V053_20[[#This Row],[CARTER MP.]])+V053_20[[#This Row],[FAENA EN LTS2]]</f>
        <v>100</v>
      </c>
      <c r="AF16" s="37"/>
      <c r="AG16" s="37"/>
      <c r="AH16" s="301">
        <f>(AH15-V053_20[[#This Row],[MOT AUX]])+V053_20[[#This Row],[FAENA EN  LTS]]</f>
        <v>100</v>
      </c>
      <c r="AI16" s="37"/>
      <c r="AJ16" s="37"/>
      <c r="AK16" s="302">
        <f>(AK15-V053_20[[#This Row],[HIDRAULICO]])+V053_20[[#This Row],[FAENA EN LTS3]]</f>
        <v>100</v>
      </c>
    </row>
    <row r="17" spans="1:37" x14ac:dyDescent="0.25">
      <c r="A17" s="272" t="s">
        <v>44</v>
      </c>
      <c r="B17" s="48">
        <v>43855</v>
      </c>
      <c r="C17" s="41">
        <v>0.33333333333333331</v>
      </c>
      <c r="D17" s="42">
        <f>IF(V053_20[[#This Row],[FECHA]]-B16=1,((V053_20[[#This Row],[HORA]]-C16)*24)+24,(V053_20[[#This Row],[HORA]]-C16)*24)</f>
        <v>0.79999999999999982</v>
      </c>
      <c r="E17" s="45" t="s">
        <v>55</v>
      </c>
      <c r="F17" s="66" t="s">
        <v>110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 t="s">
        <v>54</v>
      </c>
      <c r="K17" s="52">
        <v>95</v>
      </c>
      <c r="L17" s="53">
        <v>0.73333333333333317</v>
      </c>
      <c r="M17" s="37">
        <v>8.3333333333333315E-2</v>
      </c>
      <c r="N17" s="37">
        <v>0</v>
      </c>
      <c r="O17" s="418">
        <f>SUM(V053_20[[#This Row],[MPAL]:[CALDERA]])</f>
        <v>0.81666666666666643</v>
      </c>
      <c r="P17" s="88"/>
      <c r="Q17" s="270">
        <f>(Q16 -V053_20[[#This Row],[TOTAL ]])+V053_20[[#This Row],[FAENA]]</f>
        <v>153.30208333333334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63">
        <f>SUM(V053_20[[#This Row],[MPAL2]:[GI]])</f>
        <v>0</v>
      </c>
      <c r="X17" s="37"/>
      <c r="Y17" s="335">
        <f>(Y16-V053_20[[#This Row],[TOTAL]])+V053_20[[#This Row],[FAENA2]]</f>
        <v>65.3</v>
      </c>
      <c r="Z17" s="53"/>
      <c r="AA17" s="37"/>
      <c r="AB17" s="301">
        <f>(AB16-V053_20[[#This Row],[CYLINDER MP]])+V053_20[[#This Row],[FAENA EN LTS]]</f>
        <v>100</v>
      </c>
      <c r="AC17" s="37"/>
      <c r="AD17" s="37"/>
      <c r="AE17" s="301">
        <f>(AE16-V053_20[[#This Row],[CARTER MP.]])+V053_20[[#This Row],[FAENA EN LTS2]]</f>
        <v>100</v>
      </c>
      <c r="AF17" s="37"/>
      <c r="AG17" s="37"/>
      <c r="AH17" s="301">
        <f>(AH16-V053_20[[#This Row],[MOT AUX]])+V053_20[[#This Row],[FAENA EN  LTS]]</f>
        <v>100</v>
      </c>
      <c r="AI17" s="37"/>
      <c r="AJ17" s="37"/>
      <c r="AK17" s="302">
        <f>(AK16-V053_20[[#This Row],[HIDRAULICO]])+V053_20[[#This Row],[FAENA EN LTS3]]</f>
        <v>100</v>
      </c>
    </row>
    <row r="18" spans="1:37" x14ac:dyDescent="0.25">
      <c r="A18" s="272" t="s">
        <v>44</v>
      </c>
      <c r="B18" s="48">
        <v>43855</v>
      </c>
      <c r="C18" s="41">
        <v>0.63750000000000007</v>
      </c>
      <c r="D18" s="42">
        <f>IF(V053_20[[#This Row],[FECHA]]-B17=1,((V053_20[[#This Row],[HORA]]-C17)*24)+24,(V053_20[[#This Row],[HORA]]-C17)*24)</f>
        <v>7.3000000000000025</v>
      </c>
      <c r="E18" s="45" t="s">
        <v>55</v>
      </c>
      <c r="F18" s="66" t="s">
        <v>76</v>
      </c>
      <c r="G18" s="49">
        <v>91</v>
      </c>
      <c r="H18" s="50">
        <v>8.1</v>
      </c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 t="s">
        <v>117</v>
      </c>
      <c r="K18" s="52">
        <v>95</v>
      </c>
      <c r="L18" s="53">
        <v>6.6916666666666691</v>
      </c>
      <c r="M18" s="37">
        <v>0.76041666666666696</v>
      </c>
      <c r="N18" s="37">
        <v>0</v>
      </c>
      <c r="O18" s="418">
        <f>SUM(V053_20[[#This Row],[MPAL]:[CALDERA]])</f>
        <v>7.4520833333333361</v>
      </c>
      <c r="P18" s="88"/>
      <c r="Q18" s="270">
        <f>(Q17 -V053_20[[#This Row],[TOTAL ]])+V053_20[[#This Row],[FAENA]]</f>
        <v>145.85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63">
        <f>SUM(V053_20[[#This Row],[MPAL2]:[GI]])</f>
        <v>0</v>
      </c>
      <c r="X18" s="37"/>
      <c r="Y18" s="335">
        <f>(Y17-V053_20[[#This Row],[TOTAL]])+V053_20[[#This Row],[FAENA2]]</f>
        <v>65.3</v>
      </c>
      <c r="Z18" s="53"/>
      <c r="AA18" s="37"/>
      <c r="AB18" s="301">
        <f>(AB17-V053_20[[#This Row],[CYLINDER MP]])+V053_20[[#This Row],[FAENA EN LTS]]</f>
        <v>100</v>
      </c>
      <c r="AC18" s="37"/>
      <c r="AD18" s="37"/>
      <c r="AE18" s="301">
        <f>(AE17-V053_20[[#This Row],[CARTER MP.]])+V053_20[[#This Row],[FAENA EN LTS2]]</f>
        <v>100</v>
      </c>
      <c r="AF18" s="37"/>
      <c r="AG18" s="37"/>
      <c r="AH18" s="301">
        <f>(AH17-V053_20[[#This Row],[MOT AUX]])+V053_20[[#This Row],[FAENA EN  LTS]]</f>
        <v>100</v>
      </c>
      <c r="AI18" s="37"/>
      <c r="AJ18" s="37"/>
      <c r="AK18" s="302">
        <f>(AK17-V053_20[[#This Row],[HIDRAULICO]])+V053_20[[#This Row],[FAENA EN LTS3]]</f>
        <v>100</v>
      </c>
    </row>
    <row r="19" spans="1:37" x14ac:dyDescent="0.25">
      <c r="A19" s="272" t="s">
        <v>44</v>
      </c>
      <c r="B19" s="48">
        <v>43855</v>
      </c>
      <c r="C19" s="41">
        <v>0.71250000000000002</v>
      </c>
      <c r="D19" s="42">
        <f>IF(V053_20[[#This Row],[FECHA]]-B18=1,((V053_20[[#This Row],[HORA]]-C18)*24)+24,(V053_20[[#This Row],[HORA]]-C18)*24)</f>
        <v>1.7999999999999989</v>
      </c>
      <c r="E19" s="45" t="s">
        <v>47</v>
      </c>
      <c r="F19" s="66" t="s">
        <v>78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0.22499999999999987</v>
      </c>
      <c r="M19" s="37">
        <v>0.18749999999999989</v>
      </c>
      <c r="N19" s="37">
        <v>0.14999999999999991</v>
      </c>
      <c r="O19" s="418">
        <f>SUM(V053_20[[#This Row],[MPAL]:[CALDERA]])</f>
        <v>0.56249999999999967</v>
      </c>
      <c r="P19" s="88"/>
      <c r="Q19" s="270">
        <f>(Q18 -V053_20[[#This Row],[TOTAL ]])+V053_20[[#This Row],[FAENA]]</f>
        <v>145.28749999999999</v>
      </c>
      <c r="R19" s="53">
        <v>0</v>
      </c>
      <c r="S19" s="37">
        <v>0</v>
      </c>
      <c r="T19" s="37">
        <v>0</v>
      </c>
      <c r="U19" s="37">
        <v>0</v>
      </c>
      <c r="V19" s="37">
        <v>0</v>
      </c>
      <c r="W19" s="63">
        <f>SUM(V053_20[[#This Row],[MPAL2]:[GI]])</f>
        <v>0</v>
      </c>
      <c r="X19" s="37"/>
      <c r="Y19" s="335">
        <f>(Y18-V053_20[[#This Row],[TOTAL]])+V053_20[[#This Row],[FAENA2]]</f>
        <v>65.3</v>
      </c>
      <c r="Z19" s="53"/>
      <c r="AA19" s="37"/>
      <c r="AB19" s="301">
        <f>(AB18-V053_20[[#This Row],[CYLINDER MP]])+V053_20[[#This Row],[FAENA EN LTS]]</f>
        <v>100</v>
      </c>
      <c r="AC19" s="37"/>
      <c r="AD19" s="37"/>
      <c r="AE19" s="301">
        <f>(AE18-V053_20[[#This Row],[CARTER MP.]])+V053_20[[#This Row],[FAENA EN LTS2]]</f>
        <v>100</v>
      </c>
      <c r="AF19" s="37"/>
      <c r="AG19" s="37"/>
      <c r="AH19" s="301">
        <f>(AH18-V053_20[[#This Row],[MOT AUX]])+V053_20[[#This Row],[FAENA EN  LTS]]</f>
        <v>100</v>
      </c>
      <c r="AI19" s="37"/>
      <c r="AJ19" s="37"/>
      <c r="AK19" s="302">
        <f>(AK18-V053_20[[#This Row],[HIDRAULICO]])+V053_20[[#This Row],[FAENA EN LTS3]]</f>
        <v>100</v>
      </c>
    </row>
    <row r="20" spans="1:37" x14ac:dyDescent="0.25">
      <c r="A20" s="272" t="s">
        <v>44</v>
      </c>
      <c r="B20" s="48">
        <v>43855</v>
      </c>
      <c r="C20" s="41">
        <v>0.85416666666666663</v>
      </c>
      <c r="D20" s="42">
        <f>IF(V053_20[[#This Row],[FECHA]]-B19=1,((V053_20[[#This Row],[HORA]]-C19)*24)+24,(V053_20[[#This Row],[HORA]]-C19)*24)</f>
        <v>3.3999999999999986</v>
      </c>
      <c r="E20" s="45" t="s">
        <v>49</v>
      </c>
      <c r="F20" s="66" t="s">
        <v>147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0.35416666666666652</v>
      </c>
      <c r="N20" s="37">
        <v>0.28333333333333321</v>
      </c>
      <c r="O20" s="418">
        <f>SUM(V053_20[[#This Row],[MPAL]:[CALDERA]])</f>
        <v>0.63749999999999973</v>
      </c>
      <c r="P20" s="88"/>
      <c r="Q20" s="270">
        <f>(Q19 -V053_20[[#This Row],[TOTAL ]])+V053_20[[#This Row],[FAENA]]</f>
        <v>144.65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63">
        <f>SUM(V053_20[[#This Row],[MPAL2]:[GI]])</f>
        <v>0</v>
      </c>
      <c r="X20" s="37"/>
      <c r="Y20" s="335">
        <f>(Y19-V053_20[[#This Row],[TOTAL]])+V053_20[[#This Row],[FAENA2]]</f>
        <v>65.3</v>
      </c>
      <c r="Z20" s="53"/>
      <c r="AA20" s="37"/>
      <c r="AB20" s="301">
        <f>(AB19-V053_20[[#This Row],[CYLINDER MP]])+V053_20[[#This Row],[FAENA EN LTS]]</f>
        <v>100</v>
      </c>
      <c r="AC20" s="37"/>
      <c r="AD20" s="37"/>
      <c r="AE20" s="301">
        <f>(AE19-V053_20[[#This Row],[CARTER MP.]])+V053_20[[#This Row],[FAENA EN LTS2]]</f>
        <v>100</v>
      </c>
      <c r="AF20" s="37"/>
      <c r="AG20" s="37"/>
      <c r="AH20" s="301">
        <f>(AH19-V053_20[[#This Row],[MOT AUX]])+V053_20[[#This Row],[FAENA EN  LTS]]</f>
        <v>100</v>
      </c>
      <c r="AI20" s="37"/>
      <c r="AJ20" s="37"/>
      <c r="AK20" s="302">
        <f>(AK19-V053_20[[#This Row],[HIDRAULICO]])+V053_20[[#This Row],[FAENA EN LTS3]]</f>
        <v>100</v>
      </c>
    </row>
    <row r="21" spans="1:37" x14ac:dyDescent="0.25">
      <c r="A21" s="272" t="s">
        <v>44</v>
      </c>
      <c r="B21" s="48">
        <v>43856</v>
      </c>
      <c r="C21" s="41">
        <v>0.33333333333333331</v>
      </c>
      <c r="D21" s="42">
        <f>IF(V053_20[[#This Row],[FECHA]]-B20=1,((V053_20[[#This Row],[HORA]]-C20)*24)+24,(V053_20[[#This Row],[HORA]]-C20)*24)</f>
        <v>11.500000000000002</v>
      </c>
      <c r="E21" s="45" t="s">
        <v>51</v>
      </c>
      <c r="F21" s="66" t="s">
        <v>110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/>
      <c r="K21" s="52"/>
      <c r="L21" s="53">
        <v>0</v>
      </c>
      <c r="M21" s="37">
        <v>1.197916666666667</v>
      </c>
      <c r="N21" s="37">
        <v>0.95833333333333348</v>
      </c>
      <c r="O21" s="418">
        <f>SUM(V053_20[[#This Row],[MPAL]:[CALDERA]])</f>
        <v>2.1562500000000004</v>
      </c>
      <c r="P21" s="88"/>
      <c r="Q21" s="270">
        <f>(Q20 -V053_20[[#This Row],[TOTAL ]])+V053_20[[#This Row],[FAENA]]</f>
        <v>142.49375000000001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63">
        <f>SUM(V053_20[[#This Row],[MPAL2]:[GI]])</f>
        <v>0</v>
      </c>
      <c r="X21" s="37"/>
      <c r="Y21" s="335">
        <f>(Y20-V053_20[[#This Row],[TOTAL]])+V053_20[[#This Row],[FAENA2]]</f>
        <v>65.3</v>
      </c>
      <c r="Z21" s="53"/>
      <c r="AA21" s="37"/>
      <c r="AB21" s="301">
        <f>(AB20-V053_20[[#This Row],[CYLINDER MP]])+V053_20[[#This Row],[FAENA EN LTS]]</f>
        <v>100</v>
      </c>
      <c r="AC21" s="37"/>
      <c r="AD21" s="37"/>
      <c r="AE21" s="301">
        <f>(AE20-V053_20[[#This Row],[CARTER MP.]])+V053_20[[#This Row],[FAENA EN LTS2]]</f>
        <v>100</v>
      </c>
      <c r="AF21" s="37"/>
      <c r="AG21" s="37"/>
      <c r="AH21" s="301">
        <f>(AH20-V053_20[[#This Row],[MOT AUX]])+V053_20[[#This Row],[FAENA EN  LTS]]</f>
        <v>100</v>
      </c>
      <c r="AI21" s="37"/>
      <c r="AJ21" s="37"/>
      <c r="AK21" s="302">
        <f>(AK20-V053_20[[#This Row],[HIDRAULICO]])+V053_20[[#This Row],[FAENA EN LTS3]]</f>
        <v>100</v>
      </c>
    </row>
    <row r="22" spans="1:37" x14ac:dyDescent="0.25">
      <c r="A22" s="272" t="s">
        <v>44</v>
      </c>
      <c r="B22" s="48">
        <v>43857</v>
      </c>
      <c r="C22" s="41">
        <v>0.33333333333333331</v>
      </c>
      <c r="D22" s="42">
        <f>IF(V053_20[[#This Row],[FECHA]]-B21=1,((V053_20[[#This Row],[HORA]]-C21)*24)+24,(V053_20[[#This Row],[HORA]]-C21)*24)</f>
        <v>24</v>
      </c>
      <c r="E22" s="45" t="s">
        <v>51</v>
      </c>
      <c r="F22" s="66" t="s">
        <v>110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/>
      <c r="K22" s="52"/>
      <c r="L22" s="53">
        <v>0</v>
      </c>
      <c r="M22" s="37">
        <v>2.5</v>
      </c>
      <c r="N22" s="37">
        <v>2</v>
      </c>
      <c r="O22" s="418">
        <f>SUM(V053_20[[#This Row],[MPAL]:[CALDERA]])</f>
        <v>4.5</v>
      </c>
      <c r="P22" s="88"/>
      <c r="Q22" s="270">
        <f>(Q21 -V053_20[[#This Row],[TOTAL ]])+V053_20[[#This Row],[FAENA]]</f>
        <v>137.99375000000001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63">
        <f>SUM(V053_20[[#This Row],[MPAL2]:[GI]])</f>
        <v>0</v>
      </c>
      <c r="X22" s="37"/>
      <c r="Y22" s="335">
        <f>(Y21-V053_20[[#This Row],[TOTAL]])+V053_20[[#This Row],[FAENA2]]</f>
        <v>65.3</v>
      </c>
      <c r="Z22" s="53"/>
      <c r="AA22" s="37"/>
      <c r="AB22" s="301">
        <f>(AB21-V053_20[[#This Row],[CYLINDER MP]])+V053_20[[#This Row],[FAENA EN LTS]]</f>
        <v>100</v>
      </c>
      <c r="AC22" s="37"/>
      <c r="AD22" s="37"/>
      <c r="AE22" s="301">
        <f>(AE21-V053_20[[#This Row],[CARTER MP.]])+V053_20[[#This Row],[FAENA EN LTS2]]</f>
        <v>100</v>
      </c>
      <c r="AF22" s="37"/>
      <c r="AG22" s="37"/>
      <c r="AH22" s="301">
        <f>(AH21-V053_20[[#This Row],[MOT AUX]])+V053_20[[#This Row],[FAENA EN  LTS]]</f>
        <v>100</v>
      </c>
      <c r="AI22" s="37"/>
      <c r="AJ22" s="37"/>
      <c r="AK22" s="302">
        <f>(AK21-V053_20[[#This Row],[HIDRAULICO]])+V053_20[[#This Row],[FAENA EN LTS3]]</f>
        <v>100</v>
      </c>
    </row>
    <row r="23" spans="1:37" x14ac:dyDescent="0.25">
      <c r="A23" s="272" t="s">
        <v>44</v>
      </c>
      <c r="B23" s="48">
        <v>43857</v>
      </c>
      <c r="C23" s="41">
        <v>0.97916666666666663</v>
      </c>
      <c r="D23" s="42">
        <f>IF(V053_20[[#This Row],[FECHA]]-B22=1,((V053_20[[#This Row],[HORA]]-C22)*24)+24,(V053_20[[#This Row],[HORA]]-C22)*24)</f>
        <v>15.499999999999998</v>
      </c>
      <c r="E23" s="45" t="s">
        <v>51</v>
      </c>
      <c r="F23" s="66" t="s">
        <v>138</v>
      </c>
      <c r="G23" s="49"/>
      <c r="H23" s="50"/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/>
      <c r="K23" s="52"/>
      <c r="L23" s="53">
        <v>0</v>
      </c>
      <c r="M23" s="37">
        <v>1.6145833333333333</v>
      </c>
      <c r="N23" s="37">
        <v>1.2916666666666665</v>
      </c>
      <c r="O23" s="418">
        <f>SUM(V053_20[[#This Row],[MPAL]:[CALDERA]])</f>
        <v>2.90625</v>
      </c>
      <c r="P23" s="88"/>
      <c r="Q23" s="270">
        <f>(Q22 -V053_20[[#This Row],[TOTAL ]])+V053_20[[#This Row],[FAENA]]</f>
        <v>135.08750000000001</v>
      </c>
      <c r="R23" s="53">
        <v>0</v>
      </c>
      <c r="S23" s="37">
        <v>0</v>
      </c>
      <c r="T23" s="37">
        <v>0</v>
      </c>
      <c r="U23" s="37">
        <v>0</v>
      </c>
      <c r="V23" s="37">
        <v>1.9</v>
      </c>
      <c r="W23" s="63">
        <f>SUM(V053_20[[#This Row],[MPAL2]:[GI]])</f>
        <v>1.9</v>
      </c>
      <c r="X23" s="37"/>
      <c r="Y23" s="335">
        <f>(Y22-V053_20[[#This Row],[TOTAL]])+V053_20[[#This Row],[FAENA2]]</f>
        <v>63.4</v>
      </c>
      <c r="Z23" s="53"/>
      <c r="AA23" s="37"/>
      <c r="AB23" s="301">
        <f>(AB22-V053_20[[#This Row],[CYLINDER MP]])+V053_20[[#This Row],[FAENA EN LTS]]</f>
        <v>100</v>
      </c>
      <c r="AC23" s="37"/>
      <c r="AD23" s="37"/>
      <c r="AE23" s="301">
        <f>(AE22-V053_20[[#This Row],[CARTER MP.]])+V053_20[[#This Row],[FAENA EN LTS2]]</f>
        <v>100</v>
      </c>
      <c r="AF23" s="37"/>
      <c r="AG23" s="37"/>
      <c r="AH23" s="301">
        <f>(AH22-V053_20[[#This Row],[MOT AUX]])+V053_20[[#This Row],[FAENA EN  LTS]]</f>
        <v>100</v>
      </c>
      <c r="AI23" s="37"/>
      <c r="AJ23" s="37"/>
      <c r="AK23" s="302">
        <f>(AK22-V053_20[[#This Row],[HIDRAULICO]])+V053_20[[#This Row],[FAENA EN LTS3]]</f>
        <v>100</v>
      </c>
    </row>
    <row r="24" spans="1:37" x14ac:dyDescent="0.25">
      <c r="A24" s="272" t="s">
        <v>44</v>
      </c>
      <c r="B24" s="48">
        <v>43858</v>
      </c>
      <c r="C24" s="41">
        <v>0.1125</v>
      </c>
      <c r="D24" s="42">
        <f>IF(V053_20[[#This Row],[FECHA]]-B23=1,((V053_20[[#This Row],[HORA]]-C23)*24)+24,(V053_20[[#This Row],[HORA]]-C23)*24)</f>
        <v>3.2000000000000028</v>
      </c>
      <c r="E24" s="45" t="s">
        <v>49</v>
      </c>
      <c r="F24" s="66" t="s">
        <v>137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</v>
      </c>
      <c r="M24" s="37">
        <v>0.33333333333333365</v>
      </c>
      <c r="N24" s="37">
        <v>0.26666666666666689</v>
      </c>
      <c r="O24" s="418">
        <f>SUM(V053_20[[#This Row],[MPAL]:[CALDERA]])</f>
        <v>0.60000000000000053</v>
      </c>
      <c r="P24" s="88"/>
      <c r="Q24" s="270">
        <f>(Q23 -V053_20[[#This Row],[TOTAL ]])+V053_20[[#This Row],[FAENA]]</f>
        <v>134.48750000000001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63">
        <f>SUM(V053_20[[#This Row],[MPAL2]:[GI]])</f>
        <v>0</v>
      </c>
      <c r="X24" s="37"/>
      <c r="Y24" s="335">
        <f>(Y23-V053_20[[#This Row],[TOTAL]])+V053_20[[#This Row],[FAENA2]]</f>
        <v>63.4</v>
      </c>
      <c r="Z24" s="53"/>
      <c r="AA24" s="37"/>
      <c r="AB24" s="301">
        <f>(AB23-V053_20[[#This Row],[CYLINDER MP]])+V053_20[[#This Row],[FAENA EN LTS]]</f>
        <v>100</v>
      </c>
      <c r="AC24" s="37"/>
      <c r="AD24" s="37"/>
      <c r="AE24" s="301">
        <f>(AE23-V053_20[[#This Row],[CARTER MP.]])+V053_20[[#This Row],[FAENA EN LTS2]]</f>
        <v>100</v>
      </c>
      <c r="AF24" s="37"/>
      <c r="AG24" s="37"/>
      <c r="AH24" s="301">
        <f>(AH23-V053_20[[#This Row],[MOT AUX]])+V053_20[[#This Row],[FAENA EN  LTS]]</f>
        <v>100</v>
      </c>
      <c r="AI24" s="37"/>
      <c r="AJ24" s="37"/>
      <c r="AK24" s="302">
        <f>(AK23-V053_20[[#This Row],[HIDRAULICO]])+V053_20[[#This Row],[FAENA EN LTS3]]</f>
        <v>100</v>
      </c>
    </row>
    <row r="25" spans="1:37" x14ac:dyDescent="0.25">
      <c r="A25" s="272" t="s">
        <v>44</v>
      </c>
      <c r="B25" s="48">
        <v>43858</v>
      </c>
      <c r="C25" s="41">
        <v>0.13749999999999998</v>
      </c>
      <c r="D25" s="42">
        <f>IF(V053_20[[#This Row],[FECHA]]-B24=1,((V053_20[[#This Row],[HORA]]-C24)*24)+24,(V053_20[[#This Row],[HORA]]-C24)*24)</f>
        <v>0.59999999999999953</v>
      </c>
      <c r="E25" s="45" t="s">
        <v>47</v>
      </c>
      <c r="F25" s="66" t="s">
        <v>79</v>
      </c>
      <c r="G25" s="49"/>
      <c r="H25" s="50"/>
      <c r="I25" s="33">
        <f>IF(ISERROR(V053_20[[#This Row],[DISTANCIA POR CARTA]]/V053_20[[#This Row],[TIEMPO DE NAVEGACION]]),0,V053_20[[#This Row],[DISTANCIA POR CARTA]]/V053_20[[#This Row],[TIEMPO DE NAVEGACION]])</f>
        <v>0</v>
      </c>
      <c r="J25" s="51"/>
      <c r="K25" s="52"/>
      <c r="L25" s="53">
        <v>2.4999999999999981E-2</v>
      </c>
      <c r="M25" s="37">
        <v>6.2499999999999951E-2</v>
      </c>
      <c r="N25" s="37">
        <v>4.9999999999999961E-2</v>
      </c>
      <c r="O25" s="418">
        <f>SUM(V053_20[[#This Row],[MPAL]:[CALDERA]])</f>
        <v>0.1374999999999999</v>
      </c>
      <c r="P25" s="88"/>
      <c r="Q25" s="270">
        <f>(Q24 -V053_20[[#This Row],[TOTAL ]])+V053_20[[#This Row],[FAENA]]</f>
        <v>134.35000000000002</v>
      </c>
      <c r="R25" s="53">
        <v>0</v>
      </c>
      <c r="S25" s="37">
        <v>0</v>
      </c>
      <c r="T25" s="37">
        <v>0</v>
      </c>
      <c r="U25" s="37">
        <v>0</v>
      </c>
      <c r="V25" s="37">
        <v>0</v>
      </c>
      <c r="W25" s="63">
        <f>SUM(V053_20[[#This Row],[MPAL2]:[GI]])</f>
        <v>0</v>
      </c>
      <c r="X25" s="37"/>
      <c r="Y25" s="335">
        <f>(Y24-V053_20[[#This Row],[TOTAL]])+V053_20[[#This Row],[FAENA2]]</f>
        <v>63.4</v>
      </c>
      <c r="Z25" s="53"/>
      <c r="AA25" s="37"/>
      <c r="AB25" s="301">
        <f>(AB24-V053_20[[#This Row],[CYLINDER MP]])+V053_20[[#This Row],[FAENA EN LTS]]</f>
        <v>100</v>
      </c>
      <c r="AC25" s="37"/>
      <c r="AD25" s="37"/>
      <c r="AE25" s="301">
        <f>(AE24-V053_20[[#This Row],[CARTER MP.]])+V053_20[[#This Row],[FAENA EN LTS2]]</f>
        <v>100</v>
      </c>
      <c r="AF25" s="37"/>
      <c r="AG25" s="37"/>
      <c r="AH25" s="301">
        <f>(AH24-V053_20[[#This Row],[MOT AUX]])+V053_20[[#This Row],[FAENA EN  LTS]]</f>
        <v>100</v>
      </c>
      <c r="AI25" s="37"/>
      <c r="AJ25" s="37"/>
      <c r="AK25" s="302">
        <f>(AK24-V053_20[[#This Row],[HIDRAULICO]])+V053_20[[#This Row],[FAENA EN LTS3]]</f>
        <v>100</v>
      </c>
    </row>
    <row r="26" spans="1:37" x14ac:dyDescent="0.25">
      <c r="A26" s="272" t="s">
        <v>44</v>
      </c>
      <c r="B26" s="48">
        <v>43858</v>
      </c>
      <c r="C26" s="41">
        <v>0.33333333333333331</v>
      </c>
      <c r="D26" s="42">
        <f>IF(V053_20[[#This Row],[FECHA]]-B25=1,((V053_20[[#This Row],[HORA]]-C25)*24)+24,(V053_20[[#This Row],[HORA]]-C25)*24)</f>
        <v>4.7</v>
      </c>
      <c r="E26" s="45" t="s">
        <v>55</v>
      </c>
      <c r="F26" s="66" t="s">
        <v>119</v>
      </c>
      <c r="G26" s="49"/>
      <c r="H26" s="50"/>
      <c r="I26" s="33">
        <f>IF(ISERROR(V053_20[[#This Row],[DISTANCIA POR CARTA]]/V053_20[[#This Row],[TIEMPO DE NAVEGACION]]),0,V053_20[[#This Row],[DISTANCIA POR CARTA]]/V053_20[[#This Row],[TIEMPO DE NAVEGACION]])</f>
        <v>0</v>
      </c>
      <c r="J26" s="51" t="s">
        <v>54</v>
      </c>
      <c r="K26" s="52">
        <v>95</v>
      </c>
      <c r="L26" s="53">
        <v>3.916666666666667</v>
      </c>
      <c r="M26" s="37">
        <v>0.48958333333333337</v>
      </c>
      <c r="N26" s="37">
        <v>0</v>
      </c>
      <c r="O26" s="418">
        <f>SUM(V053_20[[#This Row],[MPAL]:[CALDERA]])</f>
        <v>4.40625</v>
      </c>
      <c r="P26" s="88"/>
      <c r="Q26" s="270">
        <f>(Q25 -V053_20[[#This Row],[TOTAL ]])+V053_20[[#This Row],[FAENA]]</f>
        <v>129.94375000000002</v>
      </c>
      <c r="R26" s="53">
        <v>0</v>
      </c>
      <c r="S26" s="37">
        <v>0</v>
      </c>
      <c r="T26" s="37">
        <v>0</v>
      </c>
      <c r="U26" s="37">
        <v>0</v>
      </c>
      <c r="V26" s="37">
        <v>0</v>
      </c>
      <c r="W26" s="63">
        <f>SUM(V053_20[[#This Row],[MPAL2]:[GI]])</f>
        <v>0</v>
      </c>
      <c r="X26" s="37"/>
      <c r="Y26" s="335">
        <f>(Y25-V053_20[[#This Row],[TOTAL]])+V053_20[[#This Row],[FAENA2]]</f>
        <v>63.4</v>
      </c>
      <c r="Z26" s="53"/>
      <c r="AA26" s="37"/>
      <c r="AB26" s="301">
        <f>(AB25-V053_20[[#This Row],[CYLINDER MP]])+V053_20[[#This Row],[FAENA EN LTS]]</f>
        <v>100</v>
      </c>
      <c r="AC26" s="37"/>
      <c r="AD26" s="37"/>
      <c r="AE26" s="301">
        <f>(AE25-V053_20[[#This Row],[CARTER MP.]])+V053_20[[#This Row],[FAENA EN LTS2]]</f>
        <v>100</v>
      </c>
      <c r="AF26" s="37"/>
      <c r="AG26" s="37"/>
      <c r="AH26" s="301">
        <f>(AH25-V053_20[[#This Row],[MOT AUX]])+V053_20[[#This Row],[FAENA EN  LTS]]</f>
        <v>100</v>
      </c>
      <c r="AI26" s="37"/>
      <c r="AJ26" s="37"/>
      <c r="AK26" s="302">
        <f>(AK25-V053_20[[#This Row],[HIDRAULICO]])+V053_20[[#This Row],[FAENA EN LTS3]]</f>
        <v>100</v>
      </c>
    </row>
    <row r="27" spans="1:37" x14ac:dyDescent="0.25">
      <c r="A27" s="272" t="s">
        <v>44</v>
      </c>
      <c r="B27" s="48">
        <v>43859</v>
      </c>
      <c r="C27" s="41">
        <v>0.14583333333333334</v>
      </c>
      <c r="D27" s="42">
        <f>IF(V053_20[[#This Row],[FECHA]]-B26=1,((V053_20[[#This Row],[HORA]]-C26)*24)+24,(V053_20[[#This Row],[HORA]]-C26)*24)</f>
        <v>19.5</v>
      </c>
      <c r="E27" s="45" t="s">
        <v>55</v>
      </c>
      <c r="F27" s="66" t="s">
        <v>80</v>
      </c>
      <c r="G27" s="49">
        <v>266</v>
      </c>
      <c r="H27" s="50">
        <v>24.2</v>
      </c>
      <c r="I27" s="33">
        <f>IF(ISERROR(V053_20[[#This Row],[DISTANCIA POR CARTA]]/V053_20[[#This Row],[TIEMPO DE NAVEGACION]]),0,V053_20[[#This Row],[DISTANCIA POR CARTA]]/V053_20[[#This Row],[TIEMPO DE NAVEGACION]])</f>
        <v>10.991735537190083</v>
      </c>
      <c r="J27" s="51" t="s">
        <v>117</v>
      </c>
      <c r="K27" s="52">
        <v>95</v>
      </c>
      <c r="L27" s="53">
        <v>16.25</v>
      </c>
      <c r="M27" s="37">
        <v>2.03125</v>
      </c>
      <c r="N27" s="37">
        <v>0</v>
      </c>
      <c r="O27" s="418">
        <f>SUM(V053_20[[#This Row],[MPAL]:[CALDERA]])</f>
        <v>18.28125</v>
      </c>
      <c r="P27" s="88"/>
      <c r="Q27" s="270">
        <f>(Q26 -V053_20[[#This Row],[TOTAL ]])+V053_20[[#This Row],[FAENA]]</f>
        <v>111.66250000000002</v>
      </c>
      <c r="R27" s="53">
        <v>0</v>
      </c>
      <c r="S27" s="37">
        <v>0</v>
      </c>
      <c r="T27" s="37">
        <v>0</v>
      </c>
      <c r="U27" s="37">
        <v>0</v>
      </c>
      <c r="V27" s="37">
        <v>0</v>
      </c>
      <c r="W27" s="63">
        <f>SUM(V053_20[[#This Row],[MPAL2]:[GI]])</f>
        <v>0</v>
      </c>
      <c r="X27" s="37"/>
      <c r="Y27" s="335">
        <f>(Y26-V053_20[[#This Row],[TOTAL]])+V053_20[[#This Row],[FAENA2]]</f>
        <v>63.4</v>
      </c>
      <c r="Z27" s="53"/>
      <c r="AA27" s="37"/>
      <c r="AB27" s="301">
        <f>(AB26-V053_20[[#This Row],[CYLINDER MP]])+V053_20[[#This Row],[FAENA EN LTS]]</f>
        <v>100</v>
      </c>
      <c r="AC27" s="37"/>
      <c r="AD27" s="37"/>
      <c r="AE27" s="301">
        <f>(AE26-V053_20[[#This Row],[CARTER MP.]])+V053_20[[#This Row],[FAENA EN LTS2]]</f>
        <v>100</v>
      </c>
      <c r="AF27" s="37"/>
      <c r="AG27" s="37"/>
      <c r="AH27" s="301">
        <f>(AH26-V053_20[[#This Row],[MOT AUX]])+V053_20[[#This Row],[FAENA EN  LTS]]</f>
        <v>100</v>
      </c>
      <c r="AI27" s="37"/>
      <c r="AJ27" s="37"/>
      <c r="AK27" s="302">
        <f>(AK26-V053_20[[#This Row],[HIDRAULICO]])+V053_20[[#This Row],[FAENA EN LTS3]]</f>
        <v>100</v>
      </c>
    </row>
    <row r="28" spans="1:37" x14ac:dyDescent="0.25">
      <c r="A28" s="272" t="s">
        <v>44</v>
      </c>
      <c r="B28" s="48">
        <v>43859</v>
      </c>
      <c r="C28" s="41">
        <v>0.16666666666666666</v>
      </c>
      <c r="D28" s="42">
        <f>IF(V053_20[[#This Row],[FECHA]]-B27=1,((V053_20[[#This Row],[HORA]]-C27)*24)+24,(V053_20[[#This Row],[HORA]]-C27)*24)</f>
        <v>0.49999999999999956</v>
      </c>
      <c r="E28" s="45" t="s">
        <v>47</v>
      </c>
      <c r="F28" s="66" t="s">
        <v>148</v>
      </c>
      <c r="G28" s="49"/>
      <c r="H28" s="50"/>
      <c r="I28" s="33">
        <f>IF(ISERROR(V053_20[[#This Row],[DISTANCIA POR CARTA]]/V053_20[[#This Row],[TIEMPO DE NAVEGACION]]),0,V053_20[[#This Row],[DISTANCIA POR CARTA]]/V053_20[[#This Row],[TIEMPO DE NAVEGACION]])</f>
        <v>0</v>
      </c>
      <c r="J28" s="51"/>
      <c r="K28" s="52"/>
      <c r="L28" s="53">
        <v>2.0833333333333315E-2</v>
      </c>
      <c r="M28" s="37">
        <v>5.2083333333333287E-2</v>
      </c>
      <c r="N28" s="37">
        <v>4.166666666666663E-2</v>
      </c>
      <c r="O28" s="418">
        <f>SUM(V053_20[[#This Row],[MPAL]:[CALDERA]])</f>
        <v>0.11458333333333323</v>
      </c>
      <c r="P28" s="88"/>
      <c r="Q28" s="270">
        <f>(Q27 -V053_20[[#This Row],[TOTAL ]])+V053_20[[#This Row],[FAENA]]</f>
        <v>111.54791666666669</v>
      </c>
      <c r="R28" s="53">
        <v>0</v>
      </c>
      <c r="S28" s="37">
        <v>0</v>
      </c>
      <c r="T28" s="37">
        <v>0</v>
      </c>
      <c r="U28" s="37">
        <v>0</v>
      </c>
      <c r="V28" s="37">
        <v>0</v>
      </c>
      <c r="W28" s="63">
        <f>SUM(V053_20[[#This Row],[MPAL2]:[GI]])</f>
        <v>0</v>
      </c>
      <c r="X28" s="37"/>
      <c r="Y28" s="335">
        <f>(Y27-V053_20[[#This Row],[TOTAL]])+V053_20[[#This Row],[FAENA2]]</f>
        <v>63.4</v>
      </c>
      <c r="Z28" s="53"/>
      <c r="AA28" s="37"/>
      <c r="AB28" s="301">
        <f>(AB27-V053_20[[#This Row],[CYLINDER MP]])+V053_20[[#This Row],[FAENA EN LTS]]</f>
        <v>100</v>
      </c>
      <c r="AC28" s="37"/>
      <c r="AD28" s="37"/>
      <c r="AE28" s="301">
        <f>(AE27-V053_20[[#This Row],[CARTER MP.]])+V053_20[[#This Row],[FAENA EN LTS2]]</f>
        <v>100</v>
      </c>
      <c r="AF28" s="37"/>
      <c r="AG28" s="37"/>
      <c r="AH28" s="301">
        <f>(AH27-V053_20[[#This Row],[MOT AUX]])+V053_20[[#This Row],[FAENA EN  LTS]]</f>
        <v>100</v>
      </c>
      <c r="AI28" s="37"/>
      <c r="AJ28" s="37"/>
      <c r="AK28" s="302">
        <f>(AK27-V053_20[[#This Row],[HIDRAULICO]])+V053_20[[#This Row],[FAENA EN LTS3]]</f>
        <v>100</v>
      </c>
    </row>
    <row r="29" spans="1:37" x14ac:dyDescent="0.25">
      <c r="A29" s="272" t="s">
        <v>44</v>
      </c>
      <c r="B29" s="48">
        <v>43859</v>
      </c>
      <c r="C29" s="41">
        <v>0.33333333333333331</v>
      </c>
      <c r="D29" s="42">
        <f>IF(V053_20[[#This Row],[FECHA]]-B28=1,((V053_20[[#This Row],[HORA]]-C28)*24)+24,(V053_20[[#This Row],[HORA]]-C28)*24)</f>
        <v>4</v>
      </c>
      <c r="E29" s="45" t="s">
        <v>45</v>
      </c>
      <c r="F29" s="66" t="s">
        <v>119</v>
      </c>
      <c r="G29" s="49"/>
      <c r="H29" s="50"/>
      <c r="I29" s="33">
        <f>IF(ISERROR(V053_20[[#This Row],[DISTANCIA POR CARTA]]/V053_20[[#This Row],[TIEMPO DE NAVEGACION]]),0,V053_20[[#This Row],[DISTANCIA POR CARTA]]/V053_20[[#This Row],[TIEMPO DE NAVEGACION]])</f>
        <v>0</v>
      </c>
      <c r="J29" s="51"/>
      <c r="K29" s="52"/>
      <c r="L29" s="53">
        <v>0</v>
      </c>
      <c r="M29" s="37">
        <v>0.41666666666666669</v>
      </c>
      <c r="N29" s="37">
        <v>0.33333333333333331</v>
      </c>
      <c r="O29" s="418">
        <f>SUM(V053_20[[#This Row],[MPAL]:[CALDERA]])</f>
        <v>0.75</v>
      </c>
      <c r="P29" s="88"/>
      <c r="Q29" s="270">
        <f>(Q28 -V053_20[[#This Row],[TOTAL ]])+V053_20[[#This Row],[FAENA]]</f>
        <v>110.79791666666669</v>
      </c>
      <c r="R29" s="53">
        <v>0</v>
      </c>
      <c r="S29" s="37">
        <v>0</v>
      </c>
      <c r="T29" s="37">
        <v>0</v>
      </c>
      <c r="U29" s="37">
        <v>0</v>
      </c>
      <c r="V29" s="37">
        <v>0</v>
      </c>
      <c r="W29" s="63">
        <f>SUM(V053_20[[#This Row],[MPAL2]:[GI]])</f>
        <v>0</v>
      </c>
      <c r="X29" s="37"/>
      <c r="Y29" s="335">
        <f>(Y28-V053_20[[#This Row],[TOTAL]])+V053_20[[#This Row],[FAENA2]]</f>
        <v>63.4</v>
      </c>
      <c r="Z29" s="53"/>
      <c r="AA29" s="37"/>
      <c r="AB29" s="301">
        <f>(AB28-V053_20[[#This Row],[CYLINDER MP]])+V053_20[[#This Row],[FAENA EN LTS]]</f>
        <v>100</v>
      </c>
      <c r="AC29" s="37"/>
      <c r="AD29" s="37"/>
      <c r="AE29" s="301">
        <f>(AE28-V053_20[[#This Row],[CARTER MP.]])+V053_20[[#This Row],[FAENA EN LTS2]]</f>
        <v>100</v>
      </c>
      <c r="AF29" s="37"/>
      <c r="AG29" s="37"/>
      <c r="AH29" s="301">
        <f>(AH28-V053_20[[#This Row],[MOT AUX]])+V053_20[[#This Row],[FAENA EN  LTS]]</f>
        <v>100</v>
      </c>
      <c r="AI29" s="37"/>
      <c r="AJ29" s="37"/>
      <c r="AK29" s="302">
        <f>(AK28-V053_20[[#This Row],[HIDRAULICO]])+V053_20[[#This Row],[FAENA EN LTS3]]</f>
        <v>100</v>
      </c>
    </row>
    <row r="30" spans="1:37" x14ac:dyDescent="0.25">
      <c r="A30" s="272" t="s">
        <v>44</v>
      </c>
      <c r="B30" s="48">
        <v>43860</v>
      </c>
      <c r="C30" s="41">
        <v>0.33333333333333331</v>
      </c>
      <c r="D30" s="42">
        <f>IF(V053_20[[#This Row],[FECHA]]-B29=1,((V053_20[[#This Row],[HORA]]-C29)*24)+24,(V053_20[[#This Row],[HORA]]-C29)*24)</f>
        <v>24</v>
      </c>
      <c r="E30" s="45" t="s">
        <v>45</v>
      </c>
      <c r="F30" s="66" t="s">
        <v>119</v>
      </c>
      <c r="G30" s="49"/>
      <c r="H30" s="50"/>
      <c r="I30" s="33">
        <f>IF(ISERROR(V053_20[[#This Row],[DISTANCIA POR CARTA]]/V053_20[[#This Row],[TIEMPO DE NAVEGACION]]),0,V053_20[[#This Row],[DISTANCIA POR CARTA]]/V053_20[[#This Row],[TIEMPO DE NAVEGACION]])</f>
        <v>0</v>
      </c>
      <c r="J30" s="51"/>
      <c r="K30" s="52"/>
      <c r="L30" s="53">
        <v>0</v>
      </c>
      <c r="M30" s="37">
        <v>2.5</v>
      </c>
      <c r="N30" s="37">
        <v>2</v>
      </c>
      <c r="O30" s="418">
        <f>SUM(V053_20[[#This Row],[MPAL]:[CALDERA]])</f>
        <v>4.5</v>
      </c>
      <c r="P30" s="88"/>
      <c r="Q30" s="270">
        <f>(Q29 -V053_20[[#This Row],[TOTAL ]])+V053_20[[#This Row],[FAENA]]</f>
        <v>106.29791666666669</v>
      </c>
      <c r="R30" s="53">
        <v>0</v>
      </c>
      <c r="S30" s="37">
        <v>0</v>
      </c>
      <c r="T30" s="37">
        <v>0</v>
      </c>
      <c r="U30" s="37">
        <v>0</v>
      </c>
      <c r="V30" s="37">
        <v>0</v>
      </c>
      <c r="W30" s="63">
        <f>SUM(V053_20[[#This Row],[MPAL2]:[GI]])</f>
        <v>0</v>
      </c>
      <c r="X30" s="37"/>
      <c r="Y30" s="335">
        <f>(Y29-V053_20[[#This Row],[TOTAL]])+V053_20[[#This Row],[FAENA2]]</f>
        <v>63.4</v>
      </c>
      <c r="Z30" s="53"/>
      <c r="AA30" s="37"/>
      <c r="AB30" s="301">
        <f>(AB29-V053_20[[#This Row],[CYLINDER MP]])+V053_20[[#This Row],[FAENA EN LTS]]</f>
        <v>100</v>
      </c>
      <c r="AC30" s="37"/>
      <c r="AD30" s="37"/>
      <c r="AE30" s="301">
        <f>(AE29-V053_20[[#This Row],[CARTER MP.]])+V053_20[[#This Row],[FAENA EN LTS2]]</f>
        <v>100</v>
      </c>
      <c r="AF30" s="37"/>
      <c r="AG30" s="37"/>
      <c r="AH30" s="301">
        <f>(AH29-V053_20[[#This Row],[MOT AUX]])+V053_20[[#This Row],[FAENA EN  LTS]]</f>
        <v>100</v>
      </c>
      <c r="AI30" s="37"/>
      <c r="AJ30" s="37"/>
      <c r="AK30" s="302">
        <f>(AK29-V053_20[[#This Row],[HIDRAULICO]])+V053_20[[#This Row],[FAENA EN LTS3]]</f>
        <v>100</v>
      </c>
    </row>
    <row r="31" spans="1:37" x14ac:dyDescent="0.25">
      <c r="A31" s="272" t="s">
        <v>44</v>
      </c>
      <c r="B31" s="48">
        <v>43861</v>
      </c>
      <c r="C31" s="41">
        <v>0.33333333333333331</v>
      </c>
      <c r="D31" s="42">
        <f>IF(V053_20[[#This Row],[FECHA]]-B30=1,((V053_20[[#This Row],[HORA]]-C30)*24)+24,(V053_20[[#This Row],[HORA]]-C30)*24)</f>
        <v>24</v>
      </c>
      <c r="E31" s="45" t="s">
        <v>45</v>
      </c>
      <c r="F31" s="66" t="s">
        <v>119</v>
      </c>
      <c r="G31" s="49"/>
      <c r="H31" s="50"/>
      <c r="I31" s="33">
        <f>IF(ISERROR(V053_20[[#This Row],[DISTANCIA POR CARTA]]/V053_20[[#This Row],[TIEMPO DE NAVEGACION]]),0,V053_20[[#This Row],[DISTANCIA POR CARTA]]/V053_20[[#This Row],[TIEMPO DE NAVEGACION]])</f>
        <v>0</v>
      </c>
      <c r="J31" s="51"/>
      <c r="K31" s="52"/>
      <c r="L31" s="53">
        <v>0</v>
      </c>
      <c r="M31" s="37">
        <v>2.5</v>
      </c>
      <c r="N31" s="37">
        <v>2</v>
      </c>
      <c r="O31" s="418">
        <f>SUM(V053_20[[#This Row],[MPAL]:[CALDERA]])</f>
        <v>4.5</v>
      </c>
      <c r="P31" s="88"/>
      <c r="Q31" s="270">
        <f>(Q30 -V053_20[[#This Row],[TOTAL ]])+V053_20[[#This Row],[FAENA]]</f>
        <v>101.79791666666669</v>
      </c>
      <c r="R31" s="53">
        <v>0</v>
      </c>
      <c r="S31" s="37">
        <v>0</v>
      </c>
      <c r="T31" s="37">
        <v>0</v>
      </c>
      <c r="U31" s="37">
        <v>0</v>
      </c>
      <c r="V31" s="37">
        <v>0</v>
      </c>
      <c r="W31" s="63">
        <f>SUM(V053_20[[#This Row],[MPAL2]:[GI]])</f>
        <v>0</v>
      </c>
      <c r="X31" s="37"/>
      <c r="Y31" s="335">
        <f>(Y30-V053_20[[#This Row],[TOTAL]])+V053_20[[#This Row],[FAENA2]]</f>
        <v>63.4</v>
      </c>
      <c r="Z31" s="53"/>
      <c r="AA31" s="37"/>
      <c r="AB31" s="301">
        <f>(AB30-V053_20[[#This Row],[CYLINDER MP]])+V053_20[[#This Row],[FAENA EN LTS]]</f>
        <v>100</v>
      </c>
      <c r="AC31" s="37"/>
      <c r="AD31" s="37"/>
      <c r="AE31" s="301">
        <f>(AE30-V053_20[[#This Row],[CARTER MP.]])+V053_20[[#This Row],[FAENA EN LTS2]]</f>
        <v>100</v>
      </c>
      <c r="AF31" s="37"/>
      <c r="AG31" s="37"/>
      <c r="AH31" s="301">
        <f>(AH30-V053_20[[#This Row],[MOT AUX]])+V053_20[[#This Row],[FAENA EN  LTS]]</f>
        <v>100</v>
      </c>
      <c r="AI31" s="37"/>
      <c r="AJ31" s="37"/>
      <c r="AK31" s="302">
        <f>(AK30-V053_20[[#This Row],[HIDRAULICO]])+V053_20[[#This Row],[FAENA EN LTS3]]</f>
        <v>100</v>
      </c>
    </row>
    <row r="32" spans="1:37" x14ac:dyDescent="0.25">
      <c r="A32" s="272" t="s">
        <v>44</v>
      </c>
      <c r="B32" s="48">
        <v>43862</v>
      </c>
      <c r="C32" s="41">
        <v>0</v>
      </c>
      <c r="D32" s="42">
        <f>IF(V053_20[[#This Row],[FECHA]]-B31=1,((V053_20[[#This Row],[HORA]]-C31)*24)+24,(V053_20[[#This Row],[HORA]]-C31)*24)</f>
        <v>16</v>
      </c>
      <c r="E32" s="45" t="s">
        <v>45</v>
      </c>
      <c r="F32" s="66" t="s">
        <v>119</v>
      </c>
      <c r="G32" s="49"/>
      <c r="H32" s="50"/>
      <c r="I32" s="33">
        <f>IF(ISERROR(V053_20[[#This Row],[DISTANCIA POR CARTA]]/V053_20[[#This Row],[TIEMPO DE NAVEGACION]]),0,V053_20[[#This Row],[DISTANCIA POR CARTA]]/V053_20[[#This Row],[TIEMPO DE NAVEGACION]])</f>
        <v>0</v>
      </c>
      <c r="J32" s="51"/>
      <c r="K32" s="52"/>
      <c r="L32" s="53">
        <v>0</v>
      </c>
      <c r="M32" s="37">
        <v>1.25</v>
      </c>
      <c r="N32" s="37">
        <v>1</v>
      </c>
      <c r="O32" s="418">
        <f>SUM(V053_20[[#This Row],[MPAL]:[CALDERA]])</f>
        <v>2.25</v>
      </c>
      <c r="P32" s="88"/>
      <c r="Q32" s="270">
        <f>(Q31 -V053_20[[#This Row],[TOTAL ]])+V053_20[[#This Row],[FAENA]]</f>
        <v>99.547916666666694</v>
      </c>
      <c r="R32" s="53">
        <v>0</v>
      </c>
      <c r="S32" s="37">
        <v>0</v>
      </c>
      <c r="T32" s="37">
        <v>0</v>
      </c>
      <c r="U32" s="37">
        <v>0</v>
      </c>
      <c r="V32" s="37">
        <v>0</v>
      </c>
      <c r="W32" s="63">
        <f>SUM(V053_20[[#This Row],[MPAL2]:[GI]])</f>
        <v>0</v>
      </c>
      <c r="X32" s="37"/>
      <c r="Y32" s="335">
        <f>(Y31-V053_20[[#This Row],[TOTAL]])+V053_20[[#This Row],[FAENA2]]</f>
        <v>63.4</v>
      </c>
      <c r="Z32" s="53"/>
      <c r="AA32" s="37"/>
      <c r="AB32" s="301">
        <f>(AB31-V053_20[[#This Row],[CYLINDER MP]])+V053_20[[#This Row],[FAENA EN LTS]]</f>
        <v>100</v>
      </c>
      <c r="AC32" s="37"/>
      <c r="AD32" s="37"/>
      <c r="AE32" s="301">
        <f>(AE31-V053_20[[#This Row],[CARTER MP.]])+V053_20[[#This Row],[FAENA EN LTS2]]</f>
        <v>100</v>
      </c>
      <c r="AF32" s="37"/>
      <c r="AG32" s="37"/>
      <c r="AH32" s="301">
        <f>(AH31-V053_20[[#This Row],[MOT AUX]])+V053_20[[#This Row],[FAENA EN  LTS]]</f>
        <v>100</v>
      </c>
      <c r="AI32" s="37"/>
      <c r="AJ32" s="37"/>
      <c r="AK32" s="302">
        <f>(AK31-V053_20[[#This Row],[HIDRAULICO]])+V053_20[[#This Row],[FAENA EN LTS3]]</f>
        <v>100</v>
      </c>
    </row>
    <row r="33" spans="1:37" x14ac:dyDescent="0.25">
      <c r="A33" s="272" t="s">
        <v>44</v>
      </c>
      <c r="B33" s="236">
        <v>43862</v>
      </c>
      <c r="C33" s="258">
        <v>0</v>
      </c>
      <c r="D33" s="42">
        <f>IF(V053_20[[#This Row],[FECHA]]-B32=1,((V053_20[[#This Row],[HORA]]-C32)*24)+24,(V053_20[[#This Row],[HORA]]-C32)*24)</f>
        <v>0</v>
      </c>
      <c r="E33" s="239" t="s">
        <v>45</v>
      </c>
      <c r="F33" s="240" t="s">
        <v>45</v>
      </c>
      <c r="G33" s="241"/>
      <c r="H33" s="50"/>
      <c r="I33" s="33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</v>
      </c>
      <c r="M33" s="246">
        <v>0</v>
      </c>
      <c r="N33" s="246">
        <v>0</v>
      </c>
      <c r="O33" s="418">
        <f>SUM(V053_20[[#This Row],[MPAL]:[CALDERA]])</f>
        <v>0</v>
      </c>
      <c r="P33" s="319"/>
      <c r="Q33" s="270">
        <f>(Q32 -V053_20[[#This Row],[TOTAL ]])+V053_20[[#This Row],[FAENA]]</f>
        <v>99.547916666666694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63">
        <f>SUM(V053_20[[#This Row],[MPAL2]:[GI]])</f>
        <v>0</v>
      </c>
      <c r="X33" s="246"/>
      <c r="Y33" s="335">
        <f>(Y32-V053_20[[#This Row],[TOTAL]])+V053_20[[#This Row],[FAENA2]]</f>
        <v>63.4</v>
      </c>
      <c r="Z33" s="245"/>
      <c r="AA33" s="246"/>
      <c r="AB33" s="301">
        <f>(AB32-V053_20[[#This Row],[CYLINDER MP]])+V053_20[[#This Row],[FAENA EN LTS]]</f>
        <v>100</v>
      </c>
      <c r="AC33" s="246"/>
      <c r="AD33" s="246"/>
      <c r="AE33" s="301">
        <f>(AE32-V053_20[[#This Row],[CARTER MP.]])+V053_20[[#This Row],[FAENA EN LTS2]]</f>
        <v>100</v>
      </c>
      <c r="AF33" s="246"/>
      <c r="AG33" s="246"/>
      <c r="AH33" s="301">
        <f>(AH32-V053_20[[#This Row],[MOT AUX]])+V053_20[[#This Row],[FAENA EN  LTS]]</f>
        <v>100</v>
      </c>
      <c r="AI33" s="246"/>
      <c r="AJ33" s="246"/>
      <c r="AK33" s="302">
        <f>(AK32-V053_20[[#This Row],[HIDRAULICO]])+V053_20[[#This Row],[FAENA EN LTS3]]</f>
        <v>100</v>
      </c>
    </row>
    <row r="34" spans="1:37" x14ac:dyDescent="0.25">
      <c r="A34" s="272" t="s">
        <v>44</v>
      </c>
      <c r="B34" s="236">
        <v>43862</v>
      </c>
      <c r="C34" s="237">
        <v>0.33333333333333331</v>
      </c>
      <c r="D34" s="42">
        <f>IF(V053_20[[#This Row],[FECHA]]-B33=1,((V053_20[[#This Row],[HORA]]-C33)*24)+24,(V053_20[[#This Row],[HORA]]-C33)*24)</f>
        <v>8</v>
      </c>
      <c r="E34" s="239" t="s">
        <v>45</v>
      </c>
      <c r="F34" s="240" t="s">
        <v>45</v>
      </c>
      <c r="G34" s="241"/>
      <c r="H34" s="50"/>
      <c r="I34" s="33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1.25</v>
      </c>
      <c r="N34" s="262">
        <v>1</v>
      </c>
      <c r="O34" s="418">
        <f>SUM(V053_20[[#This Row],[MPAL]:[CALDERA]])</f>
        <v>2.25</v>
      </c>
      <c r="P34" s="319"/>
      <c r="Q34" s="270">
        <f>(Q33 -V053_20[[#This Row],[TOTAL ]])+V053_20[[#This Row],[FAENA]]</f>
        <v>97.297916666666694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63">
        <f>SUM(V053_20[[#This Row],[MPAL2]:[GI]])</f>
        <v>0</v>
      </c>
      <c r="X34" s="246"/>
      <c r="Y34" s="335">
        <f>(Y33-V053_20[[#This Row],[TOTAL]])+V053_20[[#This Row],[FAENA2]]</f>
        <v>63.4</v>
      </c>
      <c r="Z34" s="245"/>
      <c r="AA34" s="246"/>
      <c r="AB34" s="301">
        <f>(AB33-V053_20[[#This Row],[CYLINDER MP]])+V053_20[[#This Row],[FAENA EN LTS]]</f>
        <v>100</v>
      </c>
      <c r="AC34" s="246"/>
      <c r="AD34" s="246"/>
      <c r="AE34" s="301">
        <f>(AE33-V053_20[[#This Row],[CARTER MP.]])+V053_20[[#This Row],[FAENA EN LTS2]]</f>
        <v>100</v>
      </c>
      <c r="AF34" s="246"/>
      <c r="AG34" s="246"/>
      <c r="AH34" s="301">
        <f>(AH33-V053_20[[#This Row],[MOT AUX]])+V053_20[[#This Row],[FAENA EN  LTS]]</f>
        <v>100</v>
      </c>
      <c r="AI34" s="246"/>
      <c r="AJ34" s="246"/>
      <c r="AK34" s="302">
        <f>(AK33-V053_20[[#This Row],[HIDRAULICO]])+V053_20[[#This Row],[FAENA EN LTS3]]</f>
        <v>100</v>
      </c>
    </row>
    <row r="35" spans="1:37" x14ac:dyDescent="0.25">
      <c r="A35" s="272" t="s">
        <v>44</v>
      </c>
      <c r="B35" s="236">
        <v>43862</v>
      </c>
      <c r="C35" s="237">
        <v>0.61249999999999993</v>
      </c>
      <c r="D35" s="42">
        <f>IF(V053_20[[#This Row],[FECHA]]-B34=1,((V053_20[[#This Row],[HORA]]-C34)*24)+24,(V053_20[[#This Row],[HORA]]-C34)*24)</f>
        <v>6.6999999999999993</v>
      </c>
      <c r="E35" s="239" t="s">
        <v>45</v>
      </c>
      <c r="F35" s="240" t="s">
        <v>46</v>
      </c>
      <c r="G35" s="241"/>
      <c r="H35" s="50"/>
      <c r="I35" s="33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0.69791666666666663</v>
      </c>
      <c r="N35" s="246">
        <v>0.55833333333333324</v>
      </c>
      <c r="O35" s="418">
        <f>SUM(V053_20[[#This Row],[MPAL]:[CALDERA]])</f>
        <v>1.2562499999999999</v>
      </c>
      <c r="P35" s="319"/>
      <c r="Q35" s="270">
        <f>(Q34 -V053_20[[#This Row],[TOTAL ]])+V053_20[[#This Row],[FAENA]]</f>
        <v>96.0416666666667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63">
        <f>SUM(V053_20[[#This Row],[MPAL2]:[GI]])</f>
        <v>0</v>
      </c>
      <c r="X35" s="246"/>
      <c r="Y35" s="335">
        <f>(Y34-V053_20[[#This Row],[TOTAL]])+V053_20[[#This Row],[FAENA2]]</f>
        <v>63.4</v>
      </c>
      <c r="Z35" s="245"/>
      <c r="AA35" s="246"/>
      <c r="AB35" s="301">
        <f>(AB34-V053_20[[#This Row],[CYLINDER MP]])+V053_20[[#This Row],[FAENA EN LTS]]</f>
        <v>100</v>
      </c>
      <c r="AC35" s="246"/>
      <c r="AD35" s="246"/>
      <c r="AE35" s="301">
        <f>(AE34-V053_20[[#This Row],[CARTER MP.]])+V053_20[[#This Row],[FAENA EN LTS2]]</f>
        <v>100</v>
      </c>
      <c r="AF35" s="246"/>
      <c r="AG35" s="246"/>
      <c r="AH35" s="301">
        <f>(AH34-V053_20[[#This Row],[MOT AUX]])+V053_20[[#This Row],[FAENA EN  LTS]]</f>
        <v>100</v>
      </c>
      <c r="AI35" s="246"/>
      <c r="AJ35" s="246"/>
      <c r="AK35" s="302">
        <f>(AK34-V053_20[[#This Row],[HIDRAULICO]])+V053_20[[#This Row],[FAENA EN LTS3]]</f>
        <v>100</v>
      </c>
    </row>
    <row r="36" spans="1:37" x14ac:dyDescent="0.25">
      <c r="A36" s="272" t="s">
        <v>44</v>
      </c>
      <c r="B36" s="236">
        <v>43862</v>
      </c>
      <c r="C36" s="237">
        <v>0.68333333333333324</v>
      </c>
      <c r="D36" s="42">
        <f>IF(V053_20[[#This Row],[FECHA]]-B35=1,((V053_20[[#This Row],[HORA]]-C35)*24)+24,(V053_20[[#This Row],[HORA]]-C35)*24)</f>
        <v>1.6999999999999993</v>
      </c>
      <c r="E36" s="239" t="s">
        <v>47</v>
      </c>
      <c r="F36" s="240" t="s">
        <v>48</v>
      </c>
      <c r="G36" s="241"/>
      <c r="H36" s="50"/>
      <c r="I36" s="33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0.14166666666666661</v>
      </c>
      <c r="M36" s="246">
        <v>0.17708333333333326</v>
      </c>
      <c r="N36" s="246">
        <v>0.14166666666666661</v>
      </c>
      <c r="O36" s="418">
        <f>SUM(V053_20[[#This Row],[MPAL]:[CALDERA]])</f>
        <v>0.46041666666666647</v>
      </c>
      <c r="P36" s="319"/>
      <c r="Q36" s="270">
        <f>(Q35 -V053_20[[#This Row],[TOTAL ]])+V053_20[[#This Row],[FAENA]]</f>
        <v>95.58125000000004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63">
        <f>SUM(V053_20[[#This Row],[MPAL2]:[GI]])</f>
        <v>0</v>
      </c>
      <c r="X36" s="246"/>
      <c r="Y36" s="335">
        <f>(Y35-V053_20[[#This Row],[TOTAL]])+V053_20[[#This Row],[FAENA2]]</f>
        <v>63.4</v>
      </c>
      <c r="Z36" s="245"/>
      <c r="AA36" s="246"/>
      <c r="AB36" s="301">
        <f>(AB35-V053_20[[#This Row],[CYLINDER MP]])+V053_20[[#This Row],[FAENA EN LTS]]</f>
        <v>100</v>
      </c>
      <c r="AC36" s="246"/>
      <c r="AD36" s="246"/>
      <c r="AE36" s="301">
        <f>(AE35-V053_20[[#This Row],[CARTER MP.]])+V053_20[[#This Row],[FAENA EN LTS2]]</f>
        <v>100</v>
      </c>
      <c r="AF36" s="246"/>
      <c r="AG36" s="246"/>
      <c r="AH36" s="301">
        <f>(AH35-V053_20[[#This Row],[MOT AUX]])+V053_20[[#This Row],[FAENA EN  LTS]]</f>
        <v>100</v>
      </c>
      <c r="AI36" s="246"/>
      <c r="AJ36" s="246"/>
      <c r="AK36" s="302">
        <f>(AK35-V053_20[[#This Row],[HIDRAULICO]])+V053_20[[#This Row],[FAENA EN LTS3]]</f>
        <v>100</v>
      </c>
    </row>
    <row r="37" spans="1:37" x14ac:dyDescent="0.25">
      <c r="A37" s="272" t="s">
        <v>44</v>
      </c>
      <c r="B37" s="236">
        <v>43862</v>
      </c>
      <c r="C37" s="237">
        <v>0.875</v>
      </c>
      <c r="D37" s="42">
        <f>IF(V053_20[[#This Row],[FECHA]]-B36=1,((V053_20[[#This Row],[HORA]]-C36)*24)+24,(V053_20[[#This Row],[HORA]]-C36)*24)</f>
        <v>4.6000000000000023</v>
      </c>
      <c r="E37" s="239" t="s">
        <v>49</v>
      </c>
      <c r="F37" s="240" t="s">
        <v>50</v>
      </c>
      <c r="G37" s="241"/>
      <c r="H37" s="50"/>
      <c r="I37" s="33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0.47916666666666691</v>
      </c>
      <c r="N37" s="246">
        <v>0.38333333333333353</v>
      </c>
      <c r="O37" s="418">
        <f>SUM(V053_20[[#This Row],[MPAL]:[CALDERA]])</f>
        <v>0.86250000000000049</v>
      </c>
      <c r="P37" s="319"/>
      <c r="Q37" s="270">
        <f>(Q36 -V053_20[[#This Row],[TOTAL ]])+V053_20[[#This Row],[FAENA]]</f>
        <v>94.718750000000043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63">
        <f>SUM(V053_20[[#This Row],[MPAL2]:[GI]])</f>
        <v>0</v>
      </c>
      <c r="X37" s="246"/>
      <c r="Y37" s="335">
        <f>(Y36-V053_20[[#This Row],[TOTAL]])+V053_20[[#This Row],[FAENA2]]</f>
        <v>63.4</v>
      </c>
      <c r="Z37" s="245"/>
      <c r="AA37" s="246"/>
      <c r="AB37" s="301">
        <f>(AB36-V053_20[[#This Row],[CYLINDER MP]])+V053_20[[#This Row],[FAENA EN LTS]]</f>
        <v>100</v>
      </c>
      <c r="AC37" s="246"/>
      <c r="AD37" s="246"/>
      <c r="AE37" s="301">
        <f>(AE36-V053_20[[#This Row],[CARTER MP.]])+V053_20[[#This Row],[FAENA EN LTS2]]</f>
        <v>100</v>
      </c>
      <c r="AF37" s="246"/>
      <c r="AG37" s="246"/>
      <c r="AH37" s="301">
        <f>(AH36-V053_20[[#This Row],[MOT AUX]])+V053_20[[#This Row],[FAENA EN  LTS]]</f>
        <v>100</v>
      </c>
      <c r="AI37" s="246"/>
      <c r="AJ37" s="246"/>
      <c r="AK37" s="302">
        <f>(AK36-V053_20[[#This Row],[HIDRAULICO]])+V053_20[[#This Row],[FAENA EN LTS3]]</f>
        <v>100</v>
      </c>
    </row>
    <row r="38" spans="1:37" x14ac:dyDescent="0.25">
      <c r="A38" s="272" t="s">
        <v>44</v>
      </c>
      <c r="B38" s="236">
        <v>43863</v>
      </c>
      <c r="C38" s="237">
        <v>0.33333333333333331</v>
      </c>
      <c r="D38" s="42">
        <f>IF(V053_20[[#This Row],[FECHA]]-B37=1,((V053_20[[#This Row],[HORA]]-C37)*24)+24,(V053_20[[#This Row],[HORA]]-C37)*24)</f>
        <v>10.999999999999998</v>
      </c>
      <c r="E38" s="239" t="s">
        <v>51</v>
      </c>
      <c r="F38" s="240" t="s">
        <v>51</v>
      </c>
      <c r="G38" s="241"/>
      <c r="H38" s="50"/>
      <c r="I38" s="33">
        <f>IF(ISERROR(V053_20[[#This Row],[DISTANCIA POR CARTA]]/V053_20[[#This Row],[TIEMPO DE NAVEGACION]]),0,V053_20[[#This Row],[DISTANCIA POR CARTA]]/V053_20[[#This Row],[TIEMPO DE NAVEGACION]])</f>
        <v>0</v>
      </c>
      <c r="J38" s="243"/>
      <c r="K38" s="244"/>
      <c r="L38" s="245">
        <v>0</v>
      </c>
      <c r="M38" s="246">
        <v>1.1458333333333333</v>
      </c>
      <c r="N38" s="246">
        <v>0.91666666666666652</v>
      </c>
      <c r="O38" s="418">
        <f>SUM(V053_20[[#This Row],[MPAL]:[CALDERA]])</f>
        <v>2.0625</v>
      </c>
      <c r="P38" s="319"/>
      <c r="Q38" s="270">
        <f>(Q37 -V053_20[[#This Row],[TOTAL ]])+V053_20[[#This Row],[FAENA]]</f>
        <v>92.656250000000043</v>
      </c>
      <c r="R38" s="245">
        <v>0</v>
      </c>
      <c r="S38" s="246">
        <v>0</v>
      </c>
      <c r="T38" s="246">
        <v>0</v>
      </c>
      <c r="U38" s="246">
        <v>0</v>
      </c>
      <c r="V38" s="246">
        <v>1.8</v>
      </c>
      <c r="W38" s="63">
        <f>SUM(V053_20[[#This Row],[MPAL2]:[GI]])</f>
        <v>1.8</v>
      </c>
      <c r="X38" s="246"/>
      <c r="Y38" s="335">
        <f>(Y37-V053_20[[#This Row],[TOTAL]])+V053_20[[#This Row],[FAENA2]]</f>
        <v>61.6</v>
      </c>
      <c r="Z38" s="245"/>
      <c r="AA38" s="246"/>
      <c r="AB38" s="301">
        <f>(AB37-V053_20[[#This Row],[CYLINDER MP]])+V053_20[[#This Row],[FAENA EN LTS]]</f>
        <v>100</v>
      </c>
      <c r="AC38" s="246"/>
      <c r="AD38" s="246"/>
      <c r="AE38" s="301">
        <f>(AE37-V053_20[[#This Row],[CARTER MP.]])+V053_20[[#This Row],[FAENA EN LTS2]]</f>
        <v>100</v>
      </c>
      <c r="AF38" s="246"/>
      <c r="AG38" s="246"/>
      <c r="AH38" s="301">
        <f>(AH37-V053_20[[#This Row],[MOT AUX]])+V053_20[[#This Row],[FAENA EN  LTS]]</f>
        <v>100</v>
      </c>
      <c r="AI38" s="246"/>
      <c r="AJ38" s="246"/>
      <c r="AK38" s="302">
        <f>(AK37-V053_20[[#This Row],[HIDRAULICO]])+V053_20[[#This Row],[FAENA EN LTS3]]</f>
        <v>100</v>
      </c>
    </row>
    <row r="39" spans="1:37" x14ac:dyDescent="0.25">
      <c r="A39" s="272" t="s">
        <v>44</v>
      </c>
      <c r="B39" s="236">
        <v>43863</v>
      </c>
      <c r="C39" s="237">
        <v>0.8833333333333333</v>
      </c>
      <c r="D39" s="42">
        <f>IF(V053_20[[#This Row],[FECHA]]-B38=1,((V053_20[[#This Row],[HORA]]-C38)*24)+24,(V053_20[[#This Row],[HORA]]-C38)*24)</f>
        <v>13.200000000000001</v>
      </c>
      <c r="E39" s="239" t="s">
        <v>51</v>
      </c>
      <c r="F39" s="240" t="s">
        <v>52</v>
      </c>
      <c r="G39" s="241"/>
      <c r="H39" s="50"/>
      <c r="I39" s="33">
        <f>IF(ISERROR(V053_20[[#This Row],[DISTANCIA POR CARTA]]/V053_20[[#This Row],[TIEMPO DE NAVEGACION]]),0,V053_20[[#This Row],[DISTANCIA POR CARTA]]/V053_20[[#This Row],[TIEMPO DE NAVEGACION]])</f>
        <v>0</v>
      </c>
      <c r="J39" s="243"/>
      <c r="K39" s="244"/>
      <c r="L39" s="245">
        <v>0</v>
      </c>
      <c r="M39" s="246">
        <v>1.3750000000000002</v>
      </c>
      <c r="N39" s="246">
        <v>1.1000000000000001</v>
      </c>
      <c r="O39" s="418">
        <f>SUM(V053_20[[#This Row],[MPAL]:[CALDERA]])</f>
        <v>2.4750000000000005</v>
      </c>
      <c r="P39" s="319"/>
      <c r="Q39" s="270">
        <f>(Q38 -V053_20[[#This Row],[TOTAL ]])+V053_20[[#This Row],[FAENA]]</f>
        <v>90.181250000000048</v>
      </c>
      <c r="R39" s="245">
        <v>0</v>
      </c>
      <c r="S39" s="246">
        <v>0</v>
      </c>
      <c r="T39" s="246">
        <v>0</v>
      </c>
      <c r="U39" s="246">
        <v>0</v>
      </c>
      <c r="V39" s="246">
        <v>2.2000000000000002</v>
      </c>
      <c r="W39" s="63">
        <f>SUM(V053_20[[#This Row],[MPAL2]:[GI]])</f>
        <v>2.2000000000000002</v>
      </c>
      <c r="X39" s="246"/>
      <c r="Y39" s="335">
        <f>(Y38-V053_20[[#This Row],[TOTAL]])+V053_20[[#This Row],[FAENA2]]</f>
        <v>59.4</v>
      </c>
      <c r="Z39" s="245"/>
      <c r="AA39" s="246"/>
      <c r="AB39" s="301">
        <f>(AB38-V053_20[[#This Row],[CYLINDER MP]])+V053_20[[#This Row],[FAENA EN LTS]]</f>
        <v>100</v>
      </c>
      <c r="AC39" s="246"/>
      <c r="AD39" s="246"/>
      <c r="AE39" s="301">
        <f>(AE38-V053_20[[#This Row],[CARTER MP.]])+V053_20[[#This Row],[FAENA EN LTS2]]</f>
        <v>100</v>
      </c>
      <c r="AF39" s="246"/>
      <c r="AG39" s="246"/>
      <c r="AH39" s="301">
        <f>(AH38-V053_20[[#This Row],[MOT AUX]])+V053_20[[#This Row],[FAENA EN  LTS]]</f>
        <v>100</v>
      </c>
      <c r="AI39" s="246"/>
      <c r="AJ39" s="246"/>
      <c r="AK39" s="302">
        <f>(AK38-V053_20[[#This Row],[HIDRAULICO]])+V053_20[[#This Row],[FAENA EN LTS3]]</f>
        <v>100</v>
      </c>
    </row>
    <row r="40" spans="1:37" x14ac:dyDescent="0.25">
      <c r="A40" s="272" t="s">
        <v>44</v>
      </c>
      <c r="B40" s="236">
        <v>43864</v>
      </c>
      <c r="C40" s="237">
        <v>8.3333333333333332E-3</v>
      </c>
      <c r="D40" s="42">
        <f>IF(V053_20[[#This Row],[FECHA]]-B39=1,((V053_20[[#This Row],[HORA]]-C39)*24)+24,(V053_20[[#This Row],[HORA]]-C39)*24)</f>
        <v>3</v>
      </c>
      <c r="E40" s="239" t="s">
        <v>49</v>
      </c>
      <c r="F40" s="240" t="s">
        <v>46</v>
      </c>
      <c r="G40" s="241"/>
      <c r="H40" s="50"/>
      <c r="I40" s="33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</v>
      </c>
      <c r="M40" s="246">
        <v>0.3125</v>
      </c>
      <c r="N40" s="246">
        <v>0.25</v>
      </c>
      <c r="O40" s="418">
        <f>SUM(V053_20[[#This Row],[MPAL]:[CALDERA]])</f>
        <v>0.5625</v>
      </c>
      <c r="P40" s="319"/>
      <c r="Q40" s="270">
        <f>(Q39 -V053_20[[#This Row],[TOTAL ]])+V053_20[[#This Row],[FAENA]]</f>
        <v>89.618750000000048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63">
        <f>SUM(V053_20[[#This Row],[MPAL2]:[GI]])</f>
        <v>0</v>
      </c>
      <c r="X40" s="246"/>
      <c r="Y40" s="335">
        <f>(Y39-V053_20[[#This Row],[TOTAL]])+V053_20[[#This Row],[FAENA2]]</f>
        <v>59.4</v>
      </c>
      <c r="Z40" s="245"/>
      <c r="AA40" s="246"/>
      <c r="AB40" s="301">
        <f>(AB39-V053_20[[#This Row],[CYLINDER MP]])+V053_20[[#This Row],[FAENA EN LTS]]</f>
        <v>100</v>
      </c>
      <c r="AC40" s="246"/>
      <c r="AD40" s="246"/>
      <c r="AE40" s="301">
        <f>(AE39-V053_20[[#This Row],[CARTER MP.]])+V053_20[[#This Row],[FAENA EN LTS2]]</f>
        <v>100</v>
      </c>
      <c r="AF40" s="246"/>
      <c r="AG40" s="246"/>
      <c r="AH40" s="301">
        <f>(AH39-V053_20[[#This Row],[MOT AUX]])+V053_20[[#This Row],[FAENA EN  LTS]]</f>
        <v>100</v>
      </c>
      <c r="AI40" s="246"/>
      <c r="AJ40" s="246"/>
      <c r="AK40" s="302">
        <f>(AK39-V053_20[[#This Row],[HIDRAULICO]])+V053_20[[#This Row],[FAENA EN LTS3]]</f>
        <v>100</v>
      </c>
    </row>
    <row r="41" spans="1:37" x14ac:dyDescent="0.25">
      <c r="A41" s="272" t="s">
        <v>44</v>
      </c>
      <c r="B41" s="236">
        <v>43864</v>
      </c>
      <c r="C41" s="237">
        <v>3.3333333333333333E-2</v>
      </c>
      <c r="D41" s="42">
        <f>IF(V053_20[[#This Row],[FECHA]]-B40=1,((V053_20[[#This Row],[HORA]]-C40)*24)+24,(V053_20[[#This Row],[HORA]]-C40)*24)</f>
        <v>0.60000000000000009</v>
      </c>
      <c r="E41" s="239" t="s">
        <v>47</v>
      </c>
      <c r="F41" s="240" t="s">
        <v>53</v>
      </c>
      <c r="G41" s="241"/>
      <c r="H41" s="50"/>
      <c r="I41" s="33">
        <f>IF(ISERROR(V053_20[[#This Row],[DISTANCIA POR CARTA]]/V053_20[[#This Row],[TIEMPO DE NAVEGACION]]),0,V053_20[[#This Row],[DISTANCIA POR CARTA]]/V053_20[[#This Row],[TIEMPO DE NAVEGACION]])</f>
        <v>0</v>
      </c>
      <c r="J41" s="243" t="s">
        <v>54</v>
      </c>
      <c r="K41" s="244">
        <v>95</v>
      </c>
      <c r="L41" s="245">
        <v>0.12500000000000003</v>
      </c>
      <c r="M41" s="246">
        <v>6.2500000000000014E-2</v>
      </c>
      <c r="N41" s="246">
        <v>0.05</v>
      </c>
      <c r="O41" s="418">
        <f>SUM(V053_20[[#This Row],[MPAL]:[CALDERA]])</f>
        <v>0.23750000000000004</v>
      </c>
      <c r="P41" s="319"/>
      <c r="Q41" s="270">
        <f>(Q40 -V053_20[[#This Row],[TOTAL ]])+V053_20[[#This Row],[FAENA]]</f>
        <v>89.381250000000051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63">
        <f>SUM(V053_20[[#This Row],[MPAL2]:[GI]])</f>
        <v>0</v>
      </c>
      <c r="X41" s="246"/>
      <c r="Y41" s="335">
        <f>(Y40-V053_20[[#This Row],[TOTAL]])+V053_20[[#This Row],[FAENA2]]</f>
        <v>59.4</v>
      </c>
      <c r="Z41" s="245"/>
      <c r="AA41" s="246"/>
      <c r="AB41" s="301">
        <f>(AB40-V053_20[[#This Row],[CYLINDER MP]])+V053_20[[#This Row],[FAENA EN LTS]]</f>
        <v>100</v>
      </c>
      <c r="AC41" s="246"/>
      <c r="AD41" s="246"/>
      <c r="AE41" s="301">
        <f>(AE40-V053_20[[#This Row],[CARTER MP.]])+V053_20[[#This Row],[FAENA EN LTS2]]</f>
        <v>100</v>
      </c>
      <c r="AF41" s="246"/>
      <c r="AG41" s="246"/>
      <c r="AH41" s="301">
        <f>(AH40-V053_20[[#This Row],[MOT AUX]])+V053_20[[#This Row],[FAENA EN  LTS]]</f>
        <v>100</v>
      </c>
      <c r="AI41" s="246"/>
      <c r="AJ41" s="246"/>
      <c r="AK41" s="302">
        <f>(AK40-V053_20[[#This Row],[HIDRAULICO]])+V053_20[[#This Row],[FAENA EN LTS3]]</f>
        <v>100</v>
      </c>
    </row>
    <row r="42" spans="1:37" x14ac:dyDescent="0.25">
      <c r="A42" s="272" t="s">
        <v>44</v>
      </c>
      <c r="B42" s="236">
        <v>43864</v>
      </c>
      <c r="C42" s="237">
        <v>0.33333333333333331</v>
      </c>
      <c r="D42" s="42">
        <f>IF(V053_20[[#This Row],[FECHA]]-B41=1,((V053_20[[#This Row],[HORA]]-C41)*24)+24,(V053_20[[#This Row],[HORA]]-C41)*24)</f>
        <v>7.1999999999999993</v>
      </c>
      <c r="E42" s="239" t="s">
        <v>55</v>
      </c>
      <c r="F42" s="240" t="s">
        <v>56</v>
      </c>
      <c r="G42" s="241"/>
      <c r="H42" s="50"/>
      <c r="I42" s="33">
        <f>IF(ISERROR(V053_20[[#This Row],[DISTANCIA POR CARTA]]/V053_20[[#This Row],[TIEMPO DE NAVEGACION]]),0,V053_20[[#This Row],[DISTANCIA POR CARTA]]/V053_20[[#This Row],[TIEMPO DE NAVEGACION]])</f>
        <v>0</v>
      </c>
      <c r="J42" s="243" t="s">
        <v>54</v>
      </c>
      <c r="K42" s="244">
        <v>95</v>
      </c>
      <c r="L42" s="245">
        <v>6</v>
      </c>
      <c r="M42" s="246">
        <v>0.75</v>
      </c>
      <c r="N42" s="246">
        <v>0</v>
      </c>
      <c r="O42" s="418">
        <f>SUM(V053_20[[#This Row],[MPAL]:[CALDERA]])</f>
        <v>6.75</v>
      </c>
      <c r="P42" s="319"/>
      <c r="Q42" s="270">
        <f>(Q41 -V053_20[[#This Row],[TOTAL ]])+V053_20[[#This Row],[FAENA]]</f>
        <v>82.631250000000051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63">
        <f>SUM(V053_20[[#This Row],[MPAL2]:[GI]])</f>
        <v>0</v>
      </c>
      <c r="X42" s="246"/>
      <c r="Y42" s="335">
        <f>(Y41-V053_20[[#This Row],[TOTAL]])+V053_20[[#This Row],[FAENA2]]</f>
        <v>59.4</v>
      </c>
      <c r="Z42" s="245"/>
      <c r="AA42" s="246"/>
      <c r="AB42" s="301">
        <f>(AB41-V053_20[[#This Row],[CYLINDER MP]])+V053_20[[#This Row],[FAENA EN LTS]]</f>
        <v>100</v>
      </c>
      <c r="AC42" s="246"/>
      <c r="AD42" s="246"/>
      <c r="AE42" s="301">
        <f>(AE41-V053_20[[#This Row],[CARTER MP.]])+V053_20[[#This Row],[FAENA EN LTS2]]</f>
        <v>100</v>
      </c>
      <c r="AF42" s="246"/>
      <c r="AG42" s="246"/>
      <c r="AH42" s="301">
        <f>(AH41-V053_20[[#This Row],[MOT AUX]])+V053_20[[#This Row],[FAENA EN  LTS]]</f>
        <v>100</v>
      </c>
      <c r="AI42" s="246"/>
      <c r="AJ42" s="246"/>
      <c r="AK42" s="302">
        <f>(AK41-V053_20[[#This Row],[HIDRAULICO]])+V053_20[[#This Row],[FAENA EN LTS3]]</f>
        <v>100</v>
      </c>
    </row>
    <row r="43" spans="1:37" x14ac:dyDescent="0.25">
      <c r="A43" s="272" t="s">
        <v>44</v>
      </c>
      <c r="B43" s="236">
        <v>43864</v>
      </c>
      <c r="C43" s="237">
        <v>0.38750000000000001</v>
      </c>
      <c r="D43" s="42">
        <f>IF(V053_20[[#This Row],[FECHA]]-B42=1,((V053_20[[#This Row],[HORA]]-C42)*24)+24,(V053_20[[#This Row],[HORA]]-C42)*24)</f>
        <v>1.3000000000000007</v>
      </c>
      <c r="E43" s="239" t="s">
        <v>55</v>
      </c>
      <c r="F43" s="240" t="s">
        <v>57</v>
      </c>
      <c r="G43" s="241">
        <v>96</v>
      </c>
      <c r="H43" s="50">
        <v>8.5</v>
      </c>
      <c r="I43" s="33">
        <f>IF(ISERROR(V053_20[[#This Row],[DISTANCIA POR CARTA]]/V053_20[[#This Row],[TIEMPO DE NAVEGACION]]),0,V053_20[[#This Row],[DISTANCIA POR CARTA]]/V053_20[[#This Row],[TIEMPO DE NAVEGACION]])</f>
        <v>11.294117647058824</v>
      </c>
      <c r="J43" s="243" t="s">
        <v>54</v>
      </c>
      <c r="K43" s="244">
        <v>95</v>
      </c>
      <c r="L43" s="245">
        <v>1.0833333333333339</v>
      </c>
      <c r="M43" s="246">
        <v>0.13541666666666674</v>
      </c>
      <c r="N43" s="246">
        <v>0</v>
      </c>
      <c r="O43" s="418">
        <f>SUM(V053_20[[#This Row],[MPAL]:[CALDERA]])</f>
        <v>1.2187500000000007</v>
      </c>
      <c r="P43" s="319"/>
      <c r="Q43" s="270">
        <f>(Q42 -V053_20[[#This Row],[TOTAL ]])+V053_20[[#This Row],[FAENA]]</f>
        <v>81.412500000000051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63">
        <f>SUM(V053_20[[#This Row],[MPAL2]:[GI]])</f>
        <v>0</v>
      </c>
      <c r="X43" s="246"/>
      <c r="Y43" s="335">
        <f>(Y42-V053_20[[#This Row],[TOTAL]])+V053_20[[#This Row],[FAENA2]]</f>
        <v>59.4</v>
      </c>
      <c r="Z43" s="245"/>
      <c r="AA43" s="246"/>
      <c r="AB43" s="301">
        <f>(AB42-V053_20[[#This Row],[CYLINDER MP]])+V053_20[[#This Row],[FAENA EN LTS]]</f>
        <v>100</v>
      </c>
      <c r="AC43" s="246"/>
      <c r="AD43" s="246"/>
      <c r="AE43" s="301">
        <f>(AE42-V053_20[[#This Row],[CARTER MP.]])+V053_20[[#This Row],[FAENA EN LTS2]]</f>
        <v>100</v>
      </c>
      <c r="AF43" s="246"/>
      <c r="AG43" s="246"/>
      <c r="AH43" s="301">
        <f>(AH42-V053_20[[#This Row],[MOT AUX]])+V053_20[[#This Row],[FAENA EN  LTS]]</f>
        <v>100</v>
      </c>
      <c r="AI43" s="246"/>
      <c r="AJ43" s="246"/>
      <c r="AK43" s="302">
        <f>(AK42-V053_20[[#This Row],[HIDRAULICO]])+V053_20[[#This Row],[FAENA EN LTS3]]</f>
        <v>100</v>
      </c>
    </row>
    <row r="44" spans="1:37" x14ac:dyDescent="0.25">
      <c r="A44" s="272" t="s">
        <v>44</v>
      </c>
      <c r="B44" s="236">
        <v>43864</v>
      </c>
      <c r="C44" s="237">
        <v>0.48333333333333334</v>
      </c>
      <c r="D44" s="42">
        <f>IF(V053_20[[#This Row],[FECHA]]-B43=1,((V053_20[[#This Row],[HORA]]-C43)*24)+24,(V053_20[[#This Row],[HORA]]-C43)*24)</f>
        <v>2.2999999999999998</v>
      </c>
      <c r="E44" s="239" t="s">
        <v>47</v>
      </c>
      <c r="F44" s="240" t="s">
        <v>48</v>
      </c>
      <c r="G44" s="241"/>
      <c r="H44" s="50"/>
      <c r="I44" s="33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0.19166666666666665</v>
      </c>
      <c r="M44" s="246">
        <v>0.23958333333333331</v>
      </c>
      <c r="N44" s="246">
        <v>0.19166666666666665</v>
      </c>
      <c r="O44" s="418">
        <f>SUM(V053_20[[#This Row],[MPAL]:[CALDERA]])</f>
        <v>0.62291666666666656</v>
      </c>
      <c r="P44" s="319"/>
      <c r="Q44" s="270">
        <f>(Q43 -V053_20[[#This Row],[TOTAL ]])+V053_20[[#This Row],[FAENA]]</f>
        <v>80.789583333333383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63">
        <f>SUM(V053_20[[#This Row],[MPAL2]:[GI]])</f>
        <v>0</v>
      </c>
      <c r="X44" s="246"/>
      <c r="Y44" s="335">
        <f>(Y43-V053_20[[#This Row],[TOTAL]])+V053_20[[#This Row],[FAENA2]]</f>
        <v>59.4</v>
      </c>
      <c r="Z44" s="245"/>
      <c r="AA44" s="246"/>
      <c r="AB44" s="301">
        <f>(AB43-V053_20[[#This Row],[CYLINDER MP]])+V053_20[[#This Row],[FAENA EN LTS]]</f>
        <v>100</v>
      </c>
      <c r="AC44" s="246"/>
      <c r="AD44" s="246"/>
      <c r="AE44" s="301">
        <f>(AE43-V053_20[[#This Row],[CARTER MP.]])+V053_20[[#This Row],[FAENA EN LTS2]]</f>
        <v>100</v>
      </c>
      <c r="AF44" s="246"/>
      <c r="AG44" s="246"/>
      <c r="AH44" s="301">
        <f>(AH43-V053_20[[#This Row],[MOT AUX]])+V053_20[[#This Row],[FAENA EN  LTS]]</f>
        <v>100</v>
      </c>
      <c r="AI44" s="246"/>
      <c r="AJ44" s="246"/>
      <c r="AK44" s="302">
        <f>(AK43-V053_20[[#This Row],[HIDRAULICO]])+V053_20[[#This Row],[FAENA EN LTS3]]</f>
        <v>100</v>
      </c>
    </row>
    <row r="45" spans="1:37" x14ac:dyDescent="0.25">
      <c r="A45" s="272" t="s">
        <v>44</v>
      </c>
      <c r="B45" s="236">
        <v>43864</v>
      </c>
      <c r="C45" s="237">
        <v>0.6791666666666667</v>
      </c>
      <c r="D45" s="42">
        <f>IF(V053_20[[#This Row],[FECHA]]-B44=1,((V053_20[[#This Row],[HORA]]-C44)*24)+24,(V053_20[[#This Row],[HORA]]-C44)*24)</f>
        <v>4.7000000000000011</v>
      </c>
      <c r="E45" s="239" t="s">
        <v>49</v>
      </c>
      <c r="F45" s="240" t="s">
        <v>58</v>
      </c>
      <c r="G45" s="241"/>
      <c r="H45" s="50"/>
      <c r="I45" s="33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0</v>
      </c>
      <c r="M45" s="246">
        <v>0.48958333333333348</v>
      </c>
      <c r="N45" s="246">
        <v>0.39166666666666672</v>
      </c>
      <c r="O45" s="418">
        <f>SUM(V053_20[[#This Row],[MPAL]:[CALDERA]])</f>
        <v>0.8812500000000002</v>
      </c>
      <c r="P45" s="319"/>
      <c r="Q45" s="270">
        <f>(Q44 -V053_20[[#This Row],[TOTAL ]])+V053_20[[#This Row],[FAENA]]</f>
        <v>79.908333333333388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63">
        <f>SUM(V053_20[[#This Row],[MPAL2]:[GI]])</f>
        <v>0</v>
      </c>
      <c r="X45" s="246"/>
      <c r="Y45" s="335">
        <f>(Y44-V053_20[[#This Row],[TOTAL]])+V053_20[[#This Row],[FAENA2]]</f>
        <v>59.4</v>
      </c>
      <c r="Z45" s="245"/>
      <c r="AA45" s="246"/>
      <c r="AB45" s="301">
        <f>(AB44-V053_20[[#This Row],[CYLINDER MP]])+V053_20[[#This Row],[FAENA EN LTS]]</f>
        <v>100</v>
      </c>
      <c r="AC45" s="246"/>
      <c r="AD45" s="246"/>
      <c r="AE45" s="301">
        <f>(AE44-V053_20[[#This Row],[CARTER MP.]])+V053_20[[#This Row],[FAENA EN LTS2]]</f>
        <v>100</v>
      </c>
      <c r="AF45" s="246"/>
      <c r="AG45" s="246"/>
      <c r="AH45" s="301">
        <f>(AH44-V053_20[[#This Row],[MOT AUX]])+V053_20[[#This Row],[FAENA EN  LTS]]</f>
        <v>100</v>
      </c>
      <c r="AI45" s="246"/>
      <c r="AJ45" s="246"/>
      <c r="AK45" s="302">
        <f>(AK44-V053_20[[#This Row],[HIDRAULICO]])+V053_20[[#This Row],[FAENA EN LTS3]]</f>
        <v>100</v>
      </c>
    </row>
    <row r="46" spans="1:37" x14ac:dyDescent="0.25">
      <c r="A46" s="272" t="s">
        <v>44</v>
      </c>
      <c r="B46" s="236">
        <v>43865</v>
      </c>
      <c r="C46" s="237">
        <v>0.26250000000000001</v>
      </c>
      <c r="D46" s="42">
        <f>IF(V053_20[[#This Row],[FECHA]]-B45=1,((V053_20[[#This Row],[HORA]]-C45)*24)+24,(V053_20[[#This Row],[HORA]]-C45)*24)</f>
        <v>14</v>
      </c>
      <c r="E46" s="239" t="s">
        <v>51</v>
      </c>
      <c r="F46" s="240" t="s">
        <v>52</v>
      </c>
      <c r="G46" s="241"/>
      <c r="H46" s="50"/>
      <c r="I46" s="33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1.4583333333333335</v>
      </c>
      <c r="N46" s="246">
        <v>1.1666666666666665</v>
      </c>
      <c r="O46" s="418">
        <f>SUM(V053_20[[#This Row],[MPAL]:[CALDERA]])</f>
        <v>2.625</v>
      </c>
      <c r="P46" s="319"/>
      <c r="Q46" s="270">
        <f>(Q45 -V053_20[[#This Row],[TOTAL ]])+V053_20[[#This Row],[FAENA]]</f>
        <v>77.283333333333388</v>
      </c>
      <c r="R46" s="245">
        <v>0</v>
      </c>
      <c r="S46" s="246">
        <v>0</v>
      </c>
      <c r="T46" s="246">
        <v>0</v>
      </c>
      <c r="U46" s="246">
        <v>0</v>
      </c>
      <c r="V46" s="246">
        <v>3.5</v>
      </c>
      <c r="W46" s="63">
        <f>SUM(V053_20[[#This Row],[MPAL2]:[GI]])</f>
        <v>3.5</v>
      </c>
      <c r="X46" s="246"/>
      <c r="Y46" s="335">
        <f>(Y45-V053_20[[#This Row],[TOTAL]])+V053_20[[#This Row],[FAENA2]]</f>
        <v>55.9</v>
      </c>
      <c r="Z46" s="245"/>
      <c r="AA46" s="246"/>
      <c r="AB46" s="301">
        <f>(AB45-V053_20[[#This Row],[CYLINDER MP]])+V053_20[[#This Row],[FAENA EN LTS]]</f>
        <v>100</v>
      </c>
      <c r="AC46" s="246"/>
      <c r="AD46" s="246"/>
      <c r="AE46" s="301">
        <f>(AE45-V053_20[[#This Row],[CARTER MP.]])+V053_20[[#This Row],[FAENA EN LTS2]]</f>
        <v>100</v>
      </c>
      <c r="AF46" s="246"/>
      <c r="AG46" s="246"/>
      <c r="AH46" s="301">
        <f>(AH45-V053_20[[#This Row],[MOT AUX]])+V053_20[[#This Row],[FAENA EN  LTS]]</f>
        <v>100</v>
      </c>
      <c r="AI46" s="246"/>
      <c r="AJ46" s="246"/>
      <c r="AK46" s="302">
        <f>(AK45-V053_20[[#This Row],[HIDRAULICO]])+V053_20[[#This Row],[FAENA EN LTS3]]</f>
        <v>100</v>
      </c>
    </row>
    <row r="47" spans="1:37" x14ac:dyDescent="0.25">
      <c r="A47" s="272" t="s">
        <v>44</v>
      </c>
      <c r="B47" s="236">
        <v>43865</v>
      </c>
      <c r="C47" s="237">
        <v>0.33333333333333331</v>
      </c>
      <c r="D47" s="42">
        <f>IF(V053_20[[#This Row],[FECHA]]-B46=1,((V053_20[[#This Row],[HORA]]-C46)*24)+24,(V053_20[[#This Row],[HORA]]-C46)*24)</f>
        <v>1.6999999999999993</v>
      </c>
      <c r="E47" s="239" t="s">
        <v>49</v>
      </c>
      <c r="F47" s="240" t="s">
        <v>59</v>
      </c>
      <c r="G47" s="241"/>
      <c r="H47" s="50"/>
      <c r="I47" s="33">
        <f>IF(ISERROR(V053_20[[#This Row],[DISTANCIA POR CARTA]]/V053_20[[#This Row],[TIEMPO DE NAVEGACION]]),0,V053_20[[#This Row],[DISTANCIA POR CARTA]]/V053_20[[#This Row],[TIEMPO DE NAVEGACION]])</f>
        <v>0</v>
      </c>
      <c r="J47" s="243"/>
      <c r="K47" s="244"/>
      <c r="L47" s="245">
        <v>0</v>
      </c>
      <c r="M47" s="246">
        <v>0.17708333333333326</v>
      </c>
      <c r="N47" s="246">
        <v>0.14166666666666661</v>
      </c>
      <c r="O47" s="418">
        <f>SUM(V053_20[[#This Row],[MPAL]:[CALDERA]])</f>
        <v>0.31874999999999987</v>
      </c>
      <c r="P47" s="319"/>
      <c r="Q47" s="270">
        <f>(Q46 -V053_20[[#This Row],[TOTAL ]])+V053_20[[#This Row],[FAENA]]</f>
        <v>76.964583333333394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63">
        <f>SUM(V053_20[[#This Row],[MPAL2]:[GI]])</f>
        <v>0</v>
      </c>
      <c r="X47" s="246"/>
      <c r="Y47" s="335">
        <f>(Y46-V053_20[[#This Row],[TOTAL]])+V053_20[[#This Row],[FAENA2]]</f>
        <v>55.9</v>
      </c>
      <c r="Z47" s="245"/>
      <c r="AA47" s="246"/>
      <c r="AB47" s="301">
        <f>(AB46-V053_20[[#This Row],[CYLINDER MP]])+V053_20[[#This Row],[FAENA EN LTS]]</f>
        <v>100</v>
      </c>
      <c r="AC47" s="246"/>
      <c r="AD47" s="246"/>
      <c r="AE47" s="301">
        <f>(AE46-V053_20[[#This Row],[CARTER MP.]])+V053_20[[#This Row],[FAENA EN LTS2]]</f>
        <v>100</v>
      </c>
      <c r="AF47" s="246"/>
      <c r="AG47" s="246"/>
      <c r="AH47" s="301">
        <f>(AH46-V053_20[[#This Row],[MOT AUX]])+V053_20[[#This Row],[FAENA EN  LTS]]</f>
        <v>100</v>
      </c>
      <c r="AI47" s="246"/>
      <c r="AJ47" s="246"/>
      <c r="AK47" s="302">
        <f>(AK46-V053_20[[#This Row],[HIDRAULICO]])+V053_20[[#This Row],[FAENA EN LTS3]]</f>
        <v>100</v>
      </c>
    </row>
    <row r="48" spans="1:37" x14ac:dyDescent="0.25">
      <c r="A48" s="272" t="s">
        <v>44</v>
      </c>
      <c r="B48" s="236">
        <v>43865</v>
      </c>
      <c r="C48" s="237">
        <v>0.45416666666666666</v>
      </c>
      <c r="D48" s="42">
        <f>IF(V053_20[[#This Row],[FECHA]]-B47=1,((V053_20[[#This Row],[HORA]]-C47)*24)+24,(V053_20[[#This Row],[HORA]]-C47)*24)</f>
        <v>2.9000000000000004</v>
      </c>
      <c r="E48" s="239" t="s">
        <v>49</v>
      </c>
      <c r="F48" s="240" t="s">
        <v>46</v>
      </c>
      <c r="G48" s="241"/>
      <c r="H48" s="50"/>
      <c r="I48" s="33">
        <f>IF(ISERROR(V053_20[[#This Row],[DISTANCIA POR CARTA]]/V053_20[[#This Row],[TIEMPO DE NAVEGACION]]),0,V053_20[[#This Row],[DISTANCIA POR CARTA]]/V053_20[[#This Row],[TIEMPO DE NAVEGACION]])</f>
        <v>0</v>
      </c>
      <c r="J48" s="243"/>
      <c r="K48" s="244"/>
      <c r="L48" s="245">
        <v>0</v>
      </c>
      <c r="M48" s="246">
        <v>0.30208333333333337</v>
      </c>
      <c r="N48" s="246">
        <v>0.2416666666666667</v>
      </c>
      <c r="O48" s="418">
        <f>SUM(V053_20[[#This Row],[MPAL]:[CALDERA]])</f>
        <v>0.54375000000000007</v>
      </c>
      <c r="P48" s="319"/>
      <c r="Q48" s="270">
        <f>(Q47 -V053_20[[#This Row],[TOTAL ]])+V053_20[[#This Row],[FAENA]]</f>
        <v>76.420833333333391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63">
        <f>SUM(V053_20[[#This Row],[MPAL2]:[GI]])</f>
        <v>0</v>
      </c>
      <c r="X48" s="246"/>
      <c r="Y48" s="335">
        <f>(Y47-V053_20[[#This Row],[TOTAL]])+V053_20[[#This Row],[FAENA2]]</f>
        <v>55.9</v>
      </c>
      <c r="Z48" s="245"/>
      <c r="AA48" s="246"/>
      <c r="AB48" s="301">
        <f>(AB47-V053_20[[#This Row],[CYLINDER MP]])+V053_20[[#This Row],[FAENA EN LTS]]</f>
        <v>100</v>
      </c>
      <c r="AC48" s="246"/>
      <c r="AD48" s="246"/>
      <c r="AE48" s="301">
        <f>(AE47-V053_20[[#This Row],[CARTER MP.]])+V053_20[[#This Row],[FAENA EN LTS2]]</f>
        <v>100</v>
      </c>
      <c r="AF48" s="246"/>
      <c r="AG48" s="246"/>
      <c r="AH48" s="301">
        <f>(AH47-V053_20[[#This Row],[MOT AUX]])+V053_20[[#This Row],[FAENA EN  LTS]]</f>
        <v>100</v>
      </c>
      <c r="AI48" s="246"/>
      <c r="AJ48" s="246"/>
      <c r="AK48" s="302">
        <f>(AK47-V053_20[[#This Row],[HIDRAULICO]])+V053_20[[#This Row],[FAENA EN LTS3]]</f>
        <v>100</v>
      </c>
    </row>
    <row r="49" spans="1:37" x14ac:dyDescent="0.25">
      <c r="A49" s="272" t="s">
        <v>44</v>
      </c>
      <c r="B49" s="236">
        <v>43865</v>
      </c>
      <c r="C49" s="237">
        <v>0.5</v>
      </c>
      <c r="D49" s="42">
        <f>IF(V053_20[[#This Row],[FECHA]]-B48=1,((V053_20[[#This Row],[HORA]]-C48)*24)+24,(V053_20[[#This Row],[HORA]]-C48)*24)</f>
        <v>1.1000000000000001</v>
      </c>
      <c r="E49" s="239" t="s">
        <v>47</v>
      </c>
      <c r="F49" s="240" t="s">
        <v>60</v>
      </c>
      <c r="G49" s="241"/>
      <c r="H49" s="50"/>
      <c r="I49" s="33">
        <f>IF(ISERROR(V053_20[[#This Row],[DISTANCIA POR CARTA]]/V053_20[[#This Row],[TIEMPO DE NAVEGACION]]),0,V053_20[[#This Row],[DISTANCIA POR CARTA]]/V053_20[[#This Row],[TIEMPO DE NAVEGACION]])</f>
        <v>0</v>
      </c>
      <c r="J49" s="243" t="s">
        <v>54</v>
      </c>
      <c r="K49" s="244">
        <v>95</v>
      </c>
      <c r="L49" s="245">
        <v>0.13750000000000001</v>
      </c>
      <c r="M49" s="246">
        <v>0.11458333333333334</v>
      </c>
      <c r="N49" s="246">
        <v>7.0000000000000007E-2</v>
      </c>
      <c r="O49" s="418">
        <f>SUM(V053_20[[#This Row],[MPAL]:[CALDERA]])</f>
        <v>0.32208333333333333</v>
      </c>
      <c r="P49" s="319"/>
      <c r="Q49" s="270">
        <f>(Q48 -V053_20[[#This Row],[TOTAL ]])+V053_20[[#This Row],[FAENA]]</f>
        <v>76.098750000000052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63">
        <f>SUM(V053_20[[#This Row],[MPAL2]:[GI]])</f>
        <v>0</v>
      </c>
      <c r="X49" s="246"/>
      <c r="Y49" s="335">
        <f>(Y48-V053_20[[#This Row],[TOTAL]])+V053_20[[#This Row],[FAENA2]]</f>
        <v>55.9</v>
      </c>
      <c r="Z49" s="245"/>
      <c r="AA49" s="246"/>
      <c r="AB49" s="301">
        <f>(AB48-V053_20[[#This Row],[CYLINDER MP]])+V053_20[[#This Row],[FAENA EN LTS]]</f>
        <v>100</v>
      </c>
      <c r="AC49" s="246"/>
      <c r="AD49" s="246"/>
      <c r="AE49" s="301">
        <f>(AE48-V053_20[[#This Row],[CARTER MP.]])+V053_20[[#This Row],[FAENA EN LTS2]]</f>
        <v>100</v>
      </c>
      <c r="AF49" s="246"/>
      <c r="AG49" s="246"/>
      <c r="AH49" s="301">
        <f>(AH48-V053_20[[#This Row],[MOT AUX]])+V053_20[[#This Row],[FAENA EN  LTS]]</f>
        <v>100</v>
      </c>
      <c r="AI49" s="246"/>
      <c r="AJ49" s="246"/>
      <c r="AK49" s="302">
        <f>(AK48-V053_20[[#This Row],[HIDRAULICO]])+V053_20[[#This Row],[FAENA EN LTS3]]</f>
        <v>100</v>
      </c>
    </row>
    <row r="50" spans="1:37" x14ac:dyDescent="0.25">
      <c r="A50" s="272" t="s">
        <v>44</v>
      </c>
      <c r="B50" s="236">
        <v>43866</v>
      </c>
      <c r="C50" s="237">
        <v>0.33333333333333331</v>
      </c>
      <c r="D50" s="42">
        <f>IF(V053_20[[#This Row],[FECHA]]-B49=1,((V053_20[[#This Row],[HORA]]-C49)*24)+24,(V053_20[[#This Row],[HORA]]-C49)*24)</f>
        <v>20</v>
      </c>
      <c r="E50" s="239" t="s">
        <v>61</v>
      </c>
      <c r="F50" s="240" t="s">
        <v>56</v>
      </c>
      <c r="G50" s="241"/>
      <c r="H50" s="50"/>
      <c r="I50" s="33">
        <f>IF(ISERROR(V053_20[[#This Row],[DISTANCIA POR CARTA]]/V053_20[[#This Row],[TIEMPO DE NAVEGACION]]),0,V053_20[[#This Row],[DISTANCIA POR CARTA]]/V053_20[[#This Row],[TIEMPO DE NAVEGACION]])</f>
        <v>0</v>
      </c>
      <c r="J50" s="243" t="s">
        <v>54</v>
      </c>
      <c r="K50" s="244">
        <v>95</v>
      </c>
      <c r="L50" s="245">
        <v>16.666666666666668</v>
      </c>
      <c r="M50" s="246">
        <v>2.0833333333333335</v>
      </c>
      <c r="N50" s="246">
        <v>0</v>
      </c>
      <c r="O50" s="418">
        <f>SUM(V053_20[[#This Row],[MPAL]:[CALDERA]])</f>
        <v>18.75</v>
      </c>
      <c r="P50" s="319"/>
      <c r="Q50" s="270">
        <f>(Q49 -V053_20[[#This Row],[TOTAL ]])+V053_20[[#This Row],[FAENA]]</f>
        <v>57.348750000000052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63">
        <f>SUM(V053_20[[#This Row],[MPAL2]:[GI]])</f>
        <v>0</v>
      </c>
      <c r="X50" s="246"/>
      <c r="Y50" s="335">
        <f>(Y49-V053_20[[#This Row],[TOTAL]])+V053_20[[#This Row],[FAENA2]]</f>
        <v>55.9</v>
      </c>
      <c r="Z50" s="245"/>
      <c r="AA50" s="246"/>
      <c r="AB50" s="301">
        <f>(AB49-V053_20[[#This Row],[CYLINDER MP]])+V053_20[[#This Row],[FAENA EN LTS]]</f>
        <v>100</v>
      </c>
      <c r="AC50" s="246"/>
      <c r="AD50" s="246"/>
      <c r="AE50" s="301">
        <f>(AE49-V053_20[[#This Row],[CARTER MP.]])+V053_20[[#This Row],[FAENA EN LTS2]]</f>
        <v>100</v>
      </c>
      <c r="AF50" s="246"/>
      <c r="AG50" s="246"/>
      <c r="AH50" s="301">
        <f>(AH49-V053_20[[#This Row],[MOT AUX]])+V053_20[[#This Row],[FAENA EN  LTS]]</f>
        <v>100</v>
      </c>
      <c r="AI50" s="246"/>
      <c r="AJ50" s="246"/>
      <c r="AK50" s="302">
        <f>(AK49-V053_20[[#This Row],[HIDRAULICO]])+V053_20[[#This Row],[FAENA EN LTS3]]</f>
        <v>100</v>
      </c>
    </row>
    <row r="51" spans="1:37" x14ac:dyDescent="0.25">
      <c r="A51" s="272" t="s">
        <v>44</v>
      </c>
      <c r="B51" s="236">
        <v>43866</v>
      </c>
      <c r="C51" s="237">
        <v>0.5</v>
      </c>
      <c r="D51" s="42">
        <f>IF(V053_20[[#This Row],[FECHA]]-B50=1,((V053_20[[#This Row],[HORA]]-C50)*24)+24,(V053_20[[#This Row],[HORA]]-C50)*24)</f>
        <v>4</v>
      </c>
      <c r="E51" s="239" t="s">
        <v>61</v>
      </c>
      <c r="F51" s="240" t="s">
        <v>62</v>
      </c>
      <c r="G51" s="241">
        <v>265</v>
      </c>
      <c r="H51" s="50">
        <v>24</v>
      </c>
      <c r="I51" s="33">
        <f>IF(ISERROR(V053_20[[#This Row],[DISTANCIA POR CARTA]]/V053_20[[#This Row],[TIEMPO DE NAVEGACION]]),0,V053_20[[#This Row],[DISTANCIA POR CARTA]]/V053_20[[#This Row],[TIEMPO DE NAVEGACION]])</f>
        <v>11.041666666666666</v>
      </c>
      <c r="J51" s="243" t="s">
        <v>54</v>
      </c>
      <c r="K51" s="244">
        <v>95</v>
      </c>
      <c r="L51" s="245">
        <v>3.3333333333333335</v>
      </c>
      <c r="M51" s="246">
        <v>0.41666666666666669</v>
      </c>
      <c r="N51" s="246">
        <v>0</v>
      </c>
      <c r="O51" s="418">
        <f>SUM(V053_20[[#This Row],[MPAL]:[CALDERA]])</f>
        <v>3.75</v>
      </c>
      <c r="P51" s="319"/>
      <c r="Q51" s="270">
        <f>(Q50 -V053_20[[#This Row],[TOTAL ]])+V053_20[[#This Row],[FAENA]]</f>
        <v>53.598750000000052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63">
        <f>SUM(V053_20[[#This Row],[MPAL2]:[GI]])</f>
        <v>0</v>
      </c>
      <c r="X51" s="246"/>
      <c r="Y51" s="335">
        <f>(Y50-V053_20[[#This Row],[TOTAL]])+V053_20[[#This Row],[FAENA2]]</f>
        <v>55.9</v>
      </c>
      <c r="Z51" s="245"/>
      <c r="AA51" s="246"/>
      <c r="AB51" s="301">
        <f>(AB50-V053_20[[#This Row],[CYLINDER MP]])+V053_20[[#This Row],[FAENA EN LTS]]</f>
        <v>100</v>
      </c>
      <c r="AC51" s="246"/>
      <c r="AD51" s="246"/>
      <c r="AE51" s="301">
        <f>(AE50-V053_20[[#This Row],[CARTER MP.]])+V053_20[[#This Row],[FAENA EN LTS2]]</f>
        <v>100</v>
      </c>
      <c r="AF51" s="246"/>
      <c r="AG51" s="246"/>
      <c r="AH51" s="301">
        <f>(AH50-V053_20[[#This Row],[MOT AUX]])+V053_20[[#This Row],[FAENA EN  LTS]]</f>
        <v>100</v>
      </c>
      <c r="AI51" s="246"/>
      <c r="AJ51" s="246"/>
      <c r="AK51" s="302">
        <f>(AK50-V053_20[[#This Row],[HIDRAULICO]])+V053_20[[#This Row],[FAENA EN LTS3]]</f>
        <v>100</v>
      </c>
    </row>
    <row r="52" spans="1:37" x14ac:dyDescent="0.25">
      <c r="D52" s="132">
        <f>SUBTOTAL(109,V053_20[TIEMPO Hrs])</f>
        <v>327.5</v>
      </c>
      <c r="L52" s="68">
        <f>SUBTOTAL(109,V053_20[MPAL])</f>
        <v>56.416666666666679</v>
      </c>
      <c r="M52" s="68">
        <f>SUBTOTAL(109,V053_20[AUX.])</f>
        <v>34.114583333333329</v>
      </c>
      <c r="N52" s="68">
        <f>SUBTOTAL(109,V053_20[CALDERA])</f>
        <v>21.87</v>
      </c>
    </row>
    <row r="53" spans="1:37" x14ac:dyDescent="0.25">
      <c r="O53" s="67">
        <f>SUM(L52:N52)</f>
        <v>112.40125</v>
      </c>
    </row>
    <row r="54" spans="1:37" ht="19.5" thickBot="1" x14ac:dyDescent="0.35">
      <c r="C54" s="69" t="s">
        <v>190</v>
      </c>
      <c r="D54" s="69"/>
      <c r="E54" s="69"/>
      <c r="F54" s="69"/>
      <c r="G54" s="69"/>
      <c r="H54" s="69"/>
      <c r="O54" s="69"/>
      <c r="P54" s="69"/>
      <c r="T54" s="70" t="s">
        <v>189</v>
      </c>
    </row>
    <row r="55" spans="1:37" ht="19.5" thickBot="1" x14ac:dyDescent="0.35">
      <c r="C55" s="69"/>
      <c r="D55" s="69"/>
      <c r="E55" s="69"/>
      <c r="F55" s="69"/>
      <c r="G55" s="69"/>
      <c r="H55" s="69"/>
      <c r="O55" s="69"/>
      <c r="P55" s="69"/>
      <c r="T55" s="70"/>
    </row>
    <row r="56" spans="1:37" ht="45.75" thickBot="1" x14ac:dyDescent="0.3">
      <c r="C56" s="265" t="s">
        <v>166</v>
      </c>
      <c r="D56" s="265" t="s">
        <v>90</v>
      </c>
      <c r="E56" s="266" t="s">
        <v>91</v>
      </c>
      <c r="F56" s="266" t="s">
        <v>92</v>
      </c>
      <c r="G56" s="266" t="s">
        <v>93</v>
      </c>
      <c r="H56" s="265" t="s">
        <v>94</v>
      </c>
      <c r="I56" s="265" t="s">
        <v>95</v>
      </c>
      <c r="J56" s="265" t="s">
        <v>96</v>
      </c>
      <c r="K56" s="265" t="s">
        <v>97</v>
      </c>
      <c r="L56" s="267" t="s">
        <v>98</v>
      </c>
      <c r="M56" s="268" t="s">
        <v>99</v>
      </c>
      <c r="N56" s="269" t="s">
        <v>100</v>
      </c>
      <c r="R56" s="76" t="s">
        <v>101</v>
      </c>
      <c r="S56" s="76" t="s">
        <v>94</v>
      </c>
      <c r="T56" s="76" t="s">
        <v>102</v>
      </c>
      <c r="U56" s="76" t="s">
        <v>96</v>
      </c>
      <c r="V56" s="76" t="s">
        <v>103</v>
      </c>
      <c r="W56" s="76" t="s">
        <v>104</v>
      </c>
      <c r="X56" s="133"/>
    </row>
    <row r="57" spans="1:37" x14ac:dyDescent="0.25">
      <c r="C57" s="331" t="s">
        <v>71</v>
      </c>
      <c r="D57" s="80">
        <f>SUMIF($E$6:$E$51,C57,$D$6:$D$51)</f>
        <v>38.1</v>
      </c>
      <c r="E57" s="80"/>
      <c r="F57" s="79"/>
      <c r="G57" s="79"/>
      <c r="H57" s="80">
        <f>SUMIF($E$6:$E$51,C57,$L$6:$L$51)+SUMIF($E$6:$E$51,C57,$M$6:$M$51)+SUMIF($E$6:$E$51,C57,$N$6:$N$51)</f>
        <v>7.1437499999999998</v>
      </c>
      <c r="I57" s="79">
        <f>IF(ISERROR(H57*24/D57),0,H57*24/D57)</f>
        <v>4.4999999999999991</v>
      </c>
      <c r="J57" s="79">
        <v>4.5</v>
      </c>
      <c r="K57" s="80"/>
      <c r="L57" s="79">
        <f>D57*J57/24</f>
        <v>7.1437500000000007</v>
      </c>
      <c r="M57" s="80">
        <f t="shared" ref="M57:M64" si="0">L57-H57</f>
        <v>0</v>
      </c>
      <c r="N57" s="86"/>
      <c r="Q57" s="82"/>
      <c r="R57" s="83" t="s">
        <v>105</v>
      </c>
      <c r="S57" s="228">
        <f>SUM(V6:V51)</f>
        <v>9.4</v>
      </c>
      <c r="T57" s="84">
        <f>S57*24/($D$58+$D$64)</f>
        <v>1.7976095617529881</v>
      </c>
      <c r="U57" s="84">
        <v>6</v>
      </c>
      <c r="V57" s="85">
        <f>($D$58+$D$64)*U57/24</f>
        <v>31.375</v>
      </c>
      <c r="W57" s="119">
        <f>V57-S57</f>
        <v>21.975000000000001</v>
      </c>
      <c r="X57" s="134"/>
    </row>
    <row r="58" spans="1:37" x14ac:dyDescent="0.25">
      <c r="C58" s="332" t="s">
        <v>51</v>
      </c>
      <c r="D58" s="88">
        <f t="shared" ref="D58:D64" si="1">SUMIF($E$6:$E$51,C58,$D$6:$D$51)</f>
        <v>89.2</v>
      </c>
      <c r="E58" s="88"/>
      <c r="F58" s="37"/>
      <c r="G58" s="37"/>
      <c r="H58" s="88">
        <f t="shared" ref="H58:H64" si="2">SUMIF($E$6:$E$51,C58,$L$6:$L$51)+SUMIF($E$6:$E$51,C58,$M$6:$M$51)+SUMIF($E$6:$E$51,C58,$N$6:$N$51)</f>
        <v>16.724999999999998</v>
      </c>
      <c r="I58" s="37">
        <f t="shared" ref="I58:I64" si="3">IF(ISERROR(H58*24/D58),0,H58*24/D58)</f>
        <v>4.5</v>
      </c>
      <c r="J58" s="37">
        <v>4.5</v>
      </c>
      <c r="K58" s="88"/>
      <c r="L58" s="37">
        <f>D58*4.5/24</f>
        <v>16.725000000000001</v>
      </c>
      <c r="M58" s="88">
        <f t="shared" si="0"/>
        <v>0</v>
      </c>
      <c r="N58" s="121"/>
      <c r="R58" s="90" t="s">
        <v>106</v>
      </c>
      <c r="S58" s="286">
        <f>SUM(S6:S51)</f>
        <v>0</v>
      </c>
      <c r="T58" s="84">
        <f>S58*24/($D$58+$D$64)</f>
        <v>0</v>
      </c>
      <c r="U58" s="88"/>
      <c r="V58" s="88"/>
      <c r="W58" s="121"/>
      <c r="X58" s="127"/>
    </row>
    <row r="59" spans="1:37" x14ac:dyDescent="0.25">
      <c r="C59" s="332" t="s">
        <v>61</v>
      </c>
      <c r="D59" s="88">
        <f t="shared" si="1"/>
        <v>24</v>
      </c>
      <c r="E59" s="88">
        <f>SUMIF($E$6:$E$51,C59,$G$6:$G$51)</f>
        <v>265</v>
      </c>
      <c r="F59" s="37">
        <f>E59/D59</f>
        <v>11.041666666666666</v>
      </c>
      <c r="G59" s="37">
        <v>12.5</v>
      </c>
      <c r="H59" s="88">
        <f t="shared" si="2"/>
        <v>22.5</v>
      </c>
      <c r="I59" s="37">
        <f t="shared" si="3"/>
        <v>22.5</v>
      </c>
      <c r="J59" s="37">
        <v>30.5</v>
      </c>
      <c r="K59" s="88">
        <f>E59/G59</f>
        <v>21.2</v>
      </c>
      <c r="L59" s="37">
        <f>K59*J59/24</f>
        <v>26.941666666666666</v>
      </c>
      <c r="M59" s="88">
        <f t="shared" si="0"/>
        <v>4.4416666666666664</v>
      </c>
      <c r="N59" s="121">
        <f>K59-D59</f>
        <v>-2.8000000000000007</v>
      </c>
      <c r="R59" s="90" t="s">
        <v>20</v>
      </c>
      <c r="S59" s="286">
        <f>SUM(T6:T51)</f>
        <v>0</v>
      </c>
      <c r="T59" s="84">
        <f>S59*24/($D$58+$D$64)</f>
        <v>0</v>
      </c>
      <c r="U59" s="88"/>
      <c r="V59" s="88"/>
      <c r="W59" s="121"/>
      <c r="X59" s="127"/>
    </row>
    <row r="60" spans="1:37" x14ac:dyDescent="0.25">
      <c r="C60" s="332" t="s">
        <v>55</v>
      </c>
      <c r="D60" s="88">
        <f t="shared" si="1"/>
        <v>40.799999999999997</v>
      </c>
      <c r="E60" s="88">
        <f>SUMIF($E$6:$E$51,C60,$G$6:$G$51)</f>
        <v>453</v>
      </c>
      <c r="F60" s="37">
        <f>E60/D60</f>
        <v>11.102941176470589</v>
      </c>
      <c r="G60" s="37">
        <v>12</v>
      </c>
      <c r="H60" s="88">
        <f t="shared" si="2"/>
        <v>38.925000000000004</v>
      </c>
      <c r="I60" s="37">
        <f t="shared" si="3"/>
        <v>22.897058823529413</v>
      </c>
      <c r="J60" s="37">
        <v>30.5</v>
      </c>
      <c r="K60" s="88">
        <f>E60/G60</f>
        <v>37.75</v>
      </c>
      <c r="L60" s="37">
        <f>K60*J60/24</f>
        <v>47.973958333333336</v>
      </c>
      <c r="M60" s="88">
        <f t="shared" si="0"/>
        <v>9.0489583333333314</v>
      </c>
      <c r="N60" s="121">
        <f>K60-D60</f>
        <v>-3.0499999999999972</v>
      </c>
      <c r="R60" s="90" t="s">
        <v>107</v>
      </c>
      <c r="S60" s="286">
        <f>SUM(U6:U51)</f>
        <v>0</v>
      </c>
      <c r="T60" s="84">
        <f>S60*24/($D$58+$D$64)</f>
        <v>0</v>
      </c>
      <c r="U60" s="88"/>
      <c r="V60" s="88"/>
      <c r="W60" s="121"/>
      <c r="X60" s="127"/>
    </row>
    <row r="61" spans="1:37" ht="15.75" thickBot="1" x14ac:dyDescent="0.3">
      <c r="C61" s="332" t="s">
        <v>108</v>
      </c>
      <c r="D61" s="88">
        <f t="shared" si="1"/>
        <v>0</v>
      </c>
      <c r="E61" s="88">
        <f>SUMIF($E$33:$E$51,C61,$G$33:$G$51)</f>
        <v>0</v>
      </c>
      <c r="F61" s="37">
        <f>IF(ISERROR(E61/D61),0,E61/D61)</f>
        <v>0</v>
      </c>
      <c r="G61" s="37">
        <v>12</v>
      </c>
      <c r="H61" s="88">
        <f t="shared" si="2"/>
        <v>0</v>
      </c>
      <c r="I61" s="37">
        <f t="shared" si="3"/>
        <v>0</v>
      </c>
      <c r="J61" s="37">
        <v>30.5</v>
      </c>
      <c r="K61" s="88">
        <f>E61/G61</f>
        <v>0</v>
      </c>
      <c r="L61" s="37">
        <f>K61*J61/24</f>
        <v>0</v>
      </c>
      <c r="M61" s="88">
        <f t="shared" si="0"/>
        <v>0</v>
      </c>
      <c r="N61" s="121">
        <f>K61-D61</f>
        <v>0</v>
      </c>
      <c r="R61" s="92" t="s">
        <v>24</v>
      </c>
      <c r="S61" s="287">
        <f>SUM(R6:R51)</f>
        <v>0</v>
      </c>
      <c r="T61" s="84">
        <f>S61*24/($D$58+$D$64)</f>
        <v>0</v>
      </c>
      <c r="U61" s="98"/>
      <c r="V61" s="98"/>
      <c r="W61" s="122"/>
      <c r="X61" s="127"/>
    </row>
    <row r="62" spans="1:37" x14ac:dyDescent="0.25">
      <c r="C62" s="332" t="s">
        <v>45</v>
      </c>
      <c r="D62" s="88">
        <f t="shared" si="1"/>
        <v>86.5</v>
      </c>
      <c r="E62" s="88"/>
      <c r="F62" s="37"/>
      <c r="G62" s="37"/>
      <c r="H62" s="88">
        <f t="shared" si="2"/>
        <v>16.21875</v>
      </c>
      <c r="I62" s="37">
        <f t="shared" si="3"/>
        <v>4.5</v>
      </c>
      <c r="J62" s="37">
        <v>4.5</v>
      </c>
      <c r="K62" s="88"/>
      <c r="L62" s="37">
        <f>D62*J62/24</f>
        <v>16.21875</v>
      </c>
      <c r="M62" s="88">
        <f t="shared" si="0"/>
        <v>0</v>
      </c>
      <c r="N62" s="121"/>
      <c r="S62" s="68"/>
      <c r="T62" s="143"/>
      <c r="U62" s="68"/>
      <c r="V62" s="68"/>
      <c r="W62" s="68"/>
      <c r="X62" s="127"/>
    </row>
    <row r="63" spans="1:37" x14ac:dyDescent="0.25">
      <c r="C63" s="332" t="s">
        <v>47</v>
      </c>
      <c r="D63" s="88">
        <f t="shared" si="1"/>
        <v>12.6</v>
      </c>
      <c r="E63" s="88"/>
      <c r="F63" s="37"/>
      <c r="G63" s="37"/>
      <c r="H63" s="88">
        <f t="shared" si="2"/>
        <v>4.0824999999999996</v>
      </c>
      <c r="I63" s="37">
        <f t="shared" si="3"/>
        <v>7.7761904761904752</v>
      </c>
      <c r="J63" s="37">
        <v>4.5</v>
      </c>
      <c r="K63" s="88"/>
      <c r="L63" s="37">
        <f>D63*J63/24</f>
        <v>2.3624999999999998</v>
      </c>
      <c r="M63" s="88">
        <f t="shared" si="0"/>
        <v>-1.7199999999999998</v>
      </c>
      <c r="N63" s="121"/>
      <c r="S63" s="68"/>
      <c r="T63" s="68"/>
      <c r="U63" s="68"/>
      <c r="V63" s="334"/>
      <c r="W63" s="68"/>
    </row>
    <row r="64" spans="1:37" ht="15.75" thickBot="1" x14ac:dyDescent="0.3">
      <c r="C64" s="333" t="s">
        <v>49</v>
      </c>
      <c r="D64" s="98">
        <f t="shared" si="1"/>
        <v>36.300000000000004</v>
      </c>
      <c r="E64" s="98"/>
      <c r="F64" s="98"/>
      <c r="G64" s="98"/>
      <c r="H64" s="98">
        <f t="shared" si="2"/>
        <v>6.8062500000000004</v>
      </c>
      <c r="I64" s="99">
        <f t="shared" si="3"/>
        <v>4.5</v>
      </c>
      <c r="J64" s="99">
        <v>4.5</v>
      </c>
      <c r="K64" s="98"/>
      <c r="L64" s="99">
        <f>D64*J64/24</f>
        <v>6.8062500000000012</v>
      </c>
      <c r="M64" s="98">
        <f t="shared" si="0"/>
        <v>0</v>
      </c>
      <c r="N64" s="122"/>
      <c r="S64" s="68"/>
      <c r="T64" s="68"/>
      <c r="U64" s="68"/>
      <c r="V64" s="68"/>
      <c r="W64" s="68"/>
    </row>
    <row r="65" spans="3:24" ht="15.75" thickBot="1" x14ac:dyDescent="0.3">
      <c r="D65" s="116"/>
      <c r="E65" s="116"/>
      <c r="F65" s="116"/>
      <c r="I65" s="102"/>
      <c r="J65" s="102"/>
      <c r="K65" s="68"/>
      <c r="L65" s="68"/>
      <c r="M65" s="68"/>
      <c r="N65" s="68"/>
      <c r="O65" s="68"/>
      <c r="P65" s="68"/>
      <c r="R65" s="100" t="s">
        <v>29</v>
      </c>
      <c r="S65" s="101">
        <f>SUM(S57:S61)</f>
        <v>9.4</v>
      </c>
      <c r="T65" s="101">
        <f>SUM(T57:T61)</f>
        <v>1.7976095617529881</v>
      </c>
      <c r="U65" s="68"/>
      <c r="V65" s="68"/>
      <c r="W65" s="68"/>
    </row>
    <row r="66" spans="3:24" ht="15.75" thickBot="1" x14ac:dyDescent="0.3">
      <c r="C66" s="103" t="s">
        <v>29</v>
      </c>
      <c r="D66" s="284">
        <f>SUM(D57:D64)</f>
        <v>327.50000000000006</v>
      </c>
      <c r="E66" s="284">
        <f>SUM(E57:E64)</f>
        <v>718</v>
      </c>
      <c r="F66" s="284">
        <f>SUM(F57:F64)/2</f>
        <v>11.072303921568627</v>
      </c>
      <c r="H66" s="101">
        <f>SUM(H57:H64)</f>
        <v>112.40125</v>
      </c>
      <c r="L66" s="104">
        <f>SUM(L57:L64)</f>
        <v>124.17187500000001</v>
      </c>
      <c r="M66" s="101">
        <f>SUM(M57:M64)</f>
        <v>11.770624999999999</v>
      </c>
      <c r="N66" s="123">
        <f>SUM(N57:N64)</f>
        <v>-5.8499999999999979</v>
      </c>
    </row>
    <row r="67" spans="3:24" x14ac:dyDescent="0.25">
      <c r="X67" s="135"/>
    </row>
    <row r="69" spans="3:24" x14ac:dyDescent="0.25">
      <c r="M69" s="105"/>
      <c r="N69" s="105"/>
      <c r="O69" s="105"/>
    </row>
    <row r="70" spans="3:24" x14ac:dyDescent="0.25">
      <c r="I70" s="136"/>
      <c r="J70" s="136"/>
      <c r="M70" s="105"/>
      <c r="N70" s="105"/>
      <c r="O70" s="105"/>
    </row>
    <row r="71" spans="3:24" x14ac:dyDescent="0.25">
      <c r="I71" s="136"/>
      <c r="J71" s="136"/>
      <c r="M71" s="105"/>
      <c r="N71" s="105"/>
    </row>
    <row r="75" spans="3:24" x14ac:dyDescent="0.25">
      <c r="J75"/>
    </row>
  </sheetData>
  <sheetProtection sheet="1" objects="1" scenarios="1" insertColumns="0" insertRows="0" insertHyperlinks="0"/>
  <protectedRanges>
    <protectedRange sqref="AK4" name="Rango15"/>
    <protectedRange sqref="AH4" name="Rango13"/>
    <protectedRange sqref="AE4" name="Rango11"/>
    <protectedRange sqref="AB4" name="Rango9"/>
    <protectedRange sqref="Y4" name="Rango7"/>
    <protectedRange sqref="Q4" name="Rango4"/>
    <protectedRange sqref="AI33:AJ51" name="Rango14_1"/>
    <protectedRange sqref="AF33:AG51" name="Rango12_1"/>
    <protectedRange sqref="AC33:AD51" name="Rango9_1"/>
    <protectedRange sqref="Z43:AA51" name="Rango8_1"/>
    <protectedRange sqref="X43:X51" name="Rango6_1"/>
    <protectedRange sqref="R33:V51" name="Rango5_1"/>
    <protectedRange sqref="P33:P51" name="Rango3_1"/>
    <protectedRange sqref="E33:H51 J33:N51" name="Rango2_1"/>
    <protectedRange sqref="A33:C51" name="Rango1_1"/>
    <protectedRange sqref="AI6:AJ32" name="Rango9_5"/>
    <protectedRange sqref="AF6:AG32" name="Rango8_5"/>
    <protectedRange sqref="AC6:AD32" name="Rango7_4"/>
    <protectedRange sqref="Z6:AA32" name="Rango6_5"/>
    <protectedRange sqref="X6:X32" name="Rango5_5"/>
    <protectedRange sqref="R6:V32" name="Rango4_4"/>
    <protectedRange sqref="P6:P32" name="Rango3_5"/>
    <protectedRange sqref="E6:N7 E8:H32 J8:N32 I8:I51" name="Rango2_5"/>
    <protectedRange sqref="A6:C32" name="Rango1_5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51">
    <cfRule type="cellIs" dxfId="1145" priority="4" operator="greaterThan">
      <formula>0</formula>
    </cfRule>
  </conditionalFormatting>
  <conditionalFormatting sqref="J6:J32">
    <cfRule type="cellIs" dxfId="1144" priority="3" operator="greaterThan">
      <formula>"S5"</formula>
    </cfRule>
  </conditionalFormatting>
  <dataValidations count="2">
    <dataValidation type="list" allowBlank="1" showInputMessage="1" showErrorMessage="1" sqref="E33:E51">
      <formula1>$C$61:$C$69</formula1>
    </dataValidation>
    <dataValidation type="list" allowBlank="1" showInputMessage="1" showErrorMessage="1" sqref="E6:E32">
      <formula1>$C$55:$C$63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AK72"/>
  <sheetViews>
    <sheetView zoomScale="90" zoomScaleNormal="90" workbookViewId="0">
      <pane xSplit="6" ySplit="5" topLeftCell="N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9" sqref="D49"/>
    </sheetView>
  </sheetViews>
  <sheetFormatPr baseColWidth="10" defaultColWidth="11.5703125" defaultRowHeight="15" x14ac:dyDescent="0.25"/>
  <cols>
    <col min="1" max="1" width="10.42578125" customWidth="1"/>
    <col min="2" max="2" width="12.7109375" customWidth="1"/>
    <col min="3" max="3" width="30.28515625" customWidth="1"/>
    <col min="4" max="4" width="15.28515625" customWidth="1"/>
    <col min="5" max="5" width="24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3.42578125" customWidth="1"/>
    <col min="13" max="13" width="15.85546875" customWidth="1"/>
    <col min="14" max="14" width="1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2" width="14.1406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43866</v>
      </c>
      <c r="C4" s="341">
        <v>0.5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53.6</v>
      </c>
      <c r="R4" s="553" t="s">
        <v>183</v>
      </c>
      <c r="S4" s="554"/>
      <c r="T4" s="554"/>
      <c r="U4" s="554"/>
      <c r="V4" s="554"/>
      <c r="W4" s="554"/>
      <c r="X4" s="555"/>
      <c r="Y4" s="283">
        <v>55.9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" t="s">
        <v>63</v>
      </c>
      <c r="B6" s="48">
        <v>43866</v>
      </c>
      <c r="C6" s="41">
        <v>0.52083333333333326</v>
      </c>
      <c r="D6" s="42">
        <f>IF(V054_20[[#This Row],[FECHA]]-B4=1,((V054_20[[#This Row],[HORA]]-C4)*24)+24,(V054_20[[#This Row],[HORA]]-C4)*24)</f>
        <v>0.49999999999999822</v>
      </c>
      <c r="E6" s="29" t="s">
        <v>47</v>
      </c>
      <c r="F6" s="29" t="s">
        <v>64</v>
      </c>
      <c r="G6" s="309"/>
      <c r="H6" s="310"/>
      <c r="I6" s="33">
        <v>0</v>
      </c>
      <c r="J6" s="311"/>
      <c r="K6" s="312"/>
      <c r="L6" s="53">
        <v>0.10416666666666684</v>
      </c>
      <c r="M6" s="37">
        <v>5.2083333333333426E-2</v>
      </c>
      <c r="N6" s="37">
        <v>4.1666666666666741E-2</v>
      </c>
      <c r="O6" s="418">
        <f>SUM(V054_20[[#This Row],[MPAL]:[CALDERA]])</f>
        <v>0.19791666666666702</v>
      </c>
      <c r="P6" s="88"/>
      <c r="Q6" s="270">
        <f>(Q4-V054_20[[#This Row],[TOTAL ]])+V054_20[[#This Row],[FAENA]]</f>
        <v>53.402083333333337</v>
      </c>
      <c r="R6" s="53">
        <v>0</v>
      </c>
      <c r="S6" s="37">
        <v>0</v>
      </c>
      <c r="T6" s="37">
        <v>0</v>
      </c>
      <c r="U6" s="37">
        <v>0</v>
      </c>
      <c r="V6" s="37">
        <v>0</v>
      </c>
      <c r="W6" s="37">
        <f>SUM(V054_20[[#This Row],[MPAL2]:[GI]])</f>
        <v>0</v>
      </c>
      <c r="X6" s="37"/>
      <c r="Y6" s="300">
        <f>(Y4-V054_20[[#This Row],[TOTAL]])+V054_20[[#This Row],[FAENA2]]</f>
        <v>55.9</v>
      </c>
      <c r="Z6" s="53"/>
      <c r="AA6" s="37"/>
      <c r="AB6" s="301">
        <f>(AB4-V054_20[[#This Row],[CYLINDER MP]])+V054_20[[#This Row],[FAENA EN LTS]]</f>
        <v>100</v>
      </c>
      <c r="AC6" s="37"/>
      <c r="AD6" s="37"/>
      <c r="AE6" s="301">
        <f>(AE4-V054_20[[#This Row],[CARTER MP.]])+V054_20[[#This Row],[FAENA EN LTS2]]</f>
        <v>100</v>
      </c>
      <c r="AF6" s="37"/>
      <c r="AG6" s="37"/>
      <c r="AH6" s="301">
        <f>(AH4-V054_20[[#This Row],[MOT AUX]])+V054_20[[#This Row],[FAENA EN  LTS]]</f>
        <v>100</v>
      </c>
      <c r="AI6" s="37"/>
      <c r="AJ6" s="37"/>
      <c r="AK6" s="302">
        <f>(AK4-V054_20[[#This Row],[HIDRAULICO]])+V054_20[[#This Row],[FAENA EN LTS3]]</f>
        <v>100</v>
      </c>
    </row>
    <row r="7" spans="1:37" x14ac:dyDescent="0.25">
      <c r="A7" s="26" t="s">
        <v>63</v>
      </c>
      <c r="B7" s="48">
        <v>43867</v>
      </c>
      <c r="C7" s="41">
        <v>0.33333333333333331</v>
      </c>
      <c r="D7" s="42">
        <f>IF(V054_20[[#This Row],[FECHA]]-B6=1,((V054_20[[#This Row],[HORA]]-C6)*24)+24,(V054_20[[#This Row],[HORA]]-C6)*24)</f>
        <v>19.5</v>
      </c>
      <c r="E7" s="29" t="s">
        <v>45</v>
      </c>
      <c r="F7" s="29" t="s">
        <v>45</v>
      </c>
      <c r="G7" s="305"/>
      <c r="H7" s="306"/>
      <c r="I7" s="33">
        <f>IF(ISERROR(V054_20[[#This Row],[DISTANCIA POR CARTA]]/V054_20[[#This Row],[TIEMPO DE NAVEGACION]]),0,V054_20[[#This Row],[DISTANCIA POR CARTA]]/V054_20[[#This Row],[TIEMPO DE NAVEGACION]])</f>
        <v>0</v>
      </c>
      <c r="J7" s="307"/>
      <c r="K7" s="308"/>
      <c r="L7" s="53">
        <v>0</v>
      </c>
      <c r="M7" s="37">
        <v>2.03125</v>
      </c>
      <c r="N7" s="37">
        <v>0</v>
      </c>
      <c r="O7" s="37">
        <f>SUM(V054_20[[#This Row],[MPAL]:[CALDERA]])</f>
        <v>2.03125</v>
      </c>
      <c r="P7" s="88"/>
      <c r="Q7" s="270">
        <f>(Q6-V054_20[[#This Row],[TOTAL ]])+V054_20[[#This Row],[FAENA]]</f>
        <v>51.370833333333337</v>
      </c>
      <c r="R7" s="53">
        <v>0</v>
      </c>
      <c r="S7" s="37">
        <v>0</v>
      </c>
      <c r="T7" s="37">
        <v>0</v>
      </c>
      <c r="U7" s="37">
        <v>0</v>
      </c>
      <c r="V7" s="37">
        <v>0</v>
      </c>
      <c r="W7" s="37">
        <f>SUM(V054_20[[#This Row],[MPAL2]:[GI]])</f>
        <v>0</v>
      </c>
      <c r="X7" s="37"/>
      <c r="Y7" s="300">
        <f>(Y6-V054_20[[#This Row],[TOTAL]])+V054_20[[#This Row],[FAENA2]]</f>
        <v>55.9</v>
      </c>
      <c r="Z7" s="53"/>
      <c r="AA7" s="37"/>
      <c r="AB7" s="301">
        <f>(AB6-V054_20[[#This Row],[CYLINDER MP]])+V054_20[[#This Row],[FAENA EN LTS]]</f>
        <v>100</v>
      </c>
      <c r="AC7" s="37"/>
      <c r="AD7" s="37"/>
      <c r="AE7" s="301">
        <f>(AE6-V054_20[[#This Row],[CARTER MP.]])+V054_20[[#This Row],[FAENA EN LTS2]]</f>
        <v>100</v>
      </c>
      <c r="AF7" s="37"/>
      <c r="AG7" s="37"/>
      <c r="AH7" s="301">
        <f>(AH6-V054_20[[#This Row],[MOT AUX]])+V054_20[[#This Row],[FAENA EN  LTS]]</f>
        <v>100</v>
      </c>
      <c r="AI7" s="37"/>
      <c r="AJ7" s="37"/>
      <c r="AK7" s="302">
        <f>(AK6-V054_20[[#This Row],[HIDRAULICO]])+V054_20[[#This Row],[FAENA EN LTS3]]</f>
        <v>100</v>
      </c>
    </row>
    <row r="8" spans="1:37" x14ac:dyDescent="0.25">
      <c r="A8" s="26" t="s">
        <v>63</v>
      </c>
      <c r="B8" s="48">
        <v>43867</v>
      </c>
      <c r="C8" s="41">
        <v>0.37916666666666665</v>
      </c>
      <c r="D8" s="42">
        <f>IF(V054_20[[#This Row],[FECHA]]-B7=1,((V054_20[[#This Row],[HORA]]-C7)*24)+24,(V054_20[[#This Row],[HORA]]-C7)*24)</f>
        <v>1.1000000000000001</v>
      </c>
      <c r="E8" s="29" t="s">
        <v>45</v>
      </c>
      <c r="F8" s="29" t="s">
        <v>65</v>
      </c>
      <c r="G8" s="305"/>
      <c r="H8" s="306"/>
      <c r="I8" s="33">
        <f>IF(ISERROR(V054_20[[#This Row],[DISTANCIA POR CARTA]]/V054_20[[#This Row],[TIEMPO DE NAVEGACION]]),0,V054_20[[#This Row],[DISTANCIA POR CARTA]]/V054_20[[#This Row],[TIEMPO DE NAVEGACION]])</f>
        <v>0</v>
      </c>
      <c r="J8" s="307"/>
      <c r="K8" s="308"/>
      <c r="L8" s="53">
        <v>0</v>
      </c>
      <c r="M8" s="37">
        <v>0.11458333333333334</v>
      </c>
      <c r="N8" s="37">
        <v>0</v>
      </c>
      <c r="O8" s="418">
        <f>SUM(V054_20[[#This Row],[MPAL]:[CALDERA]])</f>
        <v>0.11458333333333334</v>
      </c>
      <c r="P8" s="37">
        <v>800</v>
      </c>
      <c r="Q8" s="270">
        <f>(Q7-V054_20[[#This Row],[TOTAL ]])+V054_20[[#This Row],[FAENA]]</f>
        <v>851.25625000000002</v>
      </c>
      <c r="R8" s="53">
        <v>0</v>
      </c>
      <c r="S8" s="37">
        <v>0</v>
      </c>
      <c r="T8" s="37">
        <v>0</v>
      </c>
      <c r="U8" s="37">
        <v>0</v>
      </c>
      <c r="V8" s="37">
        <v>0</v>
      </c>
      <c r="W8" s="37">
        <f>SUM(V054_20[[#This Row],[MPAL2]:[GI]])</f>
        <v>0</v>
      </c>
      <c r="X8" s="37"/>
      <c r="Y8" s="300">
        <f>(Y7-V054_20[[#This Row],[TOTAL]])+V054_20[[#This Row],[FAENA2]]</f>
        <v>55.9</v>
      </c>
      <c r="Z8" s="53"/>
      <c r="AA8" s="37"/>
      <c r="AB8" s="301">
        <f>(AB7-V054_20[[#This Row],[CYLINDER MP]])+V054_20[[#This Row],[FAENA EN LTS]]</f>
        <v>100</v>
      </c>
      <c r="AC8" s="37"/>
      <c r="AD8" s="37"/>
      <c r="AE8" s="301">
        <f>(AE7-V054_20[[#This Row],[CARTER MP.]])+V054_20[[#This Row],[FAENA EN LTS2]]</f>
        <v>100</v>
      </c>
      <c r="AF8" s="37"/>
      <c r="AG8" s="37"/>
      <c r="AH8" s="301">
        <f>(AH7-V054_20[[#This Row],[MOT AUX]])+V054_20[[#This Row],[FAENA EN  LTS]]</f>
        <v>100</v>
      </c>
      <c r="AI8" s="37"/>
      <c r="AJ8" s="37"/>
      <c r="AK8" s="302">
        <f>(AK7-V054_20[[#This Row],[HIDRAULICO]])+V054_20[[#This Row],[FAENA EN LTS3]]</f>
        <v>100</v>
      </c>
    </row>
    <row r="9" spans="1:37" x14ac:dyDescent="0.25">
      <c r="A9" s="26" t="s">
        <v>63</v>
      </c>
      <c r="B9" s="48">
        <v>43867</v>
      </c>
      <c r="C9" s="41">
        <v>0.85972222222222217</v>
      </c>
      <c r="D9" s="42">
        <f>IF(V054_20[[#This Row],[FECHA]]-B8=1,((V054_20[[#This Row],[HORA]]-C8)*24)+24,(V054_20[[#This Row],[HORA]]-C8)*24)</f>
        <v>11.533333333333331</v>
      </c>
      <c r="E9" s="29" t="s">
        <v>45</v>
      </c>
      <c r="F9" s="29" t="s">
        <v>66</v>
      </c>
      <c r="G9" s="305"/>
      <c r="H9" s="306"/>
      <c r="I9" s="33">
        <f>IF(ISERROR(V054_20[[#This Row],[DISTANCIA POR CARTA]]/V054_20[[#This Row],[TIEMPO DE NAVEGACION]]),0,V054_20[[#This Row],[DISTANCIA POR CARTA]]/V054_20[[#This Row],[TIEMPO DE NAVEGACION]])</f>
        <v>0</v>
      </c>
      <c r="J9" s="307"/>
      <c r="K9" s="308"/>
      <c r="L9" s="53">
        <v>0</v>
      </c>
      <c r="M9" s="37">
        <v>1.2013888888888888</v>
      </c>
      <c r="N9" s="37">
        <v>0</v>
      </c>
      <c r="O9" s="418">
        <f>SUM(V054_20[[#This Row],[MPAL]:[CALDERA]])</f>
        <v>1.2013888888888888</v>
      </c>
      <c r="P9" s="88"/>
      <c r="Q9" s="270">
        <f>(Q8-V054_20[[#This Row],[TOTAL ]])+V054_20[[#This Row],[FAENA]]</f>
        <v>850.05486111111111</v>
      </c>
      <c r="R9" s="53">
        <v>0</v>
      </c>
      <c r="S9" s="37">
        <v>0</v>
      </c>
      <c r="T9" s="37">
        <v>0</v>
      </c>
      <c r="U9" s="37">
        <v>0</v>
      </c>
      <c r="V9" s="37">
        <v>1.3</v>
      </c>
      <c r="W9" s="37">
        <f>SUM(V054_20[[#This Row],[MPAL2]:[GI]])</f>
        <v>1.3</v>
      </c>
      <c r="X9" s="37"/>
      <c r="Y9" s="300">
        <f>(Y8-V054_20[[#This Row],[TOTAL]])+V054_20[[#This Row],[FAENA2]]</f>
        <v>54.6</v>
      </c>
      <c r="Z9" s="53"/>
      <c r="AA9" s="37"/>
      <c r="AB9" s="301">
        <f>(AB8-V054_20[[#This Row],[CYLINDER MP]])+V054_20[[#This Row],[FAENA EN LTS]]</f>
        <v>100</v>
      </c>
      <c r="AC9" s="37"/>
      <c r="AD9" s="37"/>
      <c r="AE9" s="301">
        <f>(AE8-V054_20[[#This Row],[CARTER MP.]])+V054_20[[#This Row],[FAENA EN LTS2]]</f>
        <v>100</v>
      </c>
      <c r="AF9" s="37"/>
      <c r="AG9" s="37"/>
      <c r="AH9" s="301">
        <f>(AH8-V054_20[[#This Row],[MOT AUX]])+V054_20[[#This Row],[FAENA EN  LTS]]</f>
        <v>100</v>
      </c>
      <c r="AI9" s="37"/>
      <c r="AJ9" s="37"/>
      <c r="AK9" s="302">
        <f>(AK8-V054_20[[#This Row],[HIDRAULICO]])+V054_20[[#This Row],[FAENA EN LTS3]]</f>
        <v>100</v>
      </c>
    </row>
    <row r="10" spans="1:37" x14ac:dyDescent="0.25">
      <c r="A10" s="26" t="s">
        <v>63</v>
      </c>
      <c r="B10" s="48">
        <v>43867</v>
      </c>
      <c r="C10" s="41">
        <v>0.875</v>
      </c>
      <c r="D10" s="42">
        <f>IF(V054_20[[#This Row],[FECHA]]-B9=1,((V054_20[[#This Row],[HORA]]-C9)*24)+24,(V054_20[[#This Row],[HORA]]-C9)*24)</f>
        <v>0.36666666666666803</v>
      </c>
      <c r="E10" s="29" t="s">
        <v>47</v>
      </c>
      <c r="F10" s="29" t="s">
        <v>67</v>
      </c>
      <c r="G10" s="305"/>
      <c r="H10" s="306"/>
      <c r="I10" s="33">
        <f>IF(ISERROR(V054_20[[#This Row],[DISTANCIA POR CARTA]]/V054_20[[#This Row],[TIEMPO DE NAVEGACION]]),0,V054_20[[#This Row],[DISTANCIA POR CARTA]]/V054_20[[#This Row],[TIEMPO DE NAVEGACION]])</f>
        <v>0</v>
      </c>
      <c r="J10" s="307"/>
      <c r="K10" s="308"/>
      <c r="L10" s="53">
        <v>0.15277777777777835</v>
      </c>
      <c r="M10" s="37">
        <v>3.8194444444444586E-2</v>
      </c>
      <c r="N10" s="37">
        <v>3.0555555555555669E-2</v>
      </c>
      <c r="O10" s="418">
        <f>SUM(V054_20[[#This Row],[MPAL]:[CALDERA]])</f>
        <v>0.2215277777777786</v>
      </c>
      <c r="P10" s="88"/>
      <c r="Q10" s="270">
        <f>(Q9-V054_20[[#This Row],[TOTAL ]])+V054_20[[#This Row],[FAENA]]</f>
        <v>849.83333333333337</v>
      </c>
      <c r="R10" s="53">
        <v>0</v>
      </c>
      <c r="S10" s="37">
        <v>0</v>
      </c>
      <c r="T10" s="37">
        <v>0</v>
      </c>
      <c r="U10" s="37">
        <v>0</v>
      </c>
      <c r="V10" s="37">
        <v>0</v>
      </c>
      <c r="W10" s="37">
        <f>SUM(V054_20[[#This Row],[MPAL2]:[GI]])</f>
        <v>0</v>
      </c>
      <c r="X10" s="37"/>
      <c r="Y10" s="300">
        <f>(Y9-V054_20[[#This Row],[TOTAL]])+V054_20[[#This Row],[FAENA2]]</f>
        <v>54.6</v>
      </c>
      <c r="Z10" s="53"/>
      <c r="AA10" s="37"/>
      <c r="AB10" s="301">
        <f>(AB9-V054_20[[#This Row],[CYLINDER MP]])+V054_20[[#This Row],[FAENA EN LTS]]</f>
        <v>100</v>
      </c>
      <c r="AC10" s="37"/>
      <c r="AD10" s="37"/>
      <c r="AE10" s="301">
        <f>(AE9-V054_20[[#This Row],[CARTER MP.]])+V054_20[[#This Row],[FAENA EN LTS2]]</f>
        <v>100</v>
      </c>
      <c r="AF10" s="37"/>
      <c r="AG10" s="37"/>
      <c r="AH10" s="301">
        <f>(AH9-V054_20[[#This Row],[MOT AUX]])+V054_20[[#This Row],[FAENA EN  LTS]]</f>
        <v>100</v>
      </c>
      <c r="AI10" s="37"/>
      <c r="AJ10" s="37"/>
      <c r="AK10" s="302">
        <f>(AK9-V054_20[[#This Row],[HIDRAULICO]])+V054_20[[#This Row],[FAENA EN LTS3]]</f>
        <v>100</v>
      </c>
    </row>
    <row r="11" spans="1:37" x14ac:dyDescent="0.25">
      <c r="A11" s="26" t="s">
        <v>63</v>
      </c>
      <c r="B11" s="48">
        <v>43867</v>
      </c>
      <c r="C11" s="41">
        <v>0.91249999999999998</v>
      </c>
      <c r="D11" s="42">
        <f>IF(V054_20[[#This Row],[FECHA]]-B10=1,((V054_20[[#This Row],[HORA]]-C10)*24)+24,(V054_20[[#This Row],[HORA]]-C10)*24)</f>
        <v>0.89999999999999947</v>
      </c>
      <c r="E11" s="29" t="s">
        <v>47</v>
      </c>
      <c r="F11" s="29" t="s">
        <v>68</v>
      </c>
      <c r="G11" s="305"/>
      <c r="H11" s="306"/>
      <c r="I11" s="33">
        <f>IF(ISERROR(V054_20[[#This Row],[DISTANCIA POR CARTA]]/V054_20[[#This Row],[TIEMPO DE NAVEGACION]]),0,V054_20[[#This Row],[DISTANCIA POR CARTA]]/V054_20[[#This Row],[TIEMPO DE NAVEGACION]])</f>
        <v>0</v>
      </c>
      <c r="J11" s="307"/>
      <c r="K11" s="308"/>
      <c r="L11" s="53">
        <v>0.82499999999999951</v>
      </c>
      <c r="M11" s="37">
        <v>9.3749999999999944E-2</v>
      </c>
      <c r="N11" s="37">
        <v>7.4999999999999956E-2</v>
      </c>
      <c r="O11" s="418">
        <f>SUM(V054_20[[#This Row],[MPAL]:[CALDERA]])</f>
        <v>0.99374999999999947</v>
      </c>
      <c r="P11" s="88"/>
      <c r="Q11" s="270">
        <f>(Q10-V054_20[[#This Row],[TOTAL ]])+V054_20[[#This Row],[FAENA]]</f>
        <v>848.83958333333339</v>
      </c>
      <c r="R11" s="53">
        <v>0</v>
      </c>
      <c r="S11" s="37">
        <v>0</v>
      </c>
      <c r="T11" s="37">
        <v>0</v>
      </c>
      <c r="U11" s="37">
        <v>0</v>
      </c>
      <c r="V11" s="37">
        <v>0</v>
      </c>
      <c r="W11" s="37">
        <f>SUM(V054_20[[#This Row],[MPAL2]:[GI]])</f>
        <v>0</v>
      </c>
      <c r="X11" s="37"/>
      <c r="Y11" s="300">
        <f>(Y10-V054_20[[#This Row],[TOTAL]])+V054_20[[#This Row],[FAENA2]]</f>
        <v>54.6</v>
      </c>
      <c r="Z11" s="53"/>
      <c r="AA11" s="37"/>
      <c r="AB11" s="301">
        <f>(AB10-V054_20[[#This Row],[CYLINDER MP]])+V054_20[[#This Row],[FAENA EN LTS]]</f>
        <v>100</v>
      </c>
      <c r="AC11" s="37"/>
      <c r="AD11" s="37"/>
      <c r="AE11" s="301">
        <f>(AE10-V054_20[[#This Row],[CARTER MP.]])+V054_20[[#This Row],[FAENA EN LTS2]]</f>
        <v>100</v>
      </c>
      <c r="AF11" s="37"/>
      <c r="AG11" s="37"/>
      <c r="AH11" s="301">
        <f>(AH10-V054_20[[#This Row],[MOT AUX]])+V054_20[[#This Row],[FAENA EN  LTS]]</f>
        <v>100</v>
      </c>
      <c r="AI11" s="37"/>
      <c r="AJ11" s="37"/>
      <c r="AK11" s="302">
        <f>(AK10-V054_20[[#This Row],[HIDRAULICO]])+V054_20[[#This Row],[FAENA EN LTS3]]</f>
        <v>100</v>
      </c>
    </row>
    <row r="12" spans="1:37" x14ac:dyDescent="0.25">
      <c r="A12" s="26" t="s">
        <v>63</v>
      </c>
      <c r="B12" s="48">
        <v>43867</v>
      </c>
      <c r="C12" s="41">
        <v>0.94166666666666676</v>
      </c>
      <c r="D12" s="42">
        <f>IF(V054_20[[#This Row],[FECHA]]-B11=1,((V054_20[[#This Row],[HORA]]-C11)*24)+24,(V054_20[[#This Row],[HORA]]-C11)*24)</f>
        <v>0.70000000000000284</v>
      </c>
      <c r="E12" s="29" t="s">
        <v>47</v>
      </c>
      <c r="F12" s="29" t="s">
        <v>69</v>
      </c>
      <c r="G12" s="305"/>
      <c r="H12" s="306"/>
      <c r="I12" s="33">
        <f>IF(ISERROR(V054_20[[#This Row],[DISTANCIA POR CARTA]]/V054_20[[#This Row],[TIEMPO DE NAVEGACION]]),0,V054_20[[#This Row],[DISTANCIA POR CARTA]]/V054_20[[#This Row],[TIEMPO DE NAVEGACION]])</f>
        <v>0</v>
      </c>
      <c r="J12" s="307"/>
      <c r="K12" s="308"/>
      <c r="L12" s="53">
        <v>0.29166666666666785</v>
      </c>
      <c r="M12" s="37">
        <v>7.2916666666666963E-2</v>
      </c>
      <c r="N12" s="37">
        <v>5.833333333333357E-2</v>
      </c>
      <c r="O12" s="418">
        <f>SUM(V054_20[[#This Row],[MPAL]:[CALDERA]])</f>
        <v>0.42291666666666838</v>
      </c>
      <c r="P12" s="88"/>
      <c r="Q12" s="270">
        <f>(Q11-V054_20[[#This Row],[TOTAL ]])+V054_20[[#This Row],[FAENA]]</f>
        <v>848.41666666666674</v>
      </c>
      <c r="R12" s="53">
        <v>0</v>
      </c>
      <c r="S12" s="37">
        <v>0</v>
      </c>
      <c r="T12" s="37">
        <v>0</v>
      </c>
      <c r="U12" s="37">
        <v>0</v>
      </c>
      <c r="V12" s="37">
        <v>0</v>
      </c>
      <c r="W12" s="37">
        <f>SUM(V054_20[[#This Row],[MPAL2]:[GI]])</f>
        <v>0</v>
      </c>
      <c r="X12" s="37"/>
      <c r="Y12" s="300">
        <f>(Y11-V054_20[[#This Row],[TOTAL]])+V054_20[[#This Row],[FAENA2]]</f>
        <v>54.6</v>
      </c>
      <c r="Z12" s="53"/>
      <c r="AA12" s="37"/>
      <c r="AB12" s="301">
        <f>(AB11-V054_20[[#This Row],[CYLINDER MP]])+V054_20[[#This Row],[FAENA EN LTS]]</f>
        <v>100</v>
      </c>
      <c r="AC12" s="37"/>
      <c r="AD12" s="37"/>
      <c r="AE12" s="301">
        <f>(AE11-V054_20[[#This Row],[CARTER MP.]])+V054_20[[#This Row],[FAENA EN LTS2]]</f>
        <v>100</v>
      </c>
      <c r="AF12" s="37"/>
      <c r="AG12" s="37"/>
      <c r="AH12" s="301">
        <f>(AH11-V054_20[[#This Row],[MOT AUX]])+V054_20[[#This Row],[FAENA EN  LTS]]</f>
        <v>100</v>
      </c>
      <c r="AI12" s="37"/>
      <c r="AJ12" s="37"/>
      <c r="AK12" s="302">
        <f>(AK11-V054_20[[#This Row],[HIDRAULICO]])+V054_20[[#This Row],[FAENA EN LTS3]]</f>
        <v>100</v>
      </c>
    </row>
    <row r="13" spans="1:37" x14ac:dyDescent="0.25">
      <c r="A13" s="26" t="s">
        <v>63</v>
      </c>
      <c r="B13" s="48">
        <v>43867</v>
      </c>
      <c r="C13" s="41">
        <v>0.98333333333333339</v>
      </c>
      <c r="D13" s="42">
        <f>IF(V054_20[[#This Row],[FECHA]]-B12=1,((V054_20[[#This Row],[HORA]]-C12)*24)+24,(V054_20[[#This Row],[HORA]]-C12)*24)</f>
        <v>0.99999999999999911</v>
      </c>
      <c r="E13" s="29" t="s">
        <v>47</v>
      </c>
      <c r="F13" s="29" t="s">
        <v>48</v>
      </c>
      <c r="G13" s="305"/>
      <c r="H13" s="306"/>
      <c r="I13" s="33">
        <f>IF(ISERROR(V054_20[[#This Row],[DISTANCIA POR CARTA]]/V054_20[[#This Row],[TIEMPO DE NAVEGACION]]),0,V054_20[[#This Row],[DISTANCIA POR CARTA]]/V054_20[[#This Row],[TIEMPO DE NAVEGACION]])</f>
        <v>0</v>
      </c>
      <c r="J13" s="307"/>
      <c r="K13" s="308"/>
      <c r="L13" s="53">
        <v>0.4166666666666663</v>
      </c>
      <c r="M13" s="37">
        <v>0.10416666666666657</v>
      </c>
      <c r="N13" s="37">
        <v>8.3333333333333259E-2</v>
      </c>
      <c r="O13" s="418">
        <f>SUM(V054_20[[#This Row],[MPAL]:[CALDERA]])</f>
        <v>0.60416666666666607</v>
      </c>
      <c r="P13" s="88"/>
      <c r="Q13" s="270">
        <f>(Q12-V054_20[[#This Row],[TOTAL ]])+V054_20[[#This Row],[FAENA]]</f>
        <v>847.81250000000011</v>
      </c>
      <c r="R13" s="53">
        <v>0</v>
      </c>
      <c r="S13" s="37">
        <v>0</v>
      </c>
      <c r="T13" s="37">
        <v>0</v>
      </c>
      <c r="U13" s="37">
        <v>0</v>
      </c>
      <c r="V13" s="37">
        <v>0</v>
      </c>
      <c r="W13" s="37">
        <f>SUM(V054_20[[#This Row],[MPAL2]:[GI]])</f>
        <v>0</v>
      </c>
      <c r="X13" s="37"/>
      <c r="Y13" s="300">
        <f>(Y12-V054_20[[#This Row],[TOTAL]])+V054_20[[#This Row],[FAENA2]]</f>
        <v>54.6</v>
      </c>
      <c r="Z13" s="53"/>
      <c r="AA13" s="37"/>
      <c r="AB13" s="301">
        <f>(AB12-V054_20[[#This Row],[CYLINDER MP]])+V054_20[[#This Row],[FAENA EN LTS]]</f>
        <v>100</v>
      </c>
      <c r="AC13" s="37"/>
      <c r="AD13" s="37"/>
      <c r="AE13" s="301">
        <f>(AE12-V054_20[[#This Row],[CARTER MP.]])+V054_20[[#This Row],[FAENA EN LTS2]]</f>
        <v>100</v>
      </c>
      <c r="AF13" s="37"/>
      <c r="AG13" s="37"/>
      <c r="AH13" s="301">
        <f>(AH12-V054_20[[#This Row],[MOT AUX]])+V054_20[[#This Row],[FAENA EN  LTS]]</f>
        <v>100</v>
      </c>
      <c r="AI13" s="37"/>
      <c r="AJ13" s="37"/>
      <c r="AK13" s="302">
        <f>(AK12-V054_20[[#This Row],[HIDRAULICO]])+V054_20[[#This Row],[FAENA EN LTS3]]</f>
        <v>100</v>
      </c>
    </row>
    <row r="14" spans="1:37" x14ac:dyDescent="0.25">
      <c r="A14" s="26" t="s">
        <v>63</v>
      </c>
      <c r="B14" s="48">
        <v>43868</v>
      </c>
      <c r="C14" s="41">
        <v>0.33333333333333331</v>
      </c>
      <c r="D14" s="42">
        <f>IF(V054_20[[#This Row],[FECHA]]-B13=1,((V054_20[[#This Row],[HORA]]-C13)*24)+24,(V054_20[[#This Row],[HORA]]-C13)*24)</f>
        <v>8.3999999999999968</v>
      </c>
      <c r="E14" s="29" t="s">
        <v>49</v>
      </c>
      <c r="F14" s="29" t="s">
        <v>70</v>
      </c>
      <c r="G14" s="305"/>
      <c r="H14" s="306"/>
      <c r="I14" s="33">
        <f>IF(ISERROR(V054_20[[#This Row],[DISTANCIA POR CARTA]]/V054_20[[#This Row],[TIEMPO DE NAVEGACION]]),0,V054_20[[#This Row],[DISTANCIA POR CARTA]]/V054_20[[#This Row],[TIEMPO DE NAVEGACION]])</f>
        <v>0</v>
      </c>
      <c r="J14" s="307"/>
      <c r="K14" s="308"/>
      <c r="L14" s="53">
        <v>0</v>
      </c>
      <c r="M14" s="37">
        <v>0.87499999999999967</v>
      </c>
      <c r="N14" s="37">
        <v>0.41999999999999982</v>
      </c>
      <c r="O14" s="418">
        <f>SUM(V054_20[[#This Row],[MPAL]:[CALDERA]])</f>
        <v>1.2949999999999995</v>
      </c>
      <c r="P14" s="88"/>
      <c r="Q14" s="270">
        <f>(Q13-V054_20[[#This Row],[TOTAL ]])+V054_20[[#This Row],[FAENA]]</f>
        <v>846.51750000000015</v>
      </c>
      <c r="R14" s="53">
        <v>0</v>
      </c>
      <c r="S14" s="37">
        <v>0</v>
      </c>
      <c r="T14" s="37">
        <v>0</v>
      </c>
      <c r="U14" s="37">
        <v>0</v>
      </c>
      <c r="V14" s="37">
        <v>0</v>
      </c>
      <c r="W14" s="37">
        <f>SUM(V054_20[[#This Row],[MPAL2]:[GI]])</f>
        <v>0</v>
      </c>
      <c r="X14" s="37"/>
      <c r="Y14" s="300">
        <f>(Y13-V054_20[[#This Row],[TOTAL]])+V054_20[[#This Row],[FAENA2]]</f>
        <v>54.6</v>
      </c>
      <c r="Z14" s="53"/>
      <c r="AA14" s="37"/>
      <c r="AB14" s="301">
        <f>(AB13-V054_20[[#This Row],[CYLINDER MP]])+V054_20[[#This Row],[FAENA EN LTS]]</f>
        <v>100</v>
      </c>
      <c r="AC14" s="37"/>
      <c r="AD14" s="37"/>
      <c r="AE14" s="301">
        <f>(AE13-V054_20[[#This Row],[CARTER MP.]])+V054_20[[#This Row],[FAENA EN LTS2]]</f>
        <v>100</v>
      </c>
      <c r="AF14" s="37"/>
      <c r="AG14" s="37"/>
      <c r="AH14" s="301">
        <f>(AH13-V054_20[[#This Row],[MOT AUX]])+V054_20[[#This Row],[FAENA EN  LTS]]</f>
        <v>100</v>
      </c>
      <c r="AI14" s="37"/>
      <c r="AJ14" s="37"/>
      <c r="AK14" s="302">
        <f>(AK13-V054_20[[#This Row],[HIDRAULICO]])+V054_20[[#This Row],[FAENA EN LTS3]]</f>
        <v>100</v>
      </c>
    </row>
    <row r="15" spans="1:37" x14ac:dyDescent="0.25">
      <c r="A15" s="26" t="s">
        <v>63</v>
      </c>
      <c r="B15" s="48">
        <v>43869</v>
      </c>
      <c r="C15" s="41">
        <v>0.33333333333333331</v>
      </c>
      <c r="D15" s="42">
        <f>IF(V054_20[[#This Row],[FECHA]]-B14=1,((V054_20[[#This Row],[HORA]]-C14)*24)+24,(V054_20[[#This Row],[HORA]]-C14)*24)</f>
        <v>24</v>
      </c>
      <c r="E15" s="29" t="s">
        <v>71</v>
      </c>
      <c r="F15" s="29" t="s">
        <v>72</v>
      </c>
      <c r="G15" s="305"/>
      <c r="H15" s="306"/>
      <c r="I15" s="33">
        <f>IF(ISERROR(V054_20[[#This Row],[DISTANCIA POR CARTA]]/V054_20[[#This Row],[TIEMPO DE NAVEGACION]]),0,V054_20[[#This Row],[DISTANCIA POR CARTA]]/V054_20[[#This Row],[TIEMPO DE NAVEGACION]])</f>
        <v>0</v>
      </c>
      <c r="J15" s="307"/>
      <c r="K15" s="308"/>
      <c r="L15" s="53">
        <v>0</v>
      </c>
      <c r="M15" s="37">
        <v>2.5</v>
      </c>
      <c r="N15" s="37">
        <v>1.5</v>
      </c>
      <c r="O15" s="418">
        <f>SUM(V054_20[[#This Row],[MPAL]:[CALDERA]])</f>
        <v>4</v>
      </c>
      <c r="P15" s="88"/>
      <c r="Q15" s="270">
        <f>(Q14-V054_20[[#This Row],[TOTAL ]])+V054_20[[#This Row],[FAENA]]</f>
        <v>842.51750000000015</v>
      </c>
      <c r="R15" s="53">
        <v>0</v>
      </c>
      <c r="S15" s="37">
        <v>0</v>
      </c>
      <c r="T15" s="37">
        <v>0</v>
      </c>
      <c r="U15" s="37">
        <v>0</v>
      </c>
      <c r="V15" s="37">
        <v>0</v>
      </c>
      <c r="W15" s="37">
        <f>SUM(V054_20[[#This Row],[MPAL2]:[GI]])</f>
        <v>0</v>
      </c>
      <c r="X15" s="37"/>
      <c r="Y15" s="300">
        <f>(Y14-V054_20[[#This Row],[TOTAL]])+V054_20[[#This Row],[FAENA2]]</f>
        <v>54.6</v>
      </c>
      <c r="Z15" s="53"/>
      <c r="AA15" s="37"/>
      <c r="AB15" s="301">
        <f>(AB14-V054_20[[#This Row],[CYLINDER MP]])+V054_20[[#This Row],[FAENA EN LTS]]</f>
        <v>100</v>
      </c>
      <c r="AC15" s="37"/>
      <c r="AD15" s="37"/>
      <c r="AE15" s="301">
        <f>(AE14-V054_20[[#This Row],[CARTER MP.]])+V054_20[[#This Row],[FAENA EN LTS2]]</f>
        <v>100</v>
      </c>
      <c r="AF15" s="37"/>
      <c r="AG15" s="37"/>
      <c r="AH15" s="301">
        <f>(AH14-V054_20[[#This Row],[MOT AUX]])+V054_20[[#This Row],[FAENA EN  LTS]]</f>
        <v>100</v>
      </c>
      <c r="AI15" s="37"/>
      <c r="AJ15" s="37"/>
      <c r="AK15" s="302">
        <f>(AK14-V054_20[[#This Row],[HIDRAULICO]])+V054_20[[#This Row],[FAENA EN LTS3]]</f>
        <v>100</v>
      </c>
    </row>
    <row r="16" spans="1:37" x14ac:dyDescent="0.25">
      <c r="A16" s="26" t="s">
        <v>63</v>
      </c>
      <c r="B16" s="48">
        <v>43869</v>
      </c>
      <c r="C16" s="41">
        <v>0.70833333333333337</v>
      </c>
      <c r="D16" s="42">
        <f>IF(V054_20[[#This Row],[FECHA]]-B15=1,((V054_20[[#This Row],[HORA]]-C15)*24)+24,(V054_20[[#This Row],[HORA]]-C15)*24)</f>
        <v>9.0000000000000018</v>
      </c>
      <c r="E16" s="29" t="s">
        <v>71</v>
      </c>
      <c r="F16" s="29" t="s">
        <v>73</v>
      </c>
      <c r="G16" s="305"/>
      <c r="H16" s="306"/>
      <c r="I16" s="33">
        <f>IF(ISERROR(V054_20[[#This Row],[DISTANCIA POR CARTA]]/V054_20[[#This Row],[TIEMPO DE NAVEGACION]]),0,V054_20[[#This Row],[DISTANCIA POR CARTA]]/V054_20[[#This Row],[TIEMPO DE NAVEGACION]])</f>
        <v>0</v>
      </c>
      <c r="J16" s="307"/>
      <c r="K16" s="308"/>
      <c r="L16" s="53">
        <v>0</v>
      </c>
      <c r="M16" s="37">
        <v>0.93750000000000022</v>
      </c>
      <c r="N16" s="37">
        <v>0.56250000000000011</v>
      </c>
      <c r="O16" s="418">
        <f>SUM(V054_20[[#This Row],[MPAL]:[CALDERA]])</f>
        <v>1.5000000000000004</v>
      </c>
      <c r="P16" s="88"/>
      <c r="Q16" s="270">
        <f>(Q15-V054_20[[#This Row],[TOTAL ]])+V054_20[[#This Row],[FAENA]]</f>
        <v>841.01750000000015</v>
      </c>
      <c r="R16" s="53">
        <v>0</v>
      </c>
      <c r="S16" s="37">
        <v>0</v>
      </c>
      <c r="T16" s="37">
        <v>0</v>
      </c>
      <c r="U16" s="37">
        <v>0</v>
      </c>
      <c r="V16" s="37">
        <v>0</v>
      </c>
      <c r="W16" s="37">
        <f>SUM(V054_20[[#This Row],[MPAL2]:[GI]])</f>
        <v>0</v>
      </c>
      <c r="X16" s="37"/>
      <c r="Y16" s="300">
        <f>(Y15-V054_20[[#This Row],[TOTAL]])+V054_20[[#This Row],[FAENA2]]</f>
        <v>54.6</v>
      </c>
      <c r="Z16" s="53"/>
      <c r="AA16" s="37"/>
      <c r="AB16" s="301">
        <f>(AB15-V054_20[[#This Row],[CYLINDER MP]])+V054_20[[#This Row],[FAENA EN LTS]]</f>
        <v>100</v>
      </c>
      <c r="AC16" s="37"/>
      <c r="AD16" s="37"/>
      <c r="AE16" s="301">
        <f>(AE15-V054_20[[#This Row],[CARTER MP.]])+V054_20[[#This Row],[FAENA EN LTS2]]</f>
        <v>100</v>
      </c>
      <c r="AF16" s="37"/>
      <c r="AG16" s="37"/>
      <c r="AH16" s="301">
        <f>(AH15-V054_20[[#This Row],[MOT AUX]])+V054_20[[#This Row],[FAENA EN  LTS]]</f>
        <v>100</v>
      </c>
      <c r="AI16" s="37"/>
      <c r="AJ16" s="37"/>
      <c r="AK16" s="302">
        <f>(AK15-V054_20[[#This Row],[HIDRAULICO]])+V054_20[[#This Row],[FAENA EN LTS3]]</f>
        <v>100</v>
      </c>
    </row>
    <row r="17" spans="1:37" x14ac:dyDescent="0.25">
      <c r="A17" s="26" t="s">
        <v>63</v>
      </c>
      <c r="B17" s="48">
        <v>43870</v>
      </c>
      <c r="C17" s="41">
        <v>3.3333333333333333E-2</v>
      </c>
      <c r="D17" s="42">
        <f>IF(V054_20[[#This Row],[FECHA]]-B16=1,((V054_20[[#This Row],[HORA]]-C16)*24)+24,(V054_20[[#This Row],[HORA]]-C16)*24)</f>
        <v>7.7999999999999972</v>
      </c>
      <c r="E17" s="29" t="s">
        <v>49</v>
      </c>
      <c r="F17" s="29" t="s">
        <v>74</v>
      </c>
      <c r="G17" s="305"/>
      <c r="H17" s="306"/>
      <c r="I17" s="33">
        <f>IF(ISERROR(V054_20[[#This Row],[DISTANCIA POR CARTA]]/V054_20[[#This Row],[TIEMPO DE NAVEGACION]]),0,V054_20[[#This Row],[DISTANCIA POR CARTA]]/V054_20[[#This Row],[TIEMPO DE NAVEGACION]])</f>
        <v>0</v>
      </c>
      <c r="J17" s="307"/>
      <c r="K17" s="308"/>
      <c r="L17" s="53">
        <v>0</v>
      </c>
      <c r="M17" s="37">
        <v>0.81249999999999978</v>
      </c>
      <c r="N17" s="37">
        <v>0.48749999999999982</v>
      </c>
      <c r="O17" s="418">
        <f>SUM(V054_20[[#This Row],[MPAL]:[CALDERA]])</f>
        <v>1.2999999999999996</v>
      </c>
      <c r="P17" s="88"/>
      <c r="Q17" s="270">
        <f>(Q16-V054_20[[#This Row],[TOTAL ]])+V054_20[[#This Row],[FAENA]]</f>
        <v>839.7175000000002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37">
        <f>SUM(V054_20[[#This Row],[MPAL2]:[GI]])</f>
        <v>0</v>
      </c>
      <c r="X17" s="37"/>
      <c r="Y17" s="300">
        <f>(Y16-V054_20[[#This Row],[TOTAL]])+V054_20[[#This Row],[FAENA2]]</f>
        <v>54.6</v>
      </c>
      <c r="Z17" s="53"/>
      <c r="AA17" s="37"/>
      <c r="AB17" s="301">
        <f>(AB16-V054_20[[#This Row],[CYLINDER MP]])+V054_20[[#This Row],[FAENA EN LTS]]</f>
        <v>100</v>
      </c>
      <c r="AC17" s="37"/>
      <c r="AD17" s="37"/>
      <c r="AE17" s="301">
        <f>(AE16-V054_20[[#This Row],[CARTER MP.]])+V054_20[[#This Row],[FAENA EN LTS2]]</f>
        <v>100</v>
      </c>
      <c r="AF17" s="37"/>
      <c r="AG17" s="37"/>
      <c r="AH17" s="301">
        <f>(AH16-V054_20[[#This Row],[MOT AUX]])+V054_20[[#This Row],[FAENA EN  LTS]]</f>
        <v>100</v>
      </c>
      <c r="AI17" s="37"/>
      <c r="AJ17" s="37"/>
      <c r="AK17" s="302">
        <f>(AK16-V054_20[[#This Row],[HIDRAULICO]])+V054_20[[#This Row],[FAENA EN LTS3]]</f>
        <v>100</v>
      </c>
    </row>
    <row r="18" spans="1:37" x14ac:dyDescent="0.25">
      <c r="A18" s="26" t="s">
        <v>63</v>
      </c>
      <c r="B18" s="48">
        <v>43870</v>
      </c>
      <c r="C18" s="58">
        <v>5.4166666666666669E-2</v>
      </c>
      <c r="D18" s="42">
        <f>IF(V054_20[[#This Row],[FECHA]]-B17=1,((V054_20[[#This Row],[HORA]]-C17)*24)+24,(V054_20[[#This Row],[HORA]]-C17)*24)</f>
        <v>0.5</v>
      </c>
      <c r="E18" s="29" t="s">
        <v>47</v>
      </c>
      <c r="F18" s="29" t="s">
        <v>75</v>
      </c>
      <c r="G18" s="313"/>
      <c r="H18" s="314"/>
      <c r="I18" s="33">
        <f>IF(ISERROR(V054_20[[#This Row],[DISTANCIA POR CARTA]]/V054_20[[#This Row],[TIEMPO DE NAVEGACION]]),0,V054_20[[#This Row],[DISTANCIA POR CARTA]]/V054_20[[#This Row],[TIEMPO DE NAVEGACION]])</f>
        <v>0</v>
      </c>
      <c r="J18" s="311" t="s">
        <v>54</v>
      </c>
      <c r="K18" s="315">
        <v>95</v>
      </c>
      <c r="L18" s="62">
        <v>0.20833333333333334</v>
      </c>
      <c r="M18" s="63">
        <v>5.2083333333333336E-2</v>
      </c>
      <c r="N18" s="63">
        <v>4.1666666666666664E-2</v>
      </c>
      <c r="O18" s="418">
        <f>SUM(V054_20[[#This Row],[MPAL]:[CALDERA]])</f>
        <v>0.30208333333333337</v>
      </c>
      <c r="P18" s="303"/>
      <c r="Q18" s="270">
        <f>(Q17-V054_20[[#This Row],[TOTAL ]])+V054_20[[#This Row],[FAENA]]</f>
        <v>839.41541666666683</v>
      </c>
      <c r="R18" s="62">
        <v>0</v>
      </c>
      <c r="S18" s="63">
        <v>0</v>
      </c>
      <c r="T18" s="63">
        <v>0</v>
      </c>
      <c r="U18" s="63">
        <v>0</v>
      </c>
      <c r="V18" s="63">
        <v>0</v>
      </c>
      <c r="W18" s="37">
        <f>SUM(V054_20[[#This Row],[MPAL2]:[GI]])</f>
        <v>0</v>
      </c>
      <c r="X18" s="63"/>
      <c r="Y18" s="300">
        <f>(Y17-V054_20[[#This Row],[TOTAL]])+V054_20[[#This Row],[FAENA2]]</f>
        <v>54.6</v>
      </c>
      <c r="Z18" s="62"/>
      <c r="AA18" s="63"/>
      <c r="AB18" s="301">
        <f>(AB17-V054_20[[#This Row],[CYLINDER MP]])+V054_20[[#This Row],[FAENA EN LTS]]</f>
        <v>100</v>
      </c>
      <c r="AC18" s="63"/>
      <c r="AD18" s="63"/>
      <c r="AE18" s="301">
        <f>(AE17-V054_20[[#This Row],[CARTER MP.]])+V054_20[[#This Row],[FAENA EN LTS2]]</f>
        <v>100</v>
      </c>
      <c r="AF18" s="63"/>
      <c r="AG18" s="63"/>
      <c r="AH18" s="301">
        <f>(AH17-V054_20[[#This Row],[MOT AUX]])+V054_20[[#This Row],[FAENA EN  LTS]]</f>
        <v>100</v>
      </c>
      <c r="AI18" s="63"/>
      <c r="AJ18" s="63"/>
      <c r="AK18" s="302">
        <f>(AK17-V054_20[[#This Row],[HIDRAULICO]])+V054_20[[#This Row],[FAENA EN LTS3]]</f>
        <v>100</v>
      </c>
    </row>
    <row r="19" spans="1:37" x14ac:dyDescent="0.25">
      <c r="A19" s="26" t="s">
        <v>63</v>
      </c>
      <c r="B19" s="48">
        <v>43870</v>
      </c>
      <c r="C19" s="58">
        <v>0.33333333333333331</v>
      </c>
      <c r="D19" s="42">
        <f>IF(V054_20[[#This Row],[FECHA]]-B18=1,((V054_20[[#This Row],[HORA]]-C18)*24)+24,(V054_20[[#This Row],[HORA]]-C18)*24)</f>
        <v>6.7</v>
      </c>
      <c r="E19" s="29" t="s">
        <v>55</v>
      </c>
      <c r="F19" s="29" t="s">
        <v>56</v>
      </c>
      <c r="G19" s="313"/>
      <c r="H19" s="314"/>
      <c r="I19" s="33">
        <f>IF(ISERROR(V054_20[[#This Row],[DISTANCIA POR CARTA]]/V054_20[[#This Row],[TIEMPO DE NAVEGACION]]),0,V054_20[[#This Row],[DISTANCIA POR CARTA]]/V054_20[[#This Row],[TIEMPO DE NAVEGACION]])</f>
        <v>0</v>
      </c>
      <c r="J19" s="311" t="s">
        <v>54</v>
      </c>
      <c r="K19" s="315">
        <v>95</v>
      </c>
      <c r="L19" s="62">
        <v>5.5833333333333339</v>
      </c>
      <c r="M19" s="63">
        <v>0.69791666666666674</v>
      </c>
      <c r="N19" s="63">
        <v>0.55833333333333335</v>
      </c>
      <c r="O19" s="418">
        <f>SUM(V054_20[[#This Row],[MPAL]:[CALDERA]])</f>
        <v>6.8395833333333345</v>
      </c>
      <c r="P19" s="303"/>
      <c r="Q19" s="270">
        <f>(Q18-V054_20[[#This Row],[TOTAL ]])+V054_20[[#This Row],[FAENA]]</f>
        <v>832.57583333333355</v>
      </c>
      <c r="R19" s="62">
        <v>0</v>
      </c>
      <c r="S19" s="63">
        <v>0</v>
      </c>
      <c r="T19" s="63">
        <v>0</v>
      </c>
      <c r="U19" s="63">
        <v>0</v>
      </c>
      <c r="V19" s="63">
        <v>0</v>
      </c>
      <c r="W19" s="37">
        <f>SUM(V054_20[[#This Row],[MPAL2]:[GI]])</f>
        <v>0</v>
      </c>
      <c r="X19" s="63"/>
      <c r="Y19" s="300">
        <f>(Y18-V054_20[[#This Row],[TOTAL]])+V054_20[[#This Row],[FAENA2]]</f>
        <v>54.6</v>
      </c>
      <c r="Z19" s="62"/>
      <c r="AA19" s="63"/>
      <c r="AB19" s="301">
        <f>(AB18-V054_20[[#This Row],[CYLINDER MP]])+V054_20[[#This Row],[FAENA EN LTS]]</f>
        <v>100</v>
      </c>
      <c r="AC19" s="63"/>
      <c r="AD19" s="63"/>
      <c r="AE19" s="301">
        <f>(AE18-V054_20[[#This Row],[CARTER MP.]])+V054_20[[#This Row],[FAENA EN LTS2]]</f>
        <v>100</v>
      </c>
      <c r="AF19" s="63"/>
      <c r="AG19" s="63"/>
      <c r="AH19" s="301">
        <f>(AH18-V054_20[[#This Row],[MOT AUX]])+V054_20[[#This Row],[FAENA EN  LTS]]</f>
        <v>100</v>
      </c>
      <c r="AI19" s="63"/>
      <c r="AJ19" s="63"/>
      <c r="AK19" s="302">
        <f>(AK18-V054_20[[#This Row],[HIDRAULICO]])+V054_20[[#This Row],[FAENA EN LTS3]]</f>
        <v>100</v>
      </c>
    </row>
    <row r="20" spans="1:37" x14ac:dyDescent="0.25">
      <c r="A20" s="26" t="s">
        <v>63</v>
      </c>
      <c r="B20" s="48">
        <v>43870</v>
      </c>
      <c r="C20" s="58">
        <v>0.38750000000000001</v>
      </c>
      <c r="D20" s="42">
        <f>IF(V054_20[[#This Row],[FECHA]]-B19=1,((V054_20[[#This Row],[HORA]]-C19)*24)+24,(V054_20[[#This Row],[HORA]]-C19)*24)</f>
        <v>1.3000000000000007</v>
      </c>
      <c r="E20" s="29" t="s">
        <v>55</v>
      </c>
      <c r="F20" s="29" t="s">
        <v>76</v>
      </c>
      <c r="G20" s="313">
        <v>91</v>
      </c>
      <c r="H20" s="314">
        <v>8</v>
      </c>
      <c r="I20" s="33">
        <f>IF(ISERROR(V054_20[[#This Row],[DISTANCIA POR CARTA]]/V054_20[[#This Row],[TIEMPO DE NAVEGACION]]),0,V054_20[[#This Row],[DISTANCIA POR CARTA]]/V054_20[[#This Row],[TIEMPO DE NAVEGACION]])</f>
        <v>11.375</v>
      </c>
      <c r="J20" s="311" t="s">
        <v>54</v>
      </c>
      <c r="K20" s="315">
        <v>95</v>
      </c>
      <c r="L20" s="62">
        <v>1.0833333333333339</v>
      </c>
      <c r="M20" s="63">
        <v>0.13541666666666674</v>
      </c>
      <c r="N20" s="63">
        <v>0.10833333333333339</v>
      </c>
      <c r="O20" s="418">
        <f>SUM(V054_20[[#This Row],[MPAL]:[CALDERA]])</f>
        <v>1.3270833333333341</v>
      </c>
      <c r="P20" s="303"/>
      <c r="Q20" s="270">
        <f>(Q19-V054_20[[#This Row],[TOTAL ]])+V054_20[[#This Row],[FAENA]]</f>
        <v>831.2487500000002</v>
      </c>
      <c r="R20" s="62">
        <v>0</v>
      </c>
      <c r="S20" s="63">
        <v>0</v>
      </c>
      <c r="T20" s="63">
        <v>0</v>
      </c>
      <c r="U20" s="63">
        <v>0</v>
      </c>
      <c r="V20" s="63">
        <v>0</v>
      </c>
      <c r="W20" s="37">
        <f>SUM(V054_20[[#This Row],[MPAL2]:[GI]])</f>
        <v>0</v>
      </c>
      <c r="X20" s="63"/>
      <c r="Y20" s="300">
        <f>(Y19-V054_20[[#This Row],[TOTAL]])+V054_20[[#This Row],[FAENA2]]</f>
        <v>54.6</v>
      </c>
      <c r="Z20" s="62"/>
      <c r="AA20" s="63"/>
      <c r="AB20" s="301">
        <f>(AB19-V054_20[[#This Row],[CYLINDER MP]])+V054_20[[#This Row],[FAENA EN LTS]]</f>
        <v>100</v>
      </c>
      <c r="AC20" s="63"/>
      <c r="AD20" s="63"/>
      <c r="AE20" s="301">
        <f>(AE19-V054_20[[#This Row],[CARTER MP.]])+V054_20[[#This Row],[FAENA EN LTS2]]</f>
        <v>100</v>
      </c>
      <c r="AF20" s="63"/>
      <c r="AG20" s="63"/>
      <c r="AH20" s="301">
        <f>(AH19-V054_20[[#This Row],[MOT AUX]])+V054_20[[#This Row],[FAENA EN  LTS]]</f>
        <v>100</v>
      </c>
      <c r="AI20" s="63"/>
      <c r="AJ20" s="63"/>
      <c r="AK20" s="302">
        <f>(AK19-V054_20[[#This Row],[HIDRAULICO]])+V054_20[[#This Row],[FAENA EN LTS3]]</f>
        <v>100</v>
      </c>
    </row>
    <row r="21" spans="1:37" x14ac:dyDescent="0.25">
      <c r="A21" s="26" t="s">
        <v>63</v>
      </c>
      <c r="B21" s="48">
        <v>43870</v>
      </c>
      <c r="C21" s="41">
        <v>0.40833333333333338</v>
      </c>
      <c r="D21" s="42">
        <f>IF(V054_20[[#This Row],[FECHA]]-B20=1,((V054_20[[#This Row],[HORA]]-C20)*24)+24,(V054_20[[#This Row],[HORA]]-C20)*24)</f>
        <v>0.50000000000000089</v>
      </c>
      <c r="E21" s="29" t="s">
        <v>47</v>
      </c>
      <c r="F21" s="29" t="s">
        <v>77</v>
      </c>
      <c r="G21" s="305"/>
      <c r="H21" s="306"/>
      <c r="I21" s="33">
        <f>IF(ISERROR(V054_20[[#This Row],[DISTANCIA POR CARTA]]/V054_20[[#This Row],[TIEMPO DE NAVEGACION]]),0,V054_20[[#This Row],[DISTANCIA POR CARTA]]/V054_20[[#This Row],[TIEMPO DE NAVEGACION]])</f>
        <v>0</v>
      </c>
      <c r="J21" s="307"/>
      <c r="K21" s="308"/>
      <c r="L21" s="53">
        <v>0.2083333333333337</v>
      </c>
      <c r="M21" s="37">
        <v>5.2083333333333426E-2</v>
      </c>
      <c r="N21" s="37">
        <v>4.1666666666666741E-2</v>
      </c>
      <c r="O21" s="418">
        <f>SUM(V054_20[[#This Row],[MPAL]:[CALDERA]])</f>
        <v>0.30208333333333387</v>
      </c>
      <c r="P21" s="88"/>
      <c r="Q21" s="270">
        <f>(Q20-V054_20[[#This Row],[TOTAL ]])+V054_20[[#This Row],[FAENA]]</f>
        <v>830.94666666666683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37">
        <f>SUM(V054_20[[#This Row],[MPAL2]:[GI]])</f>
        <v>0</v>
      </c>
      <c r="X21" s="37"/>
      <c r="Y21" s="300">
        <f>(Y20-V054_20[[#This Row],[TOTAL]])+V054_20[[#This Row],[FAENA2]]</f>
        <v>54.6</v>
      </c>
      <c r="Z21" s="53"/>
      <c r="AA21" s="37"/>
      <c r="AB21" s="301">
        <f>(AB20-V054_20[[#This Row],[CYLINDER MP]])+V054_20[[#This Row],[FAENA EN LTS]]</f>
        <v>100</v>
      </c>
      <c r="AC21" s="37"/>
      <c r="AD21" s="37"/>
      <c r="AE21" s="301">
        <f>(AE20-V054_20[[#This Row],[CARTER MP.]])+V054_20[[#This Row],[FAENA EN LTS2]]</f>
        <v>100</v>
      </c>
      <c r="AF21" s="37"/>
      <c r="AG21" s="37"/>
      <c r="AH21" s="301">
        <f>(AH20-V054_20[[#This Row],[MOT AUX]])+V054_20[[#This Row],[FAENA EN  LTS]]</f>
        <v>100</v>
      </c>
      <c r="AI21" s="37"/>
      <c r="AJ21" s="37"/>
      <c r="AK21" s="302">
        <f>(AK20-V054_20[[#This Row],[HIDRAULICO]])+V054_20[[#This Row],[FAENA EN LTS3]]</f>
        <v>100</v>
      </c>
    </row>
    <row r="22" spans="1:37" x14ac:dyDescent="0.25">
      <c r="A22" s="26" t="s">
        <v>63</v>
      </c>
      <c r="B22" s="48">
        <v>43870</v>
      </c>
      <c r="C22" s="58">
        <v>0.54583333333333328</v>
      </c>
      <c r="D22" s="42">
        <f>IF(V054_20[[#This Row],[FECHA]]-B21=1,((V054_20[[#This Row],[HORA]]-C21)*24)+24,(V054_20[[#This Row],[HORA]]-C21)*24)</f>
        <v>3.2999999999999976</v>
      </c>
      <c r="E22" s="29" t="s">
        <v>45</v>
      </c>
      <c r="F22" s="29" t="s">
        <v>74</v>
      </c>
      <c r="G22" s="313"/>
      <c r="H22" s="314"/>
      <c r="I22" s="33">
        <f>IF(ISERROR(V054_20[[#This Row],[DISTANCIA POR CARTA]]/V054_20[[#This Row],[TIEMPO DE NAVEGACION]]),0,V054_20[[#This Row],[DISTANCIA POR CARTA]]/V054_20[[#This Row],[TIEMPO DE NAVEGACION]])</f>
        <v>0</v>
      </c>
      <c r="J22" s="316"/>
      <c r="K22" s="315"/>
      <c r="L22" s="62">
        <v>0</v>
      </c>
      <c r="M22" s="63">
        <v>0.34374999999999978</v>
      </c>
      <c r="N22" s="63">
        <v>0.2749999999999998</v>
      </c>
      <c r="O22" s="418">
        <f>SUM(V054_20[[#This Row],[MPAL]:[CALDERA]])</f>
        <v>0.61874999999999958</v>
      </c>
      <c r="P22" s="303"/>
      <c r="Q22" s="270">
        <f>(Q21-V054_20[[#This Row],[TOTAL ]])+V054_20[[#This Row],[FAENA]]</f>
        <v>830.32791666666685</v>
      </c>
      <c r="R22" s="62">
        <v>0</v>
      </c>
      <c r="S22" s="63">
        <v>0</v>
      </c>
      <c r="T22" s="63">
        <v>0</v>
      </c>
      <c r="U22" s="63">
        <v>0</v>
      </c>
      <c r="V22" s="63">
        <v>0</v>
      </c>
      <c r="W22" s="37">
        <f>SUM(V054_20[[#This Row],[MPAL2]:[GI]])</f>
        <v>0</v>
      </c>
      <c r="X22" s="63"/>
      <c r="Y22" s="300">
        <f>(Y21-V054_20[[#This Row],[TOTAL]])+V054_20[[#This Row],[FAENA2]]</f>
        <v>54.6</v>
      </c>
      <c r="Z22" s="62"/>
      <c r="AA22" s="63"/>
      <c r="AB22" s="301">
        <f>(AB21-V054_20[[#This Row],[CYLINDER MP]])+V054_20[[#This Row],[FAENA EN LTS]]</f>
        <v>100</v>
      </c>
      <c r="AC22" s="63"/>
      <c r="AD22" s="63"/>
      <c r="AE22" s="301">
        <f>(AE21-V054_20[[#This Row],[CARTER MP.]])+V054_20[[#This Row],[FAENA EN LTS2]]</f>
        <v>100</v>
      </c>
      <c r="AF22" s="63"/>
      <c r="AG22" s="63"/>
      <c r="AH22" s="301">
        <f>(AH21-V054_20[[#This Row],[MOT AUX]])+V054_20[[#This Row],[FAENA EN  LTS]]</f>
        <v>100</v>
      </c>
      <c r="AI22" s="63"/>
      <c r="AJ22" s="63"/>
      <c r="AK22" s="302">
        <f>(AK21-V054_20[[#This Row],[HIDRAULICO]])+V054_20[[#This Row],[FAENA EN LTS3]]</f>
        <v>100</v>
      </c>
    </row>
    <row r="23" spans="1:37" x14ac:dyDescent="0.25">
      <c r="A23" s="26" t="s">
        <v>63</v>
      </c>
      <c r="B23" s="48">
        <v>43870</v>
      </c>
      <c r="C23" s="41">
        <v>0.57916666666666672</v>
      </c>
      <c r="D23" s="42">
        <f>IF(V054_20[[#This Row],[FECHA]]-B22=1,((V054_20[[#This Row],[HORA]]-C22)*24)+24,(V054_20[[#This Row],[HORA]]-C22)*24)</f>
        <v>0.80000000000000249</v>
      </c>
      <c r="E23" s="29" t="s">
        <v>47</v>
      </c>
      <c r="F23" s="29" t="s">
        <v>78</v>
      </c>
      <c r="G23" s="305"/>
      <c r="H23" s="306"/>
      <c r="I23" s="33">
        <f>IF(ISERROR(V054_20[[#This Row],[DISTANCIA POR CARTA]]/V054_20[[#This Row],[TIEMPO DE NAVEGACION]]),0,V054_20[[#This Row],[DISTANCIA POR CARTA]]/V054_20[[#This Row],[TIEMPO DE NAVEGACION]])</f>
        <v>0</v>
      </c>
      <c r="J23" s="307"/>
      <c r="K23" s="308"/>
      <c r="L23" s="53">
        <v>0.33333333333333437</v>
      </c>
      <c r="M23" s="37">
        <v>8.3333333333333592E-2</v>
      </c>
      <c r="N23" s="37">
        <v>5.0000000000000155E-2</v>
      </c>
      <c r="O23" s="418">
        <f>SUM(V054_20[[#This Row],[MPAL]:[CALDERA]])</f>
        <v>0.46666666666666812</v>
      </c>
      <c r="P23" s="88"/>
      <c r="Q23" s="270">
        <f>(Q22-V054_20[[#This Row],[TOTAL ]])+V054_20[[#This Row],[FAENA]]</f>
        <v>829.86125000000015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37">
        <f>SUM(V054_20[[#This Row],[MPAL2]:[GI]])</f>
        <v>0</v>
      </c>
      <c r="X23" s="37"/>
      <c r="Y23" s="300">
        <f>(Y22-V054_20[[#This Row],[TOTAL]])+V054_20[[#This Row],[FAENA2]]</f>
        <v>54.6</v>
      </c>
      <c r="Z23" s="53"/>
      <c r="AA23" s="37"/>
      <c r="AB23" s="301">
        <f>(AB22-V054_20[[#This Row],[CYLINDER MP]])+V054_20[[#This Row],[FAENA EN LTS]]</f>
        <v>100</v>
      </c>
      <c r="AC23" s="37"/>
      <c r="AD23" s="37"/>
      <c r="AE23" s="301">
        <f>(AE22-V054_20[[#This Row],[CARTER MP.]])+V054_20[[#This Row],[FAENA EN LTS2]]</f>
        <v>100</v>
      </c>
      <c r="AF23" s="37"/>
      <c r="AG23" s="37"/>
      <c r="AH23" s="301">
        <f>(AH22-V054_20[[#This Row],[MOT AUX]])+V054_20[[#This Row],[FAENA EN  LTS]]</f>
        <v>100</v>
      </c>
      <c r="AI23" s="37"/>
      <c r="AJ23" s="37"/>
      <c r="AK23" s="302">
        <f>(AK22-V054_20[[#This Row],[HIDRAULICO]])+V054_20[[#This Row],[FAENA EN LTS3]]</f>
        <v>100</v>
      </c>
    </row>
    <row r="24" spans="1:37" x14ac:dyDescent="0.25">
      <c r="A24" s="26" t="s">
        <v>63</v>
      </c>
      <c r="B24" s="48">
        <v>43871</v>
      </c>
      <c r="C24" s="41">
        <v>0.33333333333333331</v>
      </c>
      <c r="D24" s="42">
        <f>IF(V054_20[[#This Row],[FECHA]]-B23=1,((V054_20[[#This Row],[HORA]]-C23)*24)+24,(V054_20[[#This Row],[HORA]]-C23)*24)</f>
        <v>18.099999999999998</v>
      </c>
      <c r="E24" s="29" t="s">
        <v>49</v>
      </c>
      <c r="F24" s="29" t="s">
        <v>50</v>
      </c>
      <c r="G24" s="305"/>
      <c r="H24" s="306"/>
      <c r="I24" s="33">
        <f>IF(ISERROR(V054_20[[#This Row],[DISTANCIA POR CARTA]]/V054_20[[#This Row],[TIEMPO DE NAVEGACION]]),0,V054_20[[#This Row],[DISTANCIA POR CARTA]]/V054_20[[#This Row],[TIEMPO DE NAVEGACION]])</f>
        <v>0</v>
      </c>
      <c r="J24" s="307"/>
      <c r="K24" s="308"/>
      <c r="L24" s="53">
        <v>0</v>
      </c>
      <c r="M24" s="37">
        <v>1.8854166666666665</v>
      </c>
      <c r="N24" s="37">
        <v>1.1312499999999999</v>
      </c>
      <c r="O24" s="418">
        <f>SUM(V054_20[[#This Row],[MPAL]:[CALDERA]])</f>
        <v>3.0166666666666666</v>
      </c>
      <c r="P24" s="88"/>
      <c r="Q24" s="270">
        <f>(Q23-V054_20[[#This Row],[TOTAL ]])+V054_20[[#This Row],[FAENA]]</f>
        <v>826.8445833333335</v>
      </c>
      <c r="R24" s="53">
        <v>0</v>
      </c>
      <c r="S24" s="37">
        <v>0</v>
      </c>
      <c r="T24" s="37">
        <v>0</v>
      </c>
      <c r="U24" s="37">
        <v>0</v>
      </c>
      <c r="V24" s="37">
        <v>4</v>
      </c>
      <c r="W24" s="37">
        <f>SUM(V054_20[[#This Row],[MPAL2]:[GI]])</f>
        <v>4</v>
      </c>
      <c r="X24" s="37"/>
      <c r="Y24" s="300">
        <f>(Y23-V054_20[[#This Row],[TOTAL]])+V054_20[[#This Row],[FAENA2]]</f>
        <v>50.6</v>
      </c>
      <c r="Z24" s="53"/>
      <c r="AA24" s="37"/>
      <c r="AB24" s="301">
        <f>(AB23-V054_20[[#This Row],[CYLINDER MP]])+V054_20[[#This Row],[FAENA EN LTS]]</f>
        <v>100</v>
      </c>
      <c r="AC24" s="37"/>
      <c r="AD24" s="37"/>
      <c r="AE24" s="301">
        <f>(AE23-V054_20[[#This Row],[CARTER MP.]])+V054_20[[#This Row],[FAENA EN LTS2]]</f>
        <v>100</v>
      </c>
      <c r="AF24" s="37"/>
      <c r="AG24" s="37"/>
      <c r="AH24" s="301">
        <f>(AH23-V054_20[[#This Row],[MOT AUX]])+V054_20[[#This Row],[FAENA EN  LTS]]</f>
        <v>100</v>
      </c>
      <c r="AI24" s="37"/>
      <c r="AJ24" s="37"/>
      <c r="AK24" s="302">
        <f>(AK23-V054_20[[#This Row],[HIDRAULICO]])+V054_20[[#This Row],[FAENA EN LTS3]]</f>
        <v>100</v>
      </c>
    </row>
    <row r="25" spans="1:37" x14ac:dyDescent="0.25">
      <c r="A25" s="235" t="s">
        <v>63</v>
      </c>
      <c r="B25" s="236">
        <v>43872</v>
      </c>
      <c r="C25" s="237">
        <v>0.25</v>
      </c>
      <c r="D25" s="42">
        <f>IF(V054_20[[#This Row],[FECHA]]-B24=1,((V054_20[[#This Row],[HORA]]-C24)*24)+24,(V054_20[[#This Row],[HORA]]-C24)*24)</f>
        <v>22</v>
      </c>
      <c r="E25" s="239" t="s">
        <v>51</v>
      </c>
      <c r="F25" s="240" t="s">
        <v>52</v>
      </c>
      <c r="G25" s="324"/>
      <c r="H25" s="306"/>
      <c r="I25" s="33">
        <f>IF(ISERROR(V054_20[[#This Row],[DISTANCIA POR CARTA]]/V054_20[[#This Row],[TIEMPO DE NAVEGACION]]),0,V054_20[[#This Row],[DISTANCIA POR CARTA]]/V054_20[[#This Row],[TIEMPO DE NAVEGACION]])</f>
        <v>0</v>
      </c>
      <c r="J25" s="242"/>
      <c r="K25" s="325"/>
      <c r="L25" s="245">
        <v>0</v>
      </c>
      <c r="M25" s="246">
        <v>2.291666666666667</v>
      </c>
      <c r="N25" s="246">
        <v>1.8333333333333333</v>
      </c>
      <c r="O25" s="418">
        <f>SUM(V054_20[[#This Row],[MPAL]:[CALDERA]])</f>
        <v>4.125</v>
      </c>
      <c r="P25" s="319"/>
      <c r="Q25" s="270">
        <f>(Q24-V054_20[[#This Row],[TOTAL ]])+V054_20[[#This Row],[FAENA]]</f>
        <v>822.7195833333335</v>
      </c>
      <c r="R25" s="245">
        <v>0</v>
      </c>
      <c r="S25" s="246">
        <v>0</v>
      </c>
      <c r="T25" s="246">
        <v>0</v>
      </c>
      <c r="U25" s="246">
        <v>0</v>
      </c>
      <c r="V25" s="246">
        <v>3</v>
      </c>
      <c r="W25" s="37">
        <f>SUM(V054_20[[#This Row],[MPAL2]:[GI]])</f>
        <v>3</v>
      </c>
      <c r="X25" s="246"/>
      <c r="Y25" s="300">
        <f>(Y24-V054_20[[#This Row],[TOTAL]])+V054_20[[#This Row],[FAENA2]]</f>
        <v>47.6</v>
      </c>
      <c r="Z25" s="245"/>
      <c r="AA25" s="246"/>
      <c r="AB25" s="301">
        <f>(AB24-V054_20[[#This Row],[CYLINDER MP]])+V054_20[[#This Row],[FAENA EN LTS]]</f>
        <v>100</v>
      </c>
      <c r="AC25" s="246"/>
      <c r="AD25" s="246"/>
      <c r="AE25" s="301">
        <f>(AE24-V054_20[[#This Row],[CARTER MP.]])+V054_20[[#This Row],[FAENA EN LTS2]]</f>
        <v>100</v>
      </c>
      <c r="AF25" s="246"/>
      <c r="AG25" s="246"/>
      <c r="AH25" s="301">
        <f>(AH24-V054_20[[#This Row],[MOT AUX]])+V054_20[[#This Row],[FAENA EN  LTS]]</f>
        <v>100</v>
      </c>
      <c r="AI25" s="246"/>
      <c r="AJ25" s="246"/>
      <c r="AK25" s="302">
        <f>(AK24-V054_20[[#This Row],[HIDRAULICO]])+V054_20[[#This Row],[FAENA EN LTS3]]</f>
        <v>100</v>
      </c>
    </row>
    <row r="26" spans="1:37" x14ac:dyDescent="0.25">
      <c r="A26" s="235" t="s">
        <v>63</v>
      </c>
      <c r="B26" s="236">
        <v>43872</v>
      </c>
      <c r="C26" s="237">
        <v>0.33333333333333331</v>
      </c>
      <c r="D26" s="42">
        <f>IF(V054_20[[#This Row],[FECHA]]-B25=1,((V054_20[[#This Row],[HORA]]-C25)*24)+24,(V054_20[[#This Row],[HORA]]-C25)*24)</f>
        <v>1.9999999999999996</v>
      </c>
      <c r="E26" s="239" t="s">
        <v>49</v>
      </c>
      <c r="F26" s="240" t="s">
        <v>59</v>
      </c>
      <c r="G26" s="324"/>
      <c r="H26" s="306"/>
      <c r="I26" s="33">
        <f>IF(ISERROR(V054_20[[#This Row],[DISTANCIA POR CARTA]]/V054_20[[#This Row],[TIEMPO DE NAVEGACION]]),0,V054_20[[#This Row],[DISTANCIA POR CARTA]]/V054_20[[#This Row],[TIEMPO DE NAVEGACION]])</f>
        <v>0</v>
      </c>
      <c r="J26" s="242"/>
      <c r="K26" s="325"/>
      <c r="L26" s="245">
        <v>0</v>
      </c>
      <c r="M26" s="246">
        <v>0.20833333333333329</v>
      </c>
      <c r="N26" s="246">
        <v>0.12499999999999997</v>
      </c>
      <c r="O26" s="418">
        <f>SUM(V054_20[[#This Row],[MPAL]:[CALDERA]])</f>
        <v>0.33333333333333326</v>
      </c>
      <c r="P26" s="319"/>
      <c r="Q26" s="270">
        <f>(Q25-V054_20[[#This Row],[TOTAL ]])+V054_20[[#This Row],[FAENA]]</f>
        <v>822.38625000000013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37">
        <f>SUM(V054_20[[#This Row],[MPAL2]:[GI]])</f>
        <v>0</v>
      </c>
      <c r="X26" s="246"/>
      <c r="Y26" s="300">
        <f>(Y25-V054_20[[#This Row],[TOTAL]])+V054_20[[#This Row],[FAENA2]]</f>
        <v>47.6</v>
      </c>
      <c r="Z26" s="245"/>
      <c r="AA26" s="246"/>
      <c r="AB26" s="301">
        <f>(AB25-V054_20[[#This Row],[CYLINDER MP]])+V054_20[[#This Row],[FAENA EN LTS]]</f>
        <v>100</v>
      </c>
      <c r="AC26" s="246"/>
      <c r="AD26" s="246"/>
      <c r="AE26" s="301">
        <f>(AE25-V054_20[[#This Row],[CARTER MP.]])+V054_20[[#This Row],[FAENA EN LTS2]]</f>
        <v>100</v>
      </c>
      <c r="AF26" s="246"/>
      <c r="AG26" s="246"/>
      <c r="AH26" s="301">
        <f>(AH25-V054_20[[#This Row],[MOT AUX]])+V054_20[[#This Row],[FAENA EN  LTS]]</f>
        <v>100</v>
      </c>
      <c r="AI26" s="246"/>
      <c r="AJ26" s="246"/>
      <c r="AK26" s="302">
        <f>(AK25-V054_20[[#This Row],[HIDRAULICO]])+V054_20[[#This Row],[FAENA EN LTS3]]</f>
        <v>100</v>
      </c>
    </row>
    <row r="27" spans="1:37" x14ac:dyDescent="0.25">
      <c r="A27" s="235" t="s">
        <v>63</v>
      </c>
      <c r="B27" s="236">
        <v>43872</v>
      </c>
      <c r="C27" s="237">
        <v>0.375</v>
      </c>
      <c r="D27" s="42">
        <f>IF(V054_20[[#This Row],[FECHA]]-B26=1,((V054_20[[#This Row],[HORA]]-C26)*24)+24,(V054_20[[#This Row],[HORA]]-C26)*24)</f>
        <v>1.0000000000000004</v>
      </c>
      <c r="E27" s="239" t="s">
        <v>49</v>
      </c>
      <c r="F27" s="240" t="s">
        <v>46</v>
      </c>
      <c r="G27" s="324"/>
      <c r="H27" s="306"/>
      <c r="I27" s="33">
        <f>IF(ISERROR(V054_20[[#This Row],[DISTANCIA POR CARTA]]/V054_20[[#This Row],[TIEMPO DE NAVEGACION]]),0,V054_20[[#This Row],[DISTANCIA POR CARTA]]/V054_20[[#This Row],[TIEMPO DE NAVEGACION]])</f>
        <v>0</v>
      </c>
      <c r="J27" s="242"/>
      <c r="K27" s="325"/>
      <c r="L27" s="245">
        <v>0</v>
      </c>
      <c r="M27" s="246">
        <v>0.10416666666666671</v>
      </c>
      <c r="N27" s="246">
        <v>6.2500000000000028E-2</v>
      </c>
      <c r="O27" s="418">
        <f>SUM(V054_20[[#This Row],[MPAL]:[CALDERA]])</f>
        <v>0.16666666666666674</v>
      </c>
      <c r="P27" s="319"/>
      <c r="Q27" s="270">
        <f>(Q26-V054_20[[#This Row],[TOTAL ]])+V054_20[[#This Row],[FAENA]]</f>
        <v>822.2195833333335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37">
        <f>SUM(V054_20[[#This Row],[MPAL2]:[GI]])</f>
        <v>0</v>
      </c>
      <c r="X27" s="246"/>
      <c r="Y27" s="300">
        <f>(Y26-V054_20[[#This Row],[TOTAL]])+V054_20[[#This Row],[FAENA2]]</f>
        <v>47.6</v>
      </c>
      <c r="Z27" s="245"/>
      <c r="AA27" s="246"/>
      <c r="AB27" s="301">
        <f>(AB26-V054_20[[#This Row],[CYLINDER MP]])+V054_20[[#This Row],[FAENA EN LTS]]</f>
        <v>100</v>
      </c>
      <c r="AC27" s="246"/>
      <c r="AD27" s="246"/>
      <c r="AE27" s="301">
        <f>(AE26-V054_20[[#This Row],[CARTER MP.]])+V054_20[[#This Row],[FAENA EN LTS2]]</f>
        <v>100</v>
      </c>
      <c r="AF27" s="246"/>
      <c r="AG27" s="246"/>
      <c r="AH27" s="301">
        <f>(AH26-V054_20[[#This Row],[MOT AUX]])+V054_20[[#This Row],[FAENA EN  LTS]]</f>
        <v>100</v>
      </c>
      <c r="AI27" s="246"/>
      <c r="AJ27" s="246"/>
      <c r="AK27" s="302">
        <f>(AK26-V054_20[[#This Row],[HIDRAULICO]])+V054_20[[#This Row],[FAENA EN LTS3]]</f>
        <v>100</v>
      </c>
    </row>
    <row r="28" spans="1:37" x14ac:dyDescent="0.25">
      <c r="A28" s="235" t="s">
        <v>63</v>
      </c>
      <c r="B28" s="236">
        <v>43872</v>
      </c>
      <c r="C28" s="237">
        <v>0.39583333333333331</v>
      </c>
      <c r="D28" s="42">
        <f>IF(V054_20[[#This Row],[FECHA]]-B27=1,((V054_20[[#This Row],[HORA]]-C27)*24)+24,(V054_20[[#This Row],[HORA]]-C27)*24)</f>
        <v>0.49999999999999956</v>
      </c>
      <c r="E28" s="239" t="s">
        <v>47</v>
      </c>
      <c r="F28" s="240" t="s">
        <v>79</v>
      </c>
      <c r="G28" s="324"/>
      <c r="H28" s="306"/>
      <c r="I28" s="33">
        <f>IF(ISERROR(V054_20[[#This Row],[DISTANCIA POR CARTA]]/V054_20[[#This Row],[TIEMPO DE NAVEGACION]]),0,V054_20[[#This Row],[DISTANCIA POR CARTA]]/V054_20[[#This Row],[TIEMPO DE NAVEGACION]])</f>
        <v>0</v>
      </c>
      <c r="J28" s="242" t="s">
        <v>54</v>
      </c>
      <c r="K28" s="325">
        <v>95</v>
      </c>
      <c r="L28" s="245">
        <v>4.166666666666663E-2</v>
      </c>
      <c r="M28" s="246">
        <v>5.2083333333333287E-2</v>
      </c>
      <c r="N28" s="246">
        <v>3.1249999999999972E-2</v>
      </c>
      <c r="O28" s="418">
        <f>SUM(V054_20[[#This Row],[MPAL]:[CALDERA]])</f>
        <v>0.12499999999999989</v>
      </c>
      <c r="P28" s="319"/>
      <c r="Q28" s="270">
        <f>(Q27-V054_20[[#This Row],[TOTAL ]])+V054_20[[#This Row],[FAENA]]</f>
        <v>822.0945833333335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37">
        <f>SUM(V054_20[[#This Row],[MPAL2]:[GI]])</f>
        <v>0</v>
      </c>
      <c r="X28" s="246"/>
      <c r="Y28" s="300">
        <f>(Y27-V054_20[[#This Row],[TOTAL]])+V054_20[[#This Row],[FAENA2]]</f>
        <v>47.6</v>
      </c>
      <c r="Z28" s="245"/>
      <c r="AA28" s="246"/>
      <c r="AB28" s="301">
        <f>(AB27-V054_20[[#This Row],[CYLINDER MP]])+V054_20[[#This Row],[FAENA EN LTS]]</f>
        <v>100</v>
      </c>
      <c r="AC28" s="246"/>
      <c r="AD28" s="246"/>
      <c r="AE28" s="301">
        <f>(AE27-V054_20[[#This Row],[CARTER MP.]])+V054_20[[#This Row],[FAENA EN LTS2]]</f>
        <v>100</v>
      </c>
      <c r="AF28" s="246"/>
      <c r="AG28" s="246"/>
      <c r="AH28" s="301">
        <f>(AH27-V054_20[[#This Row],[MOT AUX]])+V054_20[[#This Row],[FAENA EN  LTS]]</f>
        <v>100</v>
      </c>
      <c r="AI28" s="246"/>
      <c r="AJ28" s="246"/>
      <c r="AK28" s="302">
        <f>(AK27-V054_20[[#This Row],[HIDRAULICO]])+V054_20[[#This Row],[FAENA EN LTS3]]</f>
        <v>100</v>
      </c>
    </row>
    <row r="29" spans="1:37" x14ac:dyDescent="0.25">
      <c r="A29" s="235" t="s">
        <v>63</v>
      </c>
      <c r="B29" s="236">
        <v>43873</v>
      </c>
      <c r="C29" s="237">
        <v>0.33333333333333331</v>
      </c>
      <c r="D29" s="42">
        <f>IF(V054_20[[#This Row],[FECHA]]-B28=1,((V054_20[[#This Row],[HORA]]-C28)*24)+24,(V054_20[[#This Row],[HORA]]-C28)*24)</f>
        <v>22.5</v>
      </c>
      <c r="E29" s="239" t="s">
        <v>55</v>
      </c>
      <c r="F29" s="240" t="s">
        <v>56</v>
      </c>
      <c r="G29" s="324"/>
      <c r="H29" s="306"/>
      <c r="I29" s="33">
        <f>IF(ISERROR(V054_20[[#This Row],[DISTANCIA POR CARTA]]/V054_20[[#This Row],[TIEMPO DE NAVEGACION]]),0,V054_20[[#This Row],[DISTANCIA POR CARTA]]/V054_20[[#This Row],[TIEMPO DE NAVEGACION]])</f>
        <v>0</v>
      </c>
      <c r="J29" s="242" t="s">
        <v>54</v>
      </c>
      <c r="K29" s="325">
        <v>95</v>
      </c>
      <c r="L29" s="245">
        <v>18.75</v>
      </c>
      <c r="M29" s="246">
        <v>2.34375</v>
      </c>
      <c r="N29" s="246">
        <v>0</v>
      </c>
      <c r="O29" s="418">
        <f>SUM(V054_20[[#This Row],[MPAL]:[CALDERA]])</f>
        <v>21.09375</v>
      </c>
      <c r="P29" s="319"/>
      <c r="Q29" s="270">
        <f>(Q28-V054_20[[#This Row],[TOTAL ]])+V054_20[[#This Row],[FAENA]]</f>
        <v>801.0008333333335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37">
        <f>SUM(V054_20[[#This Row],[MPAL2]:[GI]])</f>
        <v>0</v>
      </c>
      <c r="X29" s="246"/>
      <c r="Y29" s="300">
        <f>(Y28-V054_20[[#This Row],[TOTAL]])+V054_20[[#This Row],[FAENA2]]</f>
        <v>47.6</v>
      </c>
      <c r="Z29" s="245"/>
      <c r="AA29" s="246"/>
      <c r="AB29" s="301">
        <f>(AB28-V054_20[[#This Row],[CYLINDER MP]])+V054_20[[#This Row],[FAENA EN LTS]]</f>
        <v>100</v>
      </c>
      <c r="AC29" s="246"/>
      <c r="AD29" s="246"/>
      <c r="AE29" s="301">
        <f>(AE28-V054_20[[#This Row],[CARTER MP.]])+V054_20[[#This Row],[FAENA EN LTS2]]</f>
        <v>100</v>
      </c>
      <c r="AF29" s="246"/>
      <c r="AG29" s="246"/>
      <c r="AH29" s="301">
        <f>(AH28-V054_20[[#This Row],[MOT AUX]])+V054_20[[#This Row],[FAENA EN  LTS]]</f>
        <v>100</v>
      </c>
      <c r="AI29" s="246"/>
      <c r="AJ29" s="246"/>
      <c r="AK29" s="302">
        <f>(AK28-V054_20[[#This Row],[HIDRAULICO]])+V054_20[[#This Row],[FAENA EN LTS3]]</f>
        <v>100</v>
      </c>
    </row>
    <row r="30" spans="1:37" x14ac:dyDescent="0.25">
      <c r="A30" s="235" t="s">
        <v>63</v>
      </c>
      <c r="B30" s="236">
        <v>43873</v>
      </c>
      <c r="C30" s="237">
        <v>0.47916666666666669</v>
      </c>
      <c r="D30" s="42">
        <f>IF(V054_20[[#This Row],[FECHA]]-B29=1,((V054_20[[#This Row],[HORA]]-C29)*24)+24,(V054_20[[#This Row],[HORA]]-C29)*24)</f>
        <v>3.5000000000000009</v>
      </c>
      <c r="E30" s="239" t="s">
        <v>55</v>
      </c>
      <c r="F30" s="240" t="s">
        <v>80</v>
      </c>
      <c r="G30" s="324">
        <v>266</v>
      </c>
      <c r="H30" s="306">
        <v>26</v>
      </c>
      <c r="I30" s="33">
        <f>IF(ISERROR(V054_20[[#This Row],[DISTANCIA POR CARTA]]/V054_20[[#This Row],[TIEMPO DE NAVEGACION]]),0,V054_20[[#This Row],[DISTANCIA POR CARTA]]/V054_20[[#This Row],[TIEMPO DE NAVEGACION]])</f>
        <v>10.23076923076923</v>
      </c>
      <c r="J30" s="242" t="s">
        <v>54</v>
      </c>
      <c r="K30" s="325">
        <v>95</v>
      </c>
      <c r="L30" s="245">
        <v>2.9166666666666674</v>
      </c>
      <c r="M30" s="246">
        <v>0.36458333333333343</v>
      </c>
      <c r="N30" s="246">
        <v>0</v>
      </c>
      <c r="O30" s="418">
        <f>SUM(V054_20[[#This Row],[MPAL]:[CALDERA]])</f>
        <v>3.2812500000000009</v>
      </c>
      <c r="P30" s="319"/>
      <c r="Q30" s="270">
        <f>(Q29-V054_20[[#This Row],[TOTAL ]])+V054_20[[#This Row],[FAENA]]</f>
        <v>797.7195833333335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37">
        <f>SUM(V054_20[[#This Row],[MPAL2]:[GI]])</f>
        <v>0</v>
      </c>
      <c r="X30" s="246"/>
      <c r="Y30" s="300">
        <f>(Y29-V054_20[[#This Row],[TOTAL]])+V054_20[[#This Row],[FAENA2]]</f>
        <v>47.6</v>
      </c>
      <c r="Z30" s="245"/>
      <c r="AA30" s="246"/>
      <c r="AB30" s="301">
        <f>(AB29-V054_20[[#This Row],[CYLINDER MP]])+V054_20[[#This Row],[FAENA EN LTS]]</f>
        <v>100</v>
      </c>
      <c r="AC30" s="246"/>
      <c r="AD30" s="246"/>
      <c r="AE30" s="301">
        <f>(AE29-V054_20[[#This Row],[CARTER MP.]])+V054_20[[#This Row],[FAENA EN LTS2]]</f>
        <v>100</v>
      </c>
      <c r="AF30" s="246"/>
      <c r="AG30" s="246"/>
      <c r="AH30" s="301">
        <f>(AH29-V054_20[[#This Row],[MOT AUX]])+V054_20[[#This Row],[FAENA EN  LTS]]</f>
        <v>100</v>
      </c>
      <c r="AI30" s="246"/>
      <c r="AJ30" s="246"/>
      <c r="AK30" s="302">
        <f>(AK29-V054_20[[#This Row],[HIDRAULICO]])+V054_20[[#This Row],[FAENA EN LTS3]]</f>
        <v>100</v>
      </c>
    </row>
    <row r="31" spans="1:37" x14ac:dyDescent="0.25">
      <c r="A31" s="235" t="s">
        <v>63</v>
      </c>
      <c r="B31" s="236">
        <v>43873</v>
      </c>
      <c r="C31" s="237">
        <v>0.5</v>
      </c>
      <c r="D31" s="42">
        <f>IF(V054_20[[#This Row],[FECHA]]-B30=1,((V054_20[[#This Row],[HORA]]-C30)*24)+24,(V054_20[[#This Row],[HORA]]-C30)*24)</f>
        <v>0.49999999999999956</v>
      </c>
      <c r="E31" s="239" t="s">
        <v>47</v>
      </c>
      <c r="F31" s="240" t="s">
        <v>48</v>
      </c>
      <c r="G31" s="324"/>
      <c r="H31" s="306"/>
      <c r="I31" s="33">
        <f>IF(ISERROR(V054_20[[#This Row],[DISTANCIA POR CARTA]]/V054_20[[#This Row],[TIEMPO DE NAVEGACION]]),0,V054_20[[#This Row],[DISTANCIA POR CARTA]]/V054_20[[#This Row],[TIEMPO DE NAVEGACION]])</f>
        <v>0</v>
      </c>
      <c r="J31" s="242"/>
      <c r="K31" s="325"/>
      <c r="L31" s="245">
        <v>0.10416666666666657</v>
      </c>
      <c r="M31" s="246">
        <v>5.2083333333333287E-2</v>
      </c>
      <c r="N31" s="246">
        <v>4.166666666666663E-2</v>
      </c>
      <c r="O31" s="418">
        <f>SUM(V054_20[[#This Row],[MPAL]:[CALDERA]])</f>
        <v>0.19791666666666649</v>
      </c>
      <c r="P31" s="319"/>
      <c r="Q31" s="270">
        <f>(Q30-V054_20[[#This Row],[TOTAL ]])+V054_20[[#This Row],[FAENA]]</f>
        <v>797.52166666666687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37">
        <f>SUM(V054_20[[#This Row],[MPAL2]:[GI]])</f>
        <v>0</v>
      </c>
      <c r="X31" s="246"/>
      <c r="Y31" s="300">
        <f>(Y30-V054_20[[#This Row],[TOTAL]])+V054_20[[#This Row],[FAENA2]]</f>
        <v>47.6</v>
      </c>
      <c r="Z31" s="245"/>
      <c r="AA31" s="246"/>
      <c r="AB31" s="301">
        <f>(AB30-V054_20[[#This Row],[CYLINDER MP]])+V054_20[[#This Row],[FAENA EN LTS]]</f>
        <v>100</v>
      </c>
      <c r="AC31" s="246"/>
      <c r="AD31" s="246"/>
      <c r="AE31" s="301">
        <f>(AE30-V054_20[[#This Row],[CARTER MP.]])+V054_20[[#This Row],[FAENA EN LTS2]]</f>
        <v>100</v>
      </c>
      <c r="AF31" s="246"/>
      <c r="AG31" s="246"/>
      <c r="AH31" s="301">
        <f>(AH30-V054_20[[#This Row],[MOT AUX]])+V054_20[[#This Row],[FAENA EN  LTS]]</f>
        <v>100</v>
      </c>
      <c r="AI31" s="246"/>
      <c r="AJ31" s="246"/>
      <c r="AK31" s="302">
        <f>(AK30-V054_20[[#This Row],[HIDRAULICO]])+V054_20[[#This Row],[FAENA EN LTS3]]</f>
        <v>100</v>
      </c>
    </row>
    <row r="32" spans="1:37" x14ac:dyDescent="0.25">
      <c r="A32" s="235" t="s">
        <v>63</v>
      </c>
      <c r="B32" s="236">
        <v>43874</v>
      </c>
      <c r="C32" s="237">
        <v>0.33333333333333331</v>
      </c>
      <c r="D32" s="42">
        <f>IF(V054_20[[#This Row],[FECHA]]-B31=1,((V054_20[[#This Row],[HORA]]-C31)*24)+24,(V054_20[[#This Row],[HORA]]-C31)*24)</f>
        <v>20</v>
      </c>
      <c r="E32" s="239" t="s">
        <v>45</v>
      </c>
      <c r="F32" s="240" t="s">
        <v>45</v>
      </c>
      <c r="G32" s="324"/>
      <c r="H32" s="306"/>
      <c r="I32" s="33">
        <f>IF(ISERROR(V054_20[[#This Row],[DISTANCIA POR CARTA]]/V054_20[[#This Row],[TIEMPO DE NAVEGACION]]),0,V054_20[[#This Row],[DISTANCIA POR CARTA]]/V054_20[[#This Row],[TIEMPO DE NAVEGACION]])</f>
        <v>0</v>
      </c>
      <c r="J32" s="242"/>
      <c r="K32" s="325"/>
      <c r="L32" s="245">
        <v>0</v>
      </c>
      <c r="M32" s="246">
        <v>2.0833333333333335</v>
      </c>
      <c r="N32" s="246">
        <v>1.6666666666666665</v>
      </c>
      <c r="O32" s="418">
        <f>SUM(V054_20[[#This Row],[MPAL]:[CALDERA]])</f>
        <v>3.75</v>
      </c>
      <c r="P32" s="319"/>
      <c r="Q32" s="270">
        <f>(Q31-V054_20[[#This Row],[TOTAL ]])+V054_20[[#This Row],[FAENA]]</f>
        <v>793.77166666666687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37">
        <f>SUM(V054_20[[#This Row],[MPAL2]:[GI]])</f>
        <v>0</v>
      </c>
      <c r="X32" s="246"/>
      <c r="Y32" s="300">
        <f>(Y31-V054_20[[#This Row],[TOTAL]])+V054_20[[#This Row],[FAENA2]]</f>
        <v>47.6</v>
      </c>
      <c r="Z32" s="245"/>
      <c r="AA32" s="246"/>
      <c r="AB32" s="301">
        <f>(AB31-V054_20[[#This Row],[CYLINDER MP]])+V054_20[[#This Row],[FAENA EN LTS]]</f>
        <v>100</v>
      </c>
      <c r="AC32" s="246"/>
      <c r="AD32" s="246"/>
      <c r="AE32" s="301">
        <f>(AE31-V054_20[[#This Row],[CARTER MP.]])+V054_20[[#This Row],[FAENA EN LTS2]]</f>
        <v>100</v>
      </c>
      <c r="AF32" s="246"/>
      <c r="AG32" s="246"/>
      <c r="AH32" s="301">
        <f>(AH31-V054_20[[#This Row],[MOT AUX]])+V054_20[[#This Row],[FAENA EN  LTS]]</f>
        <v>100</v>
      </c>
      <c r="AI32" s="246"/>
      <c r="AJ32" s="246"/>
      <c r="AK32" s="302">
        <f>(AK31-V054_20[[#This Row],[HIDRAULICO]])+V054_20[[#This Row],[FAENA EN LTS3]]</f>
        <v>100</v>
      </c>
    </row>
    <row r="33" spans="1:37" x14ac:dyDescent="0.25">
      <c r="A33" s="235" t="s">
        <v>63</v>
      </c>
      <c r="B33" s="236">
        <v>43874</v>
      </c>
      <c r="C33" s="237">
        <v>0.51250000000000007</v>
      </c>
      <c r="D33" s="42">
        <f>IF(V054_20[[#This Row],[FECHA]]-B32=1,((V054_20[[#This Row],[HORA]]-C32)*24)+24,(V054_20[[#This Row],[HORA]]-C32)*24)</f>
        <v>4.3000000000000025</v>
      </c>
      <c r="E33" s="239" t="s">
        <v>45</v>
      </c>
      <c r="F33" s="240" t="s">
        <v>46</v>
      </c>
      <c r="G33" s="324"/>
      <c r="H33" s="306"/>
      <c r="I33" s="33">
        <f>IF(ISERROR(V054_20[[#This Row],[DISTANCIA POR CARTA]]/V054_20[[#This Row],[TIEMPO DE NAVEGACION]]),0,V054_20[[#This Row],[DISTANCIA POR CARTA]]/V054_20[[#This Row],[TIEMPO DE NAVEGACION]])</f>
        <v>0</v>
      </c>
      <c r="J33" s="242"/>
      <c r="K33" s="325"/>
      <c r="L33" s="245">
        <v>0</v>
      </c>
      <c r="M33" s="246">
        <v>0.44791666666666696</v>
      </c>
      <c r="N33" s="246">
        <v>0.3583333333333335</v>
      </c>
      <c r="O33" s="418">
        <f>SUM(V054_20[[#This Row],[MPAL]:[CALDERA]])</f>
        <v>0.80625000000000047</v>
      </c>
      <c r="P33" s="319"/>
      <c r="Q33" s="270">
        <f>(Q32-V054_20[[#This Row],[TOTAL ]])+V054_20[[#This Row],[FAENA]]</f>
        <v>792.9654166666669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37">
        <f>SUM(V054_20[[#This Row],[MPAL2]:[GI]])</f>
        <v>0</v>
      </c>
      <c r="X33" s="246"/>
      <c r="Y33" s="300">
        <f>(Y32-V054_20[[#This Row],[TOTAL]])+V054_20[[#This Row],[FAENA2]]</f>
        <v>47.6</v>
      </c>
      <c r="Z33" s="245"/>
      <c r="AA33" s="246"/>
      <c r="AB33" s="301">
        <f>(AB32-V054_20[[#This Row],[CYLINDER MP]])+V054_20[[#This Row],[FAENA EN LTS]]</f>
        <v>100</v>
      </c>
      <c r="AC33" s="246"/>
      <c r="AD33" s="246"/>
      <c r="AE33" s="301">
        <f>(AE32-V054_20[[#This Row],[CARTER MP.]])+V054_20[[#This Row],[FAENA EN LTS2]]</f>
        <v>100</v>
      </c>
      <c r="AF33" s="246"/>
      <c r="AG33" s="246"/>
      <c r="AH33" s="301">
        <f>(AH32-V054_20[[#This Row],[MOT AUX]])+V054_20[[#This Row],[FAENA EN  LTS]]</f>
        <v>100</v>
      </c>
      <c r="AI33" s="246"/>
      <c r="AJ33" s="246"/>
      <c r="AK33" s="302">
        <f>(AK32-V054_20[[#This Row],[HIDRAULICO]])+V054_20[[#This Row],[FAENA EN LTS3]]</f>
        <v>100</v>
      </c>
    </row>
    <row r="34" spans="1:37" x14ac:dyDescent="0.25">
      <c r="A34" s="235" t="s">
        <v>63</v>
      </c>
      <c r="B34" s="236">
        <v>43874</v>
      </c>
      <c r="C34" s="237">
        <v>0.58333333333333337</v>
      </c>
      <c r="D34" s="42">
        <f>IF(V054_20[[#This Row],[FECHA]]-B33=1,((V054_20[[#This Row],[HORA]]-C33)*24)+24,(V054_20[[#This Row],[HORA]]-C33)*24)</f>
        <v>1.6999999999999993</v>
      </c>
      <c r="E34" s="239" t="s">
        <v>47</v>
      </c>
      <c r="F34" s="240" t="s">
        <v>48</v>
      </c>
      <c r="G34" s="324"/>
      <c r="H34" s="306"/>
      <c r="I34" s="33">
        <f>IF(ISERROR(V054_20[[#This Row],[DISTANCIA POR CARTA]]/V054_20[[#This Row],[TIEMPO DE NAVEGACION]]),0,V054_20[[#This Row],[DISTANCIA POR CARTA]]/V054_20[[#This Row],[TIEMPO DE NAVEGACION]])</f>
        <v>0</v>
      </c>
      <c r="J34" s="242"/>
      <c r="K34" s="325"/>
      <c r="L34" s="245">
        <v>0.14166666666666661</v>
      </c>
      <c r="M34" s="246">
        <v>0.17708333333333326</v>
      </c>
      <c r="N34" s="246">
        <v>0.14166666666666661</v>
      </c>
      <c r="O34" s="418">
        <f>SUM(V054_20[[#This Row],[MPAL]:[CALDERA]])</f>
        <v>0.46041666666666647</v>
      </c>
      <c r="P34" s="319"/>
      <c r="Q34" s="270">
        <f>(Q33-V054_20[[#This Row],[TOTAL ]])+V054_20[[#This Row],[FAENA]]</f>
        <v>792.50500000000022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37">
        <f>SUM(V054_20[[#This Row],[MPAL2]:[GI]])</f>
        <v>0</v>
      </c>
      <c r="X34" s="246"/>
      <c r="Y34" s="300">
        <f>(Y33-V054_20[[#This Row],[TOTAL]])+V054_20[[#This Row],[FAENA2]]</f>
        <v>47.6</v>
      </c>
      <c r="Z34" s="245"/>
      <c r="AA34" s="246"/>
      <c r="AB34" s="301">
        <f>(AB33-V054_20[[#This Row],[CYLINDER MP]])+V054_20[[#This Row],[FAENA EN LTS]]</f>
        <v>100</v>
      </c>
      <c r="AC34" s="246"/>
      <c r="AD34" s="246"/>
      <c r="AE34" s="301">
        <f>(AE33-V054_20[[#This Row],[CARTER MP.]])+V054_20[[#This Row],[FAENA EN LTS2]]</f>
        <v>100</v>
      </c>
      <c r="AF34" s="246"/>
      <c r="AG34" s="246"/>
      <c r="AH34" s="301">
        <f>(AH33-V054_20[[#This Row],[MOT AUX]])+V054_20[[#This Row],[FAENA EN  LTS]]</f>
        <v>100</v>
      </c>
      <c r="AI34" s="246"/>
      <c r="AJ34" s="246"/>
      <c r="AK34" s="302">
        <f>(AK33-V054_20[[#This Row],[HIDRAULICO]])+V054_20[[#This Row],[FAENA EN LTS3]]</f>
        <v>100</v>
      </c>
    </row>
    <row r="35" spans="1:37" x14ac:dyDescent="0.25">
      <c r="A35" s="235" t="s">
        <v>63</v>
      </c>
      <c r="B35" s="236">
        <v>43874</v>
      </c>
      <c r="C35" s="237">
        <v>0.79583333333333339</v>
      </c>
      <c r="D35" s="42">
        <f>IF(V054_20[[#This Row],[FECHA]]-B34=1,((V054_20[[#This Row],[HORA]]-C34)*24)+24,(V054_20[[#This Row],[HORA]]-C34)*24)</f>
        <v>5.1000000000000005</v>
      </c>
      <c r="E35" s="239" t="s">
        <v>49</v>
      </c>
      <c r="F35" s="240" t="s">
        <v>50</v>
      </c>
      <c r="G35" s="324"/>
      <c r="H35" s="306"/>
      <c r="I35" s="33">
        <f>IF(ISERROR(V054_20[[#This Row],[DISTANCIA POR CARTA]]/V054_20[[#This Row],[TIEMPO DE NAVEGACION]]),0,V054_20[[#This Row],[DISTANCIA POR CARTA]]/V054_20[[#This Row],[TIEMPO DE NAVEGACION]])</f>
        <v>0</v>
      </c>
      <c r="J35" s="242"/>
      <c r="K35" s="325"/>
      <c r="L35" s="245">
        <v>0</v>
      </c>
      <c r="M35" s="246">
        <v>0.53125000000000011</v>
      </c>
      <c r="N35" s="246">
        <v>0.42500000000000004</v>
      </c>
      <c r="O35" s="418">
        <f>SUM(V054_20[[#This Row],[MPAL]:[CALDERA]])</f>
        <v>0.95625000000000016</v>
      </c>
      <c r="P35" s="319"/>
      <c r="Q35" s="270">
        <f>(Q34-V054_20[[#This Row],[TOTAL ]])+V054_20[[#This Row],[FAENA]]</f>
        <v>791.54875000000027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37">
        <f>SUM(V054_20[[#This Row],[MPAL2]:[GI]])</f>
        <v>0</v>
      </c>
      <c r="X35" s="246"/>
      <c r="Y35" s="300">
        <f>(Y34-V054_20[[#This Row],[TOTAL]])+V054_20[[#This Row],[FAENA2]]</f>
        <v>47.6</v>
      </c>
      <c r="Z35" s="245"/>
      <c r="AA35" s="246"/>
      <c r="AB35" s="301">
        <f>(AB34-V054_20[[#This Row],[CYLINDER MP]])+V054_20[[#This Row],[FAENA EN LTS]]</f>
        <v>100</v>
      </c>
      <c r="AC35" s="246"/>
      <c r="AD35" s="246"/>
      <c r="AE35" s="301">
        <f>(AE34-V054_20[[#This Row],[CARTER MP.]])+V054_20[[#This Row],[FAENA EN LTS2]]</f>
        <v>100</v>
      </c>
      <c r="AF35" s="246"/>
      <c r="AG35" s="246"/>
      <c r="AH35" s="301">
        <f>(AH34-V054_20[[#This Row],[MOT AUX]])+V054_20[[#This Row],[FAENA EN  LTS]]</f>
        <v>100</v>
      </c>
      <c r="AI35" s="246"/>
      <c r="AJ35" s="246"/>
      <c r="AK35" s="302">
        <f>(AK34-V054_20[[#This Row],[HIDRAULICO]])+V054_20[[#This Row],[FAENA EN LTS3]]</f>
        <v>100</v>
      </c>
    </row>
    <row r="36" spans="1:37" x14ac:dyDescent="0.25">
      <c r="A36" s="235" t="s">
        <v>63</v>
      </c>
      <c r="B36" s="236">
        <v>43875</v>
      </c>
      <c r="C36" s="237">
        <v>0.33333333333333331</v>
      </c>
      <c r="D36" s="42">
        <f>IF(V054_20[[#This Row],[FECHA]]-B35=1,((V054_20[[#This Row],[HORA]]-C35)*24)+24,(V054_20[[#This Row],[HORA]]-C35)*24)</f>
        <v>12.899999999999999</v>
      </c>
      <c r="E36" s="239" t="s">
        <v>51</v>
      </c>
      <c r="F36" s="240" t="s">
        <v>51</v>
      </c>
      <c r="G36" s="324"/>
      <c r="H36" s="306"/>
      <c r="I36" s="33">
        <f>IF(ISERROR(V054_20[[#This Row],[DISTANCIA POR CARTA]]/V054_20[[#This Row],[TIEMPO DE NAVEGACION]]),0,V054_20[[#This Row],[DISTANCIA POR CARTA]]/V054_20[[#This Row],[TIEMPO DE NAVEGACION]])</f>
        <v>0</v>
      </c>
      <c r="J36" s="242"/>
      <c r="K36" s="325"/>
      <c r="L36" s="245">
        <v>0</v>
      </c>
      <c r="M36" s="246">
        <v>1.34375</v>
      </c>
      <c r="N36" s="246">
        <v>1.0749999999999997</v>
      </c>
      <c r="O36" s="418">
        <f>SUM(V054_20[[#This Row],[MPAL]:[CALDERA]])</f>
        <v>2.4187499999999997</v>
      </c>
      <c r="P36" s="319"/>
      <c r="Q36" s="270">
        <f>(Q35-V054_20[[#This Row],[TOTAL ]])+V054_20[[#This Row],[FAENA]]</f>
        <v>789.13000000000022</v>
      </c>
      <c r="R36" s="245">
        <v>0</v>
      </c>
      <c r="S36" s="246">
        <v>0</v>
      </c>
      <c r="T36" s="246">
        <v>0</v>
      </c>
      <c r="U36" s="246">
        <v>0</v>
      </c>
      <c r="V36" s="246">
        <v>3.2</v>
      </c>
      <c r="W36" s="37">
        <f>SUM(V054_20[[#This Row],[MPAL2]:[GI]])</f>
        <v>3.2</v>
      </c>
      <c r="X36" s="246"/>
      <c r="Y36" s="300">
        <f>(Y35-V054_20[[#This Row],[TOTAL]])+V054_20[[#This Row],[FAENA2]]</f>
        <v>44.4</v>
      </c>
      <c r="Z36" s="245"/>
      <c r="AA36" s="246"/>
      <c r="AB36" s="301">
        <f>(AB35-V054_20[[#This Row],[CYLINDER MP]])+V054_20[[#This Row],[FAENA EN LTS]]</f>
        <v>100</v>
      </c>
      <c r="AC36" s="246"/>
      <c r="AD36" s="246"/>
      <c r="AE36" s="301">
        <f>(AE35-V054_20[[#This Row],[CARTER MP.]])+V054_20[[#This Row],[FAENA EN LTS2]]</f>
        <v>100</v>
      </c>
      <c r="AF36" s="246"/>
      <c r="AG36" s="246"/>
      <c r="AH36" s="301">
        <f>(AH35-V054_20[[#This Row],[MOT AUX]])+V054_20[[#This Row],[FAENA EN  LTS]]</f>
        <v>100</v>
      </c>
      <c r="AI36" s="246"/>
      <c r="AJ36" s="246"/>
      <c r="AK36" s="302">
        <f>(AK35-V054_20[[#This Row],[HIDRAULICO]])+V054_20[[#This Row],[FAENA EN LTS3]]</f>
        <v>100</v>
      </c>
    </row>
    <row r="37" spans="1:37" x14ac:dyDescent="0.25">
      <c r="A37" s="235" t="s">
        <v>63</v>
      </c>
      <c r="B37" s="236">
        <v>43875</v>
      </c>
      <c r="C37" s="237">
        <v>0.65</v>
      </c>
      <c r="D37" s="42">
        <f>IF(V054_20[[#This Row],[FECHA]]-B36=1,((V054_20[[#This Row],[HORA]]-C36)*24)+24,(V054_20[[#This Row],[HORA]]-C36)*24)</f>
        <v>7.6000000000000014</v>
      </c>
      <c r="E37" s="239" t="s">
        <v>51</v>
      </c>
      <c r="F37" s="240" t="s">
        <v>52</v>
      </c>
      <c r="G37" s="324"/>
      <c r="H37" s="306"/>
      <c r="I37" s="33">
        <f>IF(ISERROR(V054_20[[#This Row],[DISTANCIA POR CARTA]]/V054_20[[#This Row],[TIEMPO DE NAVEGACION]]),0,V054_20[[#This Row],[DISTANCIA POR CARTA]]/V054_20[[#This Row],[TIEMPO DE NAVEGACION]])</f>
        <v>0</v>
      </c>
      <c r="J37" s="242"/>
      <c r="K37" s="325"/>
      <c r="L37" s="245">
        <v>0</v>
      </c>
      <c r="M37" s="246">
        <v>0.79166666666666685</v>
      </c>
      <c r="N37" s="246">
        <v>0.63333333333333341</v>
      </c>
      <c r="O37" s="418">
        <f>SUM(V054_20[[#This Row],[MPAL]:[CALDERA]])</f>
        <v>1.4250000000000003</v>
      </c>
      <c r="P37" s="319"/>
      <c r="Q37" s="270">
        <f>(Q36-V054_20[[#This Row],[TOTAL ]])+V054_20[[#This Row],[FAENA]]</f>
        <v>787.70500000000027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1.9</v>
      </c>
      <c r="W37" s="37">
        <f>SUM(V054_20[[#This Row],[MPAL2]:[GI]])</f>
        <v>1.9</v>
      </c>
      <c r="X37" s="246"/>
      <c r="Y37" s="300">
        <f>(Y36-V054_20[[#This Row],[TOTAL]])+V054_20[[#This Row],[FAENA2]]</f>
        <v>42.5</v>
      </c>
      <c r="Z37" s="245"/>
      <c r="AA37" s="246"/>
      <c r="AB37" s="301">
        <f>(AB36-V054_20[[#This Row],[CYLINDER MP]])+V054_20[[#This Row],[FAENA EN LTS]]</f>
        <v>100</v>
      </c>
      <c r="AC37" s="246"/>
      <c r="AD37" s="246"/>
      <c r="AE37" s="301">
        <f>(AE36-V054_20[[#This Row],[CARTER MP.]])+V054_20[[#This Row],[FAENA EN LTS2]]</f>
        <v>100</v>
      </c>
      <c r="AF37" s="246"/>
      <c r="AG37" s="246"/>
      <c r="AH37" s="301">
        <f>(AH36-V054_20[[#This Row],[MOT AUX]])+V054_20[[#This Row],[FAENA EN  LTS]]</f>
        <v>100</v>
      </c>
      <c r="AI37" s="246"/>
      <c r="AJ37" s="246"/>
      <c r="AK37" s="302">
        <f>(AK36-V054_20[[#This Row],[HIDRAULICO]])+V054_20[[#This Row],[FAENA EN LTS3]]</f>
        <v>100</v>
      </c>
    </row>
    <row r="38" spans="1:37" x14ac:dyDescent="0.25">
      <c r="A38" s="235" t="s">
        <v>63</v>
      </c>
      <c r="B38" s="236">
        <v>43875</v>
      </c>
      <c r="C38" s="237">
        <v>0.77916666666666667</v>
      </c>
      <c r="D38" s="42">
        <f>IF(V054_20[[#This Row],[FECHA]]-B37=1,((V054_20[[#This Row],[HORA]]-C37)*24)+24,(V054_20[[#This Row],[HORA]]-C37)*24)</f>
        <v>3.0999999999999996</v>
      </c>
      <c r="E38" s="239" t="s">
        <v>49</v>
      </c>
      <c r="F38" s="240" t="s">
        <v>46</v>
      </c>
      <c r="G38" s="324"/>
      <c r="H38" s="306"/>
      <c r="I38" s="33">
        <f>IF(ISERROR(V054_20[[#This Row],[DISTANCIA POR CARTA]]/V054_20[[#This Row],[TIEMPO DE NAVEGACION]]),0,V054_20[[#This Row],[DISTANCIA POR CARTA]]/V054_20[[#This Row],[TIEMPO DE NAVEGACION]])</f>
        <v>0</v>
      </c>
      <c r="J38" s="242" t="s">
        <v>81</v>
      </c>
      <c r="K38" s="325">
        <v>95</v>
      </c>
      <c r="L38" s="245">
        <v>0</v>
      </c>
      <c r="M38" s="246">
        <v>0.32291666666666663</v>
      </c>
      <c r="N38" s="246">
        <v>0.23</v>
      </c>
      <c r="O38" s="418">
        <f>SUM(V054_20[[#This Row],[MPAL]:[CALDERA]])</f>
        <v>0.55291666666666661</v>
      </c>
      <c r="P38" s="319"/>
      <c r="Q38" s="270">
        <f>(Q37-V054_20[[#This Row],[TOTAL ]])+V054_20[[#This Row],[FAENA]]</f>
        <v>787.15208333333362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37">
        <f>SUM(V054_20[[#This Row],[MPAL2]:[GI]])</f>
        <v>0</v>
      </c>
      <c r="X38" s="246"/>
      <c r="Y38" s="300">
        <f>(Y37-V054_20[[#This Row],[TOTAL]])+V054_20[[#This Row],[FAENA2]]</f>
        <v>42.5</v>
      </c>
      <c r="Z38" s="245"/>
      <c r="AA38" s="246"/>
      <c r="AB38" s="301">
        <f>(AB37-V054_20[[#This Row],[CYLINDER MP]])+V054_20[[#This Row],[FAENA EN LTS]]</f>
        <v>100</v>
      </c>
      <c r="AC38" s="246"/>
      <c r="AD38" s="246"/>
      <c r="AE38" s="301">
        <f>(AE37-V054_20[[#This Row],[CARTER MP.]])+V054_20[[#This Row],[FAENA EN LTS2]]</f>
        <v>100</v>
      </c>
      <c r="AF38" s="246"/>
      <c r="AG38" s="246"/>
      <c r="AH38" s="301">
        <f>(AH37-V054_20[[#This Row],[MOT AUX]])+V054_20[[#This Row],[FAENA EN  LTS]]</f>
        <v>100</v>
      </c>
      <c r="AI38" s="246"/>
      <c r="AJ38" s="246"/>
      <c r="AK38" s="302">
        <f>(AK37-V054_20[[#This Row],[HIDRAULICO]])+V054_20[[#This Row],[FAENA EN LTS3]]</f>
        <v>100</v>
      </c>
    </row>
    <row r="39" spans="1:37" x14ac:dyDescent="0.25">
      <c r="A39" s="235" t="s">
        <v>63</v>
      </c>
      <c r="B39" s="236">
        <v>43875</v>
      </c>
      <c r="C39" s="237">
        <v>0.8041666666666667</v>
      </c>
      <c r="D39" s="42">
        <f>IF(V054_20[[#This Row],[FECHA]]-B38=1,((V054_20[[#This Row],[HORA]]-C38)*24)+24,(V054_20[[#This Row],[HORA]]-C38)*24)</f>
        <v>0.60000000000000053</v>
      </c>
      <c r="E39" s="239" t="s">
        <v>47</v>
      </c>
      <c r="F39" s="240" t="s">
        <v>53</v>
      </c>
      <c r="G39" s="324"/>
      <c r="H39" s="306"/>
      <c r="I39" s="33">
        <f>IF(ISERROR(V054_20[[#This Row],[DISTANCIA POR CARTA]]/V054_20[[#This Row],[TIEMPO DE NAVEGACION]]),0,V054_20[[#This Row],[DISTANCIA POR CARTA]]/V054_20[[#This Row],[TIEMPO DE NAVEGACION]])</f>
        <v>0</v>
      </c>
      <c r="J39" s="242" t="s">
        <v>81</v>
      </c>
      <c r="K39" s="325">
        <v>95</v>
      </c>
      <c r="L39" s="245">
        <v>0.12500000000000011</v>
      </c>
      <c r="M39" s="246">
        <v>6.2500000000000056E-2</v>
      </c>
      <c r="N39" s="246">
        <v>5.0000000000000044E-2</v>
      </c>
      <c r="O39" s="418">
        <f>SUM(V054_20[[#This Row],[MPAL]:[CALDERA]])</f>
        <v>0.23750000000000021</v>
      </c>
      <c r="P39" s="319"/>
      <c r="Q39" s="270">
        <f>(Q38-V054_20[[#This Row],[TOTAL ]])+V054_20[[#This Row],[FAENA]]</f>
        <v>786.91458333333367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37">
        <f>SUM(V054_20[[#This Row],[MPAL2]:[GI]])</f>
        <v>0</v>
      </c>
      <c r="X39" s="246"/>
      <c r="Y39" s="300">
        <f>(Y38-V054_20[[#This Row],[TOTAL]])+V054_20[[#This Row],[FAENA2]]</f>
        <v>42.5</v>
      </c>
      <c r="Z39" s="245"/>
      <c r="AA39" s="246"/>
      <c r="AB39" s="301">
        <f>(AB38-V054_20[[#This Row],[CYLINDER MP]])+V054_20[[#This Row],[FAENA EN LTS]]</f>
        <v>100</v>
      </c>
      <c r="AC39" s="246"/>
      <c r="AD39" s="246"/>
      <c r="AE39" s="301">
        <f>(AE38-V054_20[[#This Row],[CARTER MP.]])+V054_20[[#This Row],[FAENA EN LTS2]]</f>
        <v>100</v>
      </c>
      <c r="AF39" s="246"/>
      <c r="AG39" s="246"/>
      <c r="AH39" s="301">
        <f>(AH38-V054_20[[#This Row],[MOT AUX]])+V054_20[[#This Row],[FAENA EN  LTS]]</f>
        <v>100</v>
      </c>
      <c r="AI39" s="246"/>
      <c r="AJ39" s="246"/>
      <c r="AK39" s="302">
        <f>(AK38-V054_20[[#This Row],[HIDRAULICO]])+V054_20[[#This Row],[FAENA EN LTS3]]</f>
        <v>100</v>
      </c>
    </row>
    <row r="40" spans="1:37" x14ac:dyDescent="0.25">
      <c r="A40" s="235" t="s">
        <v>63</v>
      </c>
      <c r="B40" s="236">
        <v>43876</v>
      </c>
      <c r="C40" s="237">
        <v>0.16666666666666666</v>
      </c>
      <c r="D40" s="42">
        <f>IF(V054_20[[#This Row],[FECHA]]-B39=1,((V054_20[[#This Row],[HORA]]-C39)*24)+24,(V054_20[[#This Row],[HORA]]-C39)*24)</f>
        <v>8.6999999999999993</v>
      </c>
      <c r="E40" s="239" t="s">
        <v>55</v>
      </c>
      <c r="F40" s="240" t="s">
        <v>57</v>
      </c>
      <c r="G40" s="324">
        <v>96</v>
      </c>
      <c r="H40" s="306">
        <v>9.3000000000000007</v>
      </c>
      <c r="I40" s="33">
        <f>IF(ISERROR(V054_20[[#This Row],[DISTANCIA POR CARTA]]/V054_20[[#This Row],[TIEMPO DE NAVEGACION]]),0,V054_20[[#This Row],[DISTANCIA POR CARTA]]/V054_20[[#This Row],[TIEMPO DE NAVEGACION]])</f>
        <v>10.32258064516129</v>
      </c>
      <c r="J40" s="242" t="s">
        <v>81</v>
      </c>
      <c r="K40" s="325">
        <v>95</v>
      </c>
      <c r="L40" s="245">
        <v>7.25</v>
      </c>
      <c r="M40" s="246">
        <v>0.90625</v>
      </c>
      <c r="N40" s="246">
        <v>0</v>
      </c>
      <c r="O40" s="418">
        <f>SUM(V054_20[[#This Row],[MPAL]:[CALDERA]])</f>
        <v>8.15625</v>
      </c>
      <c r="P40" s="319"/>
      <c r="Q40" s="270">
        <f>(Q39-V054_20[[#This Row],[TOTAL ]])+V054_20[[#This Row],[FAENA]]</f>
        <v>778.75833333333367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37">
        <f>SUM(V054_20[[#This Row],[MPAL2]:[GI]])</f>
        <v>0</v>
      </c>
      <c r="X40" s="246"/>
      <c r="Y40" s="300">
        <f>(Y39-V054_20[[#This Row],[TOTAL]])+V054_20[[#This Row],[FAENA2]]</f>
        <v>42.5</v>
      </c>
      <c r="Z40" s="245"/>
      <c r="AA40" s="246"/>
      <c r="AB40" s="301">
        <f>(AB39-V054_20[[#This Row],[CYLINDER MP]])+V054_20[[#This Row],[FAENA EN LTS]]</f>
        <v>100</v>
      </c>
      <c r="AC40" s="246"/>
      <c r="AD40" s="246"/>
      <c r="AE40" s="301">
        <f>(AE39-V054_20[[#This Row],[CARTER MP.]])+V054_20[[#This Row],[FAENA EN LTS2]]</f>
        <v>100</v>
      </c>
      <c r="AF40" s="246"/>
      <c r="AG40" s="246"/>
      <c r="AH40" s="301">
        <f>(AH39-V054_20[[#This Row],[MOT AUX]])+V054_20[[#This Row],[FAENA EN  LTS]]</f>
        <v>100</v>
      </c>
      <c r="AI40" s="246"/>
      <c r="AJ40" s="246"/>
      <c r="AK40" s="302">
        <f>(AK39-V054_20[[#This Row],[HIDRAULICO]])+V054_20[[#This Row],[FAENA EN LTS3]]</f>
        <v>100</v>
      </c>
    </row>
    <row r="41" spans="1:37" x14ac:dyDescent="0.25">
      <c r="A41" s="235" t="s">
        <v>63</v>
      </c>
      <c r="B41" s="236">
        <v>43876</v>
      </c>
      <c r="C41" s="237">
        <v>0.3</v>
      </c>
      <c r="D41" s="42">
        <f>IF(V054_20[[#This Row],[FECHA]]-B40=1,((V054_20[[#This Row],[HORA]]-C40)*24)+24,(V054_20[[#This Row],[HORA]]-C40)*24)</f>
        <v>3.2</v>
      </c>
      <c r="E41" s="239" t="s">
        <v>47</v>
      </c>
      <c r="F41" s="240" t="s">
        <v>48</v>
      </c>
      <c r="G41" s="324"/>
      <c r="H41" s="306"/>
      <c r="I41" s="33">
        <f>IF(ISERROR(V054_20[[#This Row],[DISTANCIA POR CARTA]]/V054_20[[#This Row],[TIEMPO DE NAVEGACION]]),0,V054_20[[#This Row],[DISTANCIA POR CARTA]]/V054_20[[#This Row],[TIEMPO DE NAVEGACION]])</f>
        <v>0</v>
      </c>
      <c r="J41" s="242"/>
      <c r="K41" s="325"/>
      <c r="L41" s="245">
        <v>0.13333333333333333</v>
      </c>
      <c r="M41" s="246">
        <v>0.33333333333333337</v>
      </c>
      <c r="N41" s="246">
        <v>0.26666666666666666</v>
      </c>
      <c r="O41" s="418">
        <f>SUM(V054_20[[#This Row],[MPAL]:[CALDERA]])</f>
        <v>0.73333333333333339</v>
      </c>
      <c r="P41" s="319"/>
      <c r="Q41" s="270">
        <f>(Q40-V054_20[[#This Row],[TOTAL ]])+V054_20[[#This Row],[FAENA]]</f>
        <v>778.02500000000032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37">
        <f>SUM(V054_20[[#This Row],[MPAL2]:[GI]])</f>
        <v>0</v>
      </c>
      <c r="X41" s="246"/>
      <c r="Y41" s="300">
        <f>(Y40-V054_20[[#This Row],[TOTAL]])+V054_20[[#This Row],[FAENA2]]</f>
        <v>42.5</v>
      </c>
      <c r="Z41" s="245"/>
      <c r="AA41" s="246"/>
      <c r="AB41" s="301">
        <f>(AB40-V054_20[[#This Row],[CYLINDER MP]])+V054_20[[#This Row],[FAENA EN LTS]]</f>
        <v>100</v>
      </c>
      <c r="AC41" s="246"/>
      <c r="AD41" s="246"/>
      <c r="AE41" s="301">
        <f>(AE40-V054_20[[#This Row],[CARTER MP.]])+V054_20[[#This Row],[FAENA EN LTS2]]</f>
        <v>100</v>
      </c>
      <c r="AF41" s="246"/>
      <c r="AG41" s="246"/>
      <c r="AH41" s="301">
        <f>(AH40-V054_20[[#This Row],[MOT AUX]])+V054_20[[#This Row],[FAENA EN  LTS]]</f>
        <v>100</v>
      </c>
      <c r="AI41" s="246"/>
      <c r="AJ41" s="246"/>
      <c r="AK41" s="302">
        <f>(AK40-V054_20[[#This Row],[HIDRAULICO]])+V054_20[[#This Row],[FAENA EN LTS3]]</f>
        <v>100</v>
      </c>
    </row>
    <row r="42" spans="1:37" x14ac:dyDescent="0.25">
      <c r="A42" s="235" t="s">
        <v>63</v>
      </c>
      <c r="B42" s="236">
        <v>43876</v>
      </c>
      <c r="C42" s="237">
        <v>0.33333333333333331</v>
      </c>
      <c r="D42" s="42">
        <f>IF(V054_20[[#This Row],[FECHA]]-B41=1,((V054_20[[#This Row],[HORA]]-C41)*24)+24,(V054_20[[#This Row],[HORA]]-C41)*24)</f>
        <v>0.79999999999999982</v>
      </c>
      <c r="E42" s="239" t="s">
        <v>49</v>
      </c>
      <c r="F42" s="240" t="s">
        <v>59</v>
      </c>
      <c r="G42" s="324"/>
      <c r="H42" s="306"/>
      <c r="I42" s="33">
        <f>IF(ISERROR(V054_20[[#This Row],[DISTANCIA POR CARTA]]/V054_20[[#This Row],[TIEMPO DE NAVEGACION]]),0,V054_20[[#This Row],[DISTANCIA POR CARTA]]/V054_20[[#This Row],[TIEMPO DE NAVEGACION]])</f>
        <v>0</v>
      </c>
      <c r="J42" s="242"/>
      <c r="K42" s="325"/>
      <c r="L42" s="245">
        <v>0</v>
      </c>
      <c r="M42" s="246">
        <v>8.3333333333333315E-2</v>
      </c>
      <c r="N42" s="246">
        <v>6.6666666666666652E-2</v>
      </c>
      <c r="O42" s="418">
        <f>SUM(V054_20[[#This Row],[MPAL]:[CALDERA]])</f>
        <v>0.14999999999999997</v>
      </c>
      <c r="P42" s="319"/>
      <c r="Q42" s="270">
        <f>(Q41-V054_20[[#This Row],[TOTAL ]])+V054_20[[#This Row],[FAENA]]</f>
        <v>777.87500000000034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37">
        <f>SUM(V054_20[[#This Row],[MPAL2]:[GI]])</f>
        <v>0</v>
      </c>
      <c r="X42" s="246"/>
      <c r="Y42" s="300">
        <f>(Y41-V054_20[[#This Row],[TOTAL]])+V054_20[[#This Row],[FAENA2]]</f>
        <v>42.5</v>
      </c>
      <c r="Z42" s="245"/>
      <c r="AA42" s="246"/>
      <c r="AB42" s="301">
        <f>(AB41-V054_20[[#This Row],[CYLINDER MP]])+V054_20[[#This Row],[FAENA EN LTS]]</f>
        <v>100</v>
      </c>
      <c r="AC42" s="246"/>
      <c r="AD42" s="246"/>
      <c r="AE42" s="301">
        <f>(AE41-V054_20[[#This Row],[CARTER MP.]])+V054_20[[#This Row],[FAENA EN LTS2]]</f>
        <v>100</v>
      </c>
      <c r="AF42" s="246"/>
      <c r="AG42" s="246"/>
      <c r="AH42" s="301">
        <f>(AH41-V054_20[[#This Row],[MOT AUX]])+V054_20[[#This Row],[FAENA EN  LTS]]</f>
        <v>100</v>
      </c>
      <c r="AI42" s="246"/>
      <c r="AJ42" s="246"/>
      <c r="AK42" s="302">
        <f>(AK41-V054_20[[#This Row],[HIDRAULICO]])+V054_20[[#This Row],[FAENA EN LTS3]]</f>
        <v>100</v>
      </c>
    </row>
    <row r="43" spans="1:37" x14ac:dyDescent="0.25">
      <c r="A43" s="235" t="s">
        <v>63</v>
      </c>
      <c r="B43" s="236">
        <v>43876</v>
      </c>
      <c r="C43" s="237">
        <v>0.41250000000000003</v>
      </c>
      <c r="D43" s="42">
        <f>IF(V054_20[[#This Row],[FECHA]]-B42=1,((V054_20[[#This Row],[HORA]]-C42)*24)+24,(V054_20[[#This Row],[HORA]]-C42)*24)</f>
        <v>1.9000000000000012</v>
      </c>
      <c r="E43" s="239" t="s">
        <v>49</v>
      </c>
      <c r="F43" s="240" t="s">
        <v>50</v>
      </c>
      <c r="G43" s="324"/>
      <c r="H43" s="306"/>
      <c r="I43" s="33">
        <f>IF(ISERROR(V054_20[[#This Row],[DISTANCIA POR CARTA]]/V054_20[[#This Row],[TIEMPO DE NAVEGACION]]),0,V054_20[[#This Row],[DISTANCIA POR CARTA]]/V054_20[[#This Row],[TIEMPO DE NAVEGACION]])</f>
        <v>0</v>
      </c>
      <c r="J43" s="242"/>
      <c r="K43" s="325"/>
      <c r="L43" s="245">
        <v>0</v>
      </c>
      <c r="M43" s="246">
        <v>0.1979166666666668</v>
      </c>
      <c r="N43" s="246">
        <v>0.22</v>
      </c>
      <c r="O43" s="418">
        <f>SUM(V054_20[[#This Row],[MPAL]:[CALDERA]])</f>
        <v>0.41791666666666683</v>
      </c>
      <c r="P43" s="319"/>
      <c r="Q43" s="270">
        <f>(Q42-V054_20[[#This Row],[TOTAL ]])+V054_20[[#This Row],[FAENA]]</f>
        <v>777.45708333333369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37">
        <f>SUM(V054_20[[#This Row],[MPAL2]:[GI]])</f>
        <v>0</v>
      </c>
      <c r="X43" s="246"/>
      <c r="Y43" s="300">
        <f>(Y42-V054_20[[#This Row],[TOTAL]])+V054_20[[#This Row],[FAENA2]]</f>
        <v>42.5</v>
      </c>
      <c r="Z43" s="245"/>
      <c r="AA43" s="246"/>
      <c r="AB43" s="301">
        <f>(AB42-V054_20[[#This Row],[CYLINDER MP]])+V054_20[[#This Row],[FAENA EN LTS]]</f>
        <v>100</v>
      </c>
      <c r="AC43" s="246"/>
      <c r="AD43" s="246"/>
      <c r="AE43" s="301">
        <f>(AE42-V054_20[[#This Row],[CARTER MP.]])+V054_20[[#This Row],[FAENA EN LTS2]]</f>
        <v>100</v>
      </c>
      <c r="AF43" s="246"/>
      <c r="AG43" s="246"/>
      <c r="AH43" s="301">
        <f>(AH42-V054_20[[#This Row],[MOT AUX]])+V054_20[[#This Row],[FAENA EN  LTS]]</f>
        <v>100</v>
      </c>
      <c r="AI43" s="246"/>
      <c r="AJ43" s="246"/>
      <c r="AK43" s="302">
        <f>(AK42-V054_20[[#This Row],[HIDRAULICO]])+V054_20[[#This Row],[FAENA EN LTS3]]</f>
        <v>100</v>
      </c>
    </row>
    <row r="44" spans="1:37" x14ac:dyDescent="0.25">
      <c r="A44" s="235" t="s">
        <v>63</v>
      </c>
      <c r="B44" s="236">
        <v>43876</v>
      </c>
      <c r="C44" s="237">
        <v>0.9458333333333333</v>
      </c>
      <c r="D44" s="42">
        <f>IF(V054_20[[#This Row],[FECHA]]-B43=1,((V054_20[[#This Row],[HORA]]-C43)*24)+24,(V054_20[[#This Row],[HORA]]-C43)*24)</f>
        <v>12.799999999999997</v>
      </c>
      <c r="E44" s="239" t="s">
        <v>51</v>
      </c>
      <c r="F44" s="240" t="s">
        <v>52</v>
      </c>
      <c r="G44" s="324"/>
      <c r="H44" s="306"/>
      <c r="I44" s="33">
        <f>IF(ISERROR(V054_20[[#This Row],[DISTANCIA POR CARTA]]/V054_20[[#This Row],[TIEMPO DE NAVEGACION]]),0,V054_20[[#This Row],[DISTANCIA POR CARTA]]/V054_20[[#This Row],[TIEMPO DE NAVEGACION]])</f>
        <v>0</v>
      </c>
      <c r="J44" s="242"/>
      <c r="K44" s="325"/>
      <c r="L44" s="245">
        <v>0</v>
      </c>
      <c r="M44" s="246">
        <v>1.333333333333333</v>
      </c>
      <c r="N44" s="246">
        <v>1.0666666666666664</v>
      </c>
      <c r="O44" s="418">
        <f>SUM(V054_20[[#This Row],[MPAL]:[CALDERA]])</f>
        <v>2.3999999999999995</v>
      </c>
      <c r="P44" s="319"/>
      <c r="Q44" s="270">
        <f>(Q43-V054_20[[#This Row],[TOTAL ]])+V054_20[[#This Row],[FAENA]]</f>
        <v>775.05708333333371</v>
      </c>
      <c r="R44" s="245">
        <v>0</v>
      </c>
      <c r="S44" s="246">
        <v>0</v>
      </c>
      <c r="T44" s="246">
        <v>0</v>
      </c>
      <c r="U44" s="246">
        <v>0</v>
      </c>
      <c r="V44" s="246">
        <v>3.2</v>
      </c>
      <c r="W44" s="37">
        <f>SUM(V054_20[[#This Row],[MPAL2]:[GI]])</f>
        <v>3.2</v>
      </c>
      <c r="X44" s="246"/>
      <c r="Y44" s="300">
        <f>(Y43-V054_20[[#This Row],[TOTAL]])+V054_20[[#This Row],[FAENA2]]</f>
        <v>39.299999999999997</v>
      </c>
      <c r="Z44" s="245"/>
      <c r="AA44" s="246"/>
      <c r="AB44" s="301">
        <f>(AB43-V054_20[[#This Row],[CYLINDER MP]])+V054_20[[#This Row],[FAENA EN LTS]]</f>
        <v>100</v>
      </c>
      <c r="AC44" s="246"/>
      <c r="AD44" s="246"/>
      <c r="AE44" s="301">
        <f>(AE43-V054_20[[#This Row],[CARTER MP.]])+V054_20[[#This Row],[FAENA EN LTS2]]</f>
        <v>100</v>
      </c>
      <c r="AF44" s="246"/>
      <c r="AG44" s="246"/>
      <c r="AH44" s="301">
        <f>(AH43-V054_20[[#This Row],[MOT AUX]])+V054_20[[#This Row],[FAENA EN  LTS]]</f>
        <v>100</v>
      </c>
      <c r="AI44" s="246"/>
      <c r="AJ44" s="246"/>
      <c r="AK44" s="302">
        <f>(AK43-V054_20[[#This Row],[HIDRAULICO]])+V054_20[[#This Row],[FAENA EN LTS3]]</f>
        <v>100</v>
      </c>
    </row>
    <row r="45" spans="1:37" x14ac:dyDescent="0.25">
      <c r="A45" s="235" t="s">
        <v>63</v>
      </c>
      <c r="B45" s="236">
        <v>43877</v>
      </c>
      <c r="C45" s="237">
        <v>7.4999999999999997E-2</v>
      </c>
      <c r="D45" s="42">
        <f>IF(V054_20[[#This Row],[FECHA]]-B44=1,((V054_20[[#This Row],[HORA]]-C44)*24)+24,(V054_20[[#This Row],[HORA]]-C44)*24)</f>
        <v>3.1000000000000014</v>
      </c>
      <c r="E45" s="239" t="s">
        <v>49</v>
      </c>
      <c r="F45" s="240" t="s">
        <v>46</v>
      </c>
      <c r="G45" s="324"/>
      <c r="H45" s="306"/>
      <c r="I45" s="33">
        <f>IF(ISERROR(V054_20[[#This Row],[DISTANCIA POR CARTA]]/V054_20[[#This Row],[TIEMPO DE NAVEGACION]]),0,V054_20[[#This Row],[DISTANCIA POR CARTA]]/V054_20[[#This Row],[TIEMPO DE NAVEGACION]])</f>
        <v>0</v>
      </c>
      <c r="J45" s="242"/>
      <c r="K45" s="325"/>
      <c r="L45" s="245">
        <v>0</v>
      </c>
      <c r="M45" s="246">
        <v>0.32291666666666685</v>
      </c>
      <c r="N45" s="246">
        <v>0.25833333333333341</v>
      </c>
      <c r="O45" s="418">
        <f>SUM(V054_20[[#This Row],[MPAL]:[CALDERA]])</f>
        <v>0.58125000000000027</v>
      </c>
      <c r="P45" s="319"/>
      <c r="Q45" s="270">
        <f>(Q44-V054_20[[#This Row],[TOTAL ]])+V054_20[[#This Row],[FAENA]]</f>
        <v>774.47583333333375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37">
        <f>SUM(V054_20[[#This Row],[MPAL2]:[GI]])</f>
        <v>0</v>
      </c>
      <c r="X45" s="246"/>
      <c r="Y45" s="300">
        <f>(Y44-V054_20[[#This Row],[TOTAL]])+V054_20[[#This Row],[FAENA2]]</f>
        <v>39.299999999999997</v>
      </c>
      <c r="Z45" s="245"/>
      <c r="AA45" s="246"/>
      <c r="AB45" s="301">
        <f>(AB44-V054_20[[#This Row],[CYLINDER MP]])+V054_20[[#This Row],[FAENA EN LTS]]</f>
        <v>100</v>
      </c>
      <c r="AC45" s="246"/>
      <c r="AD45" s="246"/>
      <c r="AE45" s="301">
        <f>(AE44-V054_20[[#This Row],[CARTER MP.]])+V054_20[[#This Row],[FAENA EN LTS2]]</f>
        <v>100</v>
      </c>
      <c r="AF45" s="246"/>
      <c r="AG45" s="246"/>
      <c r="AH45" s="301">
        <f>(AH44-V054_20[[#This Row],[MOT AUX]])+V054_20[[#This Row],[FAENA EN  LTS]]</f>
        <v>100</v>
      </c>
      <c r="AI45" s="246"/>
      <c r="AJ45" s="246"/>
      <c r="AK45" s="302">
        <f>(AK44-V054_20[[#This Row],[HIDRAULICO]])+V054_20[[#This Row],[FAENA EN LTS3]]</f>
        <v>100</v>
      </c>
    </row>
    <row r="46" spans="1:37" x14ac:dyDescent="0.25">
      <c r="A46" s="235" t="s">
        <v>63</v>
      </c>
      <c r="B46" s="236">
        <v>43877</v>
      </c>
      <c r="C46" s="237">
        <v>0.10416666666666667</v>
      </c>
      <c r="D46" s="42">
        <f>IF(V054_20[[#This Row],[FECHA]]-B45=1,((V054_20[[#This Row],[HORA]]-C45)*24)+24,(V054_20[[#This Row],[HORA]]-C45)*24)</f>
        <v>0.70000000000000018</v>
      </c>
      <c r="E46" s="239" t="s">
        <v>47</v>
      </c>
      <c r="F46" s="240" t="s">
        <v>60</v>
      </c>
      <c r="G46" s="324"/>
      <c r="H46" s="306"/>
      <c r="I46" s="33">
        <f>IF(ISERROR(V054_20[[#This Row],[DISTANCIA POR CARTA]]/V054_20[[#This Row],[TIEMPO DE NAVEGACION]]),0,V054_20[[#This Row],[DISTANCIA POR CARTA]]/V054_20[[#This Row],[TIEMPO DE NAVEGACION]])</f>
        <v>0</v>
      </c>
      <c r="J46" s="242" t="s">
        <v>54</v>
      </c>
      <c r="K46" s="325">
        <v>95</v>
      </c>
      <c r="L46" s="245">
        <v>0.14583333333333337</v>
      </c>
      <c r="M46" s="246">
        <v>7.2916666666666685E-2</v>
      </c>
      <c r="N46" s="246">
        <v>5.8333333333333348E-2</v>
      </c>
      <c r="O46" s="418">
        <f>SUM(V054_20[[#This Row],[MPAL]:[CALDERA]])</f>
        <v>0.2770833333333334</v>
      </c>
      <c r="P46" s="319"/>
      <c r="Q46" s="270">
        <f>(Q45-V054_20[[#This Row],[TOTAL ]])+V054_20[[#This Row],[FAENA]]</f>
        <v>774.19875000000047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37">
        <f>SUM(V054_20[[#This Row],[MPAL2]:[GI]])</f>
        <v>0</v>
      </c>
      <c r="X46" s="246"/>
      <c r="Y46" s="300">
        <f>(Y45-V054_20[[#This Row],[TOTAL]])+V054_20[[#This Row],[FAENA2]]</f>
        <v>39.299999999999997</v>
      </c>
      <c r="Z46" s="245"/>
      <c r="AA46" s="246"/>
      <c r="AB46" s="301">
        <f>(AB45-V054_20[[#This Row],[CYLINDER MP]])+V054_20[[#This Row],[FAENA EN LTS]]</f>
        <v>100</v>
      </c>
      <c r="AC46" s="246"/>
      <c r="AD46" s="246"/>
      <c r="AE46" s="301">
        <f>(AE45-V054_20[[#This Row],[CARTER MP.]])+V054_20[[#This Row],[FAENA EN LTS2]]</f>
        <v>100</v>
      </c>
      <c r="AF46" s="246"/>
      <c r="AG46" s="246"/>
      <c r="AH46" s="301">
        <f>(AH45-V054_20[[#This Row],[MOT AUX]])+V054_20[[#This Row],[FAENA EN  LTS]]</f>
        <v>100</v>
      </c>
      <c r="AI46" s="246"/>
      <c r="AJ46" s="246"/>
      <c r="AK46" s="302">
        <f>(AK45-V054_20[[#This Row],[HIDRAULICO]])+V054_20[[#This Row],[FAENA EN LTS3]]</f>
        <v>100</v>
      </c>
    </row>
    <row r="47" spans="1:37" x14ac:dyDescent="0.25">
      <c r="A47" s="235" t="s">
        <v>63</v>
      </c>
      <c r="B47" s="236">
        <v>43877</v>
      </c>
      <c r="C47" s="237">
        <v>0.33333333333333331</v>
      </c>
      <c r="D47" s="42">
        <f>IF(V054_20[[#This Row],[FECHA]]-B46=1,((V054_20[[#This Row],[HORA]]-C46)*24)+24,(V054_20[[#This Row],[HORA]]-C46)*24)</f>
        <v>5.4999999999999991</v>
      </c>
      <c r="E47" s="239" t="s">
        <v>61</v>
      </c>
      <c r="F47" s="240" t="s">
        <v>56</v>
      </c>
      <c r="G47" s="324"/>
      <c r="H47" s="306"/>
      <c r="I47" s="33">
        <f>IF(ISERROR(V054_20[[#This Row],[DISTANCIA POR CARTA]]/V054_20[[#This Row],[TIEMPO DE NAVEGACION]]),0,V054_20[[#This Row],[DISTANCIA POR CARTA]]/V054_20[[#This Row],[TIEMPO DE NAVEGACION]])</f>
        <v>0</v>
      </c>
      <c r="J47" s="242" t="s">
        <v>54</v>
      </c>
      <c r="K47" s="325">
        <v>95</v>
      </c>
      <c r="L47" s="245">
        <v>4.583333333333333</v>
      </c>
      <c r="M47" s="246">
        <v>0.57291666666666663</v>
      </c>
      <c r="N47" s="246">
        <v>0</v>
      </c>
      <c r="O47" s="418">
        <f>SUM(V054_20[[#This Row],[MPAL]:[CALDERA]])</f>
        <v>5.15625</v>
      </c>
      <c r="P47" s="319"/>
      <c r="Q47" s="270">
        <f>(Q46-V054_20[[#This Row],[TOTAL ]])+V054_20[[#This Row],[FAENA]]</f>
        <v>769.04250000000047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37">
        <f>SUM(V054_20[[#This Row],[MPAL2]:[GI]])</f>
        <v>0</v>
      </c>
      <c r="X47" s="246"/>
      <c r="Y47" s="300">
        <f>(Y46-V054_20[[#This Row],[TOTAL]])+V054_20[[#This Row],[FAENA2]]</f>
        <v>39.299999999999997</v>
      </c>
      <c r="Z47" s="245"/>
      <c r="AA47" s="246"/>
      <c r="AB47" s="301">
        <f>(AB46-V054_20[[#This Row],[CYLINDER MP]])+V054_20[[#This Row],[FAENA EN LTS]]</f>
        <v>100</v>
      </c>
      <c r="AC47" s="246"/>
      <c r="AD47" s="246"/>
      <c r="AE47" s="301">
        <f>(AE46-V054_20[[#This Row],[CARTER MP.]])+V054_20[[#This Row],[FAENA EN LTS2]]</f>
        <v>100</v>
      </c>
      <c r="AF47" s="246"/>
      <c r="AG47" s="246"/>
      <c r="AH47" s="301">
        <f>(AH46-V054_20[[#This Row],[MOT AUX]])+V054_20[[#This Row],[FAENA EN  LTS]]</f>
        <v>100</v>
      </c>
      <c r="AI47" s="246"/>
      <c r="AJ47" s="246"/>
      <c r="AK47" s="302">
        <f>(AK46-V054_20[[#This Row],[HIDRAULICO]])+V054_20[[#This Row],[FAENA EN LTS3]]</f>
        <v>100</v>
      </c>
    </row>
    <row r="48" spans="1:37" x14ac:dyDescent="0.25">
      <c r="A48" s="235" t="s">
        <v>63</v>
      </c>
      <c r="B48" s="236">
        <v>43878</v>
      </c>
      <c r="C48" s="237">
        <v>0.10416666666666667</v>
      </c>
      <c r="D48" s="42">
        <f>IF(V054_20[[#This Row],[FECHA]]-B47=1,((V054_20[[#This Row],[HORA]]-C47)*24)+24,(V054_20[[#This Row],[HORA]]-C47)*24)</f>
        <v>18.5</v>
      </c>
      <c r="E48" s="239" t="s">
        <v>61</v>
      </c>
      <c r="F48" s="240" t="s">
        <v>62</v>
      </c>
      <c r="G48" s="324">
        <v>265</v>
      </c>
      <c r="H48" s="306">
        <v>24</v>
      </c>
      <c r="I48" s="33">
        <f>IF(ISERROR(V054_20[[#This Row],[DISTANCIA POR CARTA]]/V054_20[[#This Row],[TIEMPO DE NAVEGACION]]),0,V054_20[[#This Row],[DISTANCIA POR CARTA]]/V054_20[[#This Row],[TIEMPO DE NAVEGACION]])</f>
        <v>11.041666666666666</v>
      </c>
      <c r="J48" s="242" t="s">
        <v>54</v>
      </c>
      <c r="K48" s="325">
        <v>95</v>
      </c>
      <c r="L48" s="245">
        <v>15.416666666666668</v>
      </c>
      <c r="M48" s="246">
        <v>1.9270833333333335</v>
      </c>
      <c r="N48" s="246">
        <v>0</v>
      </c>
      <c r="O48" s="418">
        <f>SUM(V054_20[[#This Row],[MPAL]:[CALDERA]])</f>
        <v>17.34375</v>
      </c>
      <c r="P48" s="319"/>
      <c r="Q48" s="270">
        <f>(Q47-V054_20[[#This Row],[TOTAL ]])+V054_20[[#This Row],[FAENA]]</f>
        <v>751.69875000000047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37">
        <f>SUM(V054_20[[#This Row],[MPAL2]:[GI]])</f>
        <v>0</v>
      </c>
      <c r="X48" s="246"/>
      <c r="Y48" s="300">
        <f>(Y47-V054_20[[#This Row],[TOTAL]])+V054_20[[#This Row],[FAENA2]]</f>
        <v>39.299999999999997</v>
      </c>
      <c r="Z48" s="245"/>
      <c r="AA48" s="246"/>
      <c r="AB48" s="301">
        <f>(AB47-V054_20[[#This Row],[CYLINDER MP]])+V054_20[[#This Row],[FAENA EN LTS]]</f>
        <v>100</v>
      </c>
      <c r="AC48" s="246"/>
      <c r="AD48" s="246"/>
      <c r="AE48" s="301">
        <f>(AE47-V054_20[[#This Row],[CARTER MP.]])+V054_20[[#This Row],[FAENA EN LTS2]]</f>
        <v>100</v>
      </c>
      <c r="AF48" s="246"/>
      <c r="AG48" s="246"/>
      <c r="AH48" s="301">
        <f>(AH47-V054_20[[#This Row],[MOT AUX]])+V054_20[[#This Row],[FAENA EN  LTS]]</f>
        <v>100</v>
      </c>
      <c r="AI48" s="246"/>
      <c r="AJ48" s="246"/>
      <c r="AK48" s="302">
        <f>(AK47-V054_20[[#This Row],[HIDRAULICO]])+V054_20[[#This Row],[FAENA EN LTS3]]</f>
        <v>100</v>
      </c>
    </row>
    <row r="49" spans="3:23" x14ac:dyDescent="0.25">
      <c r="D49" s="67">
        <f>SUBTOTAL(109,V054_20[TIEMPO Hrs])</f>
        <v>278.49999999999994</v>
      </c>
      <c r="L49" s="68">
        <f>SUBTOTAL(109,V054_20[MPAL])</f>
        <v>58.81527777777778</v>
      </c>
      <c r="M49" s="68">
        <f>SUBTOTAL(109,V054_20[AUX.])</f>
        <v>29.010416666666668</v>
      </c>
      <c r="N49" s="68">
        <f>SUBTOTAL(109,V054_20[CALDERA])</f>
        <v>14.075555555555557</v>
      </c>
    </row>
    <row r="50" spans="3:23" x14ac:dyDescent="0.25">
      <c r="O50" s="67">
        <f>SUM(L49:N49)</f>
        <v>101.90125</v>
      </c>
    </row>
    <row r="51" spans="3:23" ht="19.5" thickBot="1" x14ac:dyDescent="0.35">
      <c r="C51" s="69" t="s">
        <v>186</v>
      </c>
      <c r="D51" s="69"/>
      <c r="E51" s="69"/>
      <c r="F51" s="69"/>
      <c r="G51" s="69"/>
      <c r="N51" s="69"/>
      <c r="O51" s="69"/>
      <c r="S51" s="70" t="s">
        <v>185</v>
      </c>
    </row>
    <row r="52" spans="3:23" ht="19.5" thickBot="1" x14ac:dyDescent="0.35">
      <c r="C52" s="69"/>
      <c r="D52" s="69"/>
      <c r="E52" s="69"/>
      <c r="F52" s="69"/>
      <c r="G52" s="69"/>
      <c r="N52" s="69"/>
      <c r="O52" s="69"/>
      <c r="S52" s="70"/>
    </row>
    <row r="53" spans="3:23" ht="60.75" thickBot="1" x14ac:dyDescent="0.3">
      <c r="C53" s="265" t="s">
        <v>11</v>
      </c>
      <c r="D53" s="265" t="s">
        <v>90</v>
      </c>
      <c r="E53" s="266" t="s">
        <v>91</v>
      </c>
      <c r="F53" s="266" t="s">
        <v>92</v>
      </c>
      <c r="G53" s="266" t="s">
        <v>93</v>
      </c>
      <c r="H53" s="265" t="s">
        <v>94</v>
      </c>
      <c r="I53" s="265" t="s">
        <v>95</v>
      </c>
      <c r="J53" s="265" t="s">
        <v>96</v>
      </c>
      <c r="K53" s="265" t="s">
        <v>97</v>
      </c>
      <c r="L53" s="267" t="s">
        <v>98</v>
      </c>
      <c r="M53" s="268" t="s">
        <v>99</v>
      </c>
      <c r="N53" s="269" t="s">
        <v>100</v>
      </c>
      <c r="R53" s="111" t="s">
        <v>101</v>
      </c>
      <c r="S53" s="111" t="s">
        <v>94</v>
      </c>
      <c r="T53" s="111" t="s">
        <v>102</v>
      </c>
      <c r="U53" s="111" t="s">
        <v>96</v>
      </c>
      <c r="V53" s="111" t="s">
        <v>103</v>
      </c>
      <c r="W53" s="111" t="s">
        <v>104</v>
      </c>
    </row>
    <row r="54" spans="3:23" x14ac:dyDescent="0.25">
      <c r="C54" s="77" t="s">
        <v>71</v>
      </c>
      <c r="D54" s="279">
        <f>SUMIF($E$6:$E$48,C54,$D$6:$D$48)</f>
        <v>33</v>
      </c>
      <c r="E54" s="279"/>
      <c r="F54" s="288"/>
      <c r="G54" s="137"/>
      <c r="H54" s="80">
        <f t="shared" ref="H54:H61" si="0">SUMIF($E$6:$E$48,C54,$L$6:$L$48)+SUMIF($E$6:$E$48,C54,$M$6:$M$48)+SUMIF($E$6:$E$48,C54,$N$6:$N$48)</f>
        <v>5.5</v>
      </c>
      <c r="I54" s="137">
        <f>IF(ISERROR(H54*24/D54),0,H54*24/D54)</f>
        <v>4</v>
      </c>
      <c r="J54" s="137">
        <v>4.5</v>
      </c>
      <c r="K54" s="80"/>
      <c r="L54" s="79">
        <f>D54*J54/24</f>
        <v>6.1875</v>
      </c>
      <c r="M54" s="80">
        <f t="shared" ref="M54:M61" si="1">L54-H54</f>
        <v>0.6875</v>
      </c>
      <c r="N54" s="86"/>
      <c r="Q54" s="82"/>
      <c r="R54" s="83" t="s">
        <v>105</v>
      </c>
      <c r="S54" s="228">
        <f>SUM($V$6:$V$48)</f>
        <v>16.600000000000001</v>
      </c>
      <c r="T54" s="84">
        <f>S54*24/($D$55+$D$61)</f>
        <v>3.7373358348968111</v>
      </c>
      <c r="U54" s="84">
        <v>6</v>
      </c>
      <c r="V54" s="85">
        <f>($D$55+$D$61)*U54/24</f>
        <v>26.649999999999995</v>
      </c>
      <c r="W54" s="138">
        <f>V54-S54</f>
        <v>10.049999999999994</v>
      </c>
    </row>
    <row r="55" spans="3:23" x14ac:dyDescent="0.25">
      <c r="C55" s="87" t="s">
        <v>51</v>
      </c>
      <c r="D55" s="264">
        <f t="shared" ref="D55:D61" si="2">SUMIF($E$6:$E$48,C55,$D$6:$D$48)</f>
        <v>55.3</v>
      </c>
      <c r="E55" s="264"/>
      <c r="F55" s="289"/>
      <c r="G55" s="139"/>
      <c r="H55" s="88">
        <f t="shared" si="0"/>
        <v>10.368749999999999</v>
      </c>
      <c r="I55" s="139">
        <f t="shared" ref="I55:I61" si="3">IF(ISERROR(H55*24/D55),0,H55*24/D55)</f>
        <v>4.5</v>
      </c>
      <c r="J55" s="139">
        <v>4.5</v>
      </c>
      <c r="K55" s="88"/>
      <c r="L55" s="37">
        <f t="shared" ref="L55:L61" si="4">D55*J55/24</f>
        <v>10.36875</v>
      </c>
      <c r="M55" s="88">
        <f t="shared" si="1"/>
        <v>0</v>
      </c>
      <c r="N55" s="121"/>
      <c r="R55" s="90" t="s">
        <v>106</v>
      </c>
      <c r="S55" s="286">
        <f>SUM($S$6:$S$48)</f>
        <v>0</v>
      </c>
      <c r="T55" s="84">
        <f>S55*24/($D$55+$D$61)</f>
        <v>0</v>
      </c>
      <c r="U55" s="88"/>
      <c r="V55" s="88"/>
      <c r="W55" s="121"/>
    </row>
    <row r="56" spans="3:23" x14ac:dyDescent="0.25">
      <c r="C56" s="87" t="s">
        <v>61</v>
      </c>
      <c r="D56" s="264">
        <f t="shared" si="2"/>
        <v>24</v>
      </c>
      <c r="E56" s="264">
        <f>SUMIF($E$6:$E$48,C56,$G$6:$G$48)</f>
        <v>265</v>
      </c>
      <c r="F56" s="289">
        <f>E56/D56</f>
        <v>11.041666666666666</v>
      </c>
      <c r="G56" s="139">
        <v>12.5</v>
      </c>
      <c r="H56" s="88">
        <f t="shared" si="0"/>
        <v>22.5</v>
      </c>
      <c r="I56" s="139">
        <f t="shared" si="3"/>
        <v>22.5</v>
      </c>
      <c r="J56" s="139">
        <v>30.5</v>
      </c>
      <c r="K56" s="88">
        <f>E56/G56</f>
        <v>21.2</v>
      </c>
      <c r="L56" s="37">
        <f>K56*J56/24</f>
        <v>26.941666666666666</v>
      </c>
      <c r="M56" s="88">
        <f t="shared" si="1"/>
        <v>4.4416666666666664</v>
      </c>
      <c r="N56" s="121">
        <f>K56-D56</f>
        <v>-2.8000000000000007</v>
      </c>
      <c r="R56" s="90" t="s">
        <v>20</v>
      </c>
      <c r="S56" s="286">
        <f>SUM($T$6:$T$48)</f>
        <v>0</v>
      </c>
      <c r="T56" s="84">
        <f>S56*24/($D$55+$D$61)</f>
        <v>0</v>
      </c>
      <c r="U56" s="88"/>
      <c r="V56" s="88"/>
      <c r="W56" s="121"/>
    </row>
    <row r="57" spans="3:23" x14ac:dyDescent="0.25">
      <c r="C57" s="87" t="s">
        <v>55</v>
      </c>
      <c r="D57" s="264">
        <f t="shared" si="2"/>
        <v>42.7</v>
      </c>
      <c r="E57" s="264">
        <f>SUMIF($E$6:$E$48,C57,$G$6:$G$48)</f>
        <v>453</v>
      </c>
      <c r="F57" s="289">
        <f>E57/D57</f>
        <v>10.608899297423887</v>
      </c>
      <c r="G57" s="139">
        <v>12</v>
      </c>
      <c r="H57" s="88">
        <f t="shared" si="0"/>
        <v>40.697916666666664</v>
      </c>
      <c r="I57" s="139">
        <f t="shared" si="3"/>
        <v>22.874707259953158</v>
      </c>
      <c r="J57" s="139">
        <v>30.5</v>
      </c>
      <c r="K57" s="88">
        <f>E57/G57</f>
        <v>37.75</v>
      </c>
      <c r="L57" s="37">
        <f>K57*J57/24</f>
        <v>47.973958333333336</v>
      </c>
      <c r="M57" s="88">
        <f t="shared" si="1"/>
        <v>7.2760416666666714</v>
      </c>
      <c r="N57" s="121">
        <f>K57-D57</f>
        <v>-4.9500000000000028</v>
      </c>
      <c r="R57" s="90" t="s">
        <v>107</v>
      </c>
      <c r="S57" s="286">
        <f>SUM($U$6:$U$48)</f>
        <v>0</v>
      </c>
      <c r="T57" s="84">
        <f>S57*24/($D$55+$D$61)</f>
        <v>0</v>
      </c>
      <c r="U57" s="88"/>
      <c r="V57" s="88"/>
      <c r="W57" s="121"/>
    </row>
    <row r="58" spans="3:23" ht="15.75" thickBot="1" x14ac:dyDescent="0.3">
      <c r="C58" s="87" t="s">
        <v>108</v>
      </c>
      <c r="D58" s="264">
        <f t="shared" si="2"/>
        <v>0</v>
      </c>
      <c r="E58" s="264">
        <f>SUMIF($E$6:$E$48,C58,$G$6:$G$48)</f>
        <v>0</v>
      </c>
      <c r="F58" s="289">
        <f>IF(ISERROR(E58/D58),0,E58/D58)</f>
        <v>0</v>
      </c>
      <c r="G58" s="139">
        <v>12</v>
      </c>
      <c r="H58" s="88">
        <f t="shared" si="0"/>
        <v>0</v>
      </c>
      <c r="I58" s="139">
        <f t="shared" si="3"/>
        <v>0</v>
      </c>
      <c r="J58" s="139">
        <v>31.5</v>
      </c>
      <c r="K58" s="88">
        <f>E58/G58</f>
        <v>0</v>
      </c>
      <c r="L58" s="37">
        <f>K58*J58/24</f>
        <v>0</v>
      </c>
      <c r="M58" s="88">
        <f t="shared" si="1"/>
        <v>0</v>
      </c>
      <c r="N58" s="121">
        <f>K58-D58</f>
        <v>0</v>
      </c>
      <c r="R58" s="92" t="s">
        <v>24</v>
      </c>
      <c r="S58" s="287">
        <f>SUM($R$6:$R$48)</f>
        <v>0</v>
      </c>
      <c r="T58" s="84">
        <f>S58*24/($D$55+$D$61)</f>
        <v>0</v>
      </c>
      <c r="U58" s="98"/>
      <c r="V58" s="98"/>
      <c r="W58" s="122"/>
    </row>
    <row r="59" spans="3:23" x14ac:dyDescent="0.25">
      <c r="C59" s="87" t="s">
        <v>45</v>
      </c>
      <c r="D59" s="264">
        <f t="shared" si="2"/>
        <v>59.733333333333334</v>
      </c>
      <c r="E59" s="264"/>
      <c r="F59" s="289"/>
      <c r="G59" s="139"/>
      <c r="H59" s="88">
        <f t="shared" si="0"/>
        <v>8.5222222222222221</v>
      </c>
      <c r="I59" s="139">
        <f t="shared" si="3"/>
        <v>3.4241071428571428</v>
      </c>
      <c r="J59" s="139">
        <v>4.5</v>
      </c>
      <c r="K59" s="88"/>
      <c r="L59" s="37">
        <f t="shared" si="4"/>
        <v>11.200000000000001</v>
      </c>
      <c r="M59" s="88">
        <f t="shared" si="1"/>
        <v>2.6777777777777789</v>
      </c>
      <c r="N59" s="121"/>
      <c r="S59" s="68"/>
      <c r="T59" s="143"/>
      <c r="U59" s="68"/>
      <c r="V59" s="68"/>
      <c r="W59" s="68"/>
    </row>
    <row r="60" spans="3:23" x14ac:dyDescent="0.25">
      <c r="C60" s="87" t="s">
        <v>47</v>
      </c>
      <c r="D60" s="264">
        <f t="shared" si="2"/>
        <v>12.466666666666669</v>
      </c>
      <c r="E60" s="264"/>
      <c r="F60" s="289"/>
      <c r="G60" s="139"/>
      <c r="H60" s="88">
        <f t="shared" si="0"/>
        <v>5.5423611111111146</v>
      </c>
      <c r="I60" s="139">
        <f t="shared" si="3"/>
        <v>10.66978609625669</v>
      </c>
      <c r="J60" s="139">
        <v>4.5</v>
      </c>
      <c r="K60" s="88"/>
      <c r="L60" s="37">
        <f t="shared" si="4"/>
        <v>2.3375000000000004</v>
      </c>
      <c r="M60" s="88">
        <f t="shared" si="1"/>
        <v>-3.2048611111111143</v>
      </c>
      <c r="N60" s="121"/>
      <c r="S60" s="68"/>
      <c r="T60" s="68"/>
      <c r="U60" s="68"/>
      <c r="V60" s="68"/>
      <c r="W60" s="68"/>
    </row>
    <row r="61" spans="3:23" ht="15.75" thickBot="1" x14ac:dyDescent="0.3">
      <c r="C61" s="97" t="s">
        <v>49</v>
      </c>
      <c r="D61" s="290">
        <f t="shared" si="2"/>
        <v>51.3</v>
      </c>
      <c r="E61" s="290"/>
      <c r="F61" s="291"/>
      <c r="G61" s="140"/>
      <c r="H61" s="98">
        <f t="shared" si="0"/>
        <v>8.77</v>
      </c>
      <c r="I61" s="141">
        <f t="shared" si="3"/>
        <v>4.1029239766081869</v>
      </c>
      <c r="J61" s="141">
        <v>4.5</v>
      </c>
      <c r="K61" s="98"/>
      <c r="L61" s="99">
        <f t="shared" si="4"/>
        <v>9.6187500000000004</v>
      </c>
      <c r="M61" s="98">
        <f t="shared" si="1"/>
        <v>0.84875000000000078</v>
      </c>
      <c r="N61" s="122"/>
      <c r="O61" s="68"/>
      <c r="S61" s="68"/>
      <c r="T61" s="68"/>
      <c r="U61" s="68"/>
      <c r="V61" s="68"/>
      <c r="W61" s="68"/>
    </row>
    <row r="62" spans="3:23" ht="15.75" thickBot="1" x14ac:dyDescent="0.3">
      <c r="D62" s="116"/>
      <c r="E62" s="116"/>
      <c r="F62" s="116"/>
      <c r="H62" s="102"/>
      <c r="I62" s="102"/>
      <c r="J62" s="68"/>
      <c r="K62" s="68"/>
      <c r="L62" s="68"/>
      <c r="M62" s="68"/>
      <c r="N62" s="68"/>
      <c r="R62" s="100" t="s">
        <v>29</v>
      </c>
      <c r="S62" s="101">
        <f>SUM(S54:S58)</f>
        <v>16.600000000000001</v>
      </c>
      <c r="T62" s="101">
        <f>SUM(T54:T58)</f>
        <v>3.7373358348968111</v>
      </c>
      <c r="U62" s="68"/>
      <c r="V62" s="68"/>
      <c r="W62" s="68"/>
    </row>
    <row r="63" spans="3:23" ht="15.75" thickBot="1" x14ac:dyDescent="0.3">
      <c r="C63" s="103" t="s">
        <v>29</v>
      </c>
      <c r="D63" s="284">
        <f>SUM(D54:D61)</f>
        <v>278.5</v>
      </c>
      <c r="E63" s="284">
        <f>SUM(E54:E61)</f>
        <v>718</v>
      </c>
      <c r="F63" s="284">
        <f>SUM(F54:F61)/2</f>
        <v>10.825282982045277</v>
      </c>
      <c r="H63" s="101">
        <f>SUM(H54:H61)</f>
        <v>101.90125</v>
      </c>
      <c r="K63" s="142"/>
      <c r="L63" s="104">
        <f>SUM(L54:L61)</f>
        <v>114.62812500000003</v>
      </c>
      <c r="M63" s="101">
        <f>SUM(M54:M61)</f>
        <v>12.726875000000003</v>
      </c>
      <c r="N63" s="101">
        <f>SUM(N54:N61)</f>
        <v>-7.7500000000000036</v>
      </c>
    </row>
    <row r="72" spans="9:9" x14ac:dyDescent="0.25">
      <c r="I7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8" name="Rango14_1"/>
    <protectedRange sqref="AF6:AG48" name="Rango12_1"/>
    <protectedRange sqref="AC6:AD48" name="Rango9"/>
    <protectedRange sqref="Z6:AA48" name="Rango8_1"/>
    <protectedRange sqref="X6:X48" name="Rango6_1"/>
    <protectedRange sqref="R6:V48" name="Rango5_1"/>
    <protectedRange sqref="P6:P48" name="Rango3_1"/>
    <protectedRange sqref="E6:N48" name="Rango2_1"/>
    <protectedRange sqref="A6:C48" name="Rango1_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I6:I48">
    <cfRule type="cellIs" dxfId="1102" priority="1" operator="greaterThan">
      <formula>0</formula>
    </cfRule>
  </conditionalFormatting>
  <dataValidations count="1">
    <dataValidation type="list" allowBlank="1" showInputMessage="1" showErrorMessage="1" sqref="E6:E48">
      <formula1>$C$53:$C$61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/>
  <dimension ref="A1:AK81"/>
  <sheetViews>
    <sheetView zoomScale="80" zoomScaleNormal="80" workbookViewId="0">
      <pane xSplit="6" ySplit="5" topLeftCell="T48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8" sqref="D5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1.28515625" customWidth="1"/>
    <col min="4" max="4" width="13.85546875" bestFit="1" customWidth="1"/>
    <col min="5" max="5" width="22.7109375" customWidth="1"/>
    <col min="6" max="6" width="22.28515625" customWidth="1"/>
    <col min="7" max="7" width="16" customWidth="1"/>
    <col min="8" max="9" width="15.7109375" style="1" customWidth="1"/>
    <col min="10" max="10" width="15.7109375" customWidth="1"/>
    <col min="11" max="11" width="15.85546875" customWidth="1"/>
    <col min="12" max="12" width="16" customWidth="1"/>
    <col min="13" max="13" width="18.28515625" customWidth="1"/>
    <col min="14" max="14" width="14.8554687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4.42578125" customWidth="1"/>
    <col min="20" max="20" width="11.5703125" customWidth="1"/>
    <col min="21" max="21" width="13.42578125" customWidth="1"/>
    <col min="22" max="22" width="12.4257812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2">
        <v>43878</v>
      </c>
      <c r="C4" s="343">
        <v>0.10416666666666667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751.7</v>
      </c>
      <c r="R4" s="553" t="s">
        <v>183</v>
      </c>
      <c r="S4" s="554"/>
      <c r="T4" s="554"/>
      <c r="U4" s="554"/>
      <c r="V4" s="554"/>
      <c r="W4" s="554"/>
      <c r="X4" s="555"/>
      <c r="Y4" s="283">
        <v>39.299999999999997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47" t="s">
        <v>82</v>
      </c>
      <c r="B6" s="248">
        <v>43878</v>
      </c>
      <c r="C6" s="249">
        <v>0.125</v>
      </c>
      <c r="D6" s="238">
        <f>IF(V055_20[[#This Row],[FECHA]]-B4=1,((V055_20[[#This Row],[HORA]]-C4)*24)+24,(V055_20[[#This Row],[HORA]]-C4)*24)</f>
        <v>0.49999999999999989</v>
      </c>
      <c r="E6" s="250" t="s">
        <v>47</v>
      </c>
      <c r="F6" s="251" t="s">
        <v>83</v>
      </c>
      <c r="G6" s="252"/>
      <c r="H6" s="55"/>
      <c r="I6" s="253">
        <v>0</v>
      </c>
      <c r="J6" s="254"/>
      <c r="K6" s="255"/>
      <c r="L6" s="256">
        <v>0.10416666666666664</v>
      </c>
      <c r="M6" s="257">
        <v>5.2083333333333322E-2</v>
      </c>
      <c r="N6" s="257">
        <v>4.1666666666666657E-2</v>
      </c>
      <c r="O6" s="257">
        <f>SUM(V055_20[[#This Row],[MPAL]:[CALDERA]])</f>
        <v>0.19791666666666663</v>
      </c>
      <c r="P6" s="326"/>
      <c r="Q6" s="281">
        <f>(Q4-V055_20[[#This Row],[TOTAL ]])+V055_20[[#This Row],[FAENA]]</f>
        <v>751.50208333333342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SUM(V055_20[[#This Row],[MPAL2]:[GI]])</f>
        <v>0</v>
      </c>
      <c r="X6" s="257">
        <v>0</v>
      </c>
      <c r="Y6" s="282">
        <f>(Y4-V055_20[[#This Row],[TOTAL]])+V055_20[[#This Row],[FAENA2]]</f>
        <v>39.299999999999997</v>
      </c>
      <c r="Z6" s="256"/>
      <c r="AA6" s="257"/>
      <c r="AB6" s="320">
        <f>(AB4-V055_20[[#This Row],[CYLINDER MP]])+V055_20[[#This Row],[FAENA EN LTS]]</f>
        <v>100</v>
      </c>
      <c r="AC6" s="257"/>
      <c r="AD6" s="257"/>
      <c r="AE6" s="320">
        <f>(AE4-V055_20[[#This Row],[CARTER MP.]])+V055_20[[#This Row],[FAENA EN LTS2]]</f>
        <v>100</v>
      </c>
      <c r="AF6" s="257"/>
      <c r="AG6" s="257"/>
      <c r="AH6" s="320">
        <f>(AH4-V055_20[[#This Row],[MOT AUX]])+V055_20[[#This Row],[FAENA EN  LTS]]</f>
        <v>100</v>
      </c>
      <c r="AI6" s="257"/>
      <c r="AJ6" s="257"/>
      <c r="AK6" s="321">
        <f>(AK4-V055_20[[#This Row],[HIDRAULICO]])+V055_20[[#This Row],[FAENA EN LTS3]]</f>
        <v>100</v>
      </c>
    </row>
    <row r="7" spans="1:37" x14ac:dyDescent="0.25">
      <c r="A7" s="235" t="s">
        <v>82</v>
      </c>
      <c r="B7" s="236">
        <v>43878</v>
      </c>
      <c r="C7" s="237">
        <v>0.16250000000000001</v>
      </c>
      <c r="D7" s="238">
        <f>IF(V055_20[[#This Row],[FECHA]]-B6=1,((V055_20[[#This Row],[HORA]]-C6)*24)+24,(V055_20[[#This Row],[HORA]]-C6)*24)</f>
        <v>0.90000000000000013</v>
      </c>
      <c r="E7" s="239" t="s">
        <v>45</v>
      </c>
      <c r="F7" s="240" t="s">
        <v>46</v>
      </c>
      <c r="G7" s="241"/>
      <c r="H7" s="50"/>
      <c r="I7" s="242">
        <f>IF(ISERROR(V053_20[[#This Row],[DISTANCIA POR CARTA]]/V053_20[[#This Row],[TIEMPO DE NAVEGACION]]),0,V053_20[[#This Row],[DISTANCIA POR CARTA]]/V053_20[[#This Row],[TIEMPO DE NAVEGACION]])</f>
        <v>0</v>
      </c>
      <c r="J7" s="243"/>
      <c r="K7" s="244"/>
      <c r="L7" s="245">
        <v>0</v>
      </c>
      <c r="M7" s="246">
        <v>9.3750000000000014E-2</v>
      </c>
      <c r="N7" s="246">
        <v>7.5000000000000011E-2</v>
      </c>
      <c r="O7" s="257">
        <f>SUM(V055_20[[#This Row],[MPAL]:[CALDERA]])</f>
        <v>0.16875000000000001</v>
      </c>
      <c r="P7" s="319"/>
      <c r="Q7" s="281">
        <f>(Q6-V055_20[[#This Row],[TOTAL ]])+V055_20[[#This Row],[FAENA]]</f>
        <v>751.33333333333337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SUM(V055_20[[#This Row],[MPAL2]:[GI]])</f>
        <v>0</v>
      </c>
      <c r="X7" s="246">
        <v>0</v>
      </c>
      <c r="Y7" s="282">
        <f>(Y6-V055_20[[#This Row],[TOTAL]])+V055_20[[#This Row],[FAENA2]]</f>
        <v>39.299999999999997</v>
      </c>
      <c r="Z7" s="245"/>
      <c r="AA7" s="246"/>
      <c r="AB7" s="320">
        <f>(AB6-V055_20[[#This Row],[CYLINDER MP]])+V055_20[[#This Row],[FAENA EN LTS]]</f>
        <v>100</v>
      </c>
      <c r="AC7" s="246"/>
      <c r="AD7" s="246"/>
      <c r="AE7" s="320">
        <f>(AE6-V055_20[[#This Row],[CARTER MP.]])+V055_20[[#This Row],[FAENA EN LTS2]]</f>
        <v>100</v>
      </c>
      <c r="AF7" s="246"/>
      <c r="AG7" s="246"/>
      <c r="AH7" s="320">
        <f>(AH6-V055_20[[#This Row],[MOT AUX]])+V055_20[[#This Row],[FAENA EN  LTS]]</f>
        <v>100</v>
      </c>
      <c r="AI7" s="246"/>
      <c r="AJ7" s="246"/>
      <c r="AK7" s="321">
        <f>(AK6-V055_20[[#This Row],[HIDRAULICO]])+V055_20[[#This Row],[FAENA EN LTS3]]</f>
        <v>100</v>
      </c>
    </row>
    <row r="8" spans="1:37" x14ac:dyDescent="0.25">
      <c r="A8" s="235" t="s">
        <v>82</v>
      </c>
      <c r="B8" s="236">
        <v>43878</v>
      </c>
      <c r="C8" s="237">
        <v>0.27083333333333331</v>
      </c>
      <c r="D8" s="238">
        <f>IF(V055_20[[#This Row],[FECHA]]-B7=1,((V055_20[[#This Row],[HORA]]-C7)*24)+24,(V055_20[[#This Row],[HORA]]-C7)*24)</f>
        <v>2.5999999999999996</v>
      </c>
      <c r="E8" s="239" t="s">
        <v>47</v>
      </c>
      <c r="F8" s="240" t="s">
        <v>84</v>
      </c>
      <c r="G8" s="241"/>
      <c r="H8" s="50"/>
      <c r="I8" s="242">
        <f>IF(ISERROR(V053_20[[#This Row],[DISTANCIA POR CARTA]]/V053_20[[#This Row],[TIEMPO DE NAVEGACION]]),0,V053_20[[#This Row],[DISTANCIA POR CARTA]]/V053_20[[#This Row],[TIEMPO DE NAVEGACION]])</f>
        <v>0</v>
      </c>
      <c r="J8" s="243"/>
      <c r="K8" s="244"/>
      <c r="L8" s="245">
        <v>0.21666666666666662</v>
      </c>
      <c r="M8" s="246">
        <v>0.27083333333333331</v>
      </c>
      <c r="N8" s="246">
        <v>0.21666666666666662</v>
      </c>
      <c r="O8" s="257">
        <f>SUM(V055_20[[#This Row],[MPAL]:[CALDERA]])</f>
        <v>0.70416666666666661</v>
      </c>
      <c r="P8" s="319"/>
      <c r="Q8" s="281">
        <f>(Q7-V055_20[[#This Row],[TOTAL ]])+V055_20[[#This Row],[FAENA]]</f>
        <v>750.62916666666672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SUM(V055_20[[#This Row],[MPAL2]:[GI]])</f>
        <v>0</v>
      </c>
      <c r="X8" s="246">
        <v>0</v>
      </c>
      <c r="Y8" s="282">
        <f>(Y7-V055_20[[#This Row],[TOTAL]])+V055_20[[#This Row],[FAENA2]]</f>
        <v>39.299999999999997</v>
      </c>
      <c r="Z8" s="245"/>
      <c r="AA8" s="246"/>
      <c r="AB8" s="320">
        <f>(AB7-V055_20[[#This Row],[CYLINDER MP]])+V055_20[[#This Row],[FAENA EN LTS]]</f>
        <v>100</v>
      </c>
      <c r="AC8" s="246"/>
      <c r="AD8" s="246"/>
      <c r="AE8" s="320">
        <f>(AE7-V055_20[[#This Row],[CARTER MP.]])+V055_20[[#This Row],[FAENA EN LTS2]]</f>
        <v>100</v>
      </c>
      <c r="AF8" s="246"/>
      <c r="AG8" s="246"/>
      <c r="AH8" s="320">
        <f>(AH7-V055_20[[#This Row],[MOT AUX]])+V055_20[[#This Row],[FAENA EN  LTS]]</f>
        <v>100</v>
      </c>
      <c r="AI8" s="246"/>
      <c r="AJ8" s="246"/>
      <c r="AK8" s="321">
        <f>(AK7-V055_20[[#This Row],[HIDRAULICO]])+V055_20[[#This Row],[FAENA EN LTS3]]</f>
        <v>100</v>
      </c>
    </row>
    <row r="9" spans="1:37" x14ac:dyDescent="0.25">
      <c r="A9" s="235" t="s">
        <v>82</v>
      </c>
      <c r="B9" s="236">
        <v>43878</v>
      </c>
      <c r="C9" s="237">
        <v>0.33333333333333331</v>
      </c>
      <c r="D9" s="238">
        <f>IF(V055_20[[#This Row],[FECHA]]-B8=1,((V055_20[[#This Row],[HORA]]-C8)*24)+24,(V055_20[[#This Row],[HORA]]-C8)*24)</f>
        <v>1.5</v>
      </c>
      <c r="E9" s="239" t="s">
        <v>49</v>
      </c>
      <c r="F9" s="240" t="s">
        <v>59</v>
      </c>
      <c r="G9" s="241"/>
      <c r="H9" s="50"/>
      <c r="I9" s="242">
        <f>IF(ISERROR(V053_20[[#This Row],[DISTANCIA POR CARTA]]/V053_20[[#This Row],[TIEMPO DE NAVEGACION]]),0,V053_20[[#This Row],[DISTANCIA POR CARTA]]/V053_20[[#This Row],[TIEMPO DE NAVEGACION]])</f>
        <v>0</v>
      </c>
      <c r="J9" s="243"/>
      <c r="K9" s="244"/>
      <c r="L9" s="245">
        <v>0</v>
      </c>
      <c r="M9" s="246">
        <v>0.15625</v>
      </c>
      <c r="N9" s="246">
        <v>0.125</v>
      </c>
      <c r="O9" s="257">
        <f>SUM(V055_20[[#This Row],[MPAL]:[CALDERA]])</f>
        <v>0.28125</v>
      </c>
      <c r="P9" s="319"/>
      <c r="Q9" s="281">
        <f>(Q8-V055_20[[#This Row],[TOTAL ]])+V055_20[[#This Row],[FAENA]]</f>
        <v>750.34791666666672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SUM(V055_20[[#This Row],[MPAL2]:[GI]])</f>
        <v>0</v>
      </c>
      <c r="X9" s="246">
        <v>0</v>
      </c>
      <c r="Y9" s="282">
        <f>(Y8-V055_20[[#This Row],[TOTAL]])+V055_20[[#This Row],[FAENA2]]</f>
        <v>39.299999999999997</v>
      </c>
      <c r="Z9" s="245"/>
      <c r="AA9" s="246"/>
      <c r="AB9" s="320">
        <f>(AB8-V055_20[[#This Row],[CYLINDER MP]])+V055_20[[#This Row],[FAENA EN LTS]]</f>
        <v>100</v>
      </c>
      <c r="AC9" s="246"/>
      <c r="AD9" s="246"/>
      <c r="AE9" s="320">
        <f>(AE8-V055_20[[#This Row],[CARTER MP.]])+V055_20[[#This Row],[FAENA EN LTS2]]</f>
        <v>100</v>
      </c>
      <c r="AF9" s="246"/>
      <c r="AG9" s="246"/>
      <c r="AH9" s="320">
        <f>(AH8-V055_20[[#This Row],[MOT AUX]])+V055_20[[#This Row],[FAENA EN  LTS]]</f>
        <v>100</v>
      </c>
      <c r="AI9" s="246"/>
      <c r="AJ9" s="246"/>
      <c r="AK9" s="321">
        <f>(AK8-V055_20[[#This Row],[HIDRAULICO]])+V055_20[[#This Row],[FAENA EN LTS3]]</f>
        <v>100</v>
      </c>
    </row>
    <row r="10" spans="1:37" x14ac:dyDescent="0.25">
      <c r="A10" s="235" t="s">
        <v>82</v>
      </c>
      <c r="B10" s="236">
        <v>43878</v>
      </c>
      <c r="C10" s="237">
        <v>0.44166666666666665</v>
      </c>
      <c r="D10" s="238">
        <f>IF(V055_20[[#This Row],[FECHA]]-B9=1,((V055_20[[#This Row],[HORA]]-C9)*24)+24,(V055_20[[#This Row],[HORA]]-C9)*24)</f>
        <v>2.6</v>
      </c>
      <c r="E10" s="239" t="s">
        <v>49</v>
      </c>
      <c r="F10" s="240" t="s">
        <v>85</v>
      </c>
      <c r="G10" s="241"/>
      <c r="H10" s="50"/>
      <c r="I10" s="242">
        <f>IF(ISERROR(V053_20[[#This Row],[DISTANCIA POR CARTA]]/V053_20[[#This Row],[TIEMPO DE NAVEGACION]]),0,V053_20[[#This Row],[DISTANCIA POR CARTA]]/V053_20[[#This Row],[TIEMPO DE NAVEGACION]])</f>
        <v>0</v>
      </c>
      <c r="J10" s="243"/>
      <c r="K10" s="244"/>
      <c r="L10" s="245">
        <v>0</v>
      </c>
      <c r="M10" s="246">
        <v>0.27083333333333337</v>
      </c>
      <c r="N10" s="246">
        <v>0.21666666666666667</v>
      </c>
      <c r="O10" s="257">
        <f>SUM(V055_20[[#This Row],[MPAL]:[CALDERA]])</f>
        <v>0.48750000000000004</v>
      </c>
      <c r="P10" s="319"/>
      <c r="Q10" s="281">
        <f>(Q9-V055_20[[#This Row],[TOTAL ]])+V055_20[[#This Row],[FAENA]]</f>
        <v>749.86041666666677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SUM(V055_20[[#This Row],[MPAL2]:[GI]])</f>
        <v>0</v>
      </c>
      <c r="X10" s="246">
        <v>0</v>
      </c>
      <c r="Y10" s="282">
        <f>(Y9-V055_20[[#This Row],[TOTAL]])+V055_20[[#This Row],[FAENA2]]</f>
        <v>39.299999999999997</v>
      </c>
      <c r="Z10" s="245"/>
      <c r="AA10" s="246"/>
      <c r="AB10" s="320">
        <f>(AB9-V055_20[[#This Row],[CYLINDER MP]])+V055_20[[#This Row],[FAENA EN LTS]]</f>
        <v>100</v>
      </c>
      <c r="AC10" s="246"/>
      <c r="AD10" s="246"/>
      <c r="AE10" s="320">
        <f>(AE9-V055_20[[#This Row],[CARTER MP.]])+V055_20[[#This Row],[FAENA EN LTS2]]</f>
        <v>100</v>
      </c>
      <c r="AF10" s="246"/>
      <c r="AG10" s="246"/>
      <c r="AH10" s="320">
        <f>(AH9-V055_20[[#This Row],[MOT AUX]])+V055_20[[#This Row],[FAENA EN  LTS]]</f>
        <v>100</v>
      </c>
      <c r="AI10" s="246"/>
      <c r="AJ10" s="246"/>
      <c r="AK10" s="321">
        <f>(AK9-V055_20[[#This Row],[HIDRAULICO]])+V055_20[[#This Row],[FAENA EN LTS3]]</f>
        <v>100</v>
      </c>
    </row>
    <row r="11" spans="1:37" x14ac:dyDescent="0.25">
      <c r="A11" s="235" t="s">
        <v>82</v>
      </c>
      <c r="B11" s="236">
        <v>43879</v>
      </c>
      <c r="C11" s="237">
        <v>0.33333333333333331</v>
      </c>
      <c r="D11" s="238">
        <f>IF(V055_20[[#This Row],[FECHA]]-B10=1,((V055_20[[#This Row],[HORA]]-C10)*24)+24,(V055_20[[#This Row],[HORA]]-C10)*24)</f>
        <v>21.4</v>
      </c>
      <c r="E11" s="239" t="s">
        <v>71</v>
      </c>
      <c r="F11" s="240" t="s">
        <v>71</v>
      </c>
      <c r="G11" s="241"/>
      <c r="H11" s="50"/>
      <c r="I11" s="242">
        <f>IF(ISERROR(V053_20[[#This Row],[DISTANCIA POR CARTA]]/V053_20[[#This Row],[TIEMPO DE NAVEGACION]]),0,V053_20[[#This Row],[DISTANCIA POR CARTA]]/V053_20[[#This Row],[TIEMPO DE NAVEGACION]])</f>
        <v>0</v>
      </c>
      <c r="J11" s="243"/>
      <c r="K11" s="244"/>
      <c r="L11" s="245">
        <v>0</v>
      </c>
      <c r="M11" s="246">
        <v>2.2291666666666665</v>
      </c>
      <c r="N11" s="246">
        <v>1.7833333333333332</v>
      </c>
      <c r="O11" s="257">
        <f>SUM(V055_20[[#This Row],[MPAL]:[CALDERA]])</f>
        <v>4.0124999999999993</v>
      </c>
      <c r="P11" s="319"/>
      <c r="Q11" s="281">
        <f>(Q10-V055_20[[#This Row],[TOTAL ]])+V055_20[[#This Row],[FAENA]]</f>
        <v>745.84791666666672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SUM(V055_20[[#This Row],[MPAL2]:[GI]])</f>
        <v>0</v>
      </c>
      <c r="X11" s="246">
        <v>0</v>
      </c>
      <c r="Y11" s="282">
        <f>(Y10-V055_20[[#This Row],[TOTAL]])+V055_20[[#This Row],[FAENA2]]</f>
        <v>39.299999999999997</v>
      </c>
      <c r="Z11" s="245"/>
      <c r="AA11" s="246"/>
      <c r="AB11" s="320">
        <f>(AB10-V055_20[[#This Row],[CYLINDER MP]])+V055_20[[#This Row],[FAENA EN LTS]]</f>
        <v>100</v>
      </c>
      <c r="AC11" s="246"/>
      <c r="AD11" s="246"/>
      <c r="AE11" s="320">
        <f>(AE10-V055_20[[#This Row],[CARTER MP.]])+V055_20[[#This Row],[FAENA EN LTS2]]</f>
        <v>100</v>
      </c>
      <c r="AF11" s="246"/>
      <c r="AG11" s="246"/>
      <c r="AH11" s="320">
        <f>(AH10-V055_20[[#This Row],[MOT AUX]])+V055_20[[#This Row],[FAENA EN  LTS]]</f>
        <v>100</v>
      </c>
      <c r="AI11" s="246"/>
      <c r="AJ11" s="246"/>
      <c r="AK11" s="321">
        <f>(AK10-V055_20[[#This Row],[HIDRAULICO]])+V055_20[[#This Row],[FAENA EN LTS3]]</f>
        <v>100</v>
      </c>
    </row>
    <row r="12" spans="1:37" x14ac:dyDescent="0.25">
      <c r="A12" s="235" t="s">
        <v>82</v>
      </c>
      <c r="B12" s="236">
        <v>43879</v>
      </c>
      <c r="C12" s="237">
        <v>0.85</v>
      </c>
      <c r="D12" s="238">
        <f>IF(V055_20[[#This Row],[FECHA]]-B11=1,((V055_20[[#This Row],[HORA]]-C11)*24)+24,(V055_20[[#This Row],[HORA]]-C11)*24)</f>
        <v>12.399999999999999</v>
      </c>
      <c r="E12" s="239" t="s">
        <v>71</v>
      </c>
      <c r="F12" s="240" t="s">
        <v>73</v>
      </c>
      <c r="G12" s="241"/>
      <c r="H12" s="50"/>
      <c r="I12" s="242">
        <f>IF(ISERROR(V053_20[[#This Row],[DISTANCIA POR CARTA]]/V053_20[[#This Row],[TIEMPO DE NAVEGACION]]),0,V053_20[[#This Row],[DISTANCIA POR CARTA]]/V053_20[[#This Row],[TIEMPO DE NAVEGACION]])</f>
        <v>0</v>
      </c>
      <c r="J12" s="243"/>
      <c r="K12" s="244"/>
      <c r="L12" s="245">
        <v>0</v>
      </c>
      <c r="M12" s="246">
        <v>1.2916666666666665</v>
      </c>
      <c r="N12" s="246">
        <v>1.0333333333333332</v>
      </c>
      <c r="O12" s="257">
        <f>SUM(V055_20[[#This Row],[MPAL]:[CALDERA]])</f>
        <v>2.3249999999999997</v>
      </c>
      <c r="P12" s="319"/>
      <c r="Q12" s="281">
        <f>(Q11-V055_20[[#This Row],[TOTAL ]])+V055_20[[#This Row],[FAENA]]</f>
        <v>743.52291666666667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SUM(V055_20[[#This Row],[MPAL2]:[GI]])</f>
        <v>0</v>
      </c>
      <c r="X12" s="246">
        <v>0</v>
      </c>
      <c r="Y12" s="282">
        <f>(Y11-V055_20[[#This Row],[TOTAL]])+V055_20[[#This Row],[FAENA2]]</f>
        <v>39.299999999999997</v>
      </c>
      <c r="Z12" s="245"/>
      <c r="AA12" s="246"/>
      <c r="AB12" s="320">
        <f>(AB11-V055_20[[#This Row],[CYLINDER MP]])+V055_20[[#This Row],[FAENA EN LTS]]</f>
        <v>100</v>
      </c>
      <c r="AC12" s="246"/>
      <c r="AD12" s="246"/>
      <c r="AE12" s="320">
        <f>(AE11-V055_20[[#This Row],[CARTER MP.]])+V055_20[[#This Row],[FAENA EN LTS2]]</f>
        <v>100</v>
      </c>
      <c r="AF12" s="246"/>
      <c r="AG12" s="246"/>
      <c r="AH12" s="320">
        <f>(AH11-V055_20[[#This Row],[MOT AUX]])+V055_20[[#This Row],[FAENA EN  LTS]]</f>
        <v>100</v>
      </c>
      <c r="AI12" s="246"/>
      <c r="AJ12" s="246"/>
      <c r="AK12" s="321">
        <f>(AK11-V055_20[[#This Row],[HIDRAULICO]])+V055_20[[#This Row],[FAENA EN LTS3]]</f>
        <v>100</v>
      </c>
    </row>
    <row r="13" spans="1:37" x14ac:dyDescent="0.25">
      <c r="A13" s="235" t="s">
        <v>82</v>
      </c>
      <c r="B13" s="236">
        <v>43880</v>
      </c>
      <c r="C13" s="237">
        <v>7.9166666666666663E-2</v>
      </c>
      <c r="D13" s="238">
        <f>IF(V055_20[[#This Row],[FECHA]]-B12=1,((V055_20[[#This Row],[HORA]]-C12)*24)+24,(V055_20[[#This Row],[HORA]]-C12)*24)</f>
        <v>5.5</v>
      </c>
      <c r="E13" s="239" t="s">
        <v>49</v>
      </c>
      <c r="F13" s="240" t="s">
        <v>46</v>
      </c>
      <c r="G13" s="241"/>
      <c r="H13" s="50"/>
      <c r="I13" s="242">
        <f>IF(ISERROR(V053_20[[#This Row],[DISTANCIA POR CARTA]]/V053_20[[#This Row],[TIEMPO DE NAVEGACION]]),0,V053_20[[#This Row],[DISTANCIA POR CARTA]]/V053_20[[#This Row],[TIEMPO DE NAVEGACION]])</f>
        <v>0</v>
      </c>
      <c r="J13" s="243"/>
      <c r="K13" s="244"/>
      <c r="L13" s="245">
        <v>0</v>
      </c>
      <c r="M13" s="246">
        <v>0.57291666666666674</v>
      </c>
      <c r="N13" s="246">
        <v>0.45833333333333331</v>
      </c>
      <c r="O13" s="257">
        <f>SUM(V055_20[[#This Row],[MPAL]:[CALDERA]])</f>
        <v>1.03125</v>
      </c>
      <c r="P13" s="319"/>
      <c r="Q13" s="281">
        <f>(Q12-V055_20[[#This Row],[TOTAL ]])+V055_20[[#This Row],[FAENA]]</f>
        <v>742.49166666666667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SUM(V055_20[[#This Row],[MPAL2]:[GI]])</f>
        <v>0</v>
      </c>
      <c r="X13" s="246">
        <v>0</v>
      </c>
      <c r="Y13" s="282">
        <f>(Y12-V055_20[[#This Row],[TOTAL]])+V055_20[[#This Row],[FAENA2]]</f>
        <v>39.299999999999997</v>
      </c>
      <c r="Z13" s="245"/>
      <c r="AA13" s="246"/>
      <c r="AB13" s="320">
        <f>(AB12-V055_20[[#This Row],[CYLINDER MP]])+V055_20[[#This Row],[FAENA EN LTS]]</f>
        <v>100</v>
      </c>
      <c r="AC13" s="246"/>
      <c r="AD13" s="246"/>
      <c r="AE13" s="320">
        <f>(AE12-V055_20[[#This Row],[CARTER MP.]])+V055_20[[#This Row],[FAENA EN LTS2]]</f>
        <v>100</v>
      </c>
      <c r="AF13" s="246"/>
      <c r="AG13" s="246"/>
      <c r="AH13" s="320">
        <f>(AH12-V055_20[[#This Row],[MOT AUX]])+V055_20[[#This Row],[FAENA EN  LTS]]</f>
        <v>100</v>
      </c>
      <c r="AI13" s="246"/>
      <c r="AJ13" s="246"/>
      <c r="AK13" s="321">
        <f>(AK12-V055_20[[#This Row],[HIDRAULICO]])+V055_20[[#This Row],[FAENA EN LTS3]]</f>
        <v>100</v>
      </c>
    </row>
    <row r="14" spans="1:37" x14ac:dyDescent="0.25">
      <c r="A14" s="235" t="s">
        <v>82</v>
      </c>
      <c r="B14" s="236">
        <v>43880</v>
      </c>
      <c r="C14" s="237">
        <v>0.10416666666666667</v>
      </c>
      <c r="D14" s="238">
        <f>IF(V055_20[[#This Row],[FECHA]]-B13=1,((V055_20[[#This Row],[HORA]]-C13)*24)+24,(V055_20[[#This Row],[HORA]]-C13)*24)</f>
        <v>0.6000000000000002</v>
      </c>
      <c r="E14" s="239" t="s">
        <v>47</v>
      </c>
      <c r="F14" s="240" t="s">
        <v>75</v>
      </c>
      <c r="G14" s="241"/>
      <c r="H14" s="50"/>
      <c r="I14" s="242">
        <f>IF(ISERROR(V053_20[[#This Row],[DISTANCIA POR CARTA]]/V053_20[[#This Row],[TIEMPO DE NAVEGACION]]),0,V053_20[[#This Row],[DISTANCIA POR CARTA]]/V053_20[[#This Row],[TIEMPO DE NAVEGACION]])</f>
        <v>0</v>
      </c>
      <c r="J14" s="243" t="s">
        <v>54</v>
      </c>
      <c r="K14" s="244">
        <v>95</v>
      </c>
      <c r="L14" s="245">
        <v>0.12500000000000006</v>
      </c>
      <c r="M14" s="246">
        <v>6.2500000000000028E-2</v>
      </c>
      <c r="N14" s="246">
        <v>5.0000000000000017E-2</v>
      </c>
      <c r="O14" s="257">
        <f>SUM(V055_20[[#This Row],[MPAL]:[CALDERA]])</f>
        <v>0.2375000000000001</v>
      </c>
      <c r="P14" s="319"/>
      <c r="Q14" s="281">
        <f>(Q13-V055_20[[#This Row],[TOTAL ]])+V055_20[[#This Row],[FAENA]]</f>
        <v>742.25416666666672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SUM(V055_20[[#This Row],[MPAL2]:[GI]])</f>
        <v>0</v>
      </c>
      <c r="X14" s="246">
        <v>0</v>
      </c>
      <c r="Y14" s="282">
        <f>(Y13-V055_20[[#This Row],[TOTAL]])+V055_20[[#This Row],[FAENA2]]</f>
        <v>39.299999999999997</v>
      </c>
      <c r="Z14" s="245"/>
      <c r="AA14" s="246"/>
      <c r="AB14" s="320">
        <f>(AB13-V055_20[[#This Row],[CYLINDER MP]])+V055_20[[#This Row],[FAENA EN LTS]]</f>
        <v>100</v>
      </c>
      <c r="AC14" s="246"/>
      <c r="AD14" s="246"/>
      <c r="AE14" s="320">
        <f>(AE13-V055_20[[#This Row],[CARTER MP.]])+V055_20[[#This Row],[FAENA EN LTS2]]</f>
        <v>100</v>
      </c>
      <c r="AF14" s="246"/>
      <c r="AG14" s="246"/>
      <c r="AH14" s="320">
        <f>(AH13-V055_20[[#This Row],[MOT AUX]])+V055_20[[#This Row],[FAENA EN  LTS]]</f>
        <v>100</v>
      </c>
      <c r="AI14" s="246"/>
      <c r="AJ14" s="246"/>
      <c r="AK14" s="321">
        <f>(AK13-V055_20[[#This Row],[HIDRAULICO]])+V055_20[[#This Row],[FAENA EN LTS3]]</f>
        <v>100</v>
      </c>
    </row>
    <row r="15" spans="1:37" x14ac:dyDescent="0.25">
      <c r="A15" s="235" t="s">
        <v>82</v>
      </c>
      <c r="B15" s="236">
        <v>43880</v>
      </c>
      <c r="C15" s="237">
        <v>0.33333333333333331</v>
      </c>
      <c r="D15" s="238">
        <f>IF(V055_20[[#This Row],[FECHA]]-B14=1,((V055_20[[#This Row],[HORA]]-C14)*24)+24,(V055_20[[#This Row],[HORA]]-C14)*24)</f>
        <v>5.4999999999999991</v>
      </c>
      <c r="E15" s="239" t="s">
        <v>55</v>
      </c>
      <c r="F15" s="240" t="s">
        <v>56</v>
      </c>
      <c r="G15" s="241"/>
      <c r="H15" s="50"/>
      <c r="I15" s="242">
        <f>IF(ISERROR(V053_20[[#This Row],[DISTANCIA POR CARTA]]/V053_20[[#This Row],[TIEMPO DE NAVEGACION]]),0,V053_20[[#This Row],[DISTANCIA POR CARTA]]/V053_20[[#This Row],[TIEMPO DE NAVEGACION]])</f>
        <v>0</v>
      </c>
      <c r="J15" s="243" t="s">
        <v>54</v>
      </c>
      <c r="K15" s="244">
        <v>95</v>
      </c>
      <c r="L15" s="245">
        <v>4.583333333333333</v>
      </c>
      <c r="M15" s="246">
        <v>0.57291666666666663</v>
      </c>
      <c r="N15" s="246">
        <v>0</v>
      </c>
      <c r="O15" s="257">
        <f>SUM(V055_20[[#This Row],[MPAL]:[CALDERA]])</f>
        <v>5.15625</v>
      </c>
      <c r="P15" s="319"/>
      <c r="Q15" s="281">
        <f>(Q14-V055_20[[#This Row],[TOTAL ]])+V055_20[[#This Row],[FAENA]]</f>
        <v>737.09791666666672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SUM(V055_20[[#This Row],[MPAL2]:[GI]])</f>
        <v>0</v>
      </c>
      <c r="X15" s="246">
        <v>0</v>
      </c>
      <c r="Y15" s="282">
        <f>(Y14-V055_20[[#This Row],[TOTAL]])+V055_20[[#This Row],[FAENA2]]</f>
        <v>39.299999999999997</v>
      </c>
      <c r="Z15" s="245"/>
      <c r="AA15" s="246"/>
      <c r="AB15" s="320">
        <f>(AB14-V055_20[[#This Row],[CYLINDER MP]])+V055_20[[#This Row],[FAENA EN LTS]]</f>
        <v>100</v>
      </c>
      <c r="AC15" s="246"/>
      <c r="AD15" s="246"/>
      <c r="AE15" s="320">
        <f>(AE14-V055_20[[#This Row],[CARTER MP.]])+V055_20[[#This Row],[FAENA EN LTS2]]</f>
        <v>100</v>
      </c>
      <c r="AF15" s="246"/>
      <c r="AG15" s="246"/>
      <c r="AH15" s="320">
        <f>(AH14-V055_20[[#This Row],[MOT AUX]])+V055_20[[#This Row],[FAENA EN  LTS]]</f>
        <v>100</v>
      </c>
      <c r="AI15" s="246"/>
      <c r="AJ15" s="246"/>
      <c r="AK15" s="321">
        <f>(AK14-V055_20[[#This Row],[HIDRAULICO]])+V055_20[[#This Row],[FAENA EN LTS3]]</f>
        <v>100</v>
      </c>
    </row>
    <row r="16" spans="1:37" x14ac:dyDescent="0.25">
      <c r="A16" s="235" t="s">
        <v>82</v>
      </c>
      <c r="B16" s="236">
        <v>43880</v>
      </c>
      <c r="C16" s="237">
        <v>0.4375</v>
      </c>
      <c r="D16" s="238">
        <f>IF(V055_20[[#This Row],[FECHA]]-B15=1,((V055_20[[#This Row],[HORA]]-C15)*24)+24,(V055_20[[#This Row],[HORA]]-C15)*24)</f>
        <v>2.5000000000000004</v>
      </c>
      <c r="E16" s="239" t="s">
        <v>55</v>
      </c>
      <c r="F16" s="240" t="s">
        <v>76</v>
      </c>
      <c r="G16" s="241">
        <v>91</v>
      </c>
      <c r="H16" s="50">
        <v>8</v>
      </c>
      <c r="I16" s="242">
        <f>IF(ISERROR(V053_20[[#This Row],[DISTANCIA POR CARTA]]/V053_20[[#This Row],[TIEMPO DE NAVEGACION]]),0,V053_20[[#This Row],[DISTANCIA POR CARTA]]/V053_20[[#This Row],[TIEMPO DE NAVEGACION]])</f>
        <v>0</v>
      </c>
      <c r="J16" s="243" t="s">
        <v>54</v>
      </c>
      <c r="K16" s="244">
        <v>95</v>
      </c>
      <c r="L16" s="245">
        <v>2.0833333333333339</v>
      </c>
      <c r="M16" s="246">
        <v>0.26041666666666674</v>
      </c>
      <c r="N16" s="246">
        <v>0</v>
      </c>
      <c r="O16" s="257">
        <f>SUM(V055_20[[#This Row],[MPAL]:[CALDERA]])</f>
        <v>2.3437500000000009</v>
      </c>
      <c r="P16" s="319"/>
      <c r="Q16" s="281">
        <f>(Q15-V055_20[[#This Row],[TOTAL ]])+V055_20[[#This Row],[FAENA]]</f>
        <v>734.75416666666672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SUM(V055_20[[#This Row],[MPAL2]:[GI]])</f>
        <v>0</v>
      </c>
      <c r="X16" s="246">
        <v>0</v>
      </c>
      <c r="Y16" s="282">
        <f>(Y15-V055_20[[#This Row],[TOTAL]])+V055_20[[#This Row],[FAENA2]]</f>
        <v>39.299999999999997</v>
      </c>
      <c r="Z16" s="245"/>
      <c r="AA16" s="246"/>
      <c r="AB16" s="320">
        <f>(AB15-V055_20[[#This Row],[CYLINDER MP]])+V055_20[[#This Row],[FAENA EN LTS]]</f>
        <v>100</v>
      </c>
      <c r="AC16" s="246"/>
      <c r="AD16" s="246"/>
      <c r="AE16" s="320">
        <f>(AE15-V055_20[[#This Row],[CARTER MP.]])+V055_20[[#This Row],[FAENA EN LTS2]]</f>
        <v>100</v>
      </c>
      <c r="AF16" s="246"/>
      <c r="AG16" s="246"/>
      <c r="AH16" s="320">
        <f>(AH15-V055_20[[#This Row],[MOT AUX]])+V055_20[[#This Row],[FAENA EN  LTS]]</f>
        <v>100</v>
      </c>
      <c r="AI16" s="246"/>
      <c r="AJ16" s="246"/>
      <c r="AK16" s="321">
        <f>(AK15-V055_20[[#This Row],[HIDRAULICO]])+V055_20[[#This Row],[FAENA EN LTS3]]</f>
        <v>100</v>
      </c>
    </row>
    <row r="17" spans="1:37" x14ac:dyDescent="0.25">
      <c r="A17" s="26" t="s">
        <v>82</v>
      </c>
      <c r="B17" s="48">
        <v>43880</v>
      </c>
      <c r="C17" s="41">
        <v>0.51250000000000007</v>
      </c>
      <c r="D17" s="238">
        <f>IF(V055_20[[#This Row],[FECHA]]-B16=1,((V055_20[[#This Row],[HORA]]-C16)*24)+24,(V055_20[[#This Row],[HORA]]-C16)*24)</f>
        <v>1.8000000000000016</v>
      </c>
      <c r="E17" s="51" t="s">
        <v>47</v>
      </c>
      <c r="F17" s="29" t="s">
        <v>48</v>
      </c>
      <c r="G17" s="49"/>
      <c r="H17" s="50"/>
      <c r="I17" s="33">
        <f>IF(ISERROR(V053_20[[#This Row],[DISTANCIA POR CARTA]]/V053_20[[#This Row],[TIEMPO DE NAVEGACION]]),0,V053_20[[#This Row],[DISTANCIA POR CARTA]]/V053_20[[#This Row],[TIEMPO DE NAVEGACION]])</f>
        <v>0</v>
      </c>
      <c r="J17" s="51"/>
      <c r="K17" s="52"/>
      <c r="L17" s="53">
        <v>0.15000000000000013</v>
      </c>
      <c r="M17" s="37">
        <v>0.18750000000000017</v>
      </c>
      <c r="N17" s="37">
        <v>0.15000000000000013</v>
      </c>
      <c r="O17" s="257">
        <f>SUM(V055_20[[#This Row],[MPAL]:[CALDERA]])</f>
        <v>0.48750000000000043</v>
      </c>
      <c r="P17" s="88"/>
      <c r="Q17" s="281">
        <f>(Q16-V055_20[[#This Row],[TOTAL ]])+V055_20[[#This Row],[FAENA]]</f>
        <v>734.26666666666677</v>
      </c>
      <c r="R17" s="53">
        <v>0</v>
      </c>
      <c r="S17" s="37">
        <v>0</v>
      </c>
      <c r="T17" s="37">
        <v>0</v>
      </c>
      <c r="U17" s="37">
        <v>0</v>
      </c>
      <c r="V17" s="37">
        <v>0</v>
      </c>
      <c r="W17" s="257">
        <f>SUM(V055_20[[#This Row],[MPAL2]:[GI]])</f>
        <v>0</v>
      </c>
      <c r="X17" s="37">
        <v>0</v>
      </c>
      <c r="Y17" s="282">
        <f>(Y16-V055_20[[#This Row],[TOTAL]])+V055_20[[#This Row],[FAENA2]]</f>
        <v>39.299999999999997</v>
      </c>
      <c r="Z17" s="53"/>
      <c r="AA17" s="37"/>
      <c r="AB17" s="320">
        <f>(AB16-V055_20[[#This Row],[CYLINDER MP]])+V055_20[[#This Row],[FAENA EN LTS]]</f>
        <v>100</v>
      </c>
      <c r="AC17" s="37"/>
      <c r="AD17" s="37"/>
      <c r="AE17" s="320">
        <f>(AE16-V055_20[[#This Row],[CARTER MP.]])+V055_20[[#This Row],[FAENA EN LTS2]]</f>
        <v>100</v>
      </c>
      <c r="AF17" s="37"/>
      <c r="AG17" s="37"/>
      <c r="AH17" s="320">
        <f>(AH16-V055_20[[#This Row],[MOT AUX]])+V055_20[[#This Row],[FAENA EN  LTS]]</f>
        <v>100</v>
      </c>
      <c r="AI17" s="37"/>
      <c r="AJ17" s="37"/>
      <c r="AK17" s="321">
        <f>(AK16-V055_20[[#This Row],[HIDRAULICO]])+V055_20[[#This Row],[FAENA EN LTS3]]</f>
        <v>100</v>
      </c>
    </row>
    <row r="18" spans="1:37" x14ac:dyDescent="0.25">
      <c r="A18" s="26" t="s">
        <v>82</v>
      </c>
      <c r="B18" s="48">
        <v>43880</v>
      </c>
      <c r="C18" s="41">
        <v>0.6166666666666667</v>
      </c>
      <c r="D18" s="238">
        <f>IF(V055_20[[#This Row],[FECHA]]-B17=1,((V055_20[[#This Row],[HORA]]-C17)*24)+24,(V055_20[[#This Row],[HORA]]-C17)*24)</f>
        <v>2.4999999999999991</v>
      </c>
      <c r="E18" s="51" t="s">
        <v>49</v>
      </c>
      <c r="F18" s="29" t="s">
        <v>50</v>
      </c>
      <c r="G18" s="49"/>
      <c r="H18" s="50"/>
      <c r="I18" s="33">
        <f>IF(ISERROR(V053_20[[#This Row],[DISTANCIA POR CARTA]]/V053_20[[#This Row],[TIEMPO DE NAVEGACION]]),0,V053_20[[#This Row],[DISTANCIA POR CARTA]]/V053_20[[#This Row],[TIEMPO DE NAVEGACION]])</f>
        <v>11.234567901234568</v>
      </c>
      <c r="J18" s="51"/>
      <c r="K18" s="52"/>
      <c r="L18" s="53">
        <v>0</v>
      </c>
      <c r="M18" s="37">
        <v>0.26041666666666657</v>
      </c>
      <c r="N18" s="37">
        <v>0.20833333333333326</v>
      </c>
      <c r="O18" s="257">
        <f>SUM(V055_20[[#This Row],[MPAL]:[CALDERA]])</f>
        <v>0.46874999999999983</v>
      </c>
      <c r="P18" s="88"/>
      <c r="Q18" s="281">
        <f>(Q17-V055_20[[#This Row],[TOTAL ]])+V055_20[[#This Row],[FAENA]]</f>
        <v>733.79791666666677</v>
      </c>
      <c r="R18" s="53">
        <v>0</v>
      </c>
      <c r="S18" s="37">
        <v>0</v>
      </c>
      <c r="T18" s="37">
        <v>0</v>
      </c>
      <c r="U18" s="37">
        <v>0</v>
      </c>
      <c r="V18" s="37">
        <v>0</v>
      </c>
      <c r="W18" s="257">
        <f>SUM(V055_20[[#This Row],[MPAL2]:[GI]])</f>
        <v>0</v>
      </c>
      <c r="X18" s="37">
        <v>0</v>
      </c>
      <c r="Y18" s="282">
        <f>(Y17-V055_20[[#This Row],[TOTAL]])+V055_20[[#This Row],[FAENA2]]</f>
        <v>39.299999999999997</v>
      </c>
      <c r="Z18" s="53"/>
      <c r="AA18" s="37"/>
      <c r="AB18" s="320">
        <f>(AB17-V055_20[[#This Row],[CYLINDER MP]])+V055_20[[#This Row],[FAENA EN LTS]]</f>
        <v>100</v>
      </c>
      <c r="AC18" s="37"/>
      <c r="AD18" s="37"/>
      <c r="AE18" s="320">
        <f>(AE17-V055_20[[#This Row],[CARTER MP.]])+V055_20[[#This Row],[FAENA EN LTS2]]</f>
        <v>100</v>
      </c>
      <c r="AF18" s="37"/>
      <c r="AG18" s="37"/>
      <c r="AH18" s="320">
        <f>(AH17-V055_20[[#This Row],[MOT AUX]])+V055_20[[#This Row],[FAENA EN  LTS]]</f>
        <v>100</v>
      </c>
      <c r="AI18" s="37"/>
      <c r="AJ18" s="37"/>
      <c r="AK18" s="321">
        <f>(AK17-V055_20[[#This Row],[HIDRAULICO]])+V055_20[[#This Row],[FAENA EN LTS3]]</f>
        <v>100</v>
      </c>
    </row>
    <row r="19" spans="1:37" x14ac:dyDescent="0.25">
      <c r="A19" s="26" t="s">
        <v>82</v>
      </c>
      <c r="B19" s="48">
        <v>43881</v>
      </c>
      <c r="C19" s="41">
        <v>1</v>
      </c>
      <c r="D19" s="238">
        <f>IF(V055_20[[#This Row],[FECHA]]-B18=1,((V055_20[[#This Row],[HORA]]-C18)*24)+24,(V055_20[[#This Row],[HORA]]-C18)*24)</f>
        <v>33.200000000000003</v>
      </c>
      <c r="E19" s="51" t="s">
        <v>51</v>
      </c>
      <c r="F19" s="29" t="s">
        <v>52</v>
      </c>
      <c r="G19" s="49"/>
      <c r="H19" s="50"/>
      <c r="I19" s="33">
        <f>IF(ISERROR(V053_20[[#This Row],[DISTANCIA POR CARTA]]/V053_20[[#This Row],[TIEMPO DE NAVEGACION]]),0,V053_20[[#This Row],[DISTANCIA POR CARTA]]/V053_20[[#This Row],[TIEMPO DE NAVEGACION]])</f>
        <v>0</v>
      </c>
      <c r="J19" s="51"/>
      <c r="K19" s="52"/>
      <c r="L19" s="53">
        <v>0</v>
      </c>
      <c r="M19" s="37">
        <v>0.95833333333333326</v>
      </c>
      <c r="N19" s="37">
        <v>0.76666666666666661</v>
      </c>
      <c r="O19" s="257">
        <f>SUM(V055_20[[#This Row],[MPAL]:[CALDERA]])</f>
        <v>1.7249999999999999</v>
      </c>
      <c r="P19" s="88"/>
      <c r="Q19" s="281">
        <f>(Q18-V055_20[[#This Row],[TOTAL ]])+V055_20[[#This Row],[FAENA]]</f>
        <v>732.07291666666674</v>
      </c>
      <c r="R19" s="53">
        <v>0</v>
      </c>
      <c r="S19" s="37">
        <v>0</v>
      </c>
      <c r="T19" s="37">
        <v>0</v>
      </c>
      <c r="U19" s="37">
        <v>0</v>
      </c>
      <c r="V19" s="37">
        <v>2.2999999999999998</v>
      </c>
      <c r="W19" s="257">
        <f>SUM(V055_20[[#This Row],[MPAL2]:[GI]])</f>
        <v>2.2999999999999998</v>
      </c>
      <c r="X19" s="37">
        <v>0</v>
      </c>
      <c r="Y19" s="282">
        <f>(Y18-V055_20[[#This Row],[TOTAL]])+V055_20[[#This Row],[FAENA2]]</f>
        <v>37</v>
      </c>
      <c r="Z19" s="53"/>
      <c r="AA19" s="37"/>
      <c r="AB19" s="320">
        <f>(AB18-V055_20[[#This Row],[CYLINDER MP]])+V055_20[[#This Row],[FAENA EN LTS]]</f>
        <v>100</v>
      </c>
      <c r="AC19" s="37"/>
      <c r="AD19" s="37"/>
      <c r="AE19" s="320">
        <f>(AE18-V055_20[[#This Row],[CARTER MP.]])+V055_20[[#This Row],[FAENA EN LTS2]]</f>
        <v>100</v>
      </c>
      <c r="AF19" s="37"/>
      <c r="AG19" s="37"/>
      <c r="AH19" s="320">
        <f>(AH18-V055_20[[#This Row],[MOT AUX]])+V055_20[[#This Row],[FAENA EN  LTS]]</f>
        <v>100</v>
      </c>
      <c r="AI19" s="37"/>
      <c r="AJ19" s="37"/>
      <c r="AK19" s="321">
        <f>(AK18-V055_20[[#This Row],[HIDRAULICO]])+V055_20[[#This Row],[FAENA EN LTS3]]</f>
        <v>100</v>
      </c>
    </row>
    <row r="20" spans="1:37" x14ac:dyDescent="0.25">
      <c r="A20" s="26" t="s">
        <v>82</v>
      </c>
      <c r="B20" s="48">
        <v>43881</v>
      </c>
      <c r="C20" s="41">
        <v>7.9166666666666663E-2</v>
      </c>
      <c r="D20" s="238">
        <f>IF(V055_20[[#This Row],[FECHA]]-B19=1,((V055_20[[#This Row],[HORA]]-C19)*24)+24,(V055_20[[#This Row],[HORA]]-C19)*24)</f>
        <v>-22.1</v>
      </c>
      <c r="E20" s="51" t="s">
        <v>49</v>
      </c>
      <c r="F20" s="29" t="s">
        <v>46</v>
      </c>
      <c r="G20" s="49"/>
      <c r="H20" s="50"/>
      <c r="I20" s="33">
        <f>IF(ISERROR(V053_20[[#This Row],[DISTANCIA POR CARTA]]/V053_20[[#This Row],[TIEMPO DE NAVEGACION]]),0,V053_20[[#This Row],[DISTANCIA POR CARTA]]/V053_20[[#This Row],[TIEMPO DE NAVEGACION]])</f>
        <v>0</v>
      </c>
      <c r="J20" s="51"/>
      <c r="K20" s="52"/>
      <c r="L20" s="53">
        <v>0</v>
      </c>
      <c r="M20" s="37">
        <v>0.19791666666666652</v>
      </c>
      <c r="N20" s="37">
        <v>0.15833333333333321</v>
      </c>
      <c r="O20" s="257">
        <f>SUM(V055_20[[#This Row],[MPAL]:[CALDERA]])</f>
        <v>0.35624999999999973</v>
      </c>
      <c r="P20" s="88"/>
      <c r="Q20" s="281">
        <f>(Q19-V055_20[[#This Row],[TOTAL ]])+V055_20[[#This Row],[FAENA]]</f>
        <v>731.7166666666667</v>
      </c>
      <c r="R20" s="53">
        <v>0</v>
      </c>
      <c r="S20" s="37">
        <v>0</v>
      </c>
      <c r="T20" s="37">
        <v>0</v>
      </c>
      <c r="U20" s="37">
        <v>0</v>
      </c>
      <c r="V20" s="37">
        <v>0</v>
      </c>
      <c r="W20" s="257">
        <f>SUM(V055_20[[#This Row],[MPAL2]:[GI]])</f>
        <v>0</v>
      </c>
      <c r="X20" s="37">
        <v>0</v>
      </c>
      <c r="Y20" s="282">
        <f>(Y19-V055_20[[#This Row],[TOTAL]])+V055_20[[#This Row],[FAENA2]]</f>
        <v>37</v>
      </c>
      <c r="Z20" s="53"/>
      <c r="AA20" s="37"/>
      <c r="AB20" s="320">
        <f>(AB19-V055_20[[#This Row],[CYLINDER MP]])+V055_20[[#This Row],[FAENA EN LTS]]</f>
        <v>100</v>
      </c>
      <c r="AC20" s="37"/>
      <c r="AD20" s="37"/>
      <c r="AE20" s="320">
        <f>(AE19-V055_20[[#This Row],[CARTER MP.]])+V055_20[[#This Row],[FAENA EN LTS2]]</f>
        <v>100</v>
      </c>
      <c r="AF20" s="37"/>
      <c r="AG20" s="37"/>
      <c r="AH20" s="320">
        <f>(AH19-V055_20[[#This Row],[MOT AUX]])+V055_20[[#This Row],[FAENA EN  LTS]]</f>
        <v>100</v>
      </c>
      <c r="AI20" s="37"/>
      <c r="AJ20" s="37"/>
      <c r="AK20" s="321">
        <f>(AK19-V055_20[[#This Row],[HIDRAULICO]])+V055_20[[#This Row],[FAENA EN LTS3]]</f>
        <v>100</v>
      </c>
    </row>
    <row r="21" spans="1:37" x14ac:dyDescent="0.25">
      <c r="A21" s="26" t="s">
        <v>82</v>
      </c>
      <c r="B21" s="48">
        <v>43881</v>
      </c>
      <c r="C21" s="41">
        <v>0.10416666666666667</v>
      </c>
      <c r="D21" s="238">
        <f>IF(V055_20[[#This Row],[FECHA]]-B20=1,((V055_20[[#This Row],[HORA]]-C20)*24)+24,(V055_20[[#This Row],[HORA]]-C20)*24)</f>
        <v>0.6000000000000002</v>
      </c>
      <c r="E21" s="51" t="s">
        <v>47</v>
      </c>
      <c r="F21" s="29" t="s">
        <v>79</v>
      </c>
      <c r="G21" s="49"/>
      <c r="H21" s="50"/>
      <c r="I21" s="33">
        <f>IF(ISERROR(V053_20[[#This Row],[DISTANCIA POR CARTA]]/V053_20[[#This Row],[TIEMPO DE NAVEGACION]]),0,V053_20[[#This Row],[DISTANCIA POR CARTA]]/V053_20[[#This Row],[TIEMPO DE NAVEGACION]])</f>
        <v>0</v>
      </c>
      <c r="J21" s="51" t="s">
        <v>81</v>
      </c>
      <c r="K21" s="52">
        <v>95</v>
      </c>
      <c r="L21" s="53">
        <v>0.12500000000000006</v>
      </c>
      <c r="M21" s="37">
        <v>6.2500000000000028E-2</v>
      </c>
      <c r="N21" s="37">
        <v>5.0000000000000017E-2</v>
      </c>
      <c r="O21" s="257">
        <f>SUM(V055_20[[#This Row],[MPAL]:[CALDERA]])</f>
        <v>0.2375000000000001</v>
      </c>
      <c r="P21" s="88"/>
      <c r="Q21" s="281">
        <f>(Q20-V055_20[[#This Row],[TOTAL ]])+V055_20[[#This Row],[FAENA]]</f>
        <v>731.47916666666674</v>
      </c>
      <c r="R21" s="53">
        <v>0</v>
      </c>
      <c r="S21" s="37">
        <v>0</v>
      </c>
      <c r="T21" s="37">
        <v>0</v>
      </c>
      <c r="U21" s="37">
        <v>0</v>
      </c>
      <c r="V21" s="37">
        <v>0</v>
      </c>
      <c r="W21" s="257">
        <f>SUM(V055_20[[#This Row],[MPAL2]:[GI]])</f>
        <v>0</v>
      </c>
      <c r="X21" s="37">
        <v>0</v>
      </c>
      <c r="Y21" s="282">
        <f>(Y20-V055_20[[#This Row],[TOTAL]])+V055_20[[#This Row],[FAENA2]]</f>
        <v>37</v>
      </c>
      <c r="Z21" s="53"/>
      <c r="AA21" s="37"/>
      <c r="AB21" s="320">
        <f>(AB20-V055_20[[#This Row],[CYLINDER MP]])+V055_20[[#This Row],[FAENA EN LTS]]</f>
        <v>100</v>
      </c>
      <c r="AC21" s="37"/>
      <c r="AD21" s="37"/>
      <c r="AE21" s="320">
        <f>(AE20-V055_20[[#This Row],[CARTER MP.]])+V055_20[[#This Row],[FAENA EN LTS2]]</f>
        <v>100</v>
      </c>
      <c r="AF21" s="37"/>
      <c r="AG21" s="37"/>
      <c r="AH21" s="320">
        <f>(AH20-V055_20[[#This Row],[MOT AUX]])+V055_20[[#This Row],[FAENA EN  LTS]]</f>
        <v>100</v>
      </c>
      <c r="AI21" s="37"/>
      <c r="AJ21" s="37"/>
      <c r="AK21" s="321">
        <f>(AK20-V055_20[[#This Row],[HIDRAULICO]])+V055_20[[#This Row],[FAENA EN LTS3]]</f>
        <v>100</v>
      </c>
    </row>
    <row r="22" spans="1:37" x14ac:dyDescent="0.25">
      <c r="A22" s="26" t="s">
        <v>82</v>
      </c>
      <c r="B22" s="48">
        <v>43881</v>
      </c>
      <c r="C22" s="41">
        <v>0.33333333333333331</v>
      </c>
      <c r="D22" s="238">
        <f>IF(V055_20[[#This Row],[FECHA]]-B21=1,((V055_20[[#This Row],[HORA]]-C21)*24)+24,(V055_20[[#This Row],[HORA]]-C21)*24)</f>
        <v>5.4999999999999991</v>
      </c>
      <c r="E22" s="51" t="s">
        <v>55</v>
      </c>
      <c r="F22" s="29" t="s">
        <v>56</v>
      </c>
      <c r="G22" s="49"/>
      <c r="H22" s="50"/>
      <c r="I22" s="33">
        <f>IF(ISERROR(V053_20[[#This Row],[DISTANCIA POR CARTA]]/V053_20[[#This Row],[TIEMPO DE NAVEGACION]]),0,V053_20[[#This Row],[DISTANCIA POR CARTA]]/V053_20[[#This Row],[TIEMPO DE NAVEGACION]])</f>
        <v>0</v>
      </c>
      <c r="J22" s="51" t="s">
        <v>81</v>
      </c>
      <c r="K22" s="52">
        <v>95</v>
      </c>
      <c r="L22" s="53">
        <v>4.583333333333333</v>
      </c>
      <c r="M22" s="37">
        <v>0.57291666666666663</v>
      </c>
      <c r="N22" s="37">
        <v>0</v>
      </c>
      <c r="O22" s="257">
        <f>SUM(V055_20[[#This Row],[MPAL]:[CALDERA]])</f>
        <v>5.15625</v>
      </c>
      <c r="P22" s="88"/>
      <c r="Q22" s="281">
        <f>(Q21-V055_20[[#This Row],[TOTAL ]])+V055_20[[#This Row],[FAENA]]</f>
        <v>726.32291666666674</v>
      </c>
      <c r="R22" s="53">
        <v>0</v>
      </c>
      <c r="S22" s="37">
        <v>0</v>
      </c>
      <c r="T22" s="37">
        <v>0</v>
      </c>
      <c r="U22" s="37">
        <v>0</v>
      </c>
      <c r="V22" s="37">
        <v>0</v>
      </c>
      <c r="W22" s="257">
        <f>SUM(V055_20[[#This Row],[MPAL2]:[GI]])</f>
        <v>0</v>
      </c>
      <c r="X22" s="37">
        <v>0</v>
      </c>
      <c r="Y22" s="282">
        <f>(Y21-V055_20[[#This Row],[TOTAL]])+V055_20[[#This Row],[FAENA2]]</f>
        <v>37</v>
      </c>
      <c r="Z22" s="53"/>
      <c r="AA22" s="37"/>
      <c r="AB22" s="320">
        <f>(AB21-V055_20[[#This Row],[CYLINDER MP]])+V055_20[[#This Row],[FAENA EN LTS]]</f>
        <v>100</v>
      </c>
      <c r="AC22" s="37"/>
      <c r="AD22" s="37"/>
      <c r="AE22" s="320">
        <f>(AE21-V055_20[[#This Row],[CARTER MP.]])+V055_20[[#This Row],[FAENA EN LTS2]]</f>
        <v>100</v>
      </c>
      <c r="AF22" s="37"/>
      <c r="AG22" s="37"/>
      <c r="AH22" s="320">
        <f>(AH21-V055_20[[#This Row],[MOT AUX]])+V055_20[[#This Row],[FAENA EN  LTS]]</f>
        <v>100</v>
      </c>
      <c r="AI22" s="37"/>
      <c r="AJ22" s="37"/>
      <c r="AK22" s="321">
        <f>(AK21-V055_20[[#This Row],[HIDRAULICO]])+V055_20[[#This Row],[FAENA EN LTS3]]</f>
        <v>100</v>
      </c>
    </row>
    <row r="23" spans="1:37" x14ac:dyDescent="0.25">
      <c r="A23" s="26" t="s">
        <v>82</v>
      </c>
      <c r="B23" s="48">
        <v>43882</v>
      </c>
      <c r="C23" s="41">
        <v>0.125</v>
      </c>
      <c r="D23" s="238">
        <f>IF(V055_20[[#This Row],[FECHA]]-B22=1,((V055_20[[#This Row],[HORA]]-C22)*24)+24,(V055_20[[#This Row],[HORA]]-C22)*24)</f>
        <v>19</v>
      </c>
      <c r="E23" s="51" t="s">
        <v>55</v>
      </c>
      <c r="F23" s="29" t="s">
        <v>80</v>
      </c>
      <c r="G23" s="49">
        <v>266</v>
      </c>
      <c r="H23" s="50">
        <v>24.5</v>
      </c>
      <c r="I23" s="33">
        <f>IF(ISERROR(V053_20[[#This Row],[DISTANCIA POR CARTA]]/V053_20[[#This Row],[TIEMPO DE NAVEGACION]]),0,V053_20[[#This Row],[DISTANCIA POR CARTA]]/V053_20[[#This Row],[TIEMPO DE NAVEGACION]])</f>
        <v>0</v>
      </c>
      <c r="J23" s="51" t="s">
        <v>81</v>
      </c>
      <c r="K23" s="52">
        <v>95</v>
      </c>
      <c r="L23" s="53">
        <v>15.833333333333334</v>
      </c>
      <c r="M23" s="37">
        <v>1.9791666666666667</v>
      </c>
      <c r="N23" s="37">
        <v>0</v>
      </c>
      <c r="O23" s="257">
        <f>SUM(V055_20[[#This Row],[MPAL]:[CALDERA]])</f>
        <v>17.8125</v>
      </c>
      <c r="P23" s="88"/>
      <c r="Q23" s="281">
        <f>(Q22-V055_20[[#This Row],[TOTAL ]])+V055_20[[#This Row],[FAENA]]</f>
        <v>708.51041666666674</v>
      </c>
      <c r="R23" s="53">
        <v>0</v>
      </c>
      <c r="S23" s="37">
        <v>0</v>
      </c>
      <c r="T23" s="37">
        <v>0</v>
      </c>
      <c r="U23" s="37">
        <v>0</v>
      </c>
      <c r="V23" s="37">
        <v>0</v>
      </c>
      <c r="W23" s="257">
        <f>SUM(V055_20[[#This Row],[MPAL2]:[GI]])</f>
        <v>0</v>
      </c>
      <c r="X23" s="37">
        <v>0</v>
      </c>
      <c r="Y23" s="282">
        <f>(Y22-V055_20[[#This Row],[TOTAL]])+V055_20[[#This Row],[FAENA2]]</f>
        <v>37</v>
      </c>
      <c r="Z23" s="53"/>
      <c r="AA23" s="37"/>
      <c r="AB23" s="320">
        <f>(AB22-V055_20[[#This Row],[CYLINDER MP]])+V055_20[[#This Row],[FAENA EN LTS]]</f>
        <v>100</v>
      </c>
      <c r="AC23" s="37"/>
      <c r="AD23" s="37"/>
      <c r="AE23" s="320">
        <f>(AE22-V055_20[[#This Row],[CARTER MP.]])+V055_20[[#This Row],[FAENA EN LTS2]]</f>
        <v>100</v>
      </c>
      <c r="AF23" s="37"/>
      <c r="AG23" s="37"/>
      <c r="AH23" s="320">
        <f>(AH22-V055_20[[#This Row],[MOT AUX]])+V055_20[[#This Row],[FAENA EN  LTS]]</f>
        <v>100</v>
      </c>
      <c r="AI23" s="37"/>
      <c r="AJ23" s="37"/>
      <c r="AK23" s="321">
        <f>(AK22-V055_20[[#This Row],[HIDRAULICO]])+V055_20[[#This Row],[FAENA EN LTS3]]</f>
        <v>100</v>
      </c>
    </row>
    <row r="24" spans="1:37" x14ac:dyDescent="0.25">
      <c r="A24" s="26" t="s">
        <v>82</v>
      </c>
      <c r="B24" s="48">
        <v>43882</v>
      </c>
      <c r="C24" s="41">
        <v>0.14583333333333334</v>
      </c>
      <c r="D24" s="238">
        <f>IF(V055_20[[#This Row],[FECHA]]-B23=1,((V055_20[[#This Row],[HORA]]-C23)*24)+24,(V055_20[[#This Row],[HORA]]-C23)*24)</f>
        <v>0.50000000000000022</v>
      </c>
      <c r="E24" s="51" t="s">
        <v>47</v>
      </c>
      <c r="F24" s="29" t="s">
        <v>48</v>
      </c>
      <c r="G24" s="49"/>
      <c r="H24" s="50"/>
      <c r="I24" s="33">
        <f>IF(ISERROR(V053_20[[#This Row],[DISTANCIA POR CARTA]]/V053_20[[#This Row],[TIEMPO DE NAVEGACION]]),0,V053_20[[#This Row],[DISTANCIA POR CARTA]]/V053_20[[#This Row],[TIEMPO DE NAVEGACION]])</f>
        <v>0</v>
      </c>
      <c r="J24" s="51"/>
      <c r="K24" s="52"/>
      <c r="L24" s="53">
        <v>0.10416666666666671</v>
      </c>
      <c r="M24" s="37">
        <v>5.2083333333333356E-2</v>
      </c>
      <c r="N24" s="37">
        <v>4.1666666666666685E-2</v>
      </c>
      <c r="O24" s="257">
        <f>SUM(V055_20[[#This Row],[MPAL]:[CALDERA]])</f>
        <v>0.19791666666666674</v>
      </c>
      <c r="P24" s="88"/>
      <c r="Q24" s="281">
        <f>(Q23-V055_20[[#This Row],[TOTAL ]])+V055_20[[#This Row],[FAENA]]</f>
        <v>708.31250000000011</v>
      </c>
      <c r="R24" s="53">
        <v>0</v>
      </c>
      <c r="S24" s="37">
        <v>0</v>
      </c>
      <c r="T24" s="37">
        <v>0</v>
      </c>
      <c r="U24" s="37">
        <v>0</v>
      </c>
      <c r="V24" s="37">
        <v>0</v>
      </c>
      <c r="W24" s="257">
        <f>SUM(V055_20[[#This Row],[MPAL2]:[GI]])</f>
        <v>0</v>
      </c>
      <c r="X24" s="37">
        <v>0</v>
      </c>
      <c r="Y24" s="282">
        <f>(Y23-V055_20[[#This Row],[TOTAL]])+V055_20[[#This Row],[FAENA2]]</f>
        <v>37</v>
      </c>
      <c r="Z24" s="53"/>
      <c r="AA24" s="37"/>
      <c r="AB24" s="320">
        <f>(AB23-V055_20[[#This Row],[CYLINDER MP]])+V055_20[[#This Row],[FAENA EN LTS]]</f>
        <v>100</v>
      </c>
      <c r="AC24" s="37"/>
      <c r="AD24" s="37"/>
      <c r="AE24" s="320">
        <f>(AE23-V055_20[[#This Row],[CARTER MP.]])+V055_20[[#This Row],[FAENA EN LTS2]]</f>
        <v>100</v>
      </c>
      <c r="AF24" s="37"/>
      <c r="AG24" s="37"/>
      <c r="AH24" s="320">
        <f>(AH23-V055_20[[#This Row],[MOT AUX]])+V055_20[[#This Row],[FAENA EN  LTS]]</f>
        <v>100</v>
      </c>
      <c r="AI24" s="37"/>
      <c r="AJ24" s="37"/>
      <c r="AK24" s="321">
        <f>(AK23-V055_20[[#This Row],[HIDRAULICO]])+V055_20[[#This Row],[FAENA EN LTS3]]</f>
        <v>100</v>
      </c>
    </row>
    <row r="25" spans="1:37" x14ac:dyDescent="0.25">
      <c r="A25" s="235" t="s">
        <v>82</v>
      </c>
      <c r="B25" s="236">
        <v>43882</v>
      </c>
      <c r="C25" s="237">
        <v>0.33333333333333331</v>
      </c>
      <c r="D25" s="238">
        <f>IF(V055_20[[#This Row],[FECHA]]-B24=1,((V055_20[[#This Row],[HORA]]-C24)*24)+24,(V055_20[[#This Row],[HORA]]-C24)*24)</f>
        <v>4.4999999999999991</v>
      </c>
      <c r="E25" s="239" t="s">
        <v>45</v>
      </c>
      <c r="F25" s="240" t="s">
        <v>45</v>
      </c>
      <c r="G25" s="241"/>
      <c r="H25" s="50"/>
      <c r="I25" s="242">
        <f>IF(ISERROR(V053_20[[#This Row],[DISTANCIA POR CARTA]]/V053_20[[#This Row],[TIEMPO DE NAVEGACION]]),0,V053_20[[#This Row],[DISTANCIA POR CARTA]]/V053_20[[#This Row],[TIEMPO DE NAVEGACION]])</f>
        <v>0</v>
      </c>
      <c r="J25" s="243"/>
      <c r="K25" s="244"/>
      <c r="L25" s="245">
        <v>0</v>
      </c>
      <c r="M25" s="246">
        <v>0.46874999999999994</v>
      </c>
      <c r="N25" s="246">
        <v>0.37499999999999989</v>
      </c>
      <c r="O25" s="257">
        <f>SUM(V055_20[[#This Row],[MPAL]:[CALDERA]])</f>
        <v>0.84374999999999978</v>
      </c>
      <c r="P25" s="319"/>
      <c r="Q25" s="281">
        <f>(Q24-V055_20[[#This Row],[TOTAL ]])+V055_20[[#This Row],[FAENA]]</f>
        <v>707.46875000000011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SUM(V055_20[[#This Row],[MPAL2]:[GI]])</f>
        <v>0</v>
      </c>
      <c r="X25" s="246">
        <v>0</v>
      </c>
      <c r="Y25" s="282">
        <f>(Y24-V055_20[[#This Row],[TOTAL]])+V055_20[[#This Row],[FAENA2]]</f>
        <v>37</v>
      </c>
      <c r="Z25" s="245"/>
      <c r="AA25" s="246"/>
      <c r="AB25" s="320">
        <f>(AB24-V055_20[[#This Row],[CYLINDER MP]])+V055_20[[#This Row],[FAENA EN LTS]]</f>
        <v>100</v>
      </c>
      <c r="AC25" s="246"/>
      <c r="AD25" s="246"/>
      <c r="AE25" s="320">
        <f>(AE24-V055_20[[#This Row],[CARTER MP.]])+V055_20[[#This Row],[FAENA EN LTS2]]</f>
        <v>100</v>
      </c>
      <c r="AF25" s="246"/>
      <c r="AG25" s="246"/>
      <c r="AH25" s="320">
        <f>(AH24-V055_20[[#This Row],[MOT AUX]])+V055_20[[#This Row],[FAENA EN  LTS]]</f>
        <v>100</v>
      </c>
      <c r="AI25" s="246"/>
      <c r="AJ25" s="246"/>
      <c r="AK25" s="321">
        <f>(AK24-V055_20[[#This Row],[HIDRAULICO]])+V055_20[[#This Row],[FAENA EN LTS3]]</f>
        <v>100</v>
      </c>
    </row>
    <row r="26" spans="1:37" x14ac:dyDescent="0.25">
      <c r="A26" s="235" t="s">
        <v>82</v>
      </c>
      <c r="B26" s="236">
        <v>43883</v>
      </c>
      <c r="C26" s="237">
        <v>0.33333333333333331</v>
      </c>
      <c r="D26" s="238">
        <f>IF(V055_20[[#This Row],[FECHA]]-B25=1,((V055_20[[#This Row],[HORA]]-C25)*24)+24,(V055_20[[#This Row],[HORA]]-C25)*24)</f>
        <v>24</v>
      </c>
      <c r="E26" s="239" t="s">
        <v>45</v>
      </c>
      <c r="F26" s="240" t="s">
        <v>45</v>
      </c>
      <c r="G26" s="241"/>
      <c r="H26" s="50"/>
      <c r="I26" s="242">
        <f>IF(ISERROR(V053_20[[#This Row],[DISTANCIA POR CARTA]]/V053_20[[#This Row],[TIEMPO DE NAVEGACION]]),0,V053_20[[#This Row],[DISTANCIA POR CARTA]]/V053_20[[#This Row],[TIEMPO DE NAVEGACION]])</f>
        <v>0</v>
      </c>
      <c r="J26" s="243"/>
      <c r="K26" s="244"/>
      <c r="L26" s="245">
        <v>0</v>
      </c>
      <c r="M26" s="246">
        <v>2.4</v>
      </c>
      <c r="N26" s="246">
        <v>2</v>
      </c>
      <c r="O26" s="257">
        <f>SUM(V055_20[[#This Row],[MPAL]:[CALDERA]])</f>
        <v>4.4000000000000004</v>
      </c>
      <c r="P26" s="319"/>
      <c r="Q26" s="281">
        <f>(Q25-V055_20[[#This Row],[TOTAL ]])+V055_20[[#This Row],[FAENA]]</f>
        <v>703.06875000000014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SUM(V055_20[[#This Row],[MPAL2]:[GI]])</f>
        <v>0</v>
      </c>
      <c r="X26" s="246">
        <v>0</v>
      </c>
      <c r="Y26" s="282">
        <f>(Y25-V055_20[[#This Row],[TOTAL]])+V055_20[[#This Row],[FAENA2]]</f>
        <v>37</v>
      </c>
      <c r="Z26" s="245"/>
      <c r="AA26" s="246"/>
      <c r="AB26" s="320">
        <f>(AB25-V055_20[[#This Row],[CYLINDER MP]])+V055_20[[#This Row],[FAENA EN LTS]]</f>
        <v>100</v>
      </c>
      <c r="AC26" s="246"/>
      <c r="AD26" s="246"/>
      <c r="AE26" s="320">
        <f>(AE25-V055_20[[#This Row],[CARTER MP.]])+V055_20[[#This Row],[FAENA EN LTS2]]</f>
        <v>100</v>
      </c>
      <c r="AF26" s="246"/>
      <c r="AG26" s="246"/>
      <c r="AH26" s="320">
        <f>(AH25-V055_20[[#This Row],[MOT AUX]])+V055_20[[#This Row],[FAENA EN  LTS]]</f>
        <v>100</v>
      </c>
      <c r="AI26" s="246"/>
      <c r="AJ26" s="246"/>
      <c r="AK26" s="321">
        <f>(AK25-V055_20[[#This Row],[HIDRAULICO]])+V055_20[[#This Row],[FAENA EN LTS3]]</f>
        <v>100</v>
      </c>
    </row>
    <row r="27" spans="1:37" x14ac:dyDescent="0.25">
      <c r="A27" s="235" t="s">
        <v>82</v>
      </c>
      <c r="B27" s="236">
        <v>43884</v>
      </c>
      <c r="C27" s="237">
        <v>0.33333333333333331</v>
      </c>
      <c r="D27" s="238">
        <f>IF(V055_20[[#This Row],[FECHA]]-B26=1,((V055_20[[#This Row],[HORA]]-C26)*24)+24,(V055_20[[#This Row],[HORA]]-C26)*24)</f>
        <v>24</v>
      </c>
      <c r="E27" s="239" t="s">
        <v>45</v>
      </c>
      <c r="F27" s="240" t="s">
        <v>45</v>
      </c>
      <c r="G27" s="241"/>
      <c r="H27" s="50"/>
      <c r="I27" s="242">
        <f>IF(ISERROR(V053_20[[#This Row],[DISTANCIA POR CARTA]]/V053_20[[#This Row],[TIEMPO DE NAVEGACION]]),0,V053_20[[#This Row],[DISTANCIA POR CARTA]]/V053_20[[#This Row],[TIEMPO DE NAVEGACION]])</f>
        <v>10.991735537190083</v>
      </c>
      <c r="J27" s="243"/>
      <c r="K27" s="244"/>
      <c r="L27" s="245">
        <v>0</v>
      </c>
      <c r="M27" s="246">
        <v>2.5</v>
      </c>
      <c r="N27" s="246">
        <v>2</v>
      </c>
      <c r="O27" s="257">
        <f>SUM(V055_20[[#This Row],[MPAL]:[CALDERA]])</f>
        <v>4.5</v>
      </c>
      <c r="P27" s="319"/>
      <c r="Q27" s="281">
        <f>(Q26-V055_20[[#This Row],[TOTAL ]])+V055_20[[#This Row],[FAENA]]</f>
        <v>698.56875000000014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SUM(V055_20[[#This Row],[MPAL2]:[GI]])</f>
        <v>0</v>
      </c>
      <c r="X27" s="246">
        <v>0</v>
      </c>
      <c r="Y27" s="282">
        <f>(Y26-V055_20[[#This Row],[TOTAL]])+V055_20[[#This Row],[FAENA2]]</f>
        <v>37</v>
      </c>
      <c r="Z27" s="245"/>
      <c r="AA27" s="246"/>
      <c r="AB27" s="320">
        <f>(AB26-V055_20[[#This Row],[CYLINDER MP]])+V055_20[[#This Row],[FAENA EN LTS]]</f>
        <v>100</v>
      </c>
      <c r="AC27" s="246"/>
      <c r="AD27" s="246"/>
      <c r="AE27" s="320">
        <f>(AE26-V055_20[[#This Row],[CARTER MP.]])+V055_20[[#This Row],[FAENA EN LTS2]]</f>
        <v>100</v>
      </c>
      <c r="AF27" s="246"/>
      <c r="AG27" s="246"/>
      <c r="AH27" s="320">
        <f>(AH26-V055_20[[#This Row],[MOT AUX]])+V055_20[[#This Row],[FAENA EN  LTS]]</f>
        <v>100</v>
      </c>
      <c r="AI27" s="246"/>
      <c r="AJ27" s="246"/>
      <c r="AK27" s="321">
        <f>(AK26-V055_20[[#This Row],[HIDRAULICO]])+V055_20[[#This Row],[FAENA EN LTS3]]</f>
        <v>100</v>
      </c>
    </row>
    <row r="28" spans="1:37" x14ac:dyDescent="0.25">
      <c r="A28" s="235" t="s">
        <v>82</v>
      </c>
      <c r="B28" s="236">
        <v>43885</v>
      </c>
      <c r="C28" s="237">
        <v>0.33333333333333331</v>
      </c>
      <c r="D28" s="238">
        <f>IF(V055_20[[#This Row],[FECHA]]-B27=1,((V055_20[[#This Row],[HORA]]-C27)*24)+24,(V055_20[[#This Row],[HORA]]-C27)*24)</f>
        <v>24</v>
      </c>
      <c r="E28" s="239" t="s">
        <v>45</v>
      </c>
      <c r="F28" s="240" t="s">
        <v>45</v>
      </c>
      <c r="G28" s="241"/>
      <c r="H28" s="50"/>
      <c r="I28" s="242">
        <f>IF(ISERROR(V055_20[[#This Row],[DISTANCIA POR CARTA]]/V055_20[[#This Row],[TIEMPO DE NAVEGACION]]),0,V055_20[[#This Row],[DISTANCIA POR CARTA]]/V055_20[[#This Row],[TIEMPO DE NAVEGACION]])</f>
        <v>0</v>
      </c>
      <c r="J28" s="243"/>
      <c r="K28" s="244"/>
      <c r="L28" s="245">
        <v>0</v>
      </c>
      <c r="M28" s="246">
        <v>2.5</v>
      </c>
      <c r="N28" s="246">
        <v>2</v>
      </c>
      <c r="O28" s="257">
        <f>SUM(V055_20[[#This Row],[MPAL]:[CALDERA]])</f>
        <v>4.5</v>
      </c>
      <c r="P28" s="319"/>
      <c r="Q28" s="281">
        <f>(Q27-V055_20[[#This Row],[TOTAL ]])+V055_20[[#This Row],[FAENA]]</f>
        <v>694.06875000000014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SUM(V055_20[[#This Row],[MPAL2]:[GI]])</f>
        <v>0</v>
      </c>
      <c r="X28" s="246">
        <v>0</v>
      </c>
      <c r="Y28" s="282">
        <f>(Y27-V055_20[[#This Row],[TOTAL]])+V055_20[[#This Row],[FAENA2]]</f>
        <v>37</v>
      </c>
      <c r="Z28" s="245"/>
      <c r="AA28" s="246"/>
      <c r="AB28" s="320">
        <f>(AB27-V055_20[[#This Row],[CYLINDER MP]])+V055_20[[#This Row],[FAENA EN LTS]]</f>
        <v>100</v>
      </c>
      <c r="AC28" s="246"/>
      <c r="AD28" s="246"/>
      <c r="AE28" s="320">
        <f>(AE27-V055_20[[#This Row],[CARTER MP.]])+V055_20[[#This Row],[FAENA EN LTS2]]</f>
        <v>100</v>
      </c>
      <c r="AF28" s="246"/>
      <c r="AG28" s="246"/>
      <c r="AH28" s="320">
        <f>(AH27-V055_20[[#This Row],[MOT AUX]])+V055_20[[#This Row],[FAENA EN  LTS]]</f>
        <v>100</v>
      </c>
      <c r="AI28" s="246"/>
      <c r="AJ28" s="246"/>
      <c r="AK28" s="321">
        <f>(AK27-V055_20[[#This Row],[HIDRAULICO]])+V055_20[[#This Row],[FAENA EN LTS3]]</f>
        <v>100</v>
      </c>
    </row>
    <row r="29" spans="1:37" x14ac:dyDescent="0.25">
      <c r="A29" s="235" t="s">
        <v>82</v>
      </c>
      <c r="B29" s="236">
        <v>43886</v>
      </c>
      <c r="C29" s="237">
        <v>0.33333333333333331</v>
      </c>
      <c r="D29" s="238">
        <f>IF(V055_20[[#This Row],[FECHA]]-B28=1,((V055_20[[#This Row],[HORA]]-C28)*24)+24,(V055_20[[#This Row],[HORA]]-C28)*24)</f>
        <v>24</v>
      </c>
      <c r="E29" s="239" t="s">
        <v>45</v>
      </c>
      <c r="F29" s="240" t="s">
        <v>45</v>
      </c>
      <c r="G29" s="241"/>
      <c r="H29" s="50"/>
      <c r="I29" s="242">
        <f>IF(ISERROR(V053_20[[#This Row],[DISTANCIA POR CARTA]]/V053_20[[#This Row],[TIEMPO DE NAVEGACION]]),0,V053_20[[#This Row],[DISTANCIA POR CARTA]]/V053_20[[#This Row],[TIEMPO DE NAVEGACION]])</f>
        <v>0</v>
      </c>
      <c r="J29" s="243"/>
      <c r="K29" s="244"/>
      <c r="L29" s="245">
        <v>0</v>
      </c>
      <c r="M29" s="246">
        <v>2.5</v>
      </c>
      <c r="N29" s="246">
        <v>2</v>
      </c>
      <c r="O29" s="257">
        <f>SUM(V055_20[[#This Row],[MPAL]:[CALDERA]])</f>
        <v>4.5</v>
      </c>
      <c r="P29" s="319"/>
      <c r="Q29" s="281">
        <f>(Q28-V055_20[[#This Row],[TOTAL ]])+V055_20[[#This Row],[FAENA]]</f>
        <v>689.56875000000014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SUM(V055_20[[#This Row],[MPAL2]:[GI]])</f>
        <v>0</v>
      </c>
      <c r="X29" s="246">
        <v>0</v>
      </c>
      <c r="Y29" s="282">
        <f>(Y28-V055_20[[#This Row],[TOTAL]])+V055_20[[#This Row],[FAENA2]]</f>
        <v>37</v>
      </c>
      <c r="Z29" s="245"/>
      <c r="AA29" s="246"/>
      <c r="AB29" s="320">
        <f>(AB28-V055_20[[#This Row],[CYLINDER MP]])+V055_20[[#This Row],[FAENA EN LTS]]</f>
        <v>100</v>
      </c>
      <c r="AC29" s="246"/>
      <c r="AD29" s="246"/>
      <c r="AE29" s="320">
        <f>(AE28-V055_20[[#This Row],[CARTER MP.]])+V055_20[[#This Row],[FAENA EN LTS2]]</f>
        <v>100</v>
      </c>
      <c r="AF29" s="246"/>
      <c r="AG29" s="246"/>
      <c r="AH29" s="320">
        <f>(AH28-V055_20[[#This Row],[MOT AUX]])+V055_20[[#This Row],[FAENA EN  LTS]]</f>
        <v>100</v>
      </c>
      <c r="AI29" s="246"/>
      <c r="AJ29" s="246"/>
      <c r="AK29" s="321">
        <f>(AK28-V055_20[[#This Row],[HIDRAULICO]])+V055_20[[#This Row],[FAENA EN LTS3]]</f>
        <v>100</v>
      </c>
    </row>
    <row r="30" spans="1:37" x14ac:dyDescent="0.25">
      <c r="A30" s="235" t="s">
        <v>82</v>
      </c>
      <c r="B30" s="236">
        <v>43887</v>
      </c>
      <c r="C30" s="237">
        <v>0.33333333333333331</v>
      </c>
      <c r="D30" s="238">
        <f>IF(V055_20[[#This Row],[FECHA]]-B29=1,((V055_20[[#This Row],[HORA]]-C29)*24)+24,(V055_20[[#This Row],[HORA]]-C29)*24)</f>
        <v>24</v>
      </c>
      <c r="E30" s="239" t="s">
        <v>45</v>
      </c>
      <c r="F30" s="240" t="s">
        <v>45</v>
      </c>
      <c r="G30" s="241"/>
      <c r="H30" s="50"/>
      <c r="I30" s="242">
        <f>IF(ISERROR(V053_20[[#This Row],[DISTANCIA POR CARTA]]/V053_20[[#This Row],[TIEMPO DE NAVEGACION]]),0,V053_20[[#This Row],[DISTANCIA POR CARTA]]/V053_20[[#This Row],[TIEMPO DE NAVEGACION]])</f>
        <v>0</v>
      </c>
      <c r="J30" s="243"/>
      <c r="K30" s="244"/>
      <c r="L30" s="245">
        <v>0</v>
      </c>
      <c r="M30" s="246">
        <v>2.5</v>
      </c>
      <c r="N30" s="246">
        <v>2</v>
      </c>
      <c r="O30" s="257">
        <f>SUM(V055_20[[#This Row],[MPAL]:[CALDERA]])</f>
        <v>4.5</v>
      </c>
      <c r="P30" s="319"/>
      <c r="Q30" s="281">
        <f>(Q29-V055_20[[#This Row],[TOTAL ]])+V055_20[[#This Row],[FAENA]]</f>
        <v>685.06875000000014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SUM(V055_20[[#This Row],[MPAL2]:[GI]])</f>
        <v>0</v>
      </c>
      <c r="X30" s="246">
        <v>0</v>
      </c>
      <c r="Y30" s="282">
        <f>(Y29-V055_20[[#This Row],[TOTAL]])+V055_20[[#This Row],[FAENA2]]</f>
        <v>37</v>
      </c>
      <c r="Z30" s="245"/>
      <c r="AA30" s="246"/>
      <c r="AB30" s="320">
        <f>(AB29-V055_20[[#This Row],[CYLINDER MP]])+V055_20[[#This Row],[FAENA EN LTS]]</f>
        <v>100</v>
      </c>
      <c r="AC30" s="246"/>
      <c r="AD30" s="246"/>
      <c r="AE30" s="320">
        <f>(AE29-V055_20[[#This Row],[CARTER MP.]])+V055_20[[#This Row],[FAENA EN LTS2]]</f>
        <v>100</v>
      </c>
      <c r="AF30" s="246"/>
      <c r="AG30" s="246"/>
      <c r="AH30" s="320">
        <f>(AH29-V055_20[[#This Row],[MOT AUX]])+V055_20[[#This Row],[FAENA EN  LTS]]</f>
        <v>100</v>
      </c>
      <c r="AI30" s="246"/>
      <c r="AJ30" s="246"/>
      <c r="AK30" s="321">
        <f>(AK29-V055_20[[#This Row],[HIDRAULICO]])+V055_20[[#This Row],[FAENA EN LTS3]]</f>
        <v>100</v>
      </c>
    </row>
    <row r="31" spans="1:37" x14ac:dyDescent="0.25">
      <c r="A31" s="235" t="s">
        <v>82</v>
      </c>
      <c r="B31" s="236">
        <v>43888</v>
      </c>
      <c r="C31" s="237">
        <v>0.33333333333333331</v>
      </c>
      <c r="D31" s="238">
        <f>IF(V055_20[[#This Row],[FECHA]]-B30=1,((V055_20[[#This Row],[HORA]]-C30)*24)+24,(V055_20[[#This Row],[HORA]]-C30)*24)</f>
        <v>24</v>
      </c>
      <c r="E31" s="239" t="s">
        <v>45</v>
      </c>
      <c r="F31" s="240" t="s">
        <v>45</v>
      </c>
      <c r="G31" s="241"/>
      <c r="H31" s="50"/>
      <c r="I31" s="242">
        <f>IF(ISERROR(V053_20[[#This Row],[DISTANCIA POR CARTA]]/V053_20[[#This Row],[TIEMPO DE NAVEGACION]]),0,V053_20[[#This Row],[DISTANCIA POR CARTA]]/V053_20[[#This Row],[TIEMPO DE NAVEGACION]])</f>
        <v>0</v>
      </c>
      <c r="J31" s="243"/>
      <c r="K31" s="244"/>
      <c r="L31" s="245">
        <v>0</v>
      </c>
      <c r="M31" s="246">
        <v>2.5</v>
      </c>
      <c r="N31" s="246">
        <v>2</v>
      </c>
      <c r="O31" s="257">
        <f>SUM(V055_20[[#This Row],[MPAL]:[CALDERA]])</f>
        <v>4.5</v>
      </c>
      <c r="P31" s="319"/>
      <c r="Q31" s="281">
        <f>(Q30-V055_20[[#This Row],[TOTAL ]])+V055_20[[#This Row],[FAENA]]</f>
        <v>680.56875000000014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SUM(V055_20[[#This Row],[MPAL2]:[GI]])</f>
        <v>0</v>
      </c>
      <c r="X31" s="246">
        <v>0</v>
      </c>
      <c r="Y31" s="282">
        <f>(Y30-V055_20[[#This Row],[TOTAL]])+V055_20[[#This Row],[FAENA2]]</f>
        <v>37</v>
      </c>
      <c r="Z31" s="245"/>
      <c r="AA31" s="246"/>
      <c r="AB31" s="320">
        <f>(AB30-V055_20[[#This Row],[CYLINDER MP]])+V055_20[[#This Row],[FAENA EN LTS]]</f>
        <v>100</v>
      </c>
      <c r="AC31" s="246"/>
      <c r="AD31" s="246"/>
      <c r="AE31" s="320">
        <f>(AE30-V055_20[[#This Row],[CARTER MP.]])+V055_20[[#This Row],[FAENA EN LTS2]]</f>
        <v>100</v>
      </c>
      <c r="AF31" s="246"/>
      <c r="AG31" s="246"/>
      <c r="AH31" s="320">
        <f>(AH30-V055_20[[#This Row],[MOT AUX]])+V055_20[[#This Row],[FAENA EN  LTS]]</f>
        <v>100</v>
      </c>
      <c r="AI31" s="246"/>
      <c r="AJ31" s="246"/>
      <c r="AK31" s="321">
        <f>(AK30-V055_20[[#This Row],[HIDRAULICO]])+V055_20[[#This Row],[FAENA EN LTS3]]</f>
        <v>100</v>
      </c>
    </row>
    <row r="32" spans="1:37" x14ac:dyDescent="0.25">
      <c r="A32" s="235" t="s">
        <v>82</v>
      </c>
      <c r="B32" s="236">
        <v>43888</v>
      </c>
      <c r="C32" s="237">
        <v>0.5083333333333333</v>
      </c>
      <c r="D32" s="238">
        <f>IF(V055_20[[#This Row],[FECHA]]-B31=1,((V055_20[[#This Row],[HORA]]-C31)*24)+24,(V055_20[[#This Row],[HORA]]-C31)*24)</f>
        <v>4.1999999999999993</v>
      </c>
      <c r="E32" s="239" t="s">
        <v>45</v>
      </c>
      <c r="F32" s="240" t="s">
        <v>46</v>
      </c>
      <c r="G32" s="241"/>
      <c r="H32" s="50"/>
      <c r="I32" s="242">
        <f>IF(ISERROR(V053_20[[#This Row],[DISTANCIA POR CARTA]]/V053_20[[#This Row],[TIEMPO DE NAVEGACION]]),0,V053_20[[#This Row],[DISTANCIA POR CARTA]]/V053_20[[#This Row],[TIEMPO DE NAVEGACION]])</f>
        <v>0</v>
      </c>
      <c r="J32" s="243"/>
      <c r="K32" s="244"/>
      <c r="L32" s="245">
        <v>0</v>
      </c>
      <c r="M32" s="246">
        <v>0.43749999999999994</v>
      </c>
      <c r="N32" s="246">
        <v>0.34999999999999992</v>
      </c>
      <c r="O32" s="257">
        <f>SUM(V055_20[[#This Row],[MPAL]:[CALDERA]])</f>
        <v>0.78749999999999987</v>
      </c>
      <c r="P32" s="319"/>
      <c r="Q32" s="281">
        <f>(Q31-V055_20[[#This Row],[TOTAL ]])+V055_20[[#This Row],[FAENA]]</f>
        <v>679.78125000000011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SUM(V055_20[[#This Row],[MPAL2]:[GI]])</f>
        <v>0</v>
      </c>
      <c r="X32" s="246">
        <v>0</v>
      </c>
      <c r="Y32" s="282">
        <f>(Y31-V055_20[[#This Row],[TOTAL]])+V055_20[[#This Row],[FAENA2]]</f>
        <v>37</v>
      </c>
      <c r="Z32" s="245"/>
      <c r="AA32" s="246"/>
      <c r="AB32" s="320">
        <f>(AB31-V055_20[[#This Row],[CYLINDER MP]])+V055_20[[#This Row],[FAENA EN LTS]]</f>
        <v>100</v>
      </c>
      <c r="AC32" s="246"/>
      <c r="AD32" s="246"/>
      <c r="AE32" s="320">
        <f>(AE31-V055_20[[#This Row],[CARTER MP.]])+V055_20[[#This Row],[FAENA EN LTS2]]</f>
        <v>100</v>
      </c>
      <c r="AF32" s="246"/>
      <c r="AG32" s="246"/>
      <c r="AH32" s="320">
        <f>(AH31-V055_20[[#This Row],[MOT AUX]])+V055_20[[#This Row],[FAENA EN  LTS]]</f>
        <v>100</v>
      </c>
      <c r="AI32" s="246"/>
      <c r="AJ32" s="246"/>
      <c r="AK32" s="321">
        <f>(AK31-V055_20[[#This Row],[HIDRAULICO]])+V055_20[[#This Row],[FAENA EN LTS3]]</f>
        <v>100</v>
      </c>
    </row>
    <row r="33" spans="1:37" x14ac:dyDescent="0.25">
      <c r="A33" s="235" t="s">
        <v>82</v>
      </c>
      <c r="B33" s="236">
        <v>43888</v>
      </c>
      <c r="C33" s="237">
        <v>0.5625</v>
      </c>
      <c r="D33" s="238">
        <f>IF(V055_20[[#This Row],[FECHA]]-B32=1,((V055_20[[#This Row],[HORA]]-C32)*24)+24,(V055_20[[#This Row],[HORA]]-C32)*24)</f>
        <v>1.3000000000000007</v>
      </c>
      <c r="E33" s="239" t="s">
        <v>47</v>
      </c>
      <c r="F33" s="240" t="s">
        <v>48</v>
      </c>
      <c r="G33" s="241"/>
      <c r="H33" s="50"/>
      <c r="I33" s="242">
        <f>IF(ISERROR(V053_20[[#This Row],[DISTANCIA POR CARTA]]/V053_20[[#This Row],[TIEMPO DE NAVEGACION]]),0,V053_20[[#This Row],[DISTANCIA POR CARTA]]/V053_20[[#This Row],[TIEMPO DE NAVEGACION]])</f>
        <v>0</v>
      </c>
      <c r="J33" s="243"/>
      <c r="K33" s="244"/>
      <c r="L33" s="245">
        <v>0.27083333333333348</v>
      </c>
      <c r="M33" s="246">
        <v>0.13541666666666674</v>
      </c>
      <c r="N33" s="246">
        <v>0.10833333333333339</v>
      </c>
      <c r="O33" s="257">
        <f>SUM(V055_20[[#This Row],[MPAL]:[CALDERA]])</f>
        <v>0.51458333333333361</v>
      </c>
      <c r="P33" s="319"/>
      <c r="Q33" s="281">
        <f>(Q32-V055_20[[#This Row],[TOTAL ]])+V055_20[[#This Row],[FAENA]]</f>
        <v>679.26666666666677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SUM(V055_20[[#This Row],[MPAL2]:[GI]])</f>
        <v>0</v>
      </c>
      <c r="X33" s="246">
        <v>0</v>
      </c>
      <c r="Y33" s="282">
        <f>(Y32-V055_20[[#This Row],[TOTAL]])+V055_20[[#This Row],[FAENA2]]</f>
        <v>37</v>
      </c>
      <c r="Z33" s="245"/>
      <c r="AA33" s="246"/>
      <c r="AB33" s="320">
        <f>(AB32-V055_20[[#This Row],[CYLINDER MP]])+V055_20[[#This Row],[FAENA EN LTS]]</f>
        <v>100</v>
      </c>
      <c r="AC33" s="246"/>
      <c r="AD33" s="246"/>
      <c r="AE33" s="320">
        <f>(AE32-V055_20[[#This Row],[CARTER MP.]])+V055_20[[#This Row],[FAENA EN LTS2]]</f>
        <v>100</v>
      </c>
      <c r="AF33" s="246"/>
      <c r="AG33" s="246"/>
      <c r="AH33" s="320">
        <f>(AH32-V055_20[[#This Row],[MOT AUX]])+V055_20[[#This Row],[FAENA EN  LTS]]</f>
        <v>100</v>
      </c>
      <c r="AI33" s="246"/>
      <c r="AJ33" s="246"/>
      <c r="AK33" s="321">
        <f>(AK32-V055_20[[#This Row],[HIDRAULICO]])+V055_20[[#This Row],[FAENA EN LTS3]]</f>
        <v>100</v>
      </c>
    </row>
    <row r="34" spans="1:37" x14ac:dyDescent="0.25">
      <c r="A34" s="235" t="s">
        <v>82</v>
      </c>
      <c r="B34" s="236">
        <v>43888</v>
      </c>
      <c r="C34" s="237">
        <v>0.6958333333333333</v>
      </c>
      <c r="D34" s="238">
        <f>IF(V055_20[[#This Row],[FECHA]]-B33=1,((V055_20[[#This Row],[HORA]]-C33)*24)+24,(V055_20[[#This Row],[HORA]]-C33)*24)</f>
        <v>3.1999999999999993</v>
      </c>
      <c r="E34" s="239" t="s">
        <v>49</v>
      </c>
      <c r="F34" s="240" t="s">
        <v>50</v>
      </c>
      <c r="G34" s="241"/>
      <c r="H34" s="50"/>
      <c r="I34" s="242">
        <f>IF(ISERROR(V053_20[[#This Row],[DISTANCIA POR CARTA]]/V053_20[[#This Row],[TIEMPO DE NAVEGACION]]),0,V053_20[[#This Row],[DISTANCIA POR CARTA]]/V053_20[[#This Row],[TIEMPO DE NAVEGACION]])</f>
        <v>0</v>
      </c>
      <c r="J34" s="243"/>
      <c r="K34" s="244"/>
      <c r="L34" s="245">
        <v>0</v>
      </c>
      <c r="M34" s="246">
        <v>0.33333333333333326</v>
      </c>
      <c r="N34" s="246">
        <v>0.26666666666666661</v>
      </c>
      <c r="O34" s="257">
        <f>SUM(V055_20[[#This Row],[MPAL]:[CALDERA]])</f>
        <v>0.59999999999999987</v>
      </c>
      <c r="P34" s="319"/>
      <c r="Q34" s="281">
        <f>(Q33-V055_20[[#This Row],[TOTAL ]])+V055_20[[#This Row],[FAENA]]</f>
        <v>678.66666666666674</v>
      </c>
      <c r="R34" s="245">
        <v>0</v>
      </c>
      <c r="S34" s="246">
        <v>0</v>
      </c>
      <c r="T34" s="246">
        <v>0</v>
      </c>
      <c r="U34" s="246">
        <v>0</v>
      </c>
      <c r="V34" s="246">
        <v>0.4</v>
      </c>
      <c r="W34" s="257">
        <f>SUM(V055_20[[#This Row],[MPAL2]:[GI]])</f>
        <v>0.4</v>
      </c>
      <c r="X34" s="246">
        <v>0</v>
      </c>
      <c r="Y34" s="282">
        <f>(Y33-V055_20[[#This Row],[TOTAL]])+V055_20[[#This Row],[FAENA2]]</f>
        <v>36.6</v>
      </c>
      <c r="Z34" s="245"/>
      <c r="AA34" s="246"/>
      <c r="AB34" s="320">
        <f>(AB33-V055_20[[#This Row],[CYLINDER MP]])+V055_20[[#This Row],[FAENA EN LTS]]</f>
        <v>100</v>
      </c>
      <c r="AC34" s="246"/>
      <c r="AD34" s="246"/>
      <c r="AE34" s="320">
        <f>(AE33-V055_20[[#This Row],[CARTER MP.]])+V055_20[[#This Row],[FAENA EN LTS2]]</f>
        <v>100</v>
      </c>
      <c r="AF34" s="246"/>
      <c r="AG34" s="246"/>
      <c r="AH34" s="320">
        <f>(AH33-V055_20[[#This Row],[MOT AUX]])+V055_20[[#This Row],[FAENA EN  LTS]]</f>
        <v>100</v>
      </c>
      <c r="AI34" s="246"/>
      <c r="AJ34" s="246"/>
      <c r="AK34" s="321">
        <f>(AK33-V055_20[[#This Row],[HIDRAULICO]])+V055_20[[#This Row],[FAENA EN LTS3]]</f>
        <v>100</v>
      </c>
    </row>
    <row r="35" spans="1:37" x14ac:dyDescent="0.25">
      <c r="A35" s="235" t="s">
        <v>82</v>
      </c>
      <c r="B35" s="236">
        <v>43889</v>
      </c>
      <c r="C35" s="237">
        <v>0.33333333333333331</v>
      </c>
      <c r="D35" s="238">
        <f>IF(V055_20[[#This Row],[FECHA]]-B34=1,((V055_20[[#This Row],[HORA]]-C34)*24)+24,(V055_20[[#This Row],[HORA]]-C34)*24)</f>
        <v>15.3</v>
      </c>
      <c r="E35" s="239" t="s">
        <v>51</v>
      </c>
      <c r="F35" s="240" t="s">
        <v>51</v>
      </c>
      <c r="G35" s="241"/>
      <c r="H35" s="50"/>
      <c r="I35" s="242">
        <f>IF(ISERROR(V053_20[[#This Row],[DISTANCIA POR CARTA]]/V053_20[[#This Row],[TIEMPO DE NAVEGACION]]),0,V053_20[[#This Row],[DISTANCIA POR CARTA]]/V053_20[[#This Row],[TIEMPO DE NAVEGACION]])</f>
        <v>0</v>
      </c>
      <c r="J35" s="243"/>
      <c r="K35" s="244"/>
      <c r="L35" s="245">
        <v>0</v>
      </c>
      <c r="M35" s="246">
        <v>1.5937500000000002</v>
      </c>
      <c r="N35" s="246">
        <v>1.2749999999999999</v>
      </c>
      <c r="O35" s="257">
        <f>SUM(V055_20[[#This Row],[MPAL]:[CALDERA]])</f>
        <v>2.8687500000000004</v>
      </c>
      <c r="P35" s="319"/>
      <c r="Q35" s="281">
        <f>(Q34-V055_20[[#This Row],[TOTAL ]])+V055_20[[#This Row],[FAENA]]</f>
        <v>675.79791666666677</v>
      </c>
      <c r="R35" s="245">
        <v>0</v>
      </c>
      <c r="S35" s="246">
        <v>0</v>
      </c>
      <c r="T35" s="246">
        <v>0</v>
      </c>
      <c r="U35" s="246">
        <v>0</v>
      </c>
      <c r="V35" s="246">
        <v>3.8</v>
      </c>
      <c r="W35" s="257">
        <f>SUM(V055_20[[#This Row],[MPAL2]:[GI]])</f>
        <v>3.8</v>
      </c>
      <c r="X35" s="246">
        <v>0</v>
      </c>
      <c r="Y35" s="282">
        <f>(Y34-V055_20[[#This Row],[TOTAL]])+V055_20[[#This Row],[FAENA2]]</f>
        <v>32.800000000000004</v>
      </c>
      <c r="Z35" s="245"/>
      <c r="AA35" s="246"/>
      <c r="AB35" s="320">
        <f>(AB34-V055_20[[#This Row],[CYLINDER MP]])+V055_20[[#This Row],[FAENA EN LTS]]</f>
        <v>100</v>
      </c>
      <c r="AC35" s="246"/>
      <c r="AD35" s="246"/>
      <c r="AE35" s="320">
        <f>(AE34-V055_20[[#This Row],[CARTER MP.]])+V055_20[[#This Row],[FAENA EN LTS2]]</f>
        <v>100</v>
      </c>
      <c r="AF35" s="246"/>
      <c r="AG35" s="246"/>
      <c r="AH35" s="320">
        <f>(AH34-V055_20[[#This Row],[MOT AUX]])+V055_20[[#This Row],[FAENA EN  LTS]]</f>
        <v>100</v>
      </c>
      <c r="AI35" s="246"/>
      <c r="AJ35" s="246"/>
      <c r="AK35" s="321">
        <f>(AK34-V055_20[[#This Row],[HIDRAULICO]])+V055_20[[#This Row],[FAENA EN LTS3]]</f>
        <v>100</v>
      </c>
    </row>
    <row r="36" spans="1:37" x14ac:dyDescent="0.25">
      <c r="A36" s="235" t="s">
        <v>82</v>
      </c>
      <c r="B36" s="236">
        <v>43889</v>
      </c>
      <c r="C36" s="237">
        <v>0.48333333333333334</v>
      </c>
      <c r="D36" s="238">
        <f>IF(V055_20[[#This Row],[FECHA]]-B35=1,((V055_20[[#This Row],[HORA]]-C35)*24)+24,(V055_20[[#This Row],[HORA]]-C35)*24)</f>
        <v>3.6000000000000005</v>
      </c>
      <c r="E36" s="239" t="s">
        <v>51</v>
      </c>
      <c r="F36" s="240" t="s">
        <v>52</v>
      </c>
      <c r="G36" s="241"/>
      <c r="H36" s="50"/>
      <c r="I36" s="242">
        <f>IF(ISERROR(V053_20[[#This Row],[DISTANCIA POR CARTA]]/V053_20[[#This Row],[TIEMPO DE NAVEGACION]]),0,V053_20[[#This Row],[DISTANCIA POR CARTA]]/V053_20[[#This Row],[TIEMPO DE NAVEGACION]])</f>
        <v>0</v>
      </c>
      <c r="J36" s="243"/>
      <c r="K36" s="244"/>
      <c r="L36" s="245">
        <v>0</v>
      </c>
      <c r="M36" s="246">
        <v>0.37500000000000006</v>
      </c>
      <c r="N36" s="246">
        <v>0.30000000000000004</v>
      </c>
      <c r="O36" s="257">
        <f>SUM(V055_20[[#This Row],[MPAL]:[CALDERA]])</f>
        <v>0.67500000000000004</v>
      </c>
      <c r="P36" s="319"/>
      <c r="Q36" s="281">
        <f>(Q35-V055_20[[#This Row],[TOTAL ]])+V055_20[[#This Row],[FAENA]]</f>
        <v>675.12291666666681</v>
      </c>
      <c r="R36" s="245">
        <v>0</v>
      </c>
      <c r="S36" s="246">
        <v>0</v>
      </c>
      <c r="T36" s="246">
        <v>0</v>
      </c>
      <c r="U36" s="246">
        <v>0</v>
      </c>
      <c r="V36" s="246">
        <v>0.9</v>
      </c>
      <c r="W36" s="257">
        <f>SUM(V055_20[[#This Row],[MPAL2]:[GI]])</f>
        <v>0.9</v>
      </c>
      <c r="X36" s="246">
        <v>0</v>
      </c>
      <c r="Y36" s="282">
        <f>(Y35-V055_20[[#This Row],[TOTAL]])+V055_20[[#This Row],[FAENA2]]</f>
        <v>31.900000000000006</v>
      </c>
      <c r="Z36" s="245"/>
      <c r="AA36" s="246"/>
      <c r="AB36" s="320">
        <f>(AB35-V055_20[[#This Row],[CYLINDER MP]])+V055_20[[#This Row],[FAENA EN LTS]]</f>
        <v>100</v>
      </c>
      <c r="AC36" s="246"/>
      <c r="AD36" s="246"/>
      <c r="AE36" s="320">
        <f>(AE35-V055_20[[#This Row],[CARTER MP.]])+V055_20[[#This Row],[FAENA EN LTS2]]</f>
        <v>100</v>
      </c>
      <c r="AF36" s="246"/>
      <c r="AG36" s="246"/>
      <c r="AH36" s="320">
        <f>(AH35-V055_20[[#This Row],[MOT AUX]])+V055_20[[#This Row],[FAENA EN  LTS]]</f>
        <v>100</v>
      </c>
      <c r="AI36" s="246"/>
      <c r="AJ36" s="246"/>
      <c r="AK36" s="321">
        <f>(AK35-V055_20[[#This Row],[HIDRAULICO]])+V055_20[[#This Row],[FAENA EN LTS3]]</f>
        <v>100</v>
      </c>
    </row>
    <row r="37" spans="1:37" x14ac:dyDescent="0.25">
      <c r="A37" s="235" t="s">
        <v>82</v>
      </c>
      <c r="B37" s="236">
        <v>43889</v>
      </c>
      <c r="C37" s="237">
        <v>0.6166666666666667</v>
      </c>
      <c r="D37" s="238">
        <f>IF(V055_20[[#This Row],[FECHA]]-B36=1,((V055_20[[#This Row],[HORA]]-C36)*24)+24,(V055_20[[#This Row],[HORA]]-C36)*24)</f>
        <v>3.2000000000000006</v>
      </c>
      <c r="E37" s="239" t="s">
        <v>49</v>
      </c>
      <c r="F37" s="240" t="s">
        <v>46</v>
      </c>
      <c r="G37" s="241"/>
      <c r="H37" s="50"/>
      <c r="I37" s="242">
        <f>IF(ISERROR(V053_20[[#This Row],[DISTANCIA POR CARTA]]/V053_20[[#This Row],[TIEMPO DE NAVEGACION]]),0,V053_20[[#This Row],[DISTANCIA POR CARTA]]/V053_20[[#This Row],[TIEMPO DE NAVEGACION]])</f>
        <v>0</v>
      </c>
      <c r="J37" s="243"/>
      <c r="K37" s="244"/>
      <c r="L37" s="245">
        <v>0</v>
      </c>
      <c r="M37" s="246">
        <v>0.33333333333333343</v>
      </c>
      <c r="N37" s="246">
        <v>0.26666666666666672</v>
      </c>
      <c r="O37" s="257">
        <f>SUM(V055_20[[#This Row],[MPAL]:[CALDERA]])</f>
        <v>0.60000000000000009</v>
      </c>
      <c r="P37" s="319"/>
      <c r="Q37" s="281">
        <f>(Q36-V055_20[[#This Row],[TOTAL ]])+V055_20[[#This Row],[FAENA]]</f>
        <v>674.52291666666679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SUM(V055_20[[#This Row],[MPAL2]:[GI]])</f>
        <v>0</v>
      </c>
      <c r="X37" s="246">
        <v>0</v>
      </c>
      <c r="Y37" s="282">
        <f>(Y36-V055_20[[#This Row],[TOTAL]])+V055_20[[#This Row],[FAENA2]]</f>
        <v>31.900000000000006</v>
      </c>
      <c r="Z37" s="245"/>
      <c r="AA37" s="246"/>
      <c r="AB37" s="320">
        <f>(AB36-V055_20[[#This Row],[CYLINDER MP]])+V055_20[[#This Row],[FAENA EN LTS]]</f>
        <v>100</v>
      </c>
      <c r="AC37" s="246"/>
      <c r="AD37" s="246"/>
      <c r="AE37" s="320">
        <f>(AE36-V055_20[[#This Row],[CARTER MP.]])+V055_20[[#This Row],[FAENA EN LTS2]]</f>
        <v>100</v>
      </c>
      <c r="AF37" s="246"/>
      <c r="AG37" s="246"/>
      <c r="AH37" s="320">
        <f>(AH36-V055_20[[#This Row],[MOT AUX]])+V055_20[[#This Row],[FAENA EN  LTS]]</f>
        <v>100</v>
      </c>
      <c r="AI37" s="246"/>
      <c r="AJ37" s="246"/>
      <c r="AK37" s="321">
        <f>(AK36-V055_20[[#This Row],[HIDRAULICO]])+V055_20[[#This Row],[FAENA EN LTS3]]</f>
        <v>100</v>
      </c>
    </row>
    <row r="38" spans="1:37" x14ac:dyDescent="0.25">
      <c r="A38" s="235" t="s">
        <v>82</v>
      </c>
      <c r="B38" s="236">
        <v>43889</v>
      </c>
      <c r="C38" s="237">
        <v>0.64166666666666672</v>
      </c>
      <c r="D38" s="238">
        <f>IF(V055_20[[#This Row],[FECHA]]-B37=1,((V055_20[[#This Row],[HORA]]-C37)*24)+24,(V055_20[[#This Row],[HORA]]-C37)*24)</f>
        <v>0.60000000000000053</v>
      </c>
      <c r="E38" s="239" t="s">
        <v>47</v>
      </c>
      <c r="F38" s="240" t="s">
        <v>53</v>
      </c>
      <c r="G38" s="241"/>
      <c r="H38" s="50"/>
      <c r="I38" s="242">
        <f>IF(ISERROR(V053_20[[#This Row],[DISTANCIA POR CARTA]]/V053_20[[#This Row],[TIEMPO DE NAVEGACION]]),0,V053_20[[#This Row],[DISTANCIA POR CARTA]]/V053_20[[#This Row],[TIEMPO DE NAVEGACION]])</f>
        <v>0</v>
      </c>
      <c r="J38" s="243" t="s">
        <v>54</v>
      </c>
      <c r="K38" s="244">
        <v>95</v>
      </c>
      <c r="L38" s="245">
        <v>7.5000000000000067E-2</v>
      </c>
      <c r="M38" s="246">
        <v>6.2500000000000056E-2</v>
      </c>
      <c r="N38" s="246">
        <v>5.0000000000000044E-2</v>
      </c>
      <c r="O38" s="257">
        <f>SUM(V055_20[[#This Row],[MPAL]:[CALDERA]])</f>
        <v>0.18750000000000017</v>
      </c>
      <c r="P38" s="319"/>
      <c r="Q38" s="281">
        <f>(Q37-V055_20[[#This Row],[TOTAL ]])+V055_20[[#This Row],[FAENA]]</f>
        <v>674.33541666666679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SUM(V055_20[[#This Row],[MPAL2]:[GI]])</f>
        <v>0</v>
      </c>
      <c r="X38" s="246">
        <v>0</v>
      </c>
      <c r="Y38" s="282">
        <f>(Y37-V055_20[[#This Row],[TOTAL]])+V055_20[[#This Row],[FAENA2]]</f>
        <v>31.900000000000006</v>
      </c>
      <c r="Z38" s="245"/>
      <c r="AA38" s="246"/>
      <c r="AB38" s="320">
        <f>(AB37-V055_20[[#This Row],[CYLINDER MP]])+V055_20[[#This Row],[FAENA EN LTS]]</f>
        <v>100</v>
      </c>
      <c r="AC38" s="246"/>
      <c r="AD38" s="246"/>
      <c r="AE38" s="320">
        <f>(AE37-V055_20[[#This Row],[CARTER MP.]])+V055_20[[#This Row],[FAENA EN LTS2]]</f>
        <v>100</v>
      </c>
      <c r="AF38" s="246"/>
      <c r="AG38" s="246"/>
      <c r="AH38" s="320">
        <f>(AH37-V055_20[[#This Row],[MOT AUX]])+V055_20[[#This Row],[FAENA EN  LTS]]</f>
        <v>100</v>
      </c>
      <c r="AI38" s="246"/>
      <c r="AJ38" s="246"/>
      <c r="AK38" s="321">
        <f>(AK37-V055_20[[#This Row],[HIDRAULICO]])+V055_20[[#This Row],[FAENA EN LTS3]]</f>
        <v>100</v>
      </c>
    </row>
    <row r="39" spans="1:37" x14ac:dyDescent="0.25">
      <c r="A39" s="235" t="s">
        <v>82</v>
      </c>
      <c r="B39" s="236">
        <v>43890</v>
      </c>
      <c r="C39" s="237">
        <v>4.1666666666666664E-2</v>
      </c>
      <c r="D39" s="238">
        <f>IF(V055_20[[#This Row],[FECHA]]-B38=1,((V055_20[[#This Row],[HORA]]-C38)*24)+24,(V055_20[[#This Row],[HORA]]-C38)*24)</f>
        <v>9.5999999999999979</v>
      </c>
      <c r="E39" s="239" t="s">
        <v>55</v>
      </c>
      <c r="F39" s="240" t="s">
        <v>57</v>
      </c>
      <c r="G39" s="241">
        <v>96</v>
      </c>
      <c r="H39" s="50">
        <v>10.199999999999999</v>
      </c>
      <c r="I39" s="242">
        <f>IF(ISERROR(V053_20[[#This Row],[DISTANCIA POR CARTA]]/V053_20[[#This Row],[TIEMPO DE NAVEGACION]]),0,V053_20[[#This Row],[DISTANCIA POR CARTA]]/V053_20[[#This Row],[TIEMPO DE NAVEGACION]])</f>
        <v>0</v>
      </c>
      <c r="J39" s="243" t="s">
        <v>54</v>
      </c>
      <c r="K39" s="244">
        <v>95</v>
      </c>
      <c r="L39" s="245">
        <v>7.9999999999999982</v>
      </c>
      <c r="M39" s="246">
        <v>0.99999999999999978</v>
      </c>
      <c r="N39" s="246">
        <v>0</v>
      </c>
      <c r="O39" s="257">
        <f>SUM(V055_20[[#This Row],[MPAL]:[CALDERA]])</f>
        <v>8.9999999999999982</v>
      </c>
      <c r="P39" s="319"/>
      <c r="Q39" s="281">
        <f>(Q38-V055_20[[#This Row],[TOTAL ]])+V055_20[[#This Row],[FAENA]]</f>
        <v>665.33541666666679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SUM(V055_20[[#This Row],[MPAL2]:[GI]])</f>
        <v>0</v>
      </c>
      <c r="X39" s="246">
        <v>0</v>
      </c>
      <c r="Y39" s="282">
        <f>(Y38-V055_20[[#This Row],[TOTAL]])+V055_20[[#This Row],[FAENA2]]</f>
        <v>31.900000000000006</v>
      </c>
      <c r="Z39" s="245"/>
      <c r="AA39" s="246"/>
      <c r="AB39" s="320">
        <f>(AB38-V055_20[[#This Row],[CYLINDER MP]])+V055_20[[#This Row],[FAENA EN LTS]]</f>
        <v>100</v>
      </c>
      <c r="AC39" s="246"/>
      <c r="AD39" s="246"/>
      <c r="AE39" s="320">
        <f>(AE38-V055_20[[#This Row],[CARTER MP.]])+V055_20[[#This Row],[FAENA EN LTS2]]</f>
        <v>100</v>
      </c>
      <c r="AF39" s="246"/>
      <c r="AG39" s="246"/>
      <c r="AH39" s="320">
        <f>(AH38-V055_20[[#This Row],[MOT AUX]])+V055_20[[#This Row],[FAENA EN  LTS]]</f>
        <v>100</v>
      </c>
      <c r="AI39" s="246"/>
      <c r="AJ39" s="246"/>
      <c r="AK39" s="321">
        <f>(AK38-V055_20[[#This Row],[HIDRAULICO]])+V055_20[[#This Row],[FAENA EN LTS3]]</f>
        <v>100</v>
      </c>
    </row>
    <row r="40" spans="1:37" x14ac:dyDescent="0.25">
      <c r="A40" s="235" t="s">
        <v>82</v>
      </c>
      <c r="B40" s="236">
        <v>43890</v>
      </c>
      <c r="C40" s="237">
        <v>0.15833333333333333</v>
      </c>
      <c r="D40" s="238">
        <f>IF(V055_20[[#This Row],[FECHA]]-B39=1,((V055_20[[#This Row],[HORA]]-C39)*24)+24,(V055_20[[#This Row],[HORA]]-C39)*24)</f>
        <v>2.8</v>
      </c>
      <c r="E40" s="239" t="s">
        <v>47</v>
      </c>
      <c r="F40" s="240" t="s">
        <v>48</v>
      </c>
      <c r="G40" s="241"/>
      <c r="H40" s="50"/>
      <c r="I40" s="242">
        <f>IF(ISERROR(V053_20[[#This Row],[DISTANCIA POR CARTA]]/V053_20[[#This Row],[TIEMPO DE NAVEGACION]]),0,V053_20[[#This Row],[DISTANCIA POR CARTA]]/V053_20[[#This Row],[TIEMPO DE NAVEGACION]])</f>
        <v>0</v>
      </c>
      <c r="J40" s="243"/>
      <c r="K40" s="244"/>
      <c r="L40" s="245">
        <v>0.23333333333333331</v>
      </c>
      <c r="M40" s="246">
        <v>0.29166666666666669</v>
      </c>
      <c r="N40" s="246">
        <v>0.23333333333333331</v>
      </c>
      <c r="O40" s="257">
        <f>SUM(V055_20[[#This Row],[MPAL]:[CALDERA]])</f>
        <v>0.7583333333333333</v>
      </c>
      <c r="P40" s="319"/>
      <c r="Q40" s="281">
        <f>(Q39-V055_20[[#This Row],[TOTAL ]])+V055_20[[#This Row],[FAENA]]</f>
        <v>664.57708333333346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SUM(V055_20[[#This Row],[MPAL2]:[GI]])</f>
        <v>0</v>
      </c>
      <c r="X40" s="246">
        <v>0</v>
      </c>
      <c r="Y40" s="282">
        <f>(Y39-V055_20[[#This Row],[TOTAL]])+V055_20[[#This Row],[FAENA2]]</f>
        <v>31.900000000000006</v>
      </c>
      <c r="Z40" s="245"/>
      <c r="AA40" s="246"/>
      <c r="AB40" s="320">
        <f>(AB39-V055_20[[#This Row],[CYLINDER MP]])+V055_20[[#This Row],[FAENA EN LTS]]</f>
        <v>100</v>
      </c>
      <c r="AC40" s="246"/>
      <c r="AD40" s="246"/>
      <c r="AE40" s="320">
        <f>(AE39-V055_20[[#This Row],[CARTER MP.]])+V055_20[[#This Row],[FAENA EN LTS2]]</f>
        <v>100</v>
      </c>
      <c r="AF40" s="246"/>
      <c r="AG40" s="246"/>
      <c r="AH40" s="320">
        <f>(AH39-V055_20[[#This Row],[MOT AUX]])+V055_20[[#This Row],[FAENA EN  LTS]]</f>
        <v>100</v>
      </c>
      <c r="AI40" s="246"/>
      <c r="AJ40" s="246"/>
      <c r="AK40" s="321">
        <f>(AK39-V055_20[[#This Row],[HIDRAULICO]])+V055_20[[#This Row],[FAENA EN LTS3]]</f>
        <v>100</v>
      </c>
    </row>
    <row r="41" spans="1:37" x14ac:dyDescent="0.25">
      <c r="A41" s="235" t="s">
        <v>82</v>
      </c>
      <c r="B41" s="236">
        <v>43890</v>
      </c>
      <c r="C41" s="237">
        <v>0.30833333333333335</v>
      </c>
      <c r="D41" s="238">
        <f>IF(V055_20[[#This Row],[FECHA]]-B40=1,((V055_20[[#This Row],[HORA]]-C40)*24)+24,(V055_20[[#This Row],[HORA]]-C40)*24)</f>
        <v>3.6000000000000005</v>
      </c>
      <c r="E41" s="239" t="s">
        <v>49</v>
      </c>
      <c r="F41" s="240" t="s">
        <v>50</v>
      </c>
      <c r="G41" s="241"/>
      <c r="H41" s="50"/>
      <c r="I41" s="242">
        <f>IF(ISERROR(V053_20[[#This Row],[DISTANCIA POR CARTA]]/V053_20[[#This Row],[TIEMPO DE NAVEGACION]]),0,V053_20[[#This Row],[DISTANCIA POR CARTA]]/V053_20[[#This Row],[TIEMPO DE NAVEGACION]])</f>
        <v>0</v>
      </c>
      <c r="J41" s="243"/>
      <c r="K41" s="244"/>
      <c r="L41" s="245">
        <v>0</v>
      </c>
      <c r="M41" s="246">
        <v>0.37500000000000006</v>
      </c>
      <c r="N41" s="246">
        <v>0.30000000000000004</v>
      </c>
      <c r="O41" s="257">
        <f>SUM(V055_20[[#This Row],[MPAL]:[CALDERA]])</f>
        <v>0.67500000000000004</v>
      </c>
      <c r="P41" s="319"/>
      <c r="Q41" s="281">
        <f>(Q40-V055_20[[#This Row],[TOTAL ]])+V055_20[[#This Row],[FAENA]]</f>
        <v>663.90208333333351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SUM(V055_20[[#This Row],[MPAL2]:[GI]])</f>
        <v>0</v>
      </c>
      <c r="X41" s="246">
        <v>0</v>
      </c>
      <c r="Y41" s="282">
        <f>(Y40-V055_20[[#This Row],[TOTAL]])+V055_20[[#This Row],[FAENA2]]</f>
        <v>31.900000000000006</v>
      </c>
      <c r="Z41" s="245"/>
      <c r="AA41" s="246"/>
      <c r="AB41" s="320">
        <f>(AB40-V055_20[[#This Row],[CYLINDER MP]])+V055_20[[#This Row],[FAENA EN LTS]]</f>
        <v>100</v>
      </c>
      <c r="AC41" s="246"/>
      <c r="AD41" s="246"/>
      <c r="AE41" s="320">
        <f>(AE40-V055_20[[#This Row],[CARTER MP.]])+V055_20[[#This Row],[FAENA EN LTS2]]</f>
        <v>100</v>
      </c>
      <c r="AF41" s="246"/>
      <c r="AG41" s="246"/>
      <c r="AH41" s="320">
        <f>(AH40-V055_20[[#This Row],[MOT AUX]])+V055_20[[#This Row],[FAENA EN  LTS]]</f>
        <v>100</v>
      </c>
      <c r="AI41" s="246"/>
      <c r="AJ41" s="246"/>
      <c r="AK41" s="321">
        <f>(AK40-V055_20[[#This Row],[HIDRAULICO]])+V055_20[[#This Row],[FAENA EN LTS3]]</f>
        <v>100</v>
      </c>
    </row>
    <row r="42" spans="1:37" x14ac:dyDescent="0.25">
      <c r="A42" s="235" t="s">
        <v>82</v>
      </c>
      <c r="B42" s="236">
        <v>43890</v>
      </c>
      <c r="C42" s="237">
        <v>0.33333333333333331</v>
      </c>
      <c r="D42" s="238">
        <f>IF(V055_20[[#This Row],[FECHA]]-B41=1,((V055_20[[#This Row],[HORA]]-C41)*24)+24,(V055_20[[#This Row],[HORA]]-C41)*24)</f>
        <v>0.5999999999999992</v>
      </c>
      <c r="E42" s="239" t="s">
        <v>51</v>
      </c>
      <c r="F42" s="240" t="s">
        <v>51</v>
      </c>
      <c r="G42" s="241"/>
      <c r="H42" s="50"/>
      <c r="I42" s="242">
        <f>IF(ISERROR(V053_20[[#This Row],[DISTANCIA POR CARTA]]/V053_20[[#This Row],[TIEMPO DE NAVEGACION]]),0,V053_20[[#This Row],[DISTANCIA POR CARTA]]/V053_20[[#This Row],[TIEMPO DE NAVEGACION]])</f>
        <v>0</v>
      </c>
      <c r="J42" s="243"/>
      <c r="K42" s="244"/>
      <c r="L42" s="245">
        <v>0</v>
      </c>
      <c r="M42" s="246">
        <v>6.2499999999999917E-2</v>
      </c>
      <c r="N42" s="246">
        <v>4.9999999999999933E-2</v>
      </c>
      <c r="O42" s="257">
        <f>SUM(V055_20[[#This Row],[MPAL]:[CALDERA]])</f>
        <v>0.11249999999999985</v>
      </c>
      <c r="P42" s="319"/>
      <c r="Q42" s="281">
        <f>(Q41-V055_20[[#This Row],[TOTAL ]])+V055_20[[#This Row],[FAENA]]</f>
        <v>663.78958333333355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SUM(V055_20[[#This Row],[MPAL2]:[GI]])</f>
        <v>0</v>
      </c>
      <c r="X42" s="246">
        <v>0</v>
      </c>
      <c r="Y42" s="282">
        <f>(Y41-V055_20[[#This Row],[TOTAL]])+V055_20[[#This Row],[FAENA2]]</f>
        <v>31.900000000000006</v>
      </c>
      <c r="Z42" s="245"/>
      <c r="AA42" s="246"/>
      <c r="AB42" s="320">
        <f>(AB41-V055_20[[#This Row],[CYLINDER MP]])+V055_20[[#This Row],[FAENA EN LTS]]</f>
        <v>100</v>
      </c>
      <c r="AC42" s="246"/>
      <c r="AD42" s="246"/>
      <c r="AE42" s="320">
        <f>(AE41-V055_20[[#This Row],[CARTER MP.]])+V055_20[[#This Row],[FAENA EN LTS2]]</f>
        <v>100</v>
      </c>
      <c r="AF42" s="246"/>
      <c r="AG42" s="246"/>
      <c r="AH42" s="320">
        <f>(AH41-V055_20[[#This Row],[MOT AUX]])+V055_20[[#This Row],[FAENA EN  LTS]]</f>
        <v>100</v>
      </c>
      <c r="AI42" s="246"/>
      <c r="AJ42" s="246"/>
      <c r="AK42" s="321">
        <f>(AK41-V055_20[[#This Row],[HIDRAULICO]])+V055_20[[#This Row],[FAENA EN LTS3]]</f>
        <v>100</v>
      </c>
    </row>
    <row r="43" spans="1:37" x14ac:dyDescent="0.25">
      <c r="A43" s="235" t="s">
        <v>82</v>
      </c>
      <c r="B43" s="236">
        <v>43890</v>
      </c>
      <c r="C43" s="237">
        <v>0.83750000000000002</v>
      </c>
      <c r="D43" s="238">
        <f>IF(V055_20[[#This Row],[FECHA]]-B42=1,((V055_20[[#This Row],[HORA]]-C42)*24)+24,(V055_20[[#This Row],[HORA]]-C42)*24)</f>
        <v>12.1</v>
      </c>
      <c r="E43" s="239" t="s">
        <v>51</v>
      </c>
      <c r="F43" s="240" t="s">
        <v>86</v>
      </c>
      <c r="G43" s="241"/>
      <c r="H43" s="50"/>
      <c r="I43" s="242">
        <f>IF(ISERROR(V053_20[[#This Row],[DISTANCIA POR CARTA]]/V053_20[[#This Row],[TIEMPO DE NAVEGACION]]),0,V053_20[[#This Row],[DISTANCIA POR CARTA]]/V053_20[[#This Row],[TIEMPO DE NAVEGACION]])</f>
        <v>11.294117647058824</v>
      </c>
      <c r="J43" s="243"/>
      <c r="K43" s="244"/>
      <c r="L43" s="245">
        <v>0</v>
      </c>
      <c r="M43" s="246">
        <v>1.2604166666666667</v>
      </c>
      <c r="N43" s="246">
        <v>1.0083333333333333</v>
      </c>
      <c r="O43" s="257">
        <f>SUM(V055_20[[#This Row],[MPAL]:[CALDERA]])</f>
        <v>2.2687499999999998</v>
      </c>
      <c r="P43" s="319"/>
      <c r="Q43" s="281">
        <f>(Q42-V055_20[[#This Row],[TOTAL ]])+V055_20[[#This Row],[FAENA]]</f>
        <v>661.5208333333336</v>
      </c>
      <c r="R43" s="245">
        <v>0</v>
      </c>
      <c r="S43" s="246">
        <v>0</v>
      </c>
      <c r="T43" s="246">
        <v>0</v>
      </c>
      <c r="U43" s="246">
        <v>0</v>
      </c>
      <c r="V43" s="246">
        <v>3</v>
      </c>
      <c r="W43" s="257">
        <f>SUM(V055_20[[#This Row],[MPAL2]:[GI]])</f>
        <v>3</v>
      </c>
      <c r="X43" s="246">
        <v>0</v>
      </c>
      <c r="Y43" s="282">
        <f>(Y42-V055_20[[#This Row],[TOTAL]])+V055_20[[#This Row],[FAENA2]]</f>
        <v>28.900000000000006</v>
      </c>
      <c r="Z43" s="245"/>
      <c r="AA43" s="246"/>
      <c r="AB43" s="320">
        <f>(AB42-V055_20[[#This Row],[CYLINDER MP]])+V055_20[[#This Row],[FAENA EN LTS]]</f>
        <v>100</v>
      </c>
      <c r="AC43" s="246"/>
      <c r="AD43" s="246"/>
      <c r="AE43" s="320">
        <f>(AE42-V055_20[[#This Row],[CARTER MP.]])+V055_20[[#This Row],[FAENA EN LTS2]]</f>
        <v>100</v>
      </c>
      <c r="AF43" s="246"/>
      <c r="AG43" s="246"/>
      <c r="AH43" s="320">
        <f>(AH42-V055_20[[#This Row],[MOT AUX]])+V055_20[[#This Row],[FAENA EN  LTS]]</f>
        <v>100</v>
      </c>
      <c r="AI43" s="246"/>
      <c r="AJ43" s="246"/>
      <c r="AK43" s="321">
        <f>(AK42-V055_20[[#This Row],[HIDRAULICO]])+V055_20[[#This Row],[FAENA EN LTS3]]</f>
        <v>100</v>
      </c>
    </row>
    <row r="44" spans="1:37" x14ac:dyDescent="0.25">
      <c r="A44" s="235" t="s">
        <v>82</v>
      </c>
      <c r="B44" s="236">
        <v>43890</v>
      </c>
      <c r="C44" s="237">
        <v>0.95000000000000007</v>
      </c>
      <c r="D44" s="238">
        <f>IF(V055_20[[#This Row],[FECHA]]-B43=1,((V055_20[[#This Row],[HORA]]-C43)*24)+24,(V055_20[[#This Row],[HORA]]-C43)*24)</f>
        <v>2.7000000000000011</v>
      </c>
      <c r="E44" s="239" t="s">
        <v>49</v>
      </c>
      <c r="F44" s="240" t="s">
        <v>46</v>
      </c>
      <c r="G44" s="241"/>
      <c r="H44" s="50"/>
      <c r="I44" s="242">
        <f>IF(ISERROR(V053_20[[#This Row],[DISTANCIA POR CARTA]]/V053_20[[#This Row],[TIEMPO DE NAVEGACION]]),0,V053_20[[#This Row],[DISTANCIA POR CARTA]]/V053_20[[#This Row],[TIEMPO DE NAVEGACION]])</f>
        <v>0</v>
      </c>
      <c r="J44" s="243"/>
      <c r="K44" s="244"/>
      <c r="L44" s="245">
        <v>0</v>
      </c>
      <c r="M44" s="246">
        <v>0.28125000000000011</v>
      </c>
      <c r="N44" s="246">
        <v>0.22500000000000009</v>
      </c>
      <c r="O44" s="257">
        <f>SUM(V055_20[[#This Row],[MPAL]:[CALDERA]])</f>
        <v>0.5062500000000002</v>
      </c>
      <c r="P44" s="319"/>
      <c r="Q44" s="281">
        <f>(Q43-V055_20[[#This Row],[TOTAL ]])+V055_20[[#This Row],[FAENA]]</f>
        <v>661.01458333333358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SUM(V055_20[[#This Row],[MPAL2]:[GI]])</f>
        <v>0</v>
      </c>
      <c r="X44" s="246">
        <v>0</v>
      </c>
      <c r="Y44" s="282">
        <f>(Y43-V055_20[[#This Row],[TOTAL]])+V055_20[[#This Row],[FAENA2]]</f>
        <v>28.900000000000006</v>
      </c>
      <c r="Z44" s="245"/>
      <c r="AA44" s="246"/>
      <c r="AB44" s="320">
        <f>(AB43-V055_20[[#This Row],[CYLINDER MP]])+V055_20[[#This Row],[FAENA EN LTS]]</f>
        <v>100</v>
      </c>
      <c r="AC44" s="246"/>
      <c r="AD44" s="246"/>
      <c r="AE44" s="320">
        <f>(AE43-V055_20[[#This Row],[CARTER MP.]])+V055_20[[#This Row],[FAENA EN LTS2]]</f>
        <v>100</v>
      </c>
      <c r="AF44" s="246"/>
      <c r="AG44" s="246"/>
      <c r="AH44" s="320">
        <f>(AH43-V055_20[[#This Row],[MOT AUX]])+V055_20[[#This Row],[FAENA EN  LTS]]</f>
        <v>100</v>
      </c>
      <c r="AI44" s="246"/>
      <c r="AJ44" s="246"/>
      <c r="AK44" s="321">
        <f>(AK43-V055_20[[#This Row],[HIDRAULICO]])+V055_20[[#This Row],[FAENA EN LTS3]]</f>
        <v>100</v>
      </c>
    </row>
    <row r="45" spans="1:37" x14ac:dyDescent="0.25">
      <c r="A45" s="235" t="s">
        <v>82</v>
      </c>
      <c r="B45" s="236">
        <v>43890</v>
      </c>
      <c r="C45" s="237">
        <v>0.97916666666666663</v>
      </c>
      <c r="D45" s="238">
        <f>IF(V055_20[[#This Row],[FECHA]]-B44=1,((V055_20[[#This Row],[HORA]]-C44)*24)+24,(V055_20[[#This Row],[HORA]]-C44)*24)</f>
        <v>0.69999999999999751</v>
      </c>
      <c r="E45" s="239" t="s">
        <v>47</v>
      </c>
      <c r="F45" s="240" t="s">
        <v>87</v>
      </c>
      <c r="G45" s="241"/>
      <c r="H45" s="50"/>
      <c r="I45" s="242">
        <f>IF(ISERROR(V053_20[[#This Row],[DISTANCIA POR CARTA]]/V053_20[[#This Row],[TIEMPO DE NAVEGACION]]),0,V053_20[[#This Row],[DISTANCIA POR CARTA]]/V053_20[[#This Row],[TIEMPO DE NAVEGACION]])</f>
        <v>0</v>
      </c>
      <c r="J45" s="243"/>
      <c r="K45" s="244"/>
      <c r="L45" s="245">
        <v>5.8333333333333126E-2</v>
      </c>
      <c r="M45" s="246">
        <v>7.2916666666666408E-2</v>
      </c>
      <c r="N45" s="246">
        <v>5.8333333333333126E-2</v>
      </c>
      <c r="O45" s="257">
        <f>SUM(V055_20[[#This Row],[MPAL]:[CALDERA]])</f>
        <v>0.18958333333333266</v>
      </c>
      <c r="P45" s="319"/>
      <c r="Q45" s="281">
        <f>(Q44-V055_20[[#This Row],[TOTAL ]])+V055_20[[#This Row],[FAENA]]</f>
        <v>660.82500000000027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SUM(V055_20[[#This Row],[MPAL2]:[GI]])</f>
        <v>0</v>
      </c>
      <c r="X45" s="246">
        <v>0</v>
      </c>
      <c r="Y45" s="282">
        <f>(Y44-V055_20[[#This Row],[TOTAL]])+V055_20[[#This Row],[FAENA2]]</f>
        <v>28.900000000000006</v>
      </c>
      <c r="Z45" s="245"/>
      <c r="AA45" s="246"/>
      <c r="AB45" s="320">
        <f>(AB44-V055_20[[#This Row],[CYLINDER MP]])+V055_20[[#This Row],[FAENA EN LTS]]</f>
        <v>100</v>
      </c>
      <c r="AC45" s="246"/>
      <c r="AD45" s="246"/>
      <c r="AE45" s="320">
        <f>(AE44-V055_20[[#This Row],[CARTER MP.]])+V055_20[[#This Row],[FAENA EN LTS2]]</f>
        <v>100</v>
      </c>
      <c r="AF45" s="246"/>
      <c r="AG45" s="246"/>
      <c r="AH45" s="320">
        <f>(AH44-V055_20[[#This Row],[MOT AUX]])+V055_20[[#This Row],[FAENA EN  LTS]]</f>
        <v>100</v>
      </c>
      <c r="AI45" s="246"/>
      <c r="AJ45" s="246"/>
      <c r="AK45" s="321">
        <f>(AK44-V055_20[[#This Row],[HIDRAULICO]])+V055_20[[#This Row],[FAENA EN LTS3]]</f>
        <v>100</v>
      </c>
    </row>
    <row r="46" spans="1:37" x14ac:dyDescent="0.25">
      <c r="A46" s="235" t="s">
        <v>82</v>
      </c>
      <c r="B46" s="236">
        <v>43891</v>
      </c>
      <c r="C46" s="237">
        <v>0</v>
      </c>
      <c r="D46" s="238">
        <f>IF(V055_20[[#This Row],[FECHA]]-B45=1,((V055_20[[#This Row],[HORA]]-C45)*24)+24,(V055_20[[#This Row],[HORA]]-C45)*24)</f>
        <v>0.5</v>
      </c>
      <c r="E46" s="239" t="s">
        <v>61</v>
      </c>
      <c r="F46" s="240" t="s">
        <v>56</v>
      </c>
      <c r="G46" s="241"/>
      <c r="H46" s="50"/>
      <c r="I46" s="242">
        <f>IF(ISERROR(V053_20[[#This Row],[DISTANCIA POR CARTA]]/V053_20[[#This Row],[TIEMPO DE NAVEGACION]]),0,V053_20[[#This Row],[DISTANCIA POR CARTA]]/V053_20[[#This Row],[TIEMPO DE NAVEGACION]])</f>
        <v>0</v>
      </c>
      <c r="J46" s="243"/>
      <c r="K46" s="244"/>
      <c r="L46" s="245">
        <v>0</v>
      </c>
      <c r="M46" s="246">
        <v>0</v>
      </c>
      <c r="N46" s="246">
        <v>0</v>
      </c>
      <c r="O46" s="257">
        <f>SUM(V055_20[[#This Row],[MPAL]:[CALDERA]])</f>
        <v>0</v>
      </c>
      <c r="P46" s="319"/>
      <c r="Q46" s="281">
        <f>(Q45-V055_20[[#This Row],[TOTAL ]])+V055_20[[#This Row],[FAENA]]</f>
        <v>660.82500000000027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SUM(V055_20[[#This Row],[MPAL2]:[GI]])</f>
        <v>0</v>
      </c>
      <c r="X46" s="246">
        <v>0</v>
      </c>
      <c r="Y46" s="282">
        <f>(Y45-V055_20[[#This Row],[TOTAL]])+V055_20[[#This Row],[FAENA2]]</f>
        <v>28.900000000000006</v>
      </c>
      <c r="Z46" s="245"/>
      <c r="AA46" s="246"/>
      <c r="AB46" s="320">
        <f>(AB45-V055_20[[#This Row],[CYLINDER MP]])+V055_20[[#This Row],[FAENA EN LTS]]</f>
        <v>100</v>
      </c>
      <c r="AC46" s="246"/>
      <c r="AD46" s="246"/>
      <c r="AE46" s="320">
        <f>(AE45-V055_20[[#This Row],[CARTER MP.]])+V055_20[[#This Row],[FAENA EN LTS2]]</f>
        <v>100</v>
      </c>
      <c r="AF46" s="246"/>
      <c r="AG46" s="246"/>
      <c r="AH46" s="320">
        <f>(AH45-V055_20[[#This Row],[MOT AUX]])+V055_20[[#This Row],[FAENA EN  LTS]]</f>
        <v>100</v>
      </c>
      <c r="AI46" s="246"/>
      <c r="AJ46" s="246"/>
      <c r="AK46" s="321">
        <f>(AK45-V055_20[[#This Row],[HIDRAULICO]])+V055_20[[#This Row],[FAENA EN LTS3]]</f>
        <v>100</v>
      </c>
    </row>
    <row r="47" spans="1:37" x14ac:dyDescent="0.25">
      <c r="A47" s="26" t="s">
        <v>82</v>
      </c>
      <c r="B47" s="40">
        <v>43891</v>
      </c>
      <c r="C47" s="28">
        <v>0</v>
      </c>
      <c r="D47" s="238">
        <f>IF(V055_20[[#This Row],[FECHA]]-B46=1,((V055_20[[#This Row],[HORA]]-C46)*24)+24,(V055_20[[#This Row],[HORA]]-C46)*24)</f>
        <v>0</v>
      </c>
      <c r="E47" s="51" t="s">
        <v>55</v>
      </c>
      <c r="F47" s="30" t="s">
        <v>56</v>
      </c>
      <c r="G47" s="31"/>
      <c r="H47" s="32"/>
      <c r="I47" s="130">
        <f>IF(ISERROR(V053_20[[#This Row],[DISTANCIA POR CARTA]]/V053_20[[#This Row],[TIEMPO DE NAVEGACION]]),0,V053_20[[#This Row],[DISTANCIA POR CARTA]]/V053_20[[#This Row],[TIEMPO DE NAVEGACION]])</f>
        <v>0</v>
      </c>
      <c r="J47" s="34" t="s">
        <v>54</v>
      </c>
      <c r="K47" s="35">
        <v>95</v>
      </c>
      <c r="L47" s="36">
        <v>0</v>
      </c>
      <c r="M47" s="37">
        <v>0</v>
      </c>
      <c r="N47" s="38">
        <v>0</v>
      </c>
      <c r="O47" s="257">
        <f>SUM(V055_20[[#This Row],[MPAL]:[CALDERA]])</f>
        <v>0</v>
      </c>
      <c r="P47" s="84"/>
      <c r="Q47" s="281">
        <f>(Q46-V055_20[[#This Row],[TOTAL ]])+V055_20[[#This Row],[FAENA]]</f>
        <v>660.82500000000027</v>
      </c>
      <c r="R47" s="36">
        <v>0</v>
      </c>
      <c r="S47" s="38">
        <v>0</v>
      </c>
      <c r="T47" s="38">
        <v>0</v>
      </c>
      <c r="U47" s="38">
        <v>0</v>
      </c>
      <c r="V47" s="38">
        <v>0</v>
      </c>
      <c r="W47" s="257">
        <f>SUM(V055_20[[#This Row],[MPAL2]:[GI]])</f>
        <v>0</v>
      </c>
      <c r="X47" s="38">
        <v>0</v>
      </c>
      <c r="Y47" s="282">
        <f>(Y46-V055_20[[#This Row],[TOTAL]])+V055_20[[#This Row],[FAENA2]]</f>
        <v>28.900000000000006</v>
      </c>
      <c r="Z47" s="36"/>
      <c r="AA47" s="38"/>
      <c r="AB47" s="320">
        <f>(AB46-V055_20[[#This Row],[CYLINDER MP]])+V055_20[[#This Row],[FAENA EN LTS]]</f>
        <v>100</v>
      </c>
      <c r="AC47" s="38"/>
      <c r="AD47" s="38"/>
      <c r="AE47" s="320">
        <f>(AE46-V055_20[[#This Row],[CARTER MP.]])+V055_20[[#This Row],[FAENA EN LTS2]]</f>
        <v>100</v>
      </c>
      <c r="AF47" s="38"/>
      <c r="AG47" s="38"/>
      <c r="AH47" s="320">
        <f>(AH46-V055_20[[#This Row],[MOT AUX]])+V055_20[[#This Row],[FAENA EN  LTS]]</f>
        <v>100</v>
      </c>
      <c r="AI47" s="38"/>
      <c r="AJ47" s="38"/>
      <c r="AK47" s="321">
        <f>(AK46-V055_20[[#This Row],[HIDRAULICO]])+V055_20[[#This Row],[FAENA EN LTS3]]</f>
        <v>100</v>
      </c>
    </row>
    <row r="48" spans="1:37" x14ac:dyDescent="0.25">
      <c r="A48" s="26" t="s">
        <v>82</v>
      </c>
      <c r="B48" s="388">
        <v>43891</v>
      </c>
      <c r="C48" s="41">
        <v>0.27083333333333331</v>
      </c>
      <c r="D48" s="238">
        <f>IF(V055_20[[#This Row],[FECHA]]-B47=1,((V055_20[[#This Row],[HORA]]-C47)*24)+24,(V055_20[[#This Row],[HORA]]-C47)*24)</f>
        <v>6.5</v>
      </c>
      <c r="E48" s="51" t="s">
        <v>55</v>
      </c>
      <c r="F48" s="29" t="s">
        <v>142</v>
      </c>
      <c r="G48" s="43">
        <v>62</v>
      </c>
      <c r="H48" s="44">
        <v>6.5</v>
      </c>
      <c r="I48" s="130">
        <f>IF(ISERROR(V053_20[[#This Row],[DISTANCIA POR CARTA]]/V053_20[[#This Row],[TIEMPO DE NAVEGACION]]),0,V053_20[[#This Row],[DISTANCIA POR CARTA]]/V053_20[[#This Row],[TIEMPO DE NAVEGACION]])</f>
        <v>0</v>
      </c>
      <c r="J48" s="45" t="s">
        <v>54</v>
      </c>
      <c r="K48" s="46">
        <v>95</v>
      </c>
      <c r="L48" s="36">
        <v>5.83</v>
      </c>
      <c r="M48" s="37">
        <v>0.72916666666666674</v>
      </c>
      <c r="N48" s="299">
        <v>0</v>
      </c>
      <c r="O48" s="257">
        <f>SUM(V055_20[[#This Row],[MPAL]:[CALDERA]])</f>
        <v>6.559166666666667</v>
      </c>
      <c r="P48" s="88"/>
      <c r="Q48" s="281">
        <f>(Q47-V055_20[[#This Row],[TOTAL ]])+V055_20[[#This Row],[FAENA]]</f>
        <v>654.2658333333336</v>
      </c>
      <c r="R48" s="53">
        <v>0</v>
      </c>
      <c r="S48" s="37">
        <v>0</v>
      </c>
      <c r="T48" s="37">
        <v>0</v>
      </c>
      <c r="U48" s="37">
        <v>0</v>
      </c>
      <c r="V48" s="37">
        <v>0</v>
      </c>
      <c r="W48" s="257">
        <f>SUM(V055_20[[#This Row],[MPAL2]:[GI]])</f>
        <v>0</v>
      </c>
      <c r="X48" s="37">
        <v>0</v>
      </c>
      <c r="Y48" s="282">
        <f>(Y47-V055_20[[#This Row],[TOTAL]])+V055_20[[#This Row],[FAENA2]]</f>
        <v>28.900000000000006</v>
      </c>
      <c r="Z48" s="53"/>
      <c r="AA48" s="37"/>
      <c r="AB48" s="320">
        <f>(AB47-V055_20[[#This Row],[CYLINDER MP]])+V055_20[[#This Row],[FAENA EN LTS]]</f>
        <v>100</v>
      </c>
      <c r="AC48" s="37"/>
      <c r="AD48" s="37"/>
      <c r="AE48" s="320">
        <f>(AE47-V055_20[[#This Row],[CARTER MP.]])+V055_20[[#This Row],[FAENA EN LTS2]]</f>
        <v>100</v>
      </c>
      <c r="AF48" s="37"/>
      <c r="AG48" s="37"/>
      <c r="AH48" s="320">
        <f>(AH47-V055_20[[#This Row],[MOT AUX]])+V055_20[[#This Row],[FAENA EN  LTS]]</f>
        <v>100</v>
      </c>
      <c r="AI48" s="37"/>
      <c r="AJ48" s="37"/>
      <c r="AK48" s="321">
        <f>(AK47-V055_20[[#This Row],[HIDRAULICO]])+V055_20[[#This Row],[FAENA EN LTS3]]</f>
        <v>100</v>
      </c>
    </row>
    <row r="49" spans="1:37" x14ac:dyDescent="0.25">
      <c r="A49" s="26" t="s">
        <v>82</v>
      </c>
      <c r="B49" s="48">
        <v>43891</v>
      </c>
      <c r="C49" s="41">
        <v>0.33333333333333331</v>
      </c>
      <c r="D49" s="238">
        <f>IF(V055_20[[#This Row],[FECHA]]-B48=1,((V055_20[[#This Row],[HORA]]-C48)*24)+24,(V055_20[[#This Row],[HORA]]-C48)*24)</f>
        <v>1.5</v>
      </c>
      <c r="E49" s="51" t="s">
        <v>47</v>
      </c>
      <c r="F49" s="29" t="s">
        <v>45</v>
      </c>
      <c r="G49" s="49"/>
      <c r="H49" s="50"/>
      <c r="I49" s="130">
        <f>IF(ISERROR(V053_20[[#This Row],[DISTANCIA POR CARTA]]/V053_20[[#This Row],[TIEMPO DE NAVEGACION]]),0,V053_20[[#This Row],[DISTANCIA POR CARTA]]/V053_20[[#This Row],[TIEMPO DE NAVEGACION]])</f>
        <v>0</v>
      </c>
      <c r="J49" s="51"/>
      <c r="K49" s="52"/>
      <c r="L49" s="36">
        <v>0.125</v>
      </c>
      <c r="M49" s="37">
        <v>0.15625</v>
      </c>
      <c r="N49" s="37">
        <v>0.125</v>
      </c>
      <c r="O49" s="257">
        <f>SUM(V055_20[[#This Row],[MPAL]:[CALDERA]])</f>
        <v>0.40625</v>
      </c>
      <c r="P49" s="88"/>
      <c r="Q49" s="281">
        <f>(Q48-V055_20[[#This Row],[TOTAL ]])+V055_20[[#This Row],[FAENA]]</f>
        <v>653.8595833333336</v>
      </c>
      <c r="R49" s="53">
        <v>0</v>
      </c>
      <c r="S49" s="37">
        <v>0</v>
      </c>
      <c r="T49" s="37">
        <v>0</v>
      </c>
      <c r="U49" s="37">
        <v>0</v>
      </c>
      <c r="V49" s="37">
        <v>0</v>
      </c>
      <c r="W49" s="257">
        <f>SUM(V055_20[[#This Row],[MPAL2]:[GI]])</f>
        <v>0</v>
      </c>
      <c r="X49" s="37">
        <v>0</v>
      </c>
      <c r="Y49" s="282">
        <f>(Y48-V055_20[[#This Row],[TOTAL]])+V055_20[[#This Row],[FAENA2]]</f>
        <v>28.900000000000006</v>
      </c>
      <c r="Z49" s="53"/>
      <c r="AA49" s="37"/>
      <c r="AB49" s="320">
        <f>(AB48-V055_20[[#This Row],[CYLINDER MP]])+V055_20[[#This Row],[FAENA EN LTS]]</f>
        <v>100</v>
      </c>
      <c r="AC49" s="37"/>
      <c r="AD49" s="37"/>
      <c r="AE49" s="320">
        <f>(AE48-V055_20[[#This Row],[CARTER MP.]])+V055_20[[#This Row],[FAENA EN LTS2]]</f>
        <v>100</v>
      </c>
      <c r="AF49" s="37"/>
      <c r="AG49" s="37"/>
      <c r="AH49" s="320">
        <f>(AH48-V055_20[[#This Row],[MOT AUX]])+V055_20[[#This Row],[FAENA EN  LTS]]</f>
        <v>100</v>
      </c>
      <c r="AI49" s="37"/>
      <c r="AJ49" s="37"/>
      <c r="AK49" s="321">
        <f>(AK48-V055_20[[#This Row],[HIDRAULICO]])+V055_20[[#This Row],[FAENA EN LTS3]]</f>
        <v>100</v>
      </c>
    </row>
    <row r="50" spans="1:37" x14ac:dyDescent="0.25">
      <c r="A50" s="26" t="s">
        <v>82</v>
      </c>
      <c r="B50" s="48">
        <v>43891</v>
      </c>
      <c r="C50" s="41">
        <v>0.35416666666666669</v>
      </c>
      <c r="D50" s="238">
        <f>IF(V055_20[[#This Row],[FECHA]]-B49=1,((V055_20[[#This Row],[HORA]]-C49)*24)+24,(V055_20[[#This Row],[HORA]]-C49)*24)</f>
        <v>0.50000000000000089</v>
      </c>
      <c r="E50" s="51" t="s">
        <v>45</v>
      </c>
      <c r="F50" s="29" t="s">
        <v>46</v>
      </c>
      <c r="G50" s="49"/>
      <c r="H50" s="50"/>
      <c r="I50" s="130">
        <f>IF(ISERROR(V053_20[[#This Row],[DISTANCIA POR CARTA]]/V053_20[[#This Row],[TIEMPO DE NAVEGACION]]),0,V053_20[[#This Row],[DISTANCIA POR CARTA]]/V053_20[[#This Row],[TIEMPO DE NAVEGACION]])</f>
        <v>0</v>
      </c>
      <c r="J50" s="51"/>
      <c r="K50" s="52"/>
      <c r="L50" s="53">
        <v>0</v>
      </c>
      <c r="M50" s="37">
        <v>5.2083333333333426E-2</v>
      </c>
      <c r="N50" s="37">
        <v>4.1666666666666741E-2</v>
      </c>
      <c r="O50" s="257">
        <f>SUM(V055_20[[#This Row],[MPAL]:[CALDERA]])</f>
        <v>9.3750000000000167E-2</v>
      </c>
      <c r="P50" s="88"/>
      <c r="Q50" s="281">
        <f>(Q49-V055_20[[#This Row],[TOTAL ]])+V055_20[[#This Row],[FAENA]]</f>
        <v>653.7658333333336</v>
      </c>
      <c r="R50" s="53">
        <v>0</v>
      </c>
      <c r="S50" s="37">
        <v>0</v>
      </c>
      <c r="T50" s="37">
        <v>0</v>
      </c>
      <c r="U50" s="37">
        <v>0</v>
      </c>
      <c r="V50" s="37">
        <v>0</v>
      </c>
      <c r="W50" s="257">
        <f>SUM(V055_20[[#This Row],[MPAL2]:[GI]])</f>
        <v>0</v>
      </c>
      <c r="X50" s="37">
        <v>0</v>
      </c>
      <c r="Y50" s="282">
        <f>(Y49-V055_20[[#This Row],[TOTAL]])+V055_20[[#This Row],[FAENA2]]</f>
        <v>28.900000000000006</v>
      </c>
      <c r="Z50" s="53"/>
      <c r="AA50" s="37"/>
      <c r="AB50" s="320">
        <f>(AB49-V055_20[[#This Row],[CYLINDER MP]])+V055_20[[#This Row],[FAENA EN LTS]]</f>
        <v>100</v>
      </c>
      <c r="AC50" s="37"/>
      <c r="AD50" s="37"/>
      <c r="AE50" s="320">
        <f>(AE49-V055_20[[#This Row],[CARTER MP.]])+V055_20[[#This Row],[FAENA EN LTS2]]</f>
        <v>100</v>
      </c>
      <c r="AF50" s="37"/>
      <c r="AG50" s="37"/>
      <c r="AH50" s="320">
        <f>(AH49-V055_20[[#This Row],[MOT AUX]])+V055_20[[#This Row],[FAENA EN  LTS]]</f>
        <v>100</v>
      </c>
      <c r="AI50" s="37"/>
      <c r="AJ50" s="37"/>
      <c r="AK50" s="321">
        <f>(AK49-V055_20[[#This Row],[HIDRAULICO]])+V055_20[[#This Row],[FAENA EN LTS3]]</f>
        <v>100</v>
      </c>
    </row>
    <row r="51" spans="1:37" x14ac:dyDescent="0.25">
      <c r="A51" s="26" t="s">
        <v>82</v>
      </c>
      <c r="B51" s="48">
        <v>43891</v>
      </c>
      <c r="C51" s="41">
        <v>0.40833333333333338</v>
      </c>
      <c r="D51" s="238">
        <f>IF(V055_20[[#This Row],[FECHA]]-B50=1,((V055_20[[#This Row],[HORA]]-C50)*24)+24,(V055_20[[#This Row],[HORA]]-C50)*24)</f>
        <v>1.3000000000000007</v>
      </c>
      <c r="E51" s="51" t="s">
        <v>47</v>
      </c>
      <c r="F51" s="29" t="s">
        <v>48</v>
      </c>
      <c r="G51" s="54"/>
      <c r="H51" s="55"/>
      <c r="I51" s="130">
        <f>IF(ISERROR(V053_20[[#This Row],[DISTANCIA POR CARTA]]/V053_20[[#This Row],[TIEMPO DE NAVEGACION]]),0,V053_20[[#This Row],[DISTANCIA POR CARTA]]/V053_20[[#This Row],[TIEMPO DE NAVEGACION]])</f>
        <v>11.041666666666666</v>
      </c>
      <c r="J51" s="56"/>
      <c r="K51" s="57"/>
      <c r="L51" s="53">
        <v>0.10833333333333339</v>
      </c>
      <c r="M51" s="37">
        <v>0.13541666666666674</v>
      </c>
      <c r="N51" s="37">
        <v>0.10833333333333339</v>
      </c>
      <c r="O51" s="257">
        <f>SUM(V055_20[[#This Row],[MPAL]:[CALDERA]])</f>
        <v>0.35208333333333353</v>
      </c>
      <c r="P51" s="88"/>
      <c r="Q51" s="281">
        <f>(Q50-V055_20[[#This Row],[TOTAL ]])+V055_20[[#This Row],[FAENA]]</f>
        <v>653.41375000000028</v>
      </c>
      <c r="R51" s="53">
        <v>0</v>
      </c>
      <c r="S51" s="37">
        <v>0</v>
      </c>
      <c r="T51" s="37">
        <v>0</v>
      </c>
      <c r="U51" s="37">
        <v>0</v>
      </c>
      <c r="V51" s="37">
        <v>0</v>
      </c>
      <c r="W51" s="257">
        <f>SUM(V055_20[[#This Row],[MPAL2]:[GI]])</f>
        <v>0</v>
      </c>
      <c r="X51" s="37">
        <v>0</v>
      </c>
      <c r="Y51" s="282">
        <f>(Y50-V055_20[[#This Row],[TOTAL]])+V055_20[[#This Row],[FAENA2]]</f>
        <v>28.900000000000006</v>
      </c>
      <c r="Z51" s="53"/>
      <c r="AA51" s="37"/>
      <c r="AB51" s="320">
        <f>(AB50-V055_20[[#This Row],[CYLINDER MP]])+V055_20[[#This Row],[FAENA EN LTS]]</f>
        <v>100</v>
      </c>
      <c r="AC51" s="37"/>
      <c r="AD51" s="37"/>
      <c r="AE51" s="320">
        <f>(AE50-V055_20[[#This Row],[CARTER MP.]])+V055_20[[#This Row],[FAENA EN LTS2]]</f>
        <v>100</v>
      </c>
      <c r="AF51" s="37"/>
      <c r="AG51" s="37"/>
      <c r="AH51" s="320">
        <f>(AH50-V055_20[[#This Row],[MOT AUX]])+V055_20[[#This Row],[FAENA EN  LTS]]</f>
        <v>100</v>
      </c>
      <c r="AI51" s="37"/>
      <c r="AJ51" s="37"/>
      <c r="AK51" s="321">
        <f>(AK50-V055_20[[#This Row],[HIDRAULICO]])+V055_20[[#This Row],[FAENA EN LTS3]]</f>
        <v>100</v>
      </c>
    </row>
    <row r="52" spans="1:37" x14ac:dyDescent="0.25">
      <c r="A52" s="26" t="s">
        <v>82</v>
      </c>
      <c r="B52" s="48">
        <v>43891</v>
      </c>
      <c r="C52" s="41">
        <v>0.48749999999999999</v>
      </c>
      <c r="D52" s="238">
        <f>IF(V055_20[[#This Row],[FECHA]]-B51=1,((V055_20[[#This Row],[HORA]]-C51)*24)+24,(V055_20[[#This Row],[HORA]]-C51)*24)</f>
        <v>1.8999999999999986</v>
      </c>
      <c r="E52" s="51" t="s">
        <v>49</v>
      </c>
      <c r="F52" s="29" t="s">
        <v>50</v>
      </c>
      <c r="G52" s="54"/>
      <c r="H52" s="55"/>
      <c r="I52" s="130">
        <f>IF(ISERROR(V053_20[[#This Row],[DISTANCIA POR CARTA]]/V053_20[[#This Row],[TIEMPO DE NAVEGACION]]),0,V053_20[[#This Row],[DISTANCIA POR CARTA]]/V053_20[[#This Row],[TIEMPO DE NAVEGACION]])</f>
        <v>0</v>
      </c>
      <c r="J52" s="56"/>
      <c r="K52" s="57"/>
      <c r="L52" s="53">
        <v>0</v>
      </c>
      <c r="M52" s="37">
        <v>0.19791666666666652</v>
      </c>
      <c r="N52" s="37">
        <v>0.3</v>
      </c>
      <c r="O52" s="257">
        <f>SUM(V055_20[[#This Row],[MPAL]:[CALDERA]])</f>
        <v>0.49791666666666651</v>
      </c>
      <c r="P52" s="88"/>
      <c r="Q52" s="281">
        <f>(Q51-V055_20[[#This Row],[TOTAL ]])+V055_20[[#This Row],[FAENA]]</f>
        <v>652.91583333333358</v>
      </c>
      <c r="R52" s="53">
        <v>0</v>
      </c>
      <c r="S52" s="37">
        <v>0</v>
      </c>
      <c r="T52" s="37">
        <v>0</v>
      </c>
      <c r="U52" s="37">
        <v>0</v>
      </c>
      <c r="V52" s="37">
        <v>0</v>
      </c>
      <c r="W52" s="257">
        <f>SUM(V055_20[[#This Row],[MPAL2]:[GI]])</f>
        <v>0</v>
      </c>
      <c r="X52" s="37">
        <v>0</v>
      </c>
      <c r="Y52" s="282">
        <f>(Y51-V055_20[[#This Row],[TOTAL]])+V055_20[[#This Row],[FAENA2]]</f>
        <v>28.900000000000006</v>
      </c>
      <c r="Z52" s="53"/>
      <c r="AA52" s="37"/>
      <c r="AB52" s="320">
        <f>(AB51-V055_20[[#This Row],[CYLINDER MP]])+V055_20[[#This Row],[FAENA EN LTS]]</f>
        <v>100</v>
      </c>
      <c r="AC52" s="37"/>
      <c r="AD52" s="37"/>
      <c r="AE52" s="320">
        <f>(AE51-V055_20[[#This Row],[CARTER MP.]])+V055_20[[#This Row],[FAENA EN LTS2]]</f>
        <v>100</v>
      </c>
      <c r="AF52" s="37"/>
      <c r="AG52" s="37"/>
      <c r="AH52" s="320">
        <f>(AH51-V055_20[[#This Row],[MOT AUX]])+V055_20[[#This Row],[FAENA EN  LTS]]</f>
        <v>100</v>
      </c>
      <c r="AI52" s="37"/>
      <c r="AJ52" s="37"/>
      <c r="AK52" s="321">
        <f>(AK51-V055_20[[#This Row],[HIDRAULICO]])+V055_20[[#This Row],[FAENA EN LTS3]]</f>
        <v>100</v>
      </c>
    </row>
    <row r="53" spans="1:37" x14ac:dyDescent="0.25">
      <c r="A53" s="26" t="s">
        <v>82</v>
      </c>
      <c r="B53" s="48">
        <v>43891</v>
      </c>
      <c r="C53" s="41">
        <v>0.83750000000000002</v>
      </c>
      <c r="D53" s="238">
        <f>IF(V055_20[[#This Row],[FECHA]]-B52=1,((V055_20[[#This Row],[HORA]]-C52)*24)+24,(V055_20[[#This Row],[HORA]]-C52)*24)</f>
        <v>8.4</v>
      </c>
      <c r="E53" s="51" t="s">
        <v>51</v>
      </c>
      <c r="F53" s="29" t="s">
        <v>86</v>
      </c>
      <c r="G53" s="54"/>
      <c r="H53" s="55"/>
      <c r="I53" s="130">
        <f>IF(ISERROR(V053_20[[#This Row],[DISTANCIA POR CARTA]]/V053_20[[#This Row],[TIEMPO DE NAVEGACION]]),0,V053_20[[#This Row],[DISTANCIA POR CARTA]]/V053_20[[#This Row],[TIEMPO DE NAVEGACION]])</f>
        <v>0</v>
      </c>
      <c r="J53" s="56"/>
      <c r="K53" s="57"/>
      <c r="L53" s="53">
        <v>0</v>
      </c>
      <c r="M53" s="37">
        <v>0.87500000000000011</v>
      </c>
      <c r="N53" s="37">
        <v>0.7</v>
      </c>
      <c r="O53" s="257">
        <f>SUM(V055_20[[#This Row],[MPAL]:[CALDERA]])</f>
        <v>1.5750000000000002</v>
      </c>
      <c r="P53" s="88"/>
      <c r="Q53" s="281">
        <f>(Q52-V055_20[[#This Row],[TOTAL ]])+V055_20[[#This Row],[FAENA]]</f>
        <v>651.34083333333353</v>
      </c>
      <c r="R53" s="53">
        <v>0</v>
      </c>
      <c r="S53" s="37">
        <v>0</v>
      </c>
      <c r="T53" s="37">
        <v>0</v>
      </c>
      <c r="U53" s="37">
        <v>0</v>
      </c>
      <c r="V53" s="37">
        <v>2.1</v>
      </c>
      <c r="W53" s="257">
        <f>SUM(V055_20[[#This Row],[MPAL2]:[GI]])</f>
        <v>2.1</v>
      </c>
      <c r="X53" s="37">
        <v>0</v>
      </c>
      <c r="Y53" s="282">
        <f>(Y52-V055_20[[#This Row],[TOTAL]])+V055_20[[#This Row],[FAENA2]]</f>
        <v>26.800000000000004</v>
      </c>
      <c r="Z53" s="53"/>
      <c r="AA53" s="37"/>
      <c r="AB53" s="320">
        <f>(AB52-V055_20[[#This Row],[CYLINDER MP]])+V055_20[[#This Row],[FAENA EN LTS]]</f>
        <v>100</v>
      </c>
      <c r="AC53" s="37"/>
      <c r="AD53" s="37"/>
      <c r="AE53" s="320">
        <f>(AE52-V055_20[[#This Row],[CARTER MP.]])+V055_20[[#This Row],[FAENA EN LTS2]]</f>
        <v>100</v>
      </c>
      <c r="AF53" s="37"/>
      <c r="AG53" s="37"/>
      <c r="AH53" s="320">
        <f>(AH52-V055_20[[#This Row],[MOT AUX]])+V055_20[[#This Row],[FAENA EN  LTS]]</f>
        <v>100</v>
      </c>
      <c r="AI53" s="37"/>
      <c r="AJ53" s="37"/>
      <c r="AK53" s="321">
        <f>(AK52-V055_20[[#This Row],[HIDRAULICO]])+V055_20[[#This Row],[FAENA EN LTS3]]</f>
        <v>100</v>
      </c>
    </row>
    <row r="54" spans="1:37" x14ac:dyDescent="0.25">
      <c r="A54" s="26" t="s">
        <v>82</v>
      </c>
      <c r="B54" s="48">
        <v>43891</v>
      </c>
      <c r="C54" s="41">
        <v>0.93333333333333324</v>
      </c>
      <c r="D54" s="238">
        <f>IF(V055_20[[#This Row],[FECHA]]-B53=1,((V055_20[[#This Row],[HORA]]-C53)*24)+24,(V055_20[[#This Row],[HORA]]-C53)*24)</f>
        <v>2.2999999999999972</v>
      </c>
      <c r="E54" s="51" t="s">
        <v>49</v>
      </c>
      <c r="F54" s="29" t="s">
        <v>46</v>
      </c>
      <c r="G54" s="54"/>
      <c r="H54" s="55"/>
      <c r="I54" s="130">
        <f>IF(ISERROR(V053_20[[#This Row],[DISTANCIA POR CARTA]]/V053_20[[#This Row],[TIEMPO DE NAVEGACION]]),0,V053_20[[#This Row],[DISTANCIA POR CARTA]]/V053_20[[#This Row],[TIEMPO DE NAVEGACION]])</f>
        <v>0</v>
      </c>
      <c r="J54" s="56"/>
      <c r="K54" s="57"/>
      <c r="L54" s="53">
        <v>0</v>
      </c>
      <c r="M54" s="37">
        <v>0.23958333333333304</v>
      </c>
      <c r="N54" s="37">
        <v>0.19166666666666643</v>
      </c>
      <c r="O54" s="257">
        <f>SUM(V055_20[[#This Row],[MPAL]:[CALDERA]])</f>
        <v>0.43124999999999947</v>
      </c>
      <c r="P54" s="88"/>
      <c r="Q54" s="281">
        <f>(Q53-V055_20[[#This Row],[TOTAL ]])+V055_20[[#This Row],[FAENA]]</f>
        <v>650.90958333333356</v>
      </c>
      <c r="R54" s="53">
        <v>0</v>
      </c>
      <c r="S54" s="37">
        <v>0</v>
      </c>
      <c r="T54" s="37">
        <v>0</v>
      </c>
      <c r="U54" s="37">
        <v>0</v>
      </c>
      <c r="V54" s="37">
        <v>0</v>
      </c>
      <c r="W54" s="257">
        <f>SUM(V055_20[[#This Row],[MPAL2]:[GI]])</f>
        <v>0</v>
      </c>
      <c r="X54" s="37">
        <v>0</v>
      </c>
      <c r="Y54" s="282">
        <f>(Y53-V055_20[[#This Row],[TOTAL]])+V055_20[[#This Row],[FAENA2]]</f>
        <v>26.800000000000004</v>
      </c>
      <c r="Z54" s="53"/>
      <c r="AA54" s="37"/>
      <c r="AB54" s="320">
        <f>(AB53-V055_20[[#This Row],[CYLINDER MP]])+V055_20[[#This Row],[FAENA EN LTS]]</f>
        <v>100</v>
      </c>
      <c r="AC54" s="37"/>
      <c r="AD54" s="37"/>
      <c r="AE54" s="320">
        <f>(AE53-V055_20[[#This Row],[CARTER MP.]])+V055_20[[#This Row],[FAENA EN LTS2]]</f>
        <v>100</v>
      </c>
      <c r="AF54" s="37"/>
      <c r="AG54" s="37"/>
      <c r="AH54" s="320">
        <f>(AH53-V055_20[[#This Row],[MOT AUX]])+V055_20[[#This Row],[FAENA EN  LTS]]</f>
        <v>100</v>
      </c>
      <c r="AI54" s="37"/>
      <c r="AJ54" s="37"/>
      <c r="AK54" s="321">
        <f>(AK53-V055_20[[#This Row],[HIDRAULICO]])+V055_20[[#This Row],[FAENA EN LTS3]]</f>
        <v>100</v>
      </c>
    </row>
    <row r="55" spans="1:37" x14ac:dyDescent="0.25">
      <c r="A55" s="26" t="s">
        <v>82</v>
      </c>
      <c r="B55" s="48">
        <v>43891</v>
      </c>
      <c r="C55" s="41">
        <v>0.96666666666666667</v>
      </c>
      <c r="D55" s="238">
        <f>IF(V055_20[[#This Row],[FECHA]]-B54=1,((V055_20[[#This Row],[HORA]]-C54)*24)+24,(V055_20[[#This Row],[HORA]]-C54)*24)</f>
        <v>0.80000000000000249</v>
      </c>
      <c r="E55" s="51" t="s">
        <v>47</v>
      </c>
      <c r="F55" s="29" t="s">
        <v>151</v>
      </c>
      <c r="G55" s="54"/>
      <c r="H55" s="55"/>
      <c r="I55" s="130">
        <f>IF(ISERROR(V053_20[[#This Row],[DISTANCIA POR CARTA]]/V053_20[[#This Row],[TIEMPO DE NAVEGACION]]),0,V053_20[[#This Row],[DISTANCIA POR CARTA]]/V053_20[[#This Row],[TIEMPO DE NAVEGACION]])</f>
        <v>0</v>
      </c>
      <c r="J55" s="56" t="s">
        <v>54</v>
      </c>
      <c r="K55" s="57">
        <v>95</v>
      </c>
      <c r="L55" s="53">
        <v>0.16666666666666718</v>
      </c>
      <c r="M55" s="37">
        <v>8.3333333333333592E-2</v>
      </c>
      <c r="N55" s="37">
        <v>0.01</v>
      </c>
      <c r="O55" s="257">
        <f>SUM(V055_20[[#This Row],[MPAL]:[CALDERA]])</f>
        <v>0.26000000000000079</v>
      </c>
      <c r="P55" s="88"/>
      <c r="Q55" s="281">
        <f>(Q54-V055_20[[#This Row],[TOTAL ]])+V055_20[[#This Row],[FAENA]]</f>
        <v>650.64958333333357</v>
      </c>
      <c r="R55" s="53">
        <v>0</v>
      </c>
      <c r="S55" s="37">
        <v>0</v>
      </c>
      <c r="T55" s="37">
        <v>0</v>
      </c>
      <c r="U55" s="37">
        <v>0</v>
      </c>
      <c r="V55" s="37">
        <v>0</v>
      </c>
      <c r="W55" s="257">
        <f>SUM(V055_20[[#This Row],[MPAL2]:[GI]])</f>
        <v>0</v>
      </c>
      <c r="X55" s="37">
        <v>0</v>
      </c>
      <c r="Y55" s="282">
        <f>(Y54-V055_20[[#This Row],[TOTAL]])+V055_20[[#This Row],[FAENA2]]</f>
        <v>26.800000000000004</v>
      </c>
      <c r="Z55" s="53"/>
      <c r="AA55" s="37"/>
      <c r="AB55" s="320">
        <f>(AB54-V055_20[[#This Row],[CYLINDER MP]])+V055_20[[#This Row],[FAENA EN LTS]]</f>
        <v>100</v>
      </c>
      <c r="AC55" s="37"/>
      <c r="AD55" s="37"/>
      <c r="AE55" s="320">
        <f>(AE54-V055_20[[#This Row],[CARTER MP.]])+V055_20[[#This Row],[FAENA EN LTS2]]</f>
        <v>100</v>
      </c>
      <c r="AF55" s="37"/>
      <c r="AG55" s="37"/>
      <c r="AH55" s="320">
        <f>(AH54-V055_20[[#This Row],[MOT AUX]])+V055_20[[#This Row],[FAENA EN  LTS]]</f>
        <v>100</v>
      </c>
      <c r="AI55" s="37"/>
      <c r="AJ55" s="37"/>
      <c r="AK55" s="321">
        <f>(AK54-V055_20[[#This Row],[HIDRAULICO]])+V055_20[[#This Row],[FAENA EN LTS3]]</f>
        <v>100</v>
      </c>
    </row>
    <row r="56" spans="1:37" x14ac:dyDescent="0.25">
      <c r="A56" s="26" t="s">
        <v>82</v>
      </c>
      <c r="B56" s="48">
        <v>43892</v>
      </c>
      <c r="C56" s="41">
        <v>0.33333333333333331</v>
      </c>
      <c r="D56" s="238">
        <f>IF(V055_20[[#This Row],[FECHA]]-B55=1,((V055_20[[#This Row],[HORA]]-C55)*24)+24,(V055_20[[#This Row],[HORA]]-C55)*24)</f>
        <v>8.8000000000000007</v>
      </c>
      <c r="E56" s="51" t="s">
        <v>61</v>
      </c>
      <c r="F56" s="29" t="s">
        <v>56</v>
      </c>
      <c r="G56" s="54"/>
      <c r="H56" s="55"/>
      <c r="I56" s="130">
        <f>IF(ISERROR(V053_20[[#This Row],[DISTANCIA POR CARTA]]/V053_20[[#This Row],[TIEMPO DE NAVEGACION]]),0,V053_20[[#This Row],[DISTANCIA POR CARTA]]/V053_20[[#This Row],[TIEMPO DE NAVEGACION]])</f>
        <v>0</v>
      </c>
      <c r="J56" s="56" t="s">
        <v>54</v>
      </c>
      <c r="K56" s="57">
        <v>95</v>
      </c>
      <c r="L56" s="53">
        <v>7.3333333333333339</v>
      </c>
      <c r="M56" s="37">
        <v>0.91666666666666674</v>
      </c>
      <c r="N56" s="37">
        <v>0</v>
      </c>
      <c r="O56" s="257">
        <f>SUM(V055_20[[#This Row],[MPAL]:[CALDERA]])</f>
        <v>8.25</v>
      </c>
      <c r="P56" s="88"/>
      <c r="Q56" s="281">
        <f>(Q55-V055_20[[#This Row],[TOTAL ]])+V055_20[[#This Row],[FAENA]]</f>
        <v>642.39958333333357</v>
      </c>
      <c r="R56" s="53">
        <v>0</v>
      </c>
      <c r="S56" s="37">
        <v>0</v>
      </c>
      <c r="T56" s="37">
        <v>0</v>
      </c>
      <c r="U56" s="37">
        <v>0</v>
      </c>
      <c r="V56" s="37">
        <v>0</v>
      </c>
      <c r="W56" s="257">
        <f>SUM(V055_20[[#This Row],[MPAL2]:[GI]])</f>
        <v>0</v>
      </c>
      <c r="X56" s="37">
        <v>0</v>
      </c>
      <c r="Y56" s="282">
        <f>(Y55-V055_20[[#This Row],[TOTAL]])+V055_20[[#This Row],[FAENA2]]</f>
        <v>26.800000000000004</v>
      </c>
      <c r="Z56" s="53"/>
      <c r="AA56" s="37"/>
      <c r="AB56" s="320">
        <f>(AB55-V055_20[[#This Row],[CYLINDER MP]])+V055_20[[#This Row],[FAENA EN LTS]]</f>
        <v>100</v>
      </c>
      <c r="AC56" s="37"/>
      <c r="AD56" s="37"/>
      <c r="AE56" s="320">
        <f>(AE55-V055_20[[#This Row],[CARTER MP.]])+V055_20[[#This Row],[FAENA EN LTS2]]</f>
        <v>100</v>
      </c>
      <c r="AF56" s="37"/>
      <c r="AG56" s="37"/>
      <c r="AH56" s="320">
        <f>(AH55-V055_20[[#This Row],[MOT AUX]])+V055_20[[#This Row],[FAENA EN  LTS]]</f>
        <v>100</v>
      </c>
      <c r="AI56" s="37"/>
      <c r="AJ56" s="37"/>
      <c r="AK56" s="321">
        <f>(AK55-V055_20[[#This Row],[HIDRAULICO]])+V055_20[[#This Row],[FAENA EN LTS3]]</f>
        <v>100</v>
      </c>
    </row>
    <row r="57" spans="1:37" x14ac:dyDescent="0.25">
      <c r="A57" s="26" t="s">
        <v>82</v>
      </c>
      <c r="B57" s="48">
        <v>43892</v>
      </c>
      <c r="C57" s="41">
        <v>0.79999999999999993</v>
      </c>
      <c r="D57" s="238">
        <f>IF(V055_20[[#This Row],[FECHA]]-B56=1,((V055_20[[#This Row],[HORA]]-C56)*24)+24,(V055_20[[#This Row],[HORA]]-C56)*24)</f>
        <v>11.2</v>
      </c>
      <c r="E57" s="51" t="s">
        <v>61</v>
      </c>
      <c r="F57" s="29" t="s">
        <v>62</v>
      </c>
      <c r="G57" s="54">
        <v>201</v>
      </c>
      <c r="H57" s="55">
        <v>20</v>
      </c>
      <c r="I57" s="130">
        <f>IF(ISERROR(V053_20[[#This Row],[DISTANCIA POR CARTA]]/V053_20[[#This Row],[TIEMPO DE NAVEGACION]]),0,V053_20[[#This Row],[DISTANCIA POR CARTA]]/V053_20[[#This Row],[TIEMPO DE NAVEGACION]])</f>
        <v>0</v>
      </c>
      <c r="J57" s="56" t="s">
        <v>54</v>
      </c>
      <c r="K57" s="57">
        <v>95</v>
      </c>
      <c r="L57" s="53">
        <v>9.3333333333333339</v>
      </c>
      <c r="M57" s="37">
        <v>1.1666666666666667</v>
      </c>
      <c r="N57" s="37">
        <v>0</v>
      </c>
      <c r="O57" s="257">
        <f>SUM(V055_20[[#This Row],[MPAL]:[CALDERA]])</f>
        <v>10.5</v>
      </c>
      <c r="P57" s="88"/>
      <c r="Q57" s="281">
        <f>(Q56-V055_20[[#This Row],[TOTAL ]])+V055_20[[#This Row],[FAENA]]</f>
        <v>631.89958333333357</v>
      </c>
      <c r="R57" s="53">
        <v>0</v>
      </c>
      <c r="S57" s="37">
        <v>0</v>
      </c>
      <c r="T57" s="37">
        <v>0</v>
      </c>
      <c r="U57" s="37">
        <v>0</v>
      </c>
      <c r="V57" s="37">
        <v>0</v>
      </c>
      <c r="W57" s="257">
        <f>SUM(V055_20[[#This Row],[MPAL2]:[GI]])</f>
        <v>0</v>
      </c>
      <c r="X57" s="37">
        <v>0</v>
      </c>
      <c r="Y57" s="282">
        <f>(Y56-V055_20[[#This Row],[TOTAL]])+V055_20[[#This Row],[FAENA2]]</f>
        <v>26.800000000000004</v>
      </c>
      <c r="Z57" s="53"/>
      <c r="AA57" s="37"/>
      <c r="AB57" s="320">
        <f>(AB56-V055_20[[#This Row],[CYLINDER MP]])+V055_20[[#This Row],[FAENA EN LTS]]</f>
        <v>100</v>
      </c>
      <c r="AC57" s="37"/>
      <c r="AD57" s="37"/>
      <c r="AE57" s="320">
        <f>(AE56-V055_20[[#This Row],[CARTER MP.]])+V055_20[[#This Row],[FAENA EN LTS2]]</f>
        <v>100</v>
      </c>
      <c r="AF57" s="37"/>
      <c r="AG57" s="37"/>
      <c r="AH57" s="320">
        <f>(AH56-V055_20[[#This Row],[MOT AUX]])+V055_20[[#This Row],[FAENA EN  LTS]]</f>
        <v>100</v>
      </c>
      <c r="AI57" s="37"/>
      <c r="AJ57" s="37"/>
      <c r="AK57" s="321">
        <f>(AK56-V055_20[[#This Row],[HIDRAULICO]])+V055_20[[#This Row],[FAENA EN LTS3]]</f>
        <v>100</v>
      </c>
    </row>
    <row r="58" spans="1:37" x14ac:dyDescent="0.25">
      <c r="D58" s="132">
        <f>SUBTOTAL(109,V055_20[TIEMPO Hrs])</f>
        <v>352.7000000000001</v>
      </c>
      <c r="L58" s="68">
        <f>SUBTOTAL(109,V055_20[MPAL])</f>
        <v>59.442499999999995</v>
      </c>
      <c r="M58" s="68">
        <f>SUBTOTAL(109,V055_20[AUX.])</f>
        <v>36.639583333333327</v>
      </c>
      <c r="N58" s="68">
        <f>SUBTOTAL(109,V055_20[CALDERA])</f>
        <v>23.718333333333341</v>
      </c>
    </row>
    <row r="59" spans="1:37" x14ac:dyDescent="0.25">
      <c r="N59" s="67">
        <f>SUM(L58:N58)</f>
        <v>119.80041666666665</v>
      </c>
    </row>
    <row r="60" spans="1:37" ht="19.5" thickBot="1" x14ac:dyDescent="0.35">
      <c r="C60" s="69" t="s">
        <v>187</v>
      </c>
      <c r="D60" s="69"/>
      <c r="E60" s="69"/>
      <c r="F60" s="69"/>
      <c r="G60" s="69"/>
      <c r="N60" s="69"/>
      <c r="O60" s="69"/>
      <c r="S60" s="70" t="s">
        <v>89</v>
      </c>
    </row>
    <row r="61" spans="1:37" ht="19.5" thickBot="1" x14ac:dyDescent="0.35">
      <c r="C61" s="69"/>
      <c r="D61" s="69"/>
      <c r="E61" s="69"/>
      <c r="F61" s="69"/>
      <c r="G61" s="69"/>
      <c r="N61" s="69"/>
      <c r="O61" s="69"/>
      <c r="S61" s="70"/>
    </row>
    <row r="62" spans="1:37" ht="60.75" thickBot="1" x14ac:dyDescent="0.3">
      <c r="C62" s="265" t="s">
        <v>11</v>
      </c>
      <c r="D62" s="265" t="s">
        <v>90</v>
      </c>
      <c r="E62" s="266" t="s">
        <v>91</v>
      </c>
      <c r="F62" s="266" t="s">
        <v>92</v>
      </c>
      <c r="G62" s="266" t="s">
        <v>93</v>
      </c>
      <c r="H62" s="265" t="s">
        <v>94</v>
      </c>
      <c r="I62" s="265" t="s">
        <v>95</v>
      </c>
      <c r="J62" s="265" t="s">
        <v>96</v>
      </c>
      <c r="K62" s="265" t="s">
        <v>97</v>
      </c>
      <c r="L62" s="267" t="s">
        <v>98</v>
      </c>
      <c r="M62" s="268" t="s">
        <v>99</v>
      </c>
      <c r="N62" s="269" t="s">
        <v>100</v>
      </c>
      <c r="R62" s="76" t="s">
        <v>101</v>
      </c>
      <c r="S62" s="76" t="s">
        <v>94</v>
      </c>
      <c r="T62" s="76" t="s">
        <v>102</v>
      </c>
      <c r="U62" s="76" t="s">
        <v>96</v>
      </c>
      <c r="V62" s="76" t="s">
        <v>103</v>
      </c>
      <c r="W62" s="76" t="s">
        <v>104</v>
      </c>
    </row>
    <row r="63" spans="1:37" x14ac:dyDescent="0.25">
      <c r="C63" s="77" t="s">
        <v>71</v>
      </c>
      <c r="D63" s="279">
        <f>SUMIF($E$6:$E$57,C63,$D$6:$D$57)</f>
        <v>33.799999999999997</v>
      </c>
      <c r="E63" s="279"/>
      <c r="F63" s="288"/>
      <c r="G63" s="137"/>
      <c r="H63" s="80">
        <f>SUMIF($E$6:$E$57,C63,$L$6:$L$57)+SUMIF($E$6:$E$57,C63,$M$6:$M$57)+SUMIF($E$6:$E$57,C63,$N$6:$N$57)</f>
        <v>6.3374999999999995</v>
      </c>
      <c r="I63" s="137">
        <f>IF(ISERROR(H63*24/D63),0,H63*24/D63)</f>
        <v>4.5</v>
      </c>
      <c r="J63" s="137">
        <v>4.5</v>
      </c>
      <c r="K63" s="80"/>
      <c r="L63" s="79">
        <f>D63*J63/24</f>
        <v>6.3374999999999995</v>
      </c>
      <c r="M63" s="80">
        <f t="shared" ref="M63:M69" si="0">L63-H63</f>
        <v>0</v>
      </c>
      <c r="N63" s="86"/>
      <c r="Q63" s="82"/>
      <c r="R63" s="83" t="s">
        <v>105</v>
      </c>
      <c r="S63" s="228">
        <f>SUM(V6:V57)</f>
        <v>12.5</v>
      </c>
      <c r="T63" s="84">
        <f>S63*24/($D$64+$D$70)</f>
        <v>3.7453183520599254</v>
      </c>
      <c r="U63" s="84">
        <v>6</v>
      </c>
      <c r="V63" s="85">
        <f>($D$64+$D$70)*U63/24</f>
        <v>20.024999999999999</v>
      </c>
      <c r="W63" s="86">
        <f>V63-S63</f>
        <v>7.5249999999999986</v>
      </c>
    </row>
    <row r="64" spans="1:37" x14ac:dyDescent="0.25">
      <c r="C64" s="87" t="s">
        <v>51</v>
      </c>
      <c r="D64" s="264">
        <f t="shared" ref="D64:D70" si="1">SUMIF($E$6:$E$57,C64,$D$6:$D$57)</f>
        <v>73.2</v>
      </c>
      <c r="E64" s="264"/>
      <c r="F64" s="289"/>
      <c r="G64" s="139"/>
      <c r="H64" s="88">
        <f t="shared" ref="H64:H70" si="2">SUMIF($E$6:$E$57,C64,$L$6:$L$57)+SUMIF($E$6:$E$57,C64,$M$6:$M$57)+SUMIF($E$6:$E$57,C64,$N$6:$N$57)</f>
        <v>9.2249999999999996</v>
      </c>
      <c r="I64" s="139">
        <f t="shared" ref="I64:I70" si="3">IF(ISERROR(H64*24/D64),0,H64*24/D64)</f>
        <v>3.0245901639344259</v>
      </c>
      <c r="J64" s="139">
        <v>4.5</v>
      </c>
      <c r="K64" s="88"/>
      <c r="L64" s="37">
        <f t="shared" ref="L64:L70" si="4">D64*J64/24</f>
        <v>13.725000000000001</v>
      </c>
      <c r="M64" s="88">
        <f>L64-H64</f>
        <v>4.5000000000000018</v>
      </c>
      <c r="N64" s="121"/>
      <c r="R64" s="90" t="s">
        <v>106</v>
      </c>
      <c r="S64" s="286">
        <f>SUM(S5:S57)</f>
        <v>0</v>
      </c>
      <c r="T64" s="84">
        <f>S64*24/($D$64+$D$70)</f>
        <v>0</v>
      </c>
      <c r="U64" s="88"/>
      <c r="V64" s="88"/>
      <c r="W64" s="121"/>
    </row>
    <row r="65" spans="3:23" x14ac:dyDescent="0.25">
      <c r="C65" s="87" t="s">
        <v>61</v>
      </c>
      <c r="D65" s="264">
        <f t="shared" si="1"/>
        <v>20.5</v>
      </c>
      <c r="E65" s="264">
        <f>SUMIF($E$6:$E$57,C65,$G$6:$G$57)</f>
        <v>201</v>
      </c>
      <c r="F65" s="289">
        <f>E65/D65</f>
        <v>9.8048780487804876</v>
      </c>
      <c r="G65" s="139">
        <v>12.5</v>
      </c>
      <c r="H65" s="88">
        <f t="shared" si="2"/>
        <v>18.75</v>
      </c>
      <c r="I65" s="139">
        <f t="shared" si="3"/>
        <v>21.951219512195124</v>
      </c>
      <c r="J65" s="139">
        <v>30.5</v>
      </c>
      <c r="K65" s="88">
        <f>E65/G65</f>
        <v>16.079999999999998</v>
      </c>
      <c r="L65" s="37">
        <f>K65*J65/24</f>
        <v>20.434999999999999</v>
      </c>
      <c r="M65" s="88">
        <f t="shared" si="0"/>
        <v>1.6849999999999987</v>
      </c>
      <c r="N65" s="121">
        <f>K65-D65</f>
        <v>-4.4200000000000017</v>
      </c>
      <c r="R65" s="90" t="s">
        <v>20</v>
      </c>
      <c r="S65" s="286">
        <f>SUM(T5:T57)</f>
        <v>0</v>
      </c>
      <c r="T65" s="84">
        <f>S65*24/($D$64+$D$70)</f>
        <v>0</v>
      </c>
      <c r="U65" s="88"/>
      <c r="V65" s="88"/>
      <c r="W65" s="121"/>
    </row>
    <row r="66" spans="3:23" x14ac:dyDescent="0.25">
      <c r="C66" s="87" t="s">
        <v>55</v>
      </c>
      <c r="D66" s="264">
        <f t="shared" si="1"/>
        <v>48.599999999999994</v>
      </c>
      <c r="E66" s="264">
        <f>SUMIF($E$6:$E$57,C66,$G$6:$G$57)</f>
        <v>515</v>
      </c>
      <c r="F66" s="289">
        <f>E66/D66</f>
        <v>10.596707818930042</v>
      </c>
      <c r="G66" s="139">
        <v>12</v>
      </c>
      <c r="H66" s="88">
        <f t="shared" si="2"/>
        <v>46.02791666666667</v>
      </c>
      <c r="I66" s="139">
        <f t="shared" si="3"/>
        <v>22.729835390946505</v>
      </c>
      <c r="J66" s="139">
        <v>30.5</v>
      </c>
      <c r="K66" s="88">
        <f>E66/G66</f>
        <v>42.916666666666664</v>
      </c>
      <c r="L66" s="37">
        <f>K66*J66/24</f>
        <v>54.53993055555555</v>
      </c>
      <c r="M66" s="88">
        <f>L66-H66</f>
        <v>8.5120138888888803</v>
      </c>
      <c r="N66" s="121">
        <f>K66-D66</f>
        <v>-5.68333333333333</v>
      </c>
      <c r="R66" s="90" t="s">
        <v>107</v>
      </c>
      <c r="S66" s="286">
        <f>SUM(U5:U57)</f>
        <v>0</v>
      </c>
      <c r="T66" s="84">
        <f>S66*24/($D$64+$D$70)</f>
        <v>0</v>
      </c>
      <c r="U66" s="88"/>
      <c r="V66" s="88"/>
      <c r="W66" s="121"/>
    </row>
    <row r="67" spans="3:23" ht="15.75" thickBot="1" x14ac:dyDescent="0.3">
      <c r="C67" s="87" t="s">
        <v>108</v>
      </c>
      <c r="D67" s="264">
        <f t="shared" si="1"/>
        <v>0</v>
      </c>
      <c r="E67" s="264">
        <f>SUMIF($E$6:$E$57,C67,$G$6:$G$57)</f>
        <v>0</v>
      </c>
      <c r="F67" s="289">
        <f>IF(ISERROR(E67/D67),0,E67/D67)</f>
        <v>0</v>
      </c>
      <c r="G67" s="139">
        <v>12</v>
      </c>
      <c r="H67" s="88">
        <f t="shared" si="2"/>
        <v>0</v>
      </c>
      <c r="I67" s="139">
        <f t="shared" si="3"/>
        <v>0</v>
      </c>
      <c r="J67" s="139">
        <v>31.5</v>
      </c>
      <c r="K67" s="88">
        <f>E67/G67</f>
        <v>0</v>
      </c>
      <c r="L67" s="37">
        <f>K67*J67/24</f>
        <v>0</v>
      </c>
      <c r="M67" s="88">
        <f t="shared" si="0"/>
        <v>0</v>
      </c>
      <c r="N67" s="121">
        <f>K67-D67</f>
        <v>0</v>
      </c>
      <c r="R67" s="92" t="s">
        <v>24</v>
      </c>
      <c r="S67" s="287">
        <f>SUM(R5:R57)</f>
        <v>0</v>
      </c>
      <c r="T67" s="84">
        <f>S67*24/($D$64+$D$70)</f>
        <v>0</v>
      </c>
      <c r="U67" s="98"/>
      <c r="V67" s="98"/>
      <c r="W67" s="122"/>
    </row>
    <row r="68" spans="3:23" x14ac:dyDescent="0.25">
      <c r="C68" s="87" t="s">
        <v>45</v>
      </c>
      <c r="D68" s="264">
        <f t="shared" si="1"/>
        <v>154.1</v>
      </c>
      <c r="E68" s="264"/>
      <c r="F68" s="289"/>
      <c r="G68" s="139"/>
      <c r="H68" s="88">
        <f t="shared" si="2"/>
        <v>28.793749999999999</v>
      </c>
      <c r="I68" s="139">
        <f t="shared" si="3"/>
        <v>4.4844256975989616</v>
      </c>
      <c r="J68" s="139">
        <v>4.5</v>
      </c>
      <c r="K68" s="88"/>
      <c r="L68" s="37">
        <f t="shared" si="4"/>
        <v>28.893749999999997</v>
      </c>
      <c r="M68" s="88">
        <f t="shared" si="0"/>
        <v>9.9999999999997868E-2</v>
      </c>
      <c r="N68" s="121"/>
      <c r="S68" s="68"/>
      <c r="T68" s="143"/>
      <c r="U68" s="68"/>
      <c r="V68" s="68"/>
      <c r="W68" s="68"/>
    </row>
    <row r="69" spans="3:23" x14ac:dyDescent="0.25">
      <c r="C69" s="87" t="s">
        <v>47</v>
      </c>
      <c r="D69" s="264">
        <f t="shared" si="1"/>
        <v>15.600000000000005</v>
      </c>
      <c r="E69" s="264"/>
      <c r="F69" s="289"/>
      <c r="G69" s="139"/>
      <c r="H69" s="88">
        <f t="shared" si="2"/>
        <v>4.7308333333333348</v>
      </c>
      <c r="I69" s="139">
        <f t="shared" si="3"/>
        <v>7.2782051282051281</v>
      </c>
      <c r="J69" s="139">
        <v>4.5</v>
      </c>
      <c r="K69" s="88"/>
      <c r="L69" s="37">
        <f t="shared" si="4"/>
        <v>2.9250000000000007</v>
      </c>
      <c r="M69" s="88">
        <f t="shared" si="0"/>
        <v>-1.8058333333333341</v>
      </c>
      <c r="N69" s="121"/>
      <c r="S69" s="68"/>
      <c r="T69" s="68"/>
      <c r="U69" s="68"/>
      <c r="V69" s="68"/>
      <c r="W69" s="68"/>
    </row>
    <row r="70" spans="3:23" ht="15.75" thickBot="1" x14ac:dyDescent="0.3">
      <c r="C70" s="97" t="s">
        <v>49</v>
      </c>
      <c r="D70" s="290">
        <f t="shared" si="1"/>
        <v>6.8999999999999932</v>
      </c>
      <c r="E70" s="290"/>
      <c r="F70" s="291"/>
      <c r="G70" s="140"/>
      <c r="H70" s="98">
        <f t="shared" si="2"/>
        <v>5.935416666666665</v>
      </c>
      <c r="I70" s="141">
        <f t="shared" si="3"/>
        <v>20.644927536231897</v>
      </c>
      <c r="J70" s="141">
        <v>4.5</v>
      </c>
      <c r="K70" s="98"/>
      <c r="L70" s="99">
        <f t="shared" si="4"/>
        <v>1.2937499999999986</v>
      </c>
      <c r="M70" s="98">
        <f>L70-H70</f>
        <v>-4.6416666666666666</v>
      </c>
      <c r="N70" s="122"/>
      <c r="O70" s="68"/>
      <c r="S70" s="68"/>
      <c r="T70" s="68"/>
      <c r="U70" s="68"/>
      <c r="V70" s="68"/>
      <c r="W70" s="68"/>
    </row>
    <row r="71" spans="3:23" ht="15.75" thickBot="1" x14ac:dyDescent="0.3">
      <c r="C71" s="124"/>
      <c r="D71" s="327"/>
      <c r="E71" s="292"/>
      <c r="F71" s="293"/>
      <c r="G71" s="134"/>
      <c r="H71" s="328"/>
      <c r="I71" s="144"/>
      <c r="J71" s="144"/>
      <c r="K71" s="68"/>
      <c r="L71" s="102"/>
      <c r="M71" s="68"/>
      <c r="N71" s="145"/>
      <c r="O71" s="68"/>
      <c r="S71" s="68"/>
      <c r="T71" s="68"/>
      <c r="U71" s="68"/>
      <c r="V71" s="68"/>
      <c r="W71" s="68"/>
    </row>
    <row r="72" spans="3:23" ht="15.75" thickBot="1" x14ac:dyDescent="0.3">
      <c r="C72" s="103" t="s">
        <v>29</v>
      </c>
      <c r="D72" s="284">
        <f>SUM(D63:D70)</f>
        <v>352.7</v>
      </c>
      <c r="E72" s="284">
        <f>SUM(E63:E69)</f>
        <v>716</v>
      </c>
      <c r="F72" s="284">
        <f>SUM(F63:F69)/2</f>
        <v>10.200792933855265</v>
      </c>
      <c r="H72" s="101">
        <f>SUM(H63:H70)</f>
        <v>119.80041666666668</v>
      </c>
      <c r="K72" s="142"/>
      <c r="L72" s="104">
        <f>SUM(L63:L70)</f>
        <v>128.14993055555553</v>
      </c>
      <c r="M72" s="101">
        <f>SUM(M63:M69)</f>
        <v>12.991180555555545</v>
      </c>
      <c r="N72" s="101">
        <f>SUM(N63:N69)</f>
        <v>-10.103333333333332</v>
      </c>
      <c r="R72" s="100" t="s">
        <v>29</v>
      </c>
      <c r="S72" s="101">
        <f>SUM(S63:S67)</f>
        <v>12.5</v>
      </c>
      <c r="T72" s="101">
        <f>SUM(T63:T67)</f>
        <v>3.7453183520599254</v>
      </c>
      <c r="U72" s="68"/>
      <c r="V72" s="68"/>
      <c r="W72" s="68"/>
    </row>
    <row r="81" spans="9:9" x14ac:dyDescent="0.25">
      <c r="I81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6" name="Rango14_1"/>
    <protectedRange sqref="AF6:AG46" name="Rango12_1"/>
    <protectedRange sqref="AC6:AD46" name="Rango9_2"/>
    <protectedRange sqref="Z6:AA46" name="Rango8_1"/>
    <protectedRange sqref="X6:X45" name="Rango6_1"/>
    <protectedRange sqref="R6:V46 X46" name="Rango5_1"/>
    <protectedRange sqref="P6:P46" name="Rango3_1"/>
    <protectedRange sqref="E6:N46" name="Rango2_1"/>
    <protectedRange sqref="A6:C45" name="Rango1_1"/>
    <protectedRange sqref="AI47:AJ57" name="Rango14_3"/>
    <protectedRange sqref="AF47:AG57" name="Rango12_3"/>
    <protectedRange sqref="AC47:AD57" name="Rango10"/>
    <protectedRange sqref="Z47:AA57" name="Rango8_3"/>
    <protectedRange sqref="X47:X57" name="Rango6_3"/>
    <protectedRange sqref="R47:V57" name="Rango5_3"/>
    <protectedRange sqref="P47:P57" name="Rango3_3"/>
    <protectedRange sqref="E47:N57" name="Rango2_3"/>
    <protectedRange sqref="B47:C57" name="Rango1_3"/>
    <protectedRange sqref="B4:C4" name="Rango1_1_1"/>
  </protectedRanges>
  <mergeCells count="6">
    <mergeCell ref="G3:K4"/>
    <mergeCell ref="L3:Q3"/>
    <mergeCell ref="R3:Y3"/>
    <mergeCell ref="Z3:AK3"/>
    <mergeCell ref="L4:P4"/>
    <mergeCell ref="R4:X4"/>
  </mergeCells>
  <conditionalFormatting sqref="I6:I46">
    <cfRule type="cellIs" dxfId="1060" priority="3" operator="greaterThan">
      <formula>0</formula>
    </cfRule>
  </conditionalFormatting>
  <conditionalFormatting sqref="J47:J57">
    <cfRule type="cellIs" dxfId="1059" priority="2" operator="greaterThan">
      <formula>"S5"</formula>
    </cfRule>
  </conditionalFormatting>
  <conditionalFormatting sqref="I47:I57">
    <cfRule type="cellIs" dxfId="1058" priority="1" operator="greaterThan">
      <formula>0</formula>
    </cfRule>
  </conditionalFormatting>
  <dataValidations count="2">
    <dataValidation type="list" allowBlank="1" showInputMessage="1" showErrorMessage="1" sqref="E47:E57">
      <formula1>$C$62:$C$70</formula1>
    </dataValidation>
    <dataValidation type="list" allowBlank="1" showInputMessage="1" showErrorMessage="1" sqref="E6:E46">
      <formula1>#REF!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AK100"/>
  <sheetViews>
    <sheetView zoomScale="90" zoomScaleNormal="90" workbookViewId="0">
      <pane xSplit="6" ySplit="5" topLeftCell="T60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7" sqref="D7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43892</v>
      </c>
      <c r="C4" s="341">
        <v>0.79999999999999993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631.9</v>
      </c>
      <c r="R4" s="553" t="s">
        <v>183</v>
      </c>
      <c r="S4" s="554"/>
      <c r="T4" s="554"/>
      <c r="U4" s="554"/>
      <c r="V4" s="554"/>
      <c r="W4" s="554"/>
      <c r="X4" s="555"/>
      <c r="Y4" s="283">
        <v>26.8</v>
      </c>
      <c r="Z4" s="6"/>
      <c r="AA4" s="7" t="s">
        <v>184</v>
      </c>
      <c r="AB4" s="304">
        <v>100</v>
      </c>
      <c r="AC4" s="9"/>
      <c r="AD4" s="7" t="s">
        <v>184</v>
      </c>
      <c r="AE4" s="304">
        <v>100</v>
      </c>
      <c r="AG4" s="7" t="s">
        <v>184</v>
      </c>
      <c r="AH4" s="304">
        <v>100</v>
      </c>
      <c r="AJ4" s="7" t="s">
        <v>184</v>
      </c>
      <c r="AK4" s="304">
        <v>100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152</v>
      </c>
      <c r="B6" s="248">
        <v>43892</v>
      </c>
      <c r="C6" s="249">
        <v>0.82500000000000007</v>
      </c>
      <c r="D6" s="246">
        <f>IF(V056_20[[#This Row],[FECHA]]-B4=1,((V056_20[[#This Row],[HORA]]-C4)*24)+24,(V056_20[[#This Row],[HORA]]-C4)*24)</f>
        <v>0.6000000000000032</v>
      </c>
      <c r="E6" s="250" t="s">
        <v>47</v>
      </c>
      <c r="F6" s="251" t="s">
        <v>48</v>
      </c>
      <c r="G6" s="322"/>
      <c r="H6" s="310"/>
      <c r="I6" s="261">
        <v>0</v>
      </c>
      <c r="J6" s="253"/>
      <c r="K6" s="323"/>
      <c r="L6" s="256">
        <v>0.12500000000000067</v>
      </c>
      <c r="M6" s="257">
        <v>6.2500000000000333E-2</v>
      </c>
      <c r="N6" s="257">
        <v>5.0000000000000266E-2</v>
      </c>
      <c r="O6" s="257">
        <f>SUM(V056_20[[#This Row],[MPAL]:[CALDERA]])</f>
        <v>0.23750000000000127</v>
      </c>
      <c r="P6" s="326"/>
      <c r="Q6" s="270">
        <f>(Q4-V056_20[[#This Row],[TOTAL ]])+V056_20[[#This Row],[FAENA]]</f>
        <v>631.66250000000002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SUM(V056_20[[#This Row],[MPAL2]:[GI]])</f>
        <v>0</v>
      </c>
      <c r="X6" s="257"/>
      <c r="Y6" s="282">
        <f>(Y4-V056_20[[#This Row],[TOTAL]])+V056_20[[#This Row],[FAENA2]]</f>
        <v>26.8</v>
      </c>
      <c r="Z6" s="256"/>
      <c r="AA6" s="257"/>
      <c r="AB6" s="320">
        <f>(AB4-V056_20[[#This Row],[CYLINDER MP]])+V056_20[[#This Row],[FAENA EN LTS]]</f>
        <v>100</v>
      </c>
      <c r="AC6" s="257"/>
      <c r="AD6" s="257"/>
      <c r="AE6" s="320">
        <f>(AE4-V056_20[[#This Row],[CARTER MP.]])+V056_20[[#This Row],[FAENA EN LTS2]]</f>
        <v>100</v>
      </c>
      <c r="AF6" s="257"/>
      <c r="AG6" s="257"/>
      <c r="AH6" s="320">
        <f>(AH4-V056_20[[#This Row],[MOT AUX]])+V056_20[[#This Row],[FAENA EN  LTS]]</f>
        <v>100</v>
      </c>
      <c r="AI6" s="257"/>
      <c r="AJ6" s="257"/>
      <c r="AK6" s="321">
        <f>(AK4-V056_20[[#This Row],[HIDRAULICO]])+V056_20[[#This Row],[FAENA EN LTS3]]</f>
        <v>100</v>
      </c>
    </row>
    <row r="7" spans="1:37" x14ac:dyDescent="0.25">
      <c r="A7" s="235" t="s">
        <v>152</v>
      </c>
      <c r="B7" s="236">
        <v>43892</v>
      </c>
      <c r="C7" s="237">
        <v>0.9916666666666667</v>
      </c>
      <c r="D7" s="246">
        <f>IF(V056_20[[#This Row],[FECHA]]-B6=1,((V056_20[[#This Row],[HORA]]-C6)*24)+24,(V056_20[[#This Row],[HORA]]-C6)*24)</f>
        <v>3.9999999999999991</v>
      </c>
      <c r="E7" s="239" t="s">
        <v>45</v>
      </c>
      <c r="F7" s="240" t="s">
        <v>153</v>
      </c>
      <c r="G7" s="324"/>
      <c r="H7" s="306"/>
      <c r="I7" s="259">
        <f>IF(ISERROR(V053_20[[#This Row],[DISTANCIA POR CARTA]]/V053_20[[#This Row],[TIEMPO DE NAVEGACION]]),0,V053_20[[#This Row],[DISTANCIA POR CARTA]]/V053_20[[#This Row],[TIEMPO DE NAVEGACION]])</f>
        <v>0</v>
      </c>
      <c r="J7" s="242"/>
      <c r="K7" s="325"/>
      <c r="L7" s="245">
        <v>0</v>
      </c>
      <c r="M7" s="246">
        <v>0.41666666666666657</v>
      </c>
      <c r="N7" s="246">
        <v>0.33333333333333326</v>
      </c>
      <c r="O7" s="257">
        <f>SUM(V056_20[[#This Row],[MPAL]:[CALDERA]])</f>
        <v>0.74999999999999978</v>
      </c>
      <c r="P7" s="319"/>
      <c r="Q7" s="270">
        <f>(Q6-V056_20[[#This Row],[TOTAL ]])+V056_20[[#This Row],[FAENA]]</f>
        <v>630.91250000000002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SUM(V056_20[[#This Row],[MPAL2]:[GI]])</f>
        <v>0</v>
      </c>
      <c r="X7" s="246">
        <v>80</v>
      </c>
      <c r="Y7" s="282">
        <f>(Y6-V056_20[[#This Row],[TOTAL]])+V056_20[[#This Row],[FAENA2]]</f>
        <v>106.8</v>
      </c>
      <c r="Z7" s="245"/>
      <c r="AA7" s="246"/>
      <c r="AB7" s="320">
        <f>(AB6-V056_20[[#This Row],[CYLINDER MP]])+V056_20[[#This Row],[FAENA EN LTS]]</f>
        <v>100</v>
      </c>
      <c r="AC7" s="246"/>
      <c r="AD7" s="246"/>
      <c r="AE7" s="320">
        <f>(AE6-V056_20[[#This Row],[CARTER MP.]])+V056_20[[#This Row],[FAENA EN LTS2]]</f>
        <v>100</v>
      </c>
      <c r="AF7" s="246"/>
      <c r="AG7" s="246"/>
      <c r="AH7" s="320">
        <f>(AH6-V056_20[[#This Row],[MOT AUX]])+V056_20[[#This Row],[FAENA EN  LTS]]</f>
        <v>100</v>
      </c>
      <c r="AI7" s="246"/>
      <c r="AJ7" s="246"/>
      <c r="AK7" s="321">
        <f>(AK6-V056_20[[#This Row],[HIDRAULICO]])+V056_20[[#This Row],[FAENA EN LTS3]]</f>
        <v>100</v>
      </c>
    </row>
    <row r="8" spans="1:37" x14ac:dyDescent="0.25">
      <c r="A8" s="235" t="s">
        <v>152</v>
      </c>
      <c r="B8" s="236">
        <v>43893</v>
      </c>
      <c r="C8" s="237">
        <v>0.33333333333333331</v>
      </c>
      <c r="D8" s="246">
        <f>IF(V056_20[[#This Row],[FECHA]]-B7=1,((V056_20[[#This Row],[HORA]]-C7)*24)+24,(V056_20[[#This Row],[HORA]]-C7)*24)</f>
        <v>8.1999999999999975</v>
      </c>
      <c r="E8" s="239" t="s">
        <v>45</v>
      </c>
      <c r="F8" s="240" t="s">
        <v>45</v>
      </c>
      <c r="G8" s="324"/>
      <c r="H8" s="306"/>
      <c r="I8" s="259">
        <f>IF(ISERROR(V053_20[[#This Row],[DISTANCIA POR CARTA]]/V053_20[[#This Row],[TIEMPO DE NAVEGACION]]),0,V053_20[[#This Row],[DISTANCIA POR CARTA]]/V053_20[[#This Row],[TIEMPO DE NAVEGACION]])</f>
        <v>0</v>
      </c>
      <c r="J8" s="242"/>
      <c r="K8" s="325"/>
      <c r="L8" s="245">
        <v>0</v>
      </c>
      <c r="M8" s="246">
        <v>0.85416666666666641</v>
      </c>
      <c r="N8" s="246">
        <v>0.68333333333333313</v>
      </c>
      <c r="O8" s="257">
        <f>SUM(V056_20[[#This Row],[MPAL]:[CALDERA]])</f>
        <v>1.5374999999999996</v>
      </c>
      <c r="P8" s="319"/>
      <c r="Q8" s="270">
        <f>(Q7-V056_20[[#This Row],[TOTAL ]])+V056_20[[#This Row],[FAENA]]</f>
        <v>629.375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SUM(V056_20[[#This Row],[MPAL2]:[GI]])</f>
        <v>0</v>
      </c>
      <c r="X8" s="246"/>
      <c r="Y8" s="282">
        <f>(Y7-V056_20[[#This Row],[TOTAL]])+V056_20[[#This Row],[FAENA2]]</f>
        <v>106.8</v>
      </c>
      <c r="Z8" s="245"/>
      <c r="AA8" s="246"/>
      <c r="AB8" s="320">
        <f>(AB7-V056_20[[#This Row],[CYLINDER MP]])+V056_20[[#This Row],[FAENA EN LTS]]</f>
        <v>100</v>
      </c>
      <c r="AC8" s="246"/>
      <c r="AD8" s="246"/>
      <c r="AE8" s="320">
        <f>(AE7-V056_20[[#This Row],[CARTER MP.]])+V056_20[[#This Row],[FAENA EN LTS2]]</f>
        <v>100</v>
      </c>
      <c r="AF8" s="246"/>
      <c r="AG8" s="246"/>
      <c r="AH8" s="320">
        <f>(AH7-V056_20[[#This Row],[MOT AUX]])+V056_20[[#This Row],[FAENA EN  LTS]]</f>
        <v>100</v>
      </c>
      <c r="AI8" s="246"/>
      <c r="AJ8" s="246"/>
      <c r="AK8" s="321">
        <f>(AK7-V056_20[[#This Row],[HIDRAULICO]])+V056_20[[#This Row],[FAENA EN LTS3]]</f>
        <v>100</v>
      </c>
    </row>
    <row r="9" spans="1:37" x14ac:dyDescent="0.25">
      <c r="A9" s="235" t="s">
        <v>152</v>
      </c>
      <c r="B9" s="236">
        <v>43894</v>
      </c>
      <c r="C9" s="237">
        <v>0.33333333333333331</v>
      </c>
      <c r="D9" s="246">
        <f>IF(V056_20[[#This Row],[FECHA]]-B8=1,((V056_20[[#This Row],[HORA]]-C8)*24)+24,(V056_20[[#This Row],[HORA]]-C8)*24)</f>
        <v>24</v>
      </c>
      <c r="E9" s="239" t="s">
        <v>45</v>
      </c>
      <c r="F9" s="240" t="s">
        <v>45</v>
      </c>
      <c r="G9" s="324"/>
      <c r="H9" s="306"/>
      <c r="I9" s="259">
        <f>IF(ISERROR(V053_20[[#This Row],[DISTANCIA POR CARTA]]/V053_20[[#This Row],[TIEMPO DE NAVEGACION]]),0,V053_20[[#This Row],[DISTANCIA POR CARTA]]/V053_20[[#This Row],[TIEMPO DE NAVEGACION]])</f>
        <v>0</v>
      </c>
      <c r="J9" s="242"/>
      <c r="K9" s="325"/>
      <c r="L9" s="245">
        <v>0</v>
      </c>
      <c r="M9" s="246">
        <v>2.5</v>
      </c>
      <c r="N9" s="246">
        <v>2</v>
      </c>
      <c r="O9" s="257">
        <f>SUM(V056_20[[#This Row],[MPAL]:[CALDERA]])</f>
        <v>4.5</v>
      </c>
      <c r="P9" s="319"/>
      <c r="Q9" s="270">
        <f>(Q8-V056_20[[#This Row],[TOTAL ]])+V056_20[[#This Row],[FAENA]]</f>
        <v>624.875</v>
      </c>
      <c r="R9" s="245">
        <v>0</v>
      </c>
      <c r="S9" s="246">
        <v>0</v>
      </c>
      <c r="T9" s="246">
        <v>0</v>
      </c>
      <c r="U9" s="246">
        <v>0</v>
      </c>
      <c r="V9" s="246">
        <v>6</v>
      </c>
      <c r="W9" s="257">
        <f>SUM(V056_20[[#This Row],[MPAL2]:[GI]])</f>
        <v>6</v>
      </c>
      <c r="X9" s="246"/>
      <c r="Y9" s="282">
        <f>(Y8-V056_20[[#This Row],[TOTAL]])+V056_20[[#This Row],[FAENA2]]</f>
        <v>100.8</v>
      </c>
      <c r="Z9" s="245"/>
      <c r="AA9" s="246"/>
      <c r="AB9" s="320">
        <f>(AB8-V056_20[[#This Row],[CYLINDER MP]])+V056_20[[#This Row],[FAENA EN LTS]]</f>
        <v>100</v>
      </c>
      <c r="AC9" s="246"/>
      <c r="AD9" s="246"/>
      <c r="AE9" s="320">
        <f>(AE8-V056_20[[#This Row],[CARTER MP.]])+V056_20[[#This Row],[FAENA EN LTS2]]</f>
        <v>100</v>
      </c>
      <c r="AF9" s="246"/>
      <c r="AG9" s="246"/>
      <c r="AH9" s="320">
        <f>(AH8-V056_20[[#This Row],[MOT AUX]])+V056_20[[#This Row],[FAENA EN  LTS]]</f>
        <v>100</v>
      </c>
      <c r="AI9" s="246"/>
      <c r="AJ9" s="246"/>
      <c r="AK9" s="321">
        <f>(AK8-V056_20[[#This Row],[HIDRAULICO]])+V056_20[[#This Row],[FAENA EN LTS3]]</f>
        <v>100</v>
      </c>
    </row>
    <row r="10" spans="1:37" x14ac:dyDescent="0.25">
      <c r="A10" s="235" t="s">
        <v>152</v>
      </c>
      <c r="B10" s="236">
        <v>43894</v>
      </c>
      <c r="C10" s="237">
        <v>0.5541666666666667</v>
      </c>
      <c r="D10" s="246">
        <f>IF(V056_20[[#This Row],[FECHA]]-B9=1,((V056_20[[#This Row],[HORA]]-C9)*24)+24,(V056_20[[#This Row],[HORA]]-C9)*24)</f>
        <v>5.3000000000000007</v>
      </c>
      <c r="E10" s="239" t="s">
        <v>45</v>
      </c>
      <c r="F10" s="240" t="s">
        <v>46</v>
      </c>
      <c r="G10" s="324"/>
      <c r="H10" s="306"/>
      <c r="I10" s="259">
        <f>IF(ISERROR(V053_20[[#This Row],[DISTANCIA POR CARTA]]/V053_20[[#This Row],[TIEMPO DE NAVEGACION]]),0,V053_20[[#This Row],[DISTANCIA POR CARTA]]/V053_20[[#This Row],[TIEMPO DE NAVEGACION]])</f>
        <v>0</v>
      </c>
      <c r="J10" s="242"/>
      <c r="K10" s="325"/>
      <c r="L10" s="245">
        <v>0</v>
      </c>
      <c r="M10" s="246">
        <v>0.55208333333333348</v>
      </c>
      <c r="N10" s="246">
        <v>0.44166666666666671</v>
      </c>
      <c r="O10" s="257">
        <f>SUM(V056_20[[#This Row],[MPAL]:[CALDERA]])</f>
        <v>0.99375000000000013</v>
      </c>
      <c r="P10" s="319"/>
      <c r="Q10" s="270">
        <f>(Q9-V056_20[[#This Row],[TOTAL ]])+V056_20[[#This Row],[FAENA]]</f>
        <v>623.88125000000002</v>
      </c>
      <c r="R10" s="245">
        <v>0</v>
      </c>
      <c r="S10" s="246">
        <v>0</v>
      </c>
      <c r="T10" s="246">
        <v>0</v>
      </c>
      <c r="U10" s="246">
        <v>0</v>
      </c>
      <c r="V10" s="246">
        <v>1.3</v>
      </c>
      <c r="W10" s="257">
        <f>SUM(V056_20[[#This Row],[MPAL2]:[GI]])</f>
        <v>1.3</v>
      </c>
      <c r="X10" s="246"/>
      <c r="Y10" s="282">
        <f>(Y9-V056_20[[#This Row],[TOTAL]])+V056_20[[#This Row],[FAENA2]]</f>
        <v>99.5</v>
      </c>
      <c r="Z10" s="245"/>
      <c r="AA10" s="246"/>
      <c r="AB10" s="320">
        <f>(AB9-V056_20[[#This Row],[CYLINDER MP]])+V056_20[[#This Row],[FAENA EN LTS]]</f>
        <v>100</v>
      </c>
      <c r="AC10" s="246"/>
      <c r="AD10" s="246"/>
      <c r="AE10" s="320">
        <f>(AE9-V056_20[[#This Row],[CARTER MP.]])+V056_20[[#This Row],[FAENA EN LTS2]]</f>
        <v>100</v>
      </c>
      <c r="AF10" s="246"/>
      <c r="AG10" s="246"/>
      <c r="AH10" s="320">
        <f>(AH9-V056_20[[#This Row],[MOT AUX]])+V056_20[[#This Row],[FAENA EN  LTS]]</f>
        <v>100</v>
      </c>
      <c r="AI10" s="246"/>
      <c r="AJ10" s="246"/>
      <c r="AK10" s="321">
        <f>(AK9-V056_20[[#This Row],[HIDRAULICO]])+V056_20[[#This Row],[FAENA EN LTS3]]</f>
        <v>100</v>
      </c>
    </row>
    <row r="11" spans="1:37" x14ac:dyDescent="0.25">
      <c r="A11" s="235" t="s">
        <v>152</v>
      </c>
      <c r="B11" s="236">
        <v>43894</v>
      </c>
      <c r="C11" s="237">
        <v>0.5708333333333333</v>
      </c>
      <c r="D11" s="246">
        <f>IF(V056_20[[#This Row],[FECHA]]-B10=1,((V056_20[[#This Row],[HORA]]-C10)*24)+24,(V056_20[[#This Row],[HORA]]-C10)*24)</f>
        <v>0.39999999999999858</v>
      </c>
      <c r="E11" s="239" t="s">
        <v>47</v>
      </c>
      <c r="F11" s="240" t="s">
        <v>67</v>
      </c>
      <c r="G11" s="324"/>
      <c r="H11" s="306"/>
      <c r="I11" s="259">
        <f>IF(ISERROR(V053_20[[#This Row],[DISTANCIA POR CARTA]]/V053_20[[#This Row],[TIEMPO DE NAVEGACION]]),0,V053_20[[#This Row],[DISTANCIA POR CARTA]]/V053_20[[#This Row],[TIEMPO DE NAVEGACION]])</f>
        <v>0</v>
      </c>
      <c r="J11" s="242"/>
      <c r="K11" s="325"/>
      <c r="L11" s="245">
        <v>8.3333333333333037E-2</v>
      </c>
      <c r="M11" s="246">
        <v>4.1666666666666519E-2</v>
      </c>
      <c r="N11" s="246">
        <v>3.3333333333333215E-2</v>
      </c>
      <c r="O11" s="257">
        <f>SUM(V056_20[[#This Row],[MPAL]:[CALDERA]])</f>
        <v>0.15833333333333277</v>
      </c>
      <c r="P11" s="319"/>
      <c r="Q11" s="270">
        <f>(Q10-V056_20[[#This Row],[TOTAL ]])+V056_20[[#This Row],[FAENA]]</f>
        <v>623.72291666666672</v>
      </c>
      <c r="R11" s="245">
        <v>0</v>
      </c>
      <c r="S11" s="246">
        <v>0</v>
      </c>
      <c r="T11" s="246">
        <v>0</v>
      </c>
      <c r="U11" s="246">
        <v>0</v>
      </c>
      <c r="V11" s="246">
        <v>0.1</v>
      </c>
      <c r="W11" s="257">
        <f>SUM(V056_20[[#This Row],[MPAL2]:[GI]])</f>
        <v>0.1</v>
      </c>
      <c r="X11" s="246"/>
      <c r="Y11" s="282">
        <f>(Y10-V056_20[[#This Row],[TOTAL]])+V056_20[[#This Row],[FAENA2]]</f>
        <v>99.4</v>
      </c>
      <c r="Z11" s="245"/>
      <c r="AA11" s="246"/>
      <c r="AB11" s="320">
        <f>(AB10-V056_20[[#This Row],[CYLINDER MP]])+V056_20[[#This Row],[FAENA EN LTS]]</f>
        <v>100</v>
      </c>
      <c r="AC11" s="246"/>
      <c r="AD11" s="246"/>
      <c r="AE11" s="320">
        <f>(AE10-V056_20[[#This Row],[CARTER MP.]])+V056_20[[#This Row],[FAENA EN LTS2]]</f>
        <v>100</v>
      </c>
      <c r="AF11" s="246"/>
      <c r="AG11" s="246"/>
      <c r="AH11" s="320">
        <f>(AH10-V056_20[[#This Row],[MOT AUX]])+V056_20[[#This Row],[FAENA EN  LTS]]</f>
        <v>100</v>
      </c>
      <c r="AI11" s="246"/>
      <c r="AJ11" s="246"/>
      <c r="AK11" s="321">
        <f>(AK10-V056_20[[#This Row],[HIDRAULICO]])+V056_20[[#This Row],[FAENA EN LTS3]]</f>
        <v>100</v>
      </c>
    </row>
    <row r="12" spans="1:37" x14ac:dyDescent="0.25">
      <c r="A12" s="235" t="s">
        <v>152</v>
      </c>
      <c r="B12" s="236">
        <v>43894</v>
      </c>
      <c r="C12" s="237">
        <v>0.59583333333333333</v>
      </c>
      <c r="D12" s="246">
        <f>IF(V056_20[[#This Row],[FECHA]]-B11=1,((V056_20[[#This Row],[HORA]]-C11)*24)+24,(V056_20[[#This Row],[HORA]]-C11)*24)</f>
        <v>0.60000000000000053</v>
      </c>
      <c r="E12" s="239" t="s">
        <v>47</v>
      </c>
      <c r="F12" s="240" t="s">
        <v>67</v>
      </c>
      <c r="G12" s="324"/>
      <c r="H12" s="306"/>
      <c r="I12" s="259">
        <f>IF(ISERROR(V053_20[[#This Row],[DISTANCIA POR CARTA]]/V053_20[[#This Row],[TIEMPO DE NAVEGACION]]),0,V053_20[[#This Row],[DISTANCIA POR CARTA]]/V053_20[[#This Row],[TIEMPO DE NAVEGACION]])</f>
        <v>0</v>
      </c>
      <c r="J12" s="242"/>
      <c r="K12" s="325"/>
      <c r="L12" s="245">
        <v>0.25000000000000022</v>
      </c>
      <c r="M12" s="246">
        <v>6.2500000000000056E-2</v>
      </c>
      <c r="N12" s="246">
        <v>5.0000000000000044E-2</v>
      </c>
      <c r="O12" s="257">
        <f>SUM(V056_20[[#This Row],[MPAL]:[CALDERA]])</f>
        <v>0.36250000000000032</v>
      </c>
      <c r="P12" s="319"/>
      <c r="Q12" s="270">
        <f>(Q11-V056_20[[#This Row],[TOTAL ]])+V056_20[[#This Row],[FAENA]]</f>
        <v>623.36041666666677</v>
      </c>
      <c r="R12" s="245">
        <v>0</v>
      </c>
      <c r="S12" s="246">
        <v>0</v>
      </c>
      <c r="T12" s="246">
        <v>0</v>
      </c>
      <c r="U12" s="246">
        <v>0</v>
      </c>
      <c r="V12" s="246">
        <v>0.1</v>
      </c>
      <c r="W12" s="257">
        <f>SUM(V056_20[[#This Row],[MPAL2]:[GI]])</f>
        <v>0.1</v>
      </c>
      <c r="X12" s="246"/>
      <c r="Y12" s="282">
        <f>(Y11-V056_20[[#This Row],[TOTAL]])+V056_20[[#This Row],[FAENA2]]</f>
        <v>99.300000000000011</v>
      </c>
      <c r="Z12" s="245"/>
      <c r="AA12" s="246"/>
      <c r="AB12" s="320">
        <f>(AB11-V056_20[[#This Row],[CYLINDER MP]])+V056_20[[#This Row],[FAENA EN LTS]]</f>
        <v>100</v>
      </c>
      <c r="AC12" s="246"/>
      <c r="AD12" s="246"/>
      <c r="AE12" s="320">
        <f>(AE11-V056_20[[#This Row],[CARTER MP.]])+V056_20[[#This Row],[FAENA EN LTS2]]</f>
        <v>100</v>
      </c>
      <c r="AF12" s="246"/>
      <c r="AG12" s="246"/>
      <c r="AH12" s="320">
        <f>(AH11-V056_20[[#This Row],[MOT AUX]])+V056_20[[#This Row],[FAENA EN  LTS]]</f>
        <v>100</v>
      </c>
      <c r="AI12" s="246"/>
      <c r="AJ12" s="246"/>
      <c r="AK12" s="321">
        <f>(AK11-V056_20[[#This Row],[HIDRAULICO]])+V056_20[[#This Row],[FAENA EN LTS3]]</f>
        <v>100</v>
      </c>
    </row>
    <row r="13" spans="1:37" x14ac:dyDescent="0.25">
      <c r="A13" s="235" t="s">
        <v>152</v>
      </c>
      <c r="B13" s="236">
        <v>43894</v>
      </c>
      <c r="C13" s="237">
        <v>0.67499999999999993</v>
      </c>
      <c r="D13" s="246">
        <f>IF(V056_20[[#This Row],[FECHA]]-B12=1,((V056_20[[#This Row],[HORA]]-C12)*24)+24,(V056_20[[#This Row],[HORA]]-C12)*24)</f>
        <v>1.8999999999999986</v>
      </c>
      <c r="E13" s="239" t="s">
        <v>47</v>
      </c>
      <c r="F13" s="240" t="s">
        <v>48</v>
      </c>
      <c r="G13" s="324"/>
      <c r="H13" s="306"/>
      <c r="I13" s="259">
        <f>IF(ISERROR(V053_20[[#This Row],[DISTANCIA POR CARTA]]/V053_20[[#This Row],[TIEMPO DE NAVEGACION]]),0,V053_20[[#This Row],[DISTANCIA POR CARTA]]/V053_20[[#This Row],[TIEMPO DE NAVEGACION]])</f>
        <v>0</v>
      </c>
      <c r="J13" s="242"/>
      <c r="K13" s="325"/>
      <c r="L13" s="245">
        <v>0.15833333333333321</v>
      </c>
      <c r="M13" s="246">
        <v>0.19791666666666652</v>
      </c>
      <c r="N13" s="246">
        <v>0.15833333333333321</v>
      </c>
      <c r="O13" s="257">
        <f>SUM(V056_20[[#This Row],[MPAL]:[CALDERA]])</f>
        <v>0.51458333333333295</v>
      </c>
      <c r="P13" s="319"/>
      <c r="Q13" s="270">
        <f>(Q12-V056_20[[#This Row],[TOTAL ]])+V056_20[[#This Row],[FAENA]]</f>
        <v>622.84583333333342</v>
      </c>
      <c r="R13" s="245">
        <v>0</v>
      </c>
      <c r="S13" s="246">
        <v>0</v>
      </c>
      <c r="T13" s="246">
        <v>0</v>
      </c>
      <c r="U13" s="246">
        <v>0</v>
      </c>
      <c r="V13" s="246">
        <v>0.5</v>
      </c>
      <c r="W13" s="257">
        <f>SUM(V056_20[[#This Row],[MPAL2]:[GI]])</f>
        <v>0.5</v>
      </c>
      <c r="X13" s="246"/>
      <c r="Y13" s="282">
        <f>(Y12-V056_20[[#This Row],[TOTAL]])+V056_20[[#This Row],[FAENA2]]</f>
        <v>98.800000000000011</v>
      </c>
      <c r="Z13" s="245"/>
      <c r="AA13" s="246"/>
      <c r="AB13" s="320">
        <f>(AB12-V056_20[[#This Row],[CYLINDER MP]])+V056_20[[#This Row],[FAENA EN LTS]]</f>
        <v>100</v>
      </c>
      <c r="AC13" s="246"/>
      <c r="AD13" s="246"/>
      <c r="AE13" s="320">
        <f>(AE12-V056_20[[#This Row],[CARTER MP.]])+V056_20[[#This Row],[FAENA EN LTS2]]</f>
        <v>100</v>
      </c>
      <c r="AF13" s="246"/>
      <c r="AG13" s="246"/>
      <c r="AH13" s="320">
        <f>(AH12-V056_20[[#This Row],[MOT AUX]])+V056_20[[#This Row],[FAENA EN  LTS]]</f>
        <v>100</v>
      </c>
      <c r="AI13" s="246"/>
      <c r="AJ13" s="246"/>
      <c r="AK13" s="321">
        <f>(AK12-V056_20[[#This Row],[HIDRAULICO]])+V056_20[[#This Row],[FAENA EN LTS3]]</f>
        <v>100</v>
      </c>
    </row>
    <row r="14" spans="1:37" x14ac:dyDescent="0.25">
      <c r="A14" s="235" t="s">
        <v>152</v>
      </c>
      <c r="B14" s="236">
        <v>43894</v>
      </c>
      <c r="C14" s="237">
        <v>0.91666666666666663</v>
      </c>
      <c r="D14" s="246">
        <f>IF(V056_20[[#This Row],[FECHA]]-B13=1,((V056_20[[#This Row],[HORA]]-C13)*24)+24,(V056_20[[#This Row],[HORA]]-C13)*24)</f>
        <v>5.8000000000000007</v>
      </c>
      <c r="E14" s="239" t="s">
        <v>49</v>
      </c>
      <c r="F14" s="240" t="s">
        <v>154</v>
      </c>
      <c r="G14" s="324"/>
      <c r="H14" s="306"/>
      <c r="I14" s="259">
        <f>IF(ISERROR(V053_20[[#This Row],[DISTANCIA POR CARTA]]/V053_20[[#This Row],[TIEMPO DE NAVEGACION]]),0,V053_20[[#This Row],[DISTANCIA POR CARTA]]/V053_20[[#This Row],[TIEMPO DE NAVEGACION]])</f>
        <v>0</v>
      </c>
      <c r="J14" s="242"/>
      <c r="K14" s="325"/>
      <c r="L14" s="245">
        <v>0</v>
      </c>
      <c r="M14" s="246">
        <v>0.60416666666666674</v>
      </c>
      <c r="N14" s="246">
        <v>0.48333333333333339</v>
      </c>
      <c r="O14" s="257">
        <f>SUM(V056_20[[#This Row],[MPAL]:[CALDERA]])</f>
        <v>1.0875000000000001</v>
      </c>
      <c r="P14" s="319"/>
      <c r="Q14" s="270">
        <f>(Q13-V056_20[[#This Row],[TOTAL ]])+V056_20[[#This Row],[FAENA]]</f>
        <v>621.75833333333344</v>
      </c>
      <c r="R14" s="245">
        <v>0</v>
      </c>
      <c r="S14" s="246">
        <v>0</v>
      </c>
      <c r="T14" s="246">
        <v>0</v>
      </c>
      <c r="U14" s="246">
        <v>0</v>
      </c>
      <c r="V14" s="246">
        <v>1.4</v>
      </c>
      <c r="W14" s="257">
        <f>SUM(V056_20[[#This Row],[MPAL2]:[GI]])</f>
        <v>1.4</v>
      </c>
      <c r="X14" s="246"/>
      <c r="Y14" s="282">
        <f>(Y13-V056_20[[#This Row],[TOTAL]])+V056_20[[#This Row],[FAENA2]]</f>
        <v>97.4</v>
      </c>
      <c r="Z14" s="245"/>
      <c r="AA14" s="246"/>
      <c r="AB14" s="320">
        <f>(AB13-V056_20[[#This Row],[CYLINDER MP]])+V056_20[[#This Row],[FAENA EN LTS]]</f>
        <v>100</v>
      </c>
      <c r="AC14" s="246"/>
      <c r="AD14" s="246"/>
      <c r="AE14" s="320">
        <f>(AE13-V056_20[[#This Row],[CARTER MP.]])+V056_20[[#This Row],[FAENA EN LTS2]]</f>
        <v>100</v>
      </c>
      <c r="AF14" s="246"/>
      <c r="AG14" s="246"/>
      <c r="AH14" s="320">
        <f>(AH13-V056_20[[#This Row],[MOT AUX]])+V056_20[[#This Row],[FAENA EN  LTS]]</f>
        <v>100</v>
      </c>
      <c r="AI14" s="246"/>
      <c r="AJ14" s="246"/>
      <c r="AK14" s="321">
        <f>(AK13-V056_20[[#This Row],[HIDRAULICO]])+V056_20[[#This Row],[FAENA EN LTS3]]</f>
        <v>100</v>
      </c>
    </row>
    <row r="15" spans="1:37" x14ac:dyDescent="0.25">
      <c r="A15" s="235" t="s">
        <v>152</v>
      </c>
      <c r="B15" s="236">
        <v>43895</v>
      </c>
      <c r="C15" s="237">
        <v>1.2499999999999999E-2</v>
      </c>
      <c r="D15" s="246">
        <f>IF(V056_20[[#This Row],[FECHA]]-B14=1,((V056_20[[#This Row],[HORA]]-C14)*24)+24,(V056_20[[#This Row],[HORA]]-C14)*24)</f>
        <v>2.3000000000000007</v>
      </c>
      <c r="E15" s="239" t="s">
        <v>49</v>
      </c>
      <c r="F15" s="240" t="s">
        <v>155</v>
      </c>
      <c r="G15" s="324"/>
      <c r="H15" s="306"/>
      <c r="I15" s="259">
        <f>IF(ISERROR(V053_20[[#This Row],[DISTANCIA POR CARTA]]/V053_20[[#This Row],[TIEMPO DE NAVEGACION]]),0,V053_20[[#This Row],[DISTANCIA POR CARTA]]/V053_20[[#This Row],[TIEMPO DE NAVEGACION]])</f>
        <v>0</v>
      </c>
      <c r="J15" s="242"/>
      <c r="K15" s="325"/>
      <c r="L15" s="245">
        <v>0</v>
      </c>
      <c r="M15" s="246">
        <v>0.23958333333333343</v>
      </c>
      <c r="N15" s="246">
        <v>0.19166666666666671</v>
      </c>
      <c r="O15" s="257">
        <f>SUM(V056_20[[#This Row],[MPAL]:[CALDERA]])</f>
        <v>0.43125000000000013</v>
      </c>
      <c r="P15" s="319"/>
      <c r="Q15" s="270">
        <f>(Q14-V056_20[[#This Row],[TOTAL ]])+V056_20[[#This Row],[FAENA]]</f>
        <v>621.32708333333346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SUM(V056_20[[#This Row],[MPAL2]:[GI]])</f>
        <v>0</v>
      </c>
      <c r="X15" s="246"/>
      <c r="Y15" s="282">
        <f>(Y14-V056_20[[#This Row],[TOTAL]])+V056_20[[#This Row],[FAENA2]]</f>
        <v>97.4</v>
      </c>
      <c r="Z15" s="245"/>
      <c r="AA15" s="246"/>
      <c r="AB15" s="320">
        <f>(AB14-V056_20[[#This Row],[CYLINDER MP]])+V056_20[[#This Row],[FAENA EN LTS]]</f>
        <v>100</v>
      </c>
      <c r="AC15" s="246"/>
      <c r="AD15" s="246"/>
      <c r="AE15" s="320">
        <f>(AE14-V056_20[[#This Row],[CARTER MP.]])+V056_20[[#This Row],[FAENA EN LTS2]]</f>
        <v>100</v>
      </c>
      <c r="AF15" s="246"/>
      <c r="AG15" s="246"/>
      <c r="AH15" s="320">
        <f>(AH14-V056_20[[#This Row],[MOT AUX]])+V056_20[[#This Row],[FAENA EN  LTS]]</f>
        <v>100</v>
      </c>
      <c r="AI15" s="246"/>
      <c r="AJ15" s="246"/>
      <c r="AK15" s="321">
        <f>(AK14-V056_20[[#This Row],[HIDRAULICO]])+V056_20[[#This Row],[FAENA EN LTS3]]</f>
        <v>100</v>
      </c>
    </row>
    <row r="16" spans="1:37" x14ac:dyDescent="0.25">
      <c r="A16" s="235" t="s">
        <v>152</v>
      </c>
      <c r="B16" s="236">
        <v>43895</v>
      </c>
      <c r="C16" s="237">
        <v>0.33333333333333331</v>
      </c>
      <c r="D16" s="246">
        <f>IF(V056_20[[#This Row],[FECHA]]-B15=1,((V056_20[[#This Row],[HORA]]-C15)*24)+24,(V056_20[[#This Row],[HORA]]-C15)*24)</f>
        <v>7.6999999999999993</v>
      </c>
      <c r="E16" s="239" t="s">
        <v>71</v>
      </c>
      <c r="F16" s="240" t="s">
        <v>71</v>
      </c>
      <c r="G16" s="324"/>
      <c r="H16" s="306"/>
      <c r="I16" s="259">
        <f>IF(ISERROR(V053_20[[#This Row],[DISTANCIA POR CARTA]]/V053_20[[#This Row],[TIEMPO DE NAVEGACION]]),0,V053_20[[#This Row],[DISTANCIA POR CARTA]]/V053_20[[#This Row],[TIEMPO DE NAVEGACION]])</f>
        <v>0</v>
      </c>
      <c r="J16" s="242"/>
      <c r="K16" s="325"/>
      <c r="L16" s="245">
        <v>0</v>
      </c>
      <c r="M16" s="246">
        <v>0.80208333333333326</v>
      </c>
      <c r="N16" s="246">
        <v>0.64166666666666661</v>
      </c>
      <c r="O16" s="257">
        <f>SUM(V056_20[[#This Row],[MPAL]:[CALDERA]])</f>
        <v>1.4437499999999999</v>
      </c>
      <c r="P16" s="246"/>
      <c r="Q16" s="270">
        <f>(Q15-V056_20[[#This Row],[TOTAL ]])+V056_20[[#This Row],[FAENA]]</f>
        <v>619.88333333333344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SUM(V056_20[[#This Row],[MPAL2]:[GI]])</f>
        <v>0</v>
      </c>
      <c r="X16" s="246"/>
      <c r="Y16" s="282">
        <f>(Y15-V056_20[[#This Row],[TOTAL]])+V056_20[[#This Row],[FAENA2]]</f>
        <v>97.4</v>
      </c>
      <c r="Z16" s="245"/>
      <c r="AA16" s="246"/>
      <c r="AB16" s="320">
        <f>(AB15-V056_20[[#This Row],[CYLINDER MP]])+V056_20[[#This Row],[FAENA EN LTS]]</f>
        <v>100</v>
      </c>
      <c r="AC16" s="246"/>
      <c r="AD16" s="246"/>
      <c r="AE16" s="320">
        <f>(AE15-V056_20[[#This Row],[CARTER MP.]])+V056_20[[#This Row],[FAENA EN LTS2]]</f>
        <v>100</v>
      </c>
      <c r="AF16" s="246"/>
      <c r="AG16" s="246"/>
      <c r="AH16" s="320">
        <f>(AH15-V056_20[[#This Row],[MOT AUX]])+V056_20[[#This Row],[FAENA EN  LTS]]</f>
        <v>100</v>
      </c>
      <c r="AI16" s="246"/>
      <c r="AJ16" s="246"/>
      <c r="AK16" s="321">
        <f>(AK15-V056_20[[#This Row],[HIDRAULICO]])+V056_20[[#This Row],[FAENA EN LTS3]]</f>
        <v>100</v>
      </c>
    </row>
    <row r="17" spans="1:37" x14ac:dyDescent="0.25">
      <c r="A17" s="235" t="s">
        <v>152</v>
      </c>
      <c r="B17" s="236">
        <v>43896</v>
      </c>
      <c r="C17" s="237">
        <v>0.33333333333333331</v>
      </c>
      <c r="D17" s="246">
        <f>IF(V056_20[[#This Row],[FECHA]]-B16=1,((V056_20[[#This Row],[HORA]]-C16)*24)+24,(V056_20[[#This Row],[HORA]]-C16)*24)</f>
        <v>24</v>
      </c>
      <c r="E17" s="239" t="s">
        <v>71</v>
      </c>
      <c r="F17" s="240" t="s">
        <v>71</v>
      </c>
      <c r="G17" s="324"/>
      <c r="H17" s="306"/>
      <c r="I17" s="259">
        <f>IF(ISERROR(V053_20[[#This Row],[DISTANCIA POR CARTA]]/V053_20[[#This Row],[TIEMPO DE NAVEGACION]]),0,V053_20[[#This Row],[DISTANCIA POR CARTA]]/V053_20[[#This Row],[TIEMPO DE NAVEGACION]])</f>
        <v>0</v>
      </c>
      <c r="J17" s="242"/>
      <c r="K17" s="325"/>
      <c r="L17" s="245">
        <v>0</v>
      </c>
      <c r="M17" s="246">
        <v>2.5</v>
      </c>
      <c r="N17" s="246">
        <v>2</v>
      </c>
      <c r="O17" s="257">
        <f>SUM(V056_20[[#This Row],[MPAL]:[CALDERA]])</f>
        <v>4.5</v>
      </c>
      <c r="P17" s="319"/>
      <c r="Q17" s="270">
        <f>(Q16-V056_20[[#This Row],[TOTAL ]])+V056_20[[#This Row],[FAENA]]</f>
        <v>615.38333333333344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SUM(V056_20[[#This Row],[MPAL2]:[GI]])</f>
        <v>0</v>
      </c>
      <c r="X17" s="246"/>
      <c r="Y17" s="282">
        <f>(Y16-V056_20[[#This Row],[TOTAL]])+V056_20[[#This Row],[FAENA2]]</f>
        <v>97.4</v>
      </c>
      <c r="Z17" s="245"/>
      <c r="AA17" s="246"/>
      <c r="AB17" s="320">
        <f>(AB16-V056_20[[#This Row],[CYLINDER MP]])+V056_20[[#This Row],[FAENA EN LTS]]</f>
        <v>100</v>
      </c>
      <c r="AC17" s="246"/>
      <c r="AD17" s="246"/>
      <c r="AE17" s="320">
        <f>(AE16-V056_20[[#This Row],[CARTER MP.]])+V056_20[[#This Row],[FAENA EN LTS2]]</f>
        <v>100</v>
      </c>
      <c r="AF17" s="246"/>
      <c r="AG17" s="246"/>
      <c r="AH17" s="320">
        <f>(AH16-V056_20[[#This Row],[MOT AUX]])+V056_20[[#This Row],[FAENA EN  LTS]]</f>
        <v>100</v>
      </c>
      <c r="AI17" s="246"/>
      <c r="AJ17" s="246"/>
      <c r="AK17" s="321">
        <f>(AK16-V056_20[[#This Row],[HIDRAULICO]])+V056_20[[#This Row],[FAENA EN LTS3]]</f>
        <v>100</v>
      </c>
    </row>
    <row r="18" spans="1:37" x14ac:dyDescent="0.25">
      <c r="A18" s="235" t="s">
        <v>152</v>
      </c>
      <c r="B18" s="236">
        <v>43896</v>
      </c>
      <c r="C18" s="237">
        <v>0.97916666666666663</v>
      </c>
      <c r="D18" s="246">
        <f>IF(V056_20[[#This Row],[FECHA]]-B17=1,((V056_20[[#This Row],[HORA]]-C17)*24)+24,(V056_20[[#This Row],[HORA]]-C17)*24)</f>
        <v>15.499999999999998</v>
      </c>
      <c r="E18" s="239" t="s">
        <v>71</v>
      </c>
      <c r="F18" s="240" t="s">
        <v>156</v>
      </c>
      <c r="G18" s="324"/>
      <c r="H18" s="306"/>
      <c r="I18" s="259">
        <f>IF(ISERROR(V053_20[[#This Row],[DISTANCIA POR CARTA]]/V053_20[[#This Row],[TIEMPO DE NAVEGACION]]),0,V053_20[[#This Row],[DISTANCIA POR CARTA]]/V053_20[[#This Row],[TIEMPO DE NAVEGACION]])</f>
        <v>11.234567901234568</v>
      </c>
      <c r="J18" s="242"/>
      <c r="K18" s="325"/>
      <c r="L18" s="245">
        <v>0</v>
      </c>
      <c r="M18" s="246">
        <v>1.6145833333333333</v>
      </c>
      <c r="N18" s="246">
        <v>1.2916666666666665</v>
      </c>
      <c r="O18" s="257">
        <f>SUM(V056_20[[#This Row],[MPAL]:[CALDERA]])</f>
        <v>2.90625</v>
      </c>
      <c r="P18" s="319"/>
      <c r="Q18" s="270">
        <f>(Q17-V056_20[[#This Row],[TOTAL ]])+V056_20[[#This Row],[FAENA]]</f>
        <v>612.47708333333344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SUM(V056_20[[#This Row],[MPAL2]:[GI]])</f>
        <v>0</v>
      </c>
      <c r="X18" s="246"/>
      <c r="Y18" s="282">
        <f>(Y17-V056_20[[#This Row],[TOTAL]])+V056_20[[#This Row],[FAENA2]]</f>
        <v>97.4</v>
      </c>
      <c r="Z18" s="245"/>
      <c r="AA18" s="246"/>
      <c r="AB18" s="320">
        <f>(AB17-V056_20[[#This Row],[CYLINDER MP]])+V056_20[[#This Row],[FAENA EN LTS]]</f>
        <v>100</v>
      </c>
      <c r="AC18" s="246"/>
      <c r="AD18" s="246"/>
      <c r="AE18" s="320">
        <f>(AE17-V056_20[[#This Row],[CARTER MP.]])+V056_20[[#This Row],[FAENA EN LTS2]]</f>
        <v>100</v>
      </c>
      <c r="AF18" s="246"/>
      <c r="AG18" s="246"/>
      <c r="AH18" s="320">
        <f>(AH17-V056_20[[#This Row],[MOT AUX]])+V056_20[[#This Row],[FAENA EN  LTS]]</f>
        <v>100</v>
      </c>
      <c r="AI18" s="246"/>
      <c r="AJ18" s="246"/>
      <c r="AK18" s="321">
        <f>(AK17-V056_20[[#This Row],[HIDRAULICO]])+V056_20[[#This Row],[FAENA EN LTS3]]</f>
        <v>100</v>
      </c>
    </row>
    <row r="19" spans="1:37" x14ac:dyDescent="0.25">
      <c r="A19" s="235" t="s">
        <v>152</v>
      </c>
      <c r="B19" s="236">
        <v>43897</v>
      </c>
      <c r="C19" s="237">
        <v>0.20833333333333334</v>
      </c>
      <c r="D19" s="246">
        <f>IF(V056_20[[#This Row],[FECHA]]-B18=1,((V056_20[[#This Row],[HORA]]-C18)*24)+24,(V056_20[[#This Row],[HORA]]-C18)*24)</f>
        <v>5.5</v>
      </c>
      <c r="E19" s="239" t="s">
        <v>49</v>
      </c>
      <c r="F19" s="240" t="s">
        <v>46</v>
      </c>
      <c r="G19" s="324"/>
      <c r="H19" s="306"/>
      <c r="I19" s="259">
        <f>IF(ISERROR(V053_20[[#This Row],[DISTANCIA POR CARTA]]/V053_20[[#This Row],[TIEMPO DE NAVEGACION]]),0,V053_20[[#This Row],[DISTANCIA POR CARTA]]/V053_20[[#This Row],[TIEMPO DE NAVEGACION]])</f>
        <v>0</v>
      </c>
      <c r="J19" s="242"/>
      <c r="K19" s="325"/>
      <c r="L19" s="245">
        <v>0</v>
      </c>
      <c r="M19" s="246">
        <v>0.57291666666666674</v>
      </c>
      <c r="N19" s="246">
        <v>0.45833333333333331</v>
      </c>
      <c r="O19" s="257">
        <f>SUM(V056_20[[#This Row],[MPAL]:[CALDERA]])</f>
        <v>1.03125</v>
      </c>
      <c r="P19" s="319"/>
      <c r="Q19" s="270">
        <f>(Q18-V056_20[[#This Row],[TOTAL ]])+V056_20[[#This Row],[FAENA]]</f>
        <v>611.44583333333344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SUM(V056_20[[#This Row],[MPAL2]:[GI]])</f>
        <v>0</v>
      </c>
      <c r="X19" s="246"/>
      <c r="Y19" s="282">
        <f>(Y18-V056_20[[#This Row],[TOTAL]])+V056_20[[#This Row],[FAENA2]]</f>
        <v>97.4</v>
      </c>
      <c r="Z19" s="245"/>
      <c r="AA19" s="246"/>
      <c r="AB19" s="320">
        <f>(AB18-V056_20[[#This Row],[CYLINDER MP]])+V056_20[[#This Row],[FAENA EN LTS]]</f>
        <v>100</v>
      </c>
      <c r="AC19" s="246"/>
      <c r="AD19" s="246"/>
      <c r="AE19" s="320">
        <f>(AE18-V056_20[[#This Row],[CARTER MP.]])+V056_20[[#This Row],[FAENA EN LTS2]]</f>
        <v>100</v>
      </c>
      <c r="AF19" s="246"/>
      <c r="AG19" s="246"/>
      <c r="AH19" s="320">
        <f>(AH18-V056_20[[#This Row],[MOT AUX]])+V056_20[[#This Row],[FAENA EN  LTS]]</f>
        <v>100</v>
      </c>
      <c r="AI19" s="246"/>
      <c r="AJ19" s="246"/>
      <c r="AK19" s="321">
        <f>(AK18-V056_20[[#This Row],[HIDRAULICO]])+V056_20[[#This Row],[FAENA EN LTS3]]</f>
        <v>100</v>
      </c>
    </row>
    <row r="20" spans="1:37" x14ac:dyDescent="0.25">
      <c r="A20" s="235" t="s">
        <v>152</v>
      </c>
      <c r="B20" s="236">
        <v>43897</v>
      </c>
      <c r="C20" s="237">
        <v>0.23750000000000002</v>
      </c>
      <c r="D20" s="246">
        <f>IF(V056_20[[#This Row],[FECHA]]-B19=1,((V056_20[[#This Row],[HORA]]-C19)*24)+24,(V056_20[[#This Row],[HORA]]-C19)*24)</f>
        <v>0.70000000000000018</v>
      </c>
      <c r="E20" s="239" t="s">
        <v>47</v>
      </c>
      <c r="F20" s="240" t="s">
        <v>157</v>
      </c>
      <c r="G20" s="324"/>
      <c r="H20" s="306"/>
      <c r="I20" s="259">
        <f>IF(ISERROR(V053_20[[#This Row],[DISTANCIA POR CARTA]]/V053_20[[#This Row],[TIEMPO DE NAVEGACION]]),0,V053_20[[#This Row],[DISTANCIA POR CARTA]]/V053_20[[#This Row],[TIEMPO DE NAVEGACION]])</f>
        <v>0</v>
      </c>
      <c r="J20" s="242"/>
      <c r="K20" s="325"/>
      <c r="L20" s="245">
        <v>0.14583333333333337</v>
      </c>
      <c r="M20" s="246">
        <v>7.2916666666666685E-2</v>
      </c>
      <c r="N20" s="246">
        <v>5.8333333333333348E-2</v>
      </c>
      <c r="O20" s="257">
        <f>SUM(V056_20[[#This Row],[MPAL]:[CALDERA]])</f>
        <v>0.2770833333333334</v>
      </c>
      <c r="P20" s="319"/>
      <c r="Q20" s="270">
        <f>(Q19-V056_20[[#This Row],[TOTAL ]])+V056_20[[#This Row],[FAENA]]</f>
        <v>611.16875000000016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SUM(V056_20[[#This Row],[MPAL2]:[GI]])</f>
        <v>0</v>
      </c>
      <c r="X20" s="246"/>
      <c r="Y20" s="282">
        <f>(Y19-V056_20[[#This Row],[TOTAL]])+V056_20[[#This Row],[FAENA2]]</f>
        <v>97.4</v>
      </c>
      <c r="Z20" s="245"/>
      <c r="AA20" s="246"/>
      <c r="AB20" s="320">
        <f>(AB19-V056_20[[#This Row],[CYLINDER MP]])+V056_20[[#This Row],[FAENA EN LTS]]</f>
        <v>100</v>
      </c>
      <c r="AC20" s="246"/>
      <c r="AD20" s="246"/>
      <c r="AE20" s="320">
        <f>(AE19-V056_20[[#This Row],[CARTER MP.]])+V056_20[[#This Row],[FAENA EN LTS2]]</f>
        <v>100</v>
      </c>
      <c r="AF20" s="246"/>
      <c r="AG20" s="246"/>
      <c r="AH20" s="320">
        <f>(AH19-V056_20[[#This Row],[MOT AUX]])+V056_20[[#This Row],[FAENA EN  LTS]]</f>
        <v>100</v>
      </c>
      <c r="AI20" s="246"/>
      <c r="AJ20" s="246"/>
      <c r="AK20" s="321">
        <f>(AK19-V056_20[[#This Row],[HIDRAULICO]])+V056_20[[#This Row],[FAENA EN LTS3]]</f>
        <v>100</v>
      </c>
    </row>
    <row r="21" spans="1:37" x14ac:dyDescent="0.25">
      <c r="A21" s="235" t="s">
        <v>152</v>
      </c>
      <c r="B21" s="236">
        <v>43897</v>
      </c>
      <c r="C21" s="237">
        <v>0.26527777777777778</v>
      </c>
      <c r="D21" s="246">
        <f>IF(V056_20[[#This Row],[FECHA]]-B20=1,((V056_20[[#This Row],[HORA]]-C20)*24)+24,(V056_20[[#This Row],[HORA]]-C20)*24)</f>
        <v>0.6666666666666663</v>
      </c>
      <c r="E21" s="239" t="s">
        <v>47</v>
      </c>
      <c r="F21" s="240" t="s">
        <v>158</v>
      </c>
      <c r="G21" s="324"/>
      <c r="H21" s="306"/>
      <c r="I21" s="259">
        <f>IF(ISERROR(V053_20[[#This Row],[DISTANCIA POR CARTA]]/V053_20[[#This Row],[TIEMPO DE NAVEGACION]]),0,V053_20[[#This Row],[DISTANCIA POR CARTA]]/V053_20[[#This Row],[TIEMPO DE NAVEGACION]])</f>
        <v>0</v>
      </c>
      <c r="J21" s="242"/>
      <c r="K21" s="325"/>
      <c r="L21" s="245">
        <v>0.27777777777777762</v>
      </c>
      <c r="M21" s="246">
        <v>6.9444444444444406E-2</v>
      </c>
      <c r="N21" s="246">
        <v>5.5555555555555525E-2</v>
      </c>
      <c r="O21" s="257">
        <f>SUM(V056_20[[#This Row],[MPAL]:[CALDERA]])</f>
        <v>0.40277777777777757</v>
      </c>
      <c r="P21" s="319"/>
      <c r="Q21" s="270">
        <f>(Q20-V056_20[[#This Row],[TOTAL ]])+V056_20[[#This Row],[FAENA]]</f>
        <v>610.76597222222233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SUM(V056_20[[#This Row],[MPAL2]:[GI]])</f>
        <v>0</v>
      </c>
      <c r="X21" s="246"/>
      <c r="Y21" s="282">
        <f>(Y20-V056_20[[#This Row],[TOTAL]])+V056_20[[#This Row],[FAENA2]]</f>
        <v>97.4</v>
      </c>
      <c r="Z21" s="245"/>
      <c r="AA21" s="246"/>
      <c r="AB21" s="320">
        <f>(AB20-V056_20[[#This Row],[CYLINDER MP]])+V056_20[[#This Row],[FAENA EN LTS]]</f>
        <v>100</v>
      </c>
      <c r="AC21" s="246"/>
      <c r="AD21" s="246"/>
      <c r="AE21" s="320">
        <f>(AE20-V056_20[[#This Row],[CARTER MP.]])+V056_20[[#This Row],[FAENA EN LTS2]]</f>
        <v>100</v>
      </c>
      <c r="AF21" s="246"/>
      <c r="AG21" s="246"/>
      <c r="AH21" s="320">
        <f>(AH20-V056_20[[#This Row],[MOT AUX]])+V056_20[[#This Row],[FAENA EN  LTS]]</f>
        <v>100</v>
      </c>
      <c r="AI21" s="246"/>
      <c r="AJ21" s="246"/>
      <c r="AK21" s="321">
        <f>(AK20-V056_20[[#This Row],[HIDRAULICO]])+V056_20[[#This Row],[FAENA EN LTS3]]</f>
        <v>100</v>
      </c>
    </row>
    <row r="22" spans="1:37" x14ac:dyDescent="0.25">
      <c r="A22" s="235" t="s">
        <v>152</v>
      </c>
      <c r="B22" s="236">
        <v>43897</v>
      </c>
      <c r="C22" s="237">
        <v>0.28333333333333333</v>
      </c>
      <c r="D22" s="246">
        <f>IF(V056_20[[#This Row],[FECHA]]-B21=1,((V056_20[[#This Row],[HORA]]-C21)*24)+24,(V056_20[[#This Row],[HORA]]-C21)*24)</f>
        <v>0.43333333333333313</v>
      </c>
      <c r="E22" s="239" t="s">
        <v>47</v>
      </c>
      <c r="F22" s="240" t="s">
        <v>48</v>
      </c>
      <c r="G22" s="324"/>
      <c r="H22" s="306"/>
      <c r="I22" s="259">
        <f>IF(ISERROR(V053_20[[#This Row],[DISTANCIA POR CARTA]]/V053_20[[#This Row],[TIEMPO DE NAVEGACION]]),0,V053_20[[#This Row],[DISTANCIA POR CARTA]]/V053_20[[#This Row],[TIEMPO DE NAVEGACION]])</f>
        <v>0</v>
      </c>
      <c r="J22" s="242"/>
      <c r="K22" s="325"/>
      <c r="L22" s="245">
        <v>9.0277777777777735E-2</v>
      </c>
      <c r="M22" s="246">
        <v>4.5138888888888867E-2</v>
      </c>
      <c r="N22" s="246">
        <v>3.6111111111111094E-2</v>
      </c>
      <c r="O22" s="257">
        <f>SUM(V056_20[[#This Row],[MPAL]:[CALDERA]])</f>
        <v>0.1715277777777777</v>
      </c>
      <c r="P22" s="319"/>
      <c r="Q22" s="270">
        <f>(Q21-V056_20[[#This Row],[TOTAL ]])+V056_20[[#This Row],[FAENA]]</f>
        <v>610.59444444444455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SUM(V056_20[[#This Row],[MPAL2]:[GI]])</f>
        <v>0</v>
      </c>
      <c r="X22" s="246"/>
      <c r="Y22" s="282">
        <f>(Y21-V056_20[[#This Row],[TOTAL]])+V056_20[[#This Row],[FAENA2]]</f>
        <v>97.4</v>
      </c>
      <c r="Z22" s="245"/>
      <c r="AA22" s="246"/>
      <c r="AB22" s="320">
        <f>(AB21-V056_20[[#This Row],[CYLINDER MP]])+V056_20[[#This Row],[FAENA EN LTS]]</f>
        <v>100</v>
      </c>
      <c r="AC22" s="246"/>
      <c r="AD22" s="246"/>
      <c r="AE22" s="320">
        <f>(AE21-V056_20[[#This Row],[CARTER MP.]])+V056_20[[#This Row],[FAENA EN LTS2]]</f>
        <v>100</v>
      </c>
      <c r="AF22" s="246"/>
      <c r="AG22" s="246"/>
      <c r="AH22" s="320">
        <f>(AH21-V056_20[[#This Row],[MOT AUX]])+V056_20[[#This Row],[FAENA EN  LTS]]</f>
        <v>100</v>
      </c>
      <c r="AI22" s="246"/>
      <c r="AJ22" s="246"/>
      <c r="AK22" s="321">
        <f>(AK21-V056_20[[#This Row],[HIDRAULICO]])+V056_20[[#This Row],[FAENA EN LTS3]]</f>
        <v>100</v>
      </c>
    </row>
    <row r="23" spans="1:37" x14ac:dyDescent="0.25">
      <c r="A23" s="235" t="s">
        <v>152</v>
      </c>
      <c r="B23" s="236">
        <v>43897</v>
      </c>
      <c r="C23" s="237">
        <v>0.33333333333333331</v>
      </c>
      <c r="D23" s="246">
        <f>IF(V056_20[[#This Row],[FECHA]]-B22=1,((V056_20[[#This Row],[HORA]]-C22)*24)+24,(V056_20[[#This Row],[HORA]]-C22)*24)</f>
        <v>1.1999999999999997</v>
      </c>
      <c r="E23" s="239" t="s">
        <v>45</v>
      </c>
      <c r="F23" s="240" t="s">
        <v>45</v>
      </c>
      <c r="G23" s="324"/>
      <c r="H23" s="306"/>
      <c r="I23" s="259">
        <f>IF(ISERROR(V053_20[[#This Row],[DISTANCIA POR CARTA]]/V053_20[[#This Row],[TIEMPO DE NAVEGACION]]),0,V053_20[[#This Row],[DISTANCIA POR CARTA]]/V053_20[[#This Row],[TIEMPO DE NAVEGACION]])</f>
        <v>0</v>
      </c>
      <c r="J23" s="242"/>
      <c r="K23" s="325"/>
      <c r="L23" s="245">
        <v>0</v>
      </c>
      <c r="M23" s="246">
        <v>0.12499999999999997</v>
      </c>
      <c r="N23" s="246">
        <v>9.9999999999999978E-2</v>
      </c>
      <c r="O23" s="257">
        <f>SUM(V056_20[[#This Row],[MPAL]:[CALDERA]])</f>
        <v>0.22499999999999995</v>
      </c>
      <c r="P23" s="319"/>
      <c r="Q23" s="270">
        <f>(Q22-V056_20[[#This Row],[TOTAL ]])+V056_20[[#This Row],[FAENA]]</f>
        <v>610.36944444444453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SUM(V056_20[[#This Row],[MPAL2]:[GI]])</f>
        <v>0</v>
      </c>
      <c r="X23" s="246"/>
      <c r="Y23" s="282">
        <f>(Y22-V056_20[[#This Row],[TOTAL]])+V056_20[[#This Row],[FAENA2]]</f>
        <v>97.4</v>
      </c>
      <c r="Z23" s="245"/>
      <c r="AA23" s="246"/>
      <c r="AB23" s="320">
        <f>(AB22-V056_20[[#This Row],[CYLINDER MP]])+V056_20[[#This Row],[FAENA EN LTS]]</f>
        <v>100</v>
      </c>
      <c r="AC23" s="246"/>
      <c r="AD23" s="246"/>
      <c r="AE23" s="320">
        <f>(AE22-V056_20[[#This Row],[CARTER MP.]])+V056_20[[#This Row],[FAENA EN LTS2]]</f>
        <v>100</v>
      </c>
      <c r="AF23" s="246"/>
      <c r="AG23" s="246"/>
      <c r="AH23" s="320">
        <f>(AH22-V056_20[[#This Row],[MOT AUX]])+V056_20[[#This Row],[FAENA EN  LTS]]</f>
        <v>100</v>
      </c>
      <c r="AI23" s="246"/>
      <c r="AJ23" s="246"/>
      <c r="AK23" s="321">
        <f>(AK22-V056_20[[#This Row],[HIDRAULICO]])+V056_20[[#This Row],[FAENA EN LTS3]]</f>
        <v>100</v>
      </c>
    </row>
    <row r="24" spans="1:37" x14ac:dyDescent="0.25">
      <c r="A24" s="235" t="s">
        <v>152</v>
      </c>
      <c r="B24" s="236">
        <v>43898</v>
      </c>
      <c r="C24" s="237">
        <v>4.9999999999999996E-2</v>
      </c>
      <c r="D24" s="246">
        <f>IF(V056_20[[#This Row],[FECHA]]-B23=1,((V056_20[[#This Row],[HORA]]-C23)*24)+24,(V056_20[[#This Row],[HORA]]-C23)*24)</f>
        <v>17.2</v>
      </c>
      <c r="E24" s="239" t="s">
        <v>45</v>
      </c>
      <c r="F24" s="240" t="s">
        <v>46</v>
      </c>
      <c r="G24" s="324"/>
      <c r="H24" s="306"/>
      <c r="I24" s="259">
        <f>IF(ISERROR(V053_20[[#This Row],[DISTANCIA POR CARTA]]/V053_20[[#This Row],[TIEMPO DE NAVEGACION]]),0,V053_20[[#This Row],[DISTANCIA POR CARTA]]/V053_20[[#This Row],[TIEMPO DE NAVEGACION]])</f>
        <v>0</v>
      </c>
      <c r="J24" s="242"/>
      <c r="K24" s="325"/>
      <c r="L24" s="245">
        <v>0</v>
      </c>
      <c r="M24" s="246">
        <v>1.7916666666666667</v>
      </c>
      <c r="N24" s="246">
        <v>1.4333333333333331</v>
      </c>
      <c r="O24" s="257">
        <f>SUM(V056_20[[#This Row],[MPAL]:[CALDERA]])</f>
        <v>3.2249999999999996</v>
      </c>
      <c r="P24" s="319"/>
      <c r="Q24" s="270">
        <f>(Q23-V056_20[[#This Row],[TOTAL ]])+V056_20[[#This Row],[FAENA]]</f>
        <v>607.1444444444445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SUM(V056_20[[#This Row],[MPAL2]:[GI]])</f>
        <v>0</v>
      </c>
      <c r="X24" s="246"/>
      <c r="Y24" s="282">
        <f>(Y23-V056_20[[#This Row],[TOTAL]])+V056_20[[#This Row],[FAENA2]]</f>
        <v>97.4</v>
      </c>
      <c r="Z24" s="245"/>
      <c r="AA24" s="246"/>
      <c r="AB24" s="320">
        <f>(AB23-V056_20[[#This Row],[CYLINDER MP]])+V056_20[[#This Row],[FAENA EN LTS]]</f>
        <v>100</v>
      </c>
      <c r="AC24" s="246"/>
      <c r="AD24" s="246"/>
      <c r="AE24" s="320">
        <f>(AE23-V056_20[[#This Row],[CARTER MP.]])+V056_20[[#This Row],[FAENA EN LTS2]]</f>
        <v>100</v>
      </c>
      <c r="AF24" s="246"/>
      <c r="AG24" s="246"/>
      <c r="AH24" s="320">
        <f>(AH23-V056_20[[#This Row],[MOT AUX]])+V056_20[[#This Row],[FAENA EN  LTS]]</f>
        <v>100</v>
      </c>
      <c r="AI24" s="246"/>
      <c r="AJ24" s="246"/>
      <c r="AK24" s="321">
        <f>(AK23-V056_20[[#This Row],[HIDRAULICO]])+V056_20[[#This Row],[FAENA EN LTS3]]</f>
        <v>100</v>
      </c>
    </row>
    <row r="25" spans="1:37" x14ac:dyDescent="0.25">
      <c r="A25" s="235" t="s">
        <v>152</v>
      </c>
      <c r="B25" s="236">
        <v>43898</v>
      </c>
      <c r="C25" s="237">
        <v>8.3333333333333329E-2</v>
      </c>
      <c r="D25" s="246">
        <f>IF(V056_20[[#This Row],[FECHA]]-B24=1,((V056_20[[#This Row],[HORA]]-C24)*24)+24,(V056_20[[#This Row],[HORA]]-C24)*24)</f>
        <v>0.8</v>
      </c>
      <c r="E25" s="239" t="s">
        <v>47</v>
      </c>
      <c r="F25" s="240" t="s">
        <v>159</v>
      </c>
      <c r="G25" s="324"/>
      <c r="H25" s="306"/>
      <c r="I25" s="259">
        <f>IF(ISERROR(V053_20[[#This Row],[DISTANCIA POR CARTA]]/V053_20[[#This Row],[TIEMPO DE NAVEGACION]]),0,V053_20[[#This Row],[DISTANCIA POR CARTA]]/V053_20[[#This Row],[TIEMPO DE NAVEGACION]])</f>
        <v>0</v>
      </c>
      <c r="J25" s="242" t="s">
        <v>54</v>
      </c>
      <c r="K25" s="325">
        <v>95</v>
      </c>
      <c r="L25" s="245">
        <v>0.16666666666666669</v>
      </c>
      <c r="M25" s="246">
        <v>8.3333333333333343E-2</v>
      </c>
      <c r="N25" s="246">
        <v>6.6666666666666666E-2</v>
      </c>
      <c r="O25" s="257">
        <f>SUM(V056_20[[#This Row],[MPAL]:[CALDERA]])</f>
        <v>0.31666666666666665</v>
      </c>
      <c r="P25" s="319"/>
      <c r="Q25" s="270">
        <f>(Q24-V056_20[[#This Row],[TOTAL ]])+V056_20[[#This Row],[FAENA]]</f>
        <v>606.82777777777778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SUM(V056_20[[#This Row],[MPAL2]:[GI]])</f>
        <v>0</v>
      </c>
      <c r="X25" s="246"/>
      <c r="Y25" s="282">
        <f>(Y24-V056_20[[#This Row],[TOTAL]])+V056_20[[#This Row],[FAENA2]]</f>
        <v>97.4</v>
      </c>
      <c r="Z25" s="245"/>
      <c r="AA25" s="246"/>
      <c r="AB25" s="320">
        <f>(AB24-V056_20[[#This Row],[CYLINDER MP]])+V056_20[[#This Row],[FAENA EN LTS]]</f>
        <v>100</v>
      </c>
      <c r="AC25" s="246"/>
      <c r="AD25" s="246"/>
      <c r="AE25" s="320">
        <f>(AE24-V056_20[[#This Row],[CARTER MP.]])+V056_20[[#This Row],[FAENA EN LTS2]]</f>
        <v>100</v>
      </c>
      <c r="AF25" s="246"/>
      <c r="AG25" s="246"/>
      <c r="AH25" s="320">
        <f>(AH24-V056_20[[#This Row],[MOT AUX]])+V056_20[[#This Row],[FAENA EN  LTS]]</f>
        <v>100</v>
      </c>
      <c r="AI25" s="246"/>
      <c r="AJ25" s="246"/>
      <c r="AK25" s="321">
        <f>(AK24-V056_20[[#This Row],[HIDRAULICO]])+V056_20[[#This Row],[FAENA EN LTS3]]</f>
        <v>100</v>
      </c>
    </row>
    <row r="26" spans="1:37" x14ac:dyDescent="0.25">
      <c r="A26" s="235" t="s">
        <v>152</v>
      </c>
      <c r="B26" s="236">
        <v>43898</v>
      </c>
      <c r="C26" s="237">
        <v>0.33333333333333331</v>
      </c>
      <c r="D26" s="246">
        <f>IF(V056_20[[#This Row],[FECHA]]-B25=1,((V056_20[[#This Row],[HORA]]-C25)*24)+24,(V056_20[[#This Row],[HORA]]-C25)*24)</f>
        <v>6</v>
      </c>
      <c r="E26" s="239" t="s">
        <v>55</v>
      </c>
      <c r="F26" s="240" t="s">
        <v>56</v>
      </c>
      <c r="G26" s="324"/>
      <c r="H26" s="306"/>
      <c r="I26" s="259">
        <f>IF(ISERROR(V053_20[[#This Row],[DISTANCIA POR CARTA]]/V053_20[[#This Row],[TIEMPO DE NAVEGACION]]),0,V053_20[[#This Row],[DISTANCIA POR CARTA]]/V053_20[[#This Row],[TIEMPO DE NAVEGACION]])</f>
        <v>0</v>
      </c>
      <c r="J26" s="242" t="s">
        <v>54</v>
      </c>
      <c r="K26" s="325">
        <v>95</v>
      </c>
      <c r="L26" s="245">
        <v>5</v>
      </c>
      <c r="M26" s="246">
        <v>0.625</v>
      </c>
      <c r="N26" s="246">
        <v>0</v>
      </c>
      <c r="O26" s="257">
        <f>SUM(V056_20[[#This Row],[MPAL]:[CALDERA]])</f>
        <v>5.625</v>
      </c>
      <c r="P26" s="319"/>
      <c r="Q26" s="270">
        <f>(Q25-V056_20[[#This Row],[TOTAL ]])+V056_20[[#This Row],[FAENA]]</f>
        <v>601.20277777777778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SUM(V056_20[[#This Row],[MPAL2]:[GI]])</f>
        <v>0</v>
      </c>
      <c r="X26" s="246"/>
      <c r="Y26" s="282">
        <f>(Y25-V056_20[[#This Row],[TOTAL]])+V056_20[[#This Row],[FAENA2]]</f>
        <v>97.4</v>
      </c>
      <c r="Z26" s="245"/>
      <c r="AA26" s="246"/>
      <c r="AB26" s="320">
        <f>(AB25-V056_20[[#This Row],[CYLINDER MP]])+V056_20[[#This Row],[FAENA EN LTS]]</f>
        <v>100</v>
      </c>
      <c r="AC26" s="246"/>
      <c r="AD26" s="246"/>
      <c r="AE26" s="320">
        <f>(AE25-V056_20[[#This Row],[CARTER MP.]])+V056_20[[#This Row],[FAENA EN LTS2]]</f>
        <v>100</v>
      </c>
      <c r="AF26" s="246"/>
      <c r="AG26" s="246"/>
      <c r="AH26" s="320">
        <f>(AH25-V056_20[[#This Row],[MOT AUX]])+V056_20[[#This Row],[FAENA EN  LTS]]</f>
        <v>100</v>
      </c>
      <c r="AI26" s="246"/>
      <c r="AJ26" s="246"/>
      <c r="AK26" s="321">
        <f>(AK25-V056_20[[#This Row],[HIDRAULICO]])+V056_20[[#This Row],[FAENA EN LTS3]]</f>
        <v>100</v>
      </c>
    </row>
    <row r="27" spans="1:37" x14ac:dyDescent="0.25">
      <c r="A27" s="235" t="s">
        <v>152</v>
      </c>
      <c r="B27" s="236">
        <v>43899</v>
      </c>
      <c r="C27" s="237">
        <v>0.33333333333333331</v>
      </c>
      <c r="D27" s="246">
        <f>IF(V056_20[[#This Row],[FECHA]]-B26=1,((V056_20[[#This Row],[HORA]]-C26)*24)+24,(V056_20[[#This Row],[HORA]]-C26)*24)</f>
        <v>24</v>
      </c>
      <c r="E27" s="239" t="s">
        <v>55</v>
      </c>
      <c r="F27" s="240" t="s">
        <v>56</v>
      </c>
      <c r="G27" s="324"/>
      <c r="H27" s="306"/>
      <c r="I27" s="259">
        <f>IF(ISERROR(V053_20[[#This Row],[DISTANCIA POR CARTA]]/V053_20[[#This Row],[TIEMPO DE NAVEGACION]]),0,V053_20[[#This Row],[DISTANCIA POR CARTA]]/V053_20[[#This Row],[TIEMPO DE NAVEGACION]])</f>
        <v>10.991735537190083</v>
      </c>
      <c r="J27" s="242" t="s">
        <v>54</v>
      </c>
      <c r="K27" s="325">
        <v>95</v>
      </c>
      <c r="L27" s="245">
        <v>22</v>
      </c>
      <c r="M27" s="246">
        <v>2.5</v>
      </c>
      <c r="N27" s="246">
        <v>0</v>
      </c>
      <c r="O27" s="257">
        <f>SUM(V056_20[[#This Row],[MPAL]:[CALDERA]])</f>
        <v>24.5</v>
      </c>
      <c r="P27" s="319"/>
      <c r="Q27" s="270">
        <f>(Q26-V056_20[[#This Row],[TOTAL ]])+V056_20[[#This Row],[FAENA]]</f>
        <v>576.70277777777778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SUM(V056_20[[#This Row],[MPAL2]:[GI]])</f>
        <v>0</v>
      </c>
      <c r="X27" s="246"/>
      <c r="Y27" s="282">
        <f>(Y26-V056_20[[#This Row],[TOTAL]])+V056_20[[#This Row],[FAENA2]]</f>
        <v>97.4</v>
      </c>
      <c r="Z27" s="245"/>
      <c r="AA27" s="246"/>
      <c r="AB27" s="320">
        <f>(AB26-V056_20[[#This Row],[CYLINDER MP]])+V056_20[[#This Row],[FAENA EN LTS]]</f>
        <v>100</v>
      </c>
      <c r="AC27" s="246"/>
      <c r="AD27" s="246"/>
      <c r="AE27" s="320">
        <f>(AE26-V056_20[[#This Row],[CARTER MP.]])+V056_20[[#This Row],[FAENA EN LTS2]]</f>
        <v>100</v>
      </c>
      <c r="AF27" s="246"/>
      <c r="AG27" s="246"/>
      <c r="AH27" s="320">
        <f>(AH26-V056_20[[#This Row],[MOT AUX]])+V056_20[[#This Row],[FAENA EN  LTS]]</f>
        <v>100</v>
      </c>
      <c r="AI27" s="246"/>
      <c r="AJ27" s="246"/>
      <c r="AK27" s="321">
        <f>(AK26-V056_20[[#This Row],[HIDRAULICO]])+V056_20[[#This Row],[FAENA EN LTS3]]</f>
        <v>100</v>
      </c>
    </row>
    <row r="28" spans="1:37" x14ac:dyDescent="0.25">
      <c r="A28" s="235" t="s">
        <v>152</v>
      </c>
      <c r="B28" s="236">
        <v>43900</v>
      </c>
      <c r="C28" s="237">
        <v>0.29166666666666669</v>
      </c>
      <c r="D28" s="246">
        <f>IF(V056_20[[#This Row],[FECHA]]-B27=1,((V056_20[[#This Row],[HORA]]-C27)*24)+24,(V056_20[[#This Row],[HORA]]-C27)*24)</f>
        <v>23</v>
      </c>
      <c r="E28" s="239" t="s">
        <v>55</v>
      </c>
      <c r="F28" s="240" t="s">
        <v>160</v>
      </c>
      <c r="G28" s="324">
        <v>530</v>
      </c>
      <c r="H28" s="306">
        <v>47</v>
      </c>
      <c r="I28" s="259">
        <f>IF(ISERROR(V053_20[[#This Row],[DISTANCIA POR CARTA]]/V053_20[[#This Row],[TIEMPO DE NAVEGACION]]),0,V053_20[[#This Row],[DISTANCIA POR CARTA]]/V053_20[[#This Row],[TIEMPO DE NAVEGACION]])</f>
        <v>0</v>
      </c>
      <c r="J28" s="242" t="s">
        <v>54</v>
      </c>
      <c r="K28" s="325">
        <v>95</v>
      </c>
      <c r="L28" s="245">
        <v>21.083333333333332</v>
      </c>
      <c r="M28" s="246">
        <v>2.3958333333333335</v>
      </c>
      <c r="N28" s="246">
        <v>0</v>
      </c>
      <c r="O28" s="257">
        <f>SUM(V056_20[[#This Row],[MPAL]:[CALDERA]])</f>
        <v>23.479166666666664</v>
      </c>
      <c r="P28" s="319"/>
      <c r="Q28" s="270">
        <f>(Q27-V056_20[[#This Row],[TOTAL ]])+V056_20[[#This Row],[FAENA]]</f>
        <v>553.22361111111115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SUM(V056_20[[#This Row],[MPAL2]:[GI]])</f>
        <v>0</v>
      </c>
      <c r="X28" s="246"/>
      <c r="Y28" s="282">
        <f>(Y27-V056_20[[#This Row],[TOTAL]])+V056_20[[#This Row],[FAENA2]]</f>
        <v>97.4</v>
      </c>
      <c r="Z28" s="245"/>
      <c r="AA28" s="246"/>
      <c r="AB28" s="320">
        <f>(AB27-V056_20[[#This Row],[CYLINDER MP]])+V056_20[[#This Row],[FAENA EN LTS]]</f>
        <v>100</v>
      </c>
      <c r="AC28" s="246"/>
      <c r="AD28" s="246"/>
      <c r="AE28" s="320">
        <f>(AE27-V056_20[[#This Row],[CARTER MP.]])+V056_20[[#This Row],[FAENA EN LTS2]]</f>
        <v>100</v>
      </c>
      <c r="AF28" s="246"/>
      <c r="AG28" s="246"/>
      <c r="AH28" s="320">
        <f>(AH27-V056_20[[#This Row],[MOT AUX]])+V056_20[[#This Row],[FAENA EN  LTS]]</f>
        <v>100</v>
      </c>
      <c r="AI28" s="246"/>
      <c r="AJ28" s="246"/>
      <c r="AK28" s="321">
        <f>(AK27-V056_20[[#This Row],[HIDRAULICO]])+V056_20[[#This Row],[FAENA EN LTS3]]</f>
        <v>100</v>
      </c>
    </row>
    <row r="29" spans="1:37" x14ac:dyDescent="0.25">
      <c r="A29" s="235" t="s">
        <v>152</v>
      </c>
      <c r="B29" s="236">
        <v>43900</v>
      </c>
      <c r="C29" s="237">
        <v>0.33333333333333331</v>
      </c>
      <c r="D29" s="246">
        <f>IF(V056_20[[#This Row],[FECHA]]-B28=1,((V056_20[[#This Row],[HORA]]-C28)*24)+24,(V056_20[[#This Row],[HORA]]-C28)*24)</f>
        <v>0.99999999999999911</v>
      </c>
      <c r="E29" s="239" t="s">
        <v>47</v>
      </c>
      <c r="F29" s="240" t="s">
        <v>161</v>
      </c>
      <c r="G29" s="324"/>
      <c r="H29" s="306"/>
      <c r="I29" s="259">
        <f>IF(ISERROR(V053_20[[#This Row],[DISTANCIA POR CARTA]]/V053_20[[#This Row],[TIEMPO DE NAVEGACION]]),0,V053_20[[#This Row],[DISTANCIA POR CARTA]]/V053_20[[#This Row],[TIEMPO DE NAVEGACION]])</f>
        <v>0</v>
      </c>
      <c r="J29" s="242"/>
      <c r="K29" s="325"/>
      <c r="L29" s="245">
        <v>0.12499999999999989</v>
      </c>
      <c r="M29" s="246">
        <v>0.10416666666666657</v>
      </c>
      <c r="N29" s="246">
        <v>8.3333333333333259E-2</v>
      </c>
      <c r="O29" s="257">
        <f>SUM(V056_20[[#This Row],[MPAL]:[CALDERA]])</f>
        <v>0.31249999999999972</v>
      </c>
      <c r="P29" s="319"/>
      <c r="Q29" s="270">
        <f>(Q28-V056_20[[#This Row],[TOTAL ]])+V056_20[[#This Row],[FAENA]]</f>
        <v>552.91111111111115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SUM(V056_20[[#This Row],[MPAL2]:[GI]])</f>
        <v>0</v>
      </c>
      <c r="X29" s="246"/>
      <c r="Y29" s="282">
        <f>(Y28-V056_20[[#This Row],[TOTAL]])+V056_20[[#This Row],[FAENA2]]</f>
        <v>97.4</v>
      </c>
      <c r="Z29" s="245"/>
      <c r="AA29" s="246"/>
      <c r="AB29" s="320">
        <f>(AB28-V056_20[[#This Row],[CYLINDER MP]])+V056_20[[#This Row],[FAENA EN LTS]]</f>
        <v>100</v>
      </c>
      <c r="AC29" s="246"/>
      <c r="AD29" s="246"/>
      <c r="AE29" s="320">
        <f>(AE28-V056_20[[#This Row],[CARTER MP.]])+V056_20[[#This Row],[FAENA EN LTS2]]</f>
        <v>100</v>
      </c>
      <c r="AF29" s="246"/>
      <c r="AG29" s="246"/>
      <c r="AH29" s="320">
        <f>(AH28-V056_20[[#This Row],[MOT AUX]])+V056_20[[#This Row],[FAENA EN  LTS]]</f>
        <v>100</v>
      </c>
      <c r="AI29" s="246"/>
      <c r="AJ29" s="246"/>
      <c r="AK29" s="321">
        <f>(AK28-V056_20[[#This Row],[HIDRAULICO]])+V056_20[[#This Row],[FAENA EN LTS3]]</f>
        <v>100</v>
      </c>
    </row>
    <row r="30" spans="1:37" x14ac:dyDescent="0.25">
      <c r="A30" s="235" t="s">
        <v>152</v>
      </c>
      <c r="B30" s="236">
        <v>43900</v>
      </c>
      <c r="C30" s="237">
        <v>0.41250000000000003</v>
      </c>
      <c r="D30" s="246">
        <f>IF(V056_20[[#This Row],[FECHA]]-B29=1,((V056_20[[#This Row],[HORA]]-C29)*24)+24,(V056_20[[#This Row],[HORA]]-C29)*24)</f>
        <v>1.9000000000000012</v>
      </c>
      <c r="E30" s="239" t="s">
        <v>47</v>
      </c>
      <c r="F30" s="240" t="s">
        <v>48</v>
      </c>
      <c r="G30" s="324"/>
      <c r="H30" s="306"/>
      <c r="I30" s="259">
        <f>IF(ISERROR(V053_20[[#This Row],[DISTANCIA POR CARTA]]/V053_20[[#This Row],[TIEMPO DE NAVEGACION]]),0,V053_20[[#This Row],[DISTANCIA POR CARTA]]/V053_20[[#This Row],[TIEMPO DE NAVEGACION]])</f>
        <v>0</v>
      </c>
      <c r="J30" s="242"/>
      <c r="K30" s="325"/>
      <c r="L30" s="245">
        <v>0.23750000000000016</v>
      </c>
      <c r="M30" s="246">
        <v>0.1979166666666668</v>
      </c>
      <c r="N30" s="246">
        <v>0.15833333333333344</v>
      </c>
      <c r="O30" s="257">
        <f>SUM(V056_20[[#This Row],[MPAL]:[CALDERA]])</f>
        <v>0.59375000000000044</v>
      </c>
      <c r="P30" s="319"/>
      <c r="Q30" s="270">
        <f>(Q29-V056_20[[#This Row],[TOTAL ]])+V056_20[[#This Row],[FAENA]]</f>
        <v>552.31736111111115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SUM(V056_20[[#This Row],[MPAL2]:[GI]])</f>
        <v>0</v>
      </c>
      <c r="X30" s="246"/>
      <c r="Y30" s="282">
        <f>(Y29-V056_20[[#This Row],[TOTAL]])+V056_20[[#This Row],[FAENA2]]</f>
        <v>97.4</v>
      </c>
      <c r="Z30" s="245"/>
      <c r="AA30" s="246"/>
      <c r="AB30" s="320">
        <f>(AB29-V056_20[[#This Row],[CYLINDER MP]])+V056_20[[#This Row],[FAENA EN LTS]]</f>
        <v>100</v>
      </c>
      <c r="AC30" s="246"/>
      <c r="AD30" s="246"/>
      <c r="AE30" s="320">
        <f>(AE29-V056_20[[#This Row],[CARTER MP.]])+V056_20[[#This Row],[FAENA EN LTS2]]</f>
        <v>100</v>
      </c>
      <c r="AF30" s="246"/>
      <c r="AG30" s="246"/>
      <c r="AH30" s="320">
        <f>(AH29-V056_20[[#This Row],[MOT AUX]])+V056_20[[#This Row],[FAENA EN  LTS]]</f>
        <v>100</v>
      </c>
      <c r="AI30" s="246"/>
      <c r="AJ30" s="246"/>
      <c r="AK30" s="321">
        <f>(AK29-V056_20[[#This Row],[HIDRAULICO]])+V056_20[[#This Row],[FAENA EN LTS3]]</f>
        <v>100</v>
      </c>
    </row>
    <row r="31" spans="1:37" x14ac:dyDescent="0.25">
      <c r="A31" s="235" t="s">
        <v>152</v>
      </c>
      <c r="B31" s="236">
        <v>43900</v>
      </c>
      <c r="C31" s="237">
        <v>0.58333333333333337</v>
      </c>
      <c r="D31" s="246">
        <f>IF(V056_20[[#This Row],[FECHA]]-B30=1,((V056_20[[#This Row],[HORA]]-C30)*24)+24,(V056_20[[#This Row],[HORA]]-C30)*24)</f>
        <v>4.0999999999999996</v>
      </c>
      <c r="E31" s="239" t="s">
        <v>49</v>
      </c>
      <c r="F31" s="240" t="s">
        <v>50</v>
      </c>
      <c r="G31" s="324"/>
      <c r="H31" s="306"/>
      <c r="I31" s="259">
        <f>IF(ISERROR(V053_20[[#This Row],[DISTANCIA POR CARTA]]/V053_20[[#This Row],[TIEMPO DE NAVEGACION]]),0,V053_20[[#This Row],[DISTANCIA POR CARTA]]/V053_20[[#This Row],[TIEMPO DE NAVEGACION]])</f>
        <v>0</v>
      </c>
      <c r="J31" s="242"/>
      <c r="K31" s="325"/>
      <c r="L31" s="245">
        <v>0</v>
      </c>
      <c r="M31" s="246">
        <v>0.42708333333333331</v>
      </c>
      <c r="N31" s="246">
        <v>0.34166666666666662</v>
      </c>
      <c r="O31" s="257">
        <f>SUM(V056_20[[#This Row],[MPAL]:[CALDERA]])</f>
        <v>0.76874999999999993</v>
      </c>
      <c r="P31" s="319"/>
      <c r="Q31" s="270">
        <f>(Q30-V056_20[[#This Row],[TOTAL ]])+V056_20[[#This Row],[FAENA]]</f>
        <v>551.5486111111112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SUM(V056_20[[#This Row],[MPAL2]:[GI]])</f>
        <v>0</v>
      </c>
      <c r="X31" s="246"/>
      <c r="Y31" s="282">
        <f>(Y30-V056_20[[#This Row],[TOTAL]])+V056_20[[#This Row],[FAENA2]]</f>
        <v>97.4</v>
      </c>
      <c r="Z31" s="245"/>
      <c r="AA31" s="246"/>
      <c r="AB31" s="320">
        <f>(AB30-V056_20[[#This Row],[CYLINDER MP]])+V056_20[[#This Row],[FAENA EN LTS]]</f>
        <v>100</v>
      </c>
      <c r="AC31" s="246"/>
      <c r="AD31" s="246"/>
      <c r="AE31" s="320">
        <f>(AE30-V056_20[[#This Row],[CARTER MP.]])+V056_20[[#This Row],[FAENA EN LTS2]]</f>
        <v>100</v>
      </c>
      <c r="AF31" s="246"/>
      <c r="AG31" s="246"/>
      <c r="AH31" s="320">
        <f>(AH30-V056_20[[#This Row],[MOT AUX]])+V056_20[[#This Row],[FAENA EN  LTS]]</f>
        <v>100</v>
      </c>
      <c r="AI31" s="246"/>
      <c r="AJ31" s="246"/>
      <c r="AK31" s="321">
        <f>(AK30-V056_20[[#This Row],[HIDRAULICO]])+V056_20[[#This Row],[FAENA EN LTS3]]</f>
        <v>100</v>
      </c>
    </row>
    <row r="32" spans="1:37" x14ac:dyDescent="0.25">
      <c r="A32" s="235" t="s">
        <v>152</v>
      </c>
      <c r="B32" s="236">
        <v>43901</v>
      </c>
      <c r="C32" s="237">
        <v>0.33333333333333331</v>
      </c>
      <c r="D32" s="246">
        <f>IF(V056_20[[#This Row],[FECHA]]-B31=1,((V056_20[[#This Row],[HORA]]-C31)*24)+24,(V056_20[[#This Row],[HORA]]-C31)*24)</f>
        <v>18</v>
      </c>
      <c r="E32" s="239" t="s">
        <v>51</v>
      </c>
      <c r="F32" s="240" t="s">
        <v>51</v>
      </c>
      <c r="G32" s="324"/>
      <c r="H32" s="306"/>
      <c r="I32" s="259">
        <f>IF(ISERROR(V053_20[[#This Row],[DISTANCIA POR CARTA]]/V053_20[[#This Row],[TIEMPO DE NAVEGACION]]),0,V053_20[[#This Row],[DISTANCIA POR CARTA]]/V053_20[[#This Row],[TIEMPO DE NAVEGACION]])</f>
        <v>0</v>
      </c>
      <c r="J32" s="242"/>
      <c r="K32" s="325"/>
      <c r="L32" s="245">
        <v>0</v>
      </c>
      <c r="M32" s="246">
        <v>1.875</v>
      </c>
      <c r="N32" s="246">
        <v>1.5</v>
      </c>
      <c r="O32" s="257">
        <f>SUM(V056_20[[#This Row],[MPAL]:[CALDERA]])</f>
        <v>3.375</v>
      </c>
      <c r="P32" s="319"/>
      <c r="Q32" s="270">
        <f>(Q31-V056_20[[#This Row],[TOTAL ]])+V056_20[[#This Row],[FAENA]]</f>
        <v>548.1736111111112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SUM(V056_20[[#This Row],[MPAL2]:[GI]])</f>
        <v>4.5</v>
      </c>
      <c r="X32" s="246"/>
      <c r="Y32" s="282">
        <f>(Y31-V056_20[[#This Row],[TOTAL]])+V056_20[[#This Row],[FAENA2]]</f>
        <v>92.9</v>
      </c>
      <c r="Z32" s="245"/>
      <c r="AA32" s="246"/>
      <c r="AB32" s="320">
        <f>(AB31-V056_20[[#This Row],[CYLINDER MP]])+V056_20[[#This Row],[FAENA EN LTS]]</f>
        <v>100</v>
      </c>
      <c r="AC32" s="246"/>
      <c r="AD32" s="246"/>
      <c r="AE32" s="320">
        <f>(AE31-V056_20[[#This Row],[CARTER MP.]])+V056_20[[#This Row],[FAENA EN LTS2]]</f>
        <v>100</v>
      </c>
      <c r="AF32" s="246"/>
      <c r="AG32" s="246"/>
      <c r="AH32" s="320">
        <f>(AH31-V056_20[[#This Row],[MOT AUX]])+V056_20[[#This Row],[FAENA EN  LTS]]</f>
        <v>100</v>
      </c>
      <c r="AI32" s="246"/>
      <c r="AJ32" s="246"/>
      <c r="AK32" s="321">
        <f>(AK31-V056_20[[#This Row],[HIDRAULICO]])+V056_20[[#This Row],[FAENA EN LTS3]]</f>
        <v>100</v>
      </c>
    </row>
    <row r="33" spans="1:37" x14ac:dyDescent="0.25">
      <c r="A33" s="235" t="s">
        <v>152</v>
      </c>
      <c r="B33" s="236">
        <v>43901</v>
      </c>
      <c r="C33" s="237">
        <v>0.76666666666666661</v>
      </c>
      <c r="D33" s="246">
        <f>IF(V056_20[[#This Row],[FECHA]]-B32=1,((V056_20[[#This Row],[HORA]]-C32)*24)+24,(V056_20[[#This Row],[HORA]]-C32)*24)</f>
        <v>10.399999999999999</v>
      </c>
      <c r="E33" s="239" t="s">
        <v>51</v>
      </c>
      <c r="F33" s="240" t="s">
        <v>86</v>
      </c>
      <c r="G33" s="324"/>
      <c r="H33" s="306"/>
      <c r="I33" s="259">
        <f>IF(ISERROR(V053_20[[#This Row],[DISTANCIA POR CARTA]]/V053_20[[#This Row],[TIEMPO DE NAVEGACION]]),0,V053_20[[#This Row],[DISTANCIA POR CARTA]]/V053_20[[#This Row],[TIEMPO DE NAVEGACION]])</f>
        <v>0</v>
      </c>
      <c r="J33" s="242"/>
      <c r="K33" s="325"/>
      <c r="L33" s="245">
        <v>0</v>
      </c>
      <c r="M33" s="246">
        <v>1.0833333333333333</v>
      </c>
      <c r="N33" s="246">
        <v>0.86666666666666647</v>
      </c>
      <c r="O33" s="257">
        <f>SUM(V056_20[[#This Row],[MPAL]:[CALDERA]])</f>
        <v>1.9499999999999997</v>
      </c>
      <c r="P33" s="319"/>
      <c r="Q33" s="270">
        <f>(Q32-V056_20[[#This Row],[TOTAL ]])+V056_20[[#This Row],[FAENA]]</f>
        <v>546.22361111111115</v>
      </c>
      <c r="R33" s="245">
        <v>0</v>
      </c>
      <c r="S33" s="246">
        <v>0</v>
      </c>
      <c r="T33" s="246">
        <v>0</v>
      </c>
      <c r="U33" s="246">
        <v>0</v>
      </c>
      <c r="V33" s="246">
        <v>2.6</v>
      </c>
      <c r="W33" s="257">
        <f>SUM(V056_20[[#This Row],[MPAL2]:[GI]])</f>
        <v>2.6</v>
      </c>
      <c r="X33" s="246"/>
      <c r="Y33" s="282">
        <f>(Y32-V056_20[[#This Row],[TOTAL]])+V056_20[[#This Row],[FAENA2]]</f>
        <v>90.300000000000011</v>
      </c>
      <c r="Z33" s="245"/>
      <c r="AA33" s="246"/>
      <c r="AB33" s="320">
        <f>(AB32-V056_20[[#This Row],[CYLINDER MP]])+V056_20[[#This Row],[FAENA EN LTS]]</f>
        <v>100</v>
      </c>
      <c r="AC33" s="246"/>
      <c r="AD33" s="246"/>
      <c r="AE33" s="320">
        <f>(AE32-V056_20[[#This Row],[CARTER MP.]])+V056_20[[#This Row],[FAENA EN LTS2]]</f>
        <v>100</v>
      </c>
      <c r="AF33" s="246"/>
      <c r="AG33" s="246"/>
      <c r="AH33" s="320">
        <f>(AH32-V056_20[[#This Row],[MOT AUX]])+V056_20[[#This Row],[FAENA EN  LTS]]</f>
        <v>100</v>
      </c>
      <c r="AI33" s="246"/>
      <c r="AJ33" s="246"/>
      <c r="AK33" s="321">
        <f>(AK32-V056_20[[#This Row],[HIDRAULICO]])+V056_20[[#This Row],[FAENA EN LTS3]]</f>
        <v>100</v>
      </c>
    </row>
    <row r="34" spans="1:37" x14ac:dyDescent="0.25">
      <c r="A34" s="235" t="s">
        <v>152</v>
      </c>
      <c r="B34" s="236">
        <v>43901</v>
      </c>
      <c r="C34" s="237">
        <v>0.90416666666666667</v>
      </c>
      <c r="D34" s="246">
        <f>IF(V056_20[[#This Row],[FECHA]]-B33=1,((V056_20[[#This Row],[HORA]]-C33)*24)+24,(V056_20[[#This Row],[HORA]]-C33)*24)</f>
        <v>3.3000000000000016</v>
      </c>
      <c r="E34" s="239" t="s">
        <v>49</v>
      </c>
      <c r="F34" s="240" t="s">
        <v>46</v>
      </c>
      <c r="G34" s="324"/>
      <c r="H34" s="306"/>
      <c r="I34" s="259">
        <f>IF(ISERROR(V053_20[[#This Row],[DISTANCIA POR CARTA]]/V053_20[[#This Row],[TIEMPO DE NAVEGACION]]),0,V053_20[[#This Row],[DISTANCIA POR CARTA]]/V053_20[[#This Row],[TIEMPO DE NAVEGACION]])</f>
        <v>0</v>
      </c>
      <c r="J34" s="242"/>
      <c r="K34" s="325"/>
      <c r="L34" s="245">
        <v>0</v>
      </c>
      <c r="M34" s="246">
        <v>0.34375000000000017</v>
      </c>
      <c r="N34" s="246">
        <v>0.27500000000000013</v>
      </c>
      <c r="O34" s="257">
        <f>SUM(V056_20[[#This Row],[MPAL]:[CALDERA]])</f>
        <v>0.61875000000000036</v>
      </c>
      <c r="P34" s="319"/>
      <c r="Q34" s="270">
        <f>(Q33-V056_20[[#This Row],[TOTAL ]])+V056_20[[#This Row],[FAENA]]</f>
        <v>545.60486111111118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SUM(V056_20[[#This Row],[MPAL2]:[GI]])</f>
        <v>0</v>
      </c>
      <c r="X34" s="246"/>
      <c r="Y34" s="282">
        <f>(Y33-V056_20[[#This Row],[TOTAL]])+V056_20[[#This Row],[FAENA2]]</f>
        <v>90.300000000000011</v>
      </c>
      <c r="Z34" s="245"/>
      <c r="AA34" s="246"/>
      <c r="AB34" s="320">
        <f>(AB33-V056_20[[#This Row],[CYLINDER MP]])+V056_20[[#This Row],[FAENA EN LTS]]</f>
        <v>100</v>
      </c>
      <c r="AC34" s="246"/>
      <c r="AD34" s="246"/>
      <c r="AE34" s="320">
        <f>(AE33-V056_20[[#This Row],[CARTER MP.]])+V056_20[[#This Row],[FAENA EN LTS2]]</f>
        <v>100</v>
      </c>
      <c r="AF34" s="246"/>
      <c r="AG34" s="246"/>
      <c r="AH34" s="320">
        <f>(AH33-V056_20[[#This Row],[MOT AUX]])+V056_20[[#This Row],[FAENA EN  LTS]]</f>
        <v>100</v>
      </c>
      <c r="AI34" s="246"/>
      <c r="AJ34" s="246"/>
      <c r="AK34" s="321">
        <f>(AK33-V056_20[[#This Row],[HIDRAULICO]])+V056_20[[#This Row],[FAENA EN LTS3]]</f>
        <v>100</v>
      </c>
    </row>
    <row r="35" spans="1:37" x14ac:dyDescent="0.25">
      <c r="A35" s="235" t="s">
        <v>152</v>
      </c>
      <c r="B35" s="236">
        <v>43901</v>
      </c>
      <c r="C35" s="237">
        <v>0.9375</v>
      </c>
      <c r="D35" s="246">
        <f>IF(V056_20[[#This Row],[FECHA]]-B34=1,((V056_20[[#This Row],[HORA]]-C34)*24)+24,(V056_20[[#This Row],[HORA]]-C34)*24)</f>
        <v>0.79999999999999982</v>
      </c>
      <c r="E35" s="239" t="s">
        <v>47</v>
      </c>
      <c r="F35" s="240" t="s">
        <v>75</v>
      </c>
      <c r="G35" s="324"/>
      <c r="H35" s="306"/>
      <c r="I35" s="259">
        <f>IF(ISERROR(V053_20[[#This Row],[DISTANCIA POR CARTA]]/V053_20[[#This Row],[TIEMPO DE NAVEGACION]]),0,V053_20[[#This Row],[DISTANCIA POR CARTA]]/V053_20[[#This Row],[TIEMPO DE NAVEGACION]])</f>
        <v>0</v>
      </c>
      <c r="J35" s="242" t="s">
        <v>54</v>
      </c>
      <c r="K35" s="325">
        <v>95</v>
      </c>
      <c r="L35" s="245">
        <v>0.16666666666666663</v>
      </c>
      <c r="M35" s="246">
        <v>8.3333333333333315E-2</v>
      </c>
      <c r="N35" s="246">
        <v>6.6666666666666652E-2</v>
      </c>
      <c r="O35" s="257">
        <f>SUM(V056_20[[#This Row],[MPAL]:[CALDERA]])</f>
        <v>0.3166666666666666</v>
      </c>
      <c r="P35" s="319"/>
      <c r="Q35" s="270">
        <f>(Q34-V056_20[[#This Row],[TOTAL ]])+V056_20[[#This Row],[FAENA]]</f>
        <v>545.28819444444446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SUM(V056_20[[#This Row],[MPAL2]:[GI]])</f>
        <v>0</v>
      </c>
      <c r="X35" s="246"/>
      <c r="Y35" s="282">
        <f>(Y34-V056_20[[#This Row],[TOTAL]])+V056_20[[#This Row],[FAENA2]]</f>
        <v>90.300000000000011</v>
      </c>
      <c r="Z35" s="245"/>
      <c r="AA35" s="246"/>
      <c r="AB35" s="320">
        <f>(AB34-V056_20[[#This Row],[CYLINDER MP]])+V056_20[[#This Row],[FAENA EN LTS]]</f>
        <v>100</v>
      </c>
      <c r="AC35" s="246"/>
      <c r="AD35" s="246"/>
      <c r="AE35" s="320">
        <f>(AE34-V056_20[[#This Row],[CARTER MP.]])+V056_20[[#This Row],[FAENA EN LTS2]]</f>
        <v>100</v>
      </c>
      <c r="AF35" s="246"/>
      <c r="AG35" s="246"/>
      <c r="AH35" s="320">
        <f>(AH34-V056_20[[#This Row],[MOT AUX]])+V056_20[[#This Row],[FAENA EN  LTS]]</f>
        <v>100</v>
      </c>
      <c r="AI35" s="246"/>
      <c r="AJ35" s="246"/>
      <c r="AK35" s="321">
        <f>(AK34-V056_20[[#This Row],[HIDRAULICO]])+V056_20[[#This Row],[FAENA EN LTS3]]</f>
        <v>100</v>
      </c>
    </row>
    <row r="36" spans="1:37" x14ac:dyDescent="0.25">
      <c r="A36" s="235" t="s">
        <v>152</v>
      </c>
      <c r="B36" s="236">
        <v>43902</v>
      </c>
      <c r="C36" s="237">
        <v>0.33333333333333331</v>
      </c>
      <c r="D36" s="246">
        <f>IF(V056_20[[#This Row],[FECHA]]-B35=1,((V056_20[[#This Row],[HORA]]-C35)*24)+24,(V056_20[[#This Row],[HORA]]-C35)*24)</f>
        <v>9.4999999999999982</v>
      </c>
      <c r="E36" s="239" t="s">
        <v>55</v>
      </c>
      <c r="F36" s="240" t="s">
        <v>56</v>
      </c>
      <c r="G36" s="324"/>
      <c r="H36" s="306"/>
      <c r="I36" s="259">
        <f>IF(ISERROR(V053_20[[#This Row],[DISTANCIA POR CARTA]]/V053_20[[#This Row],[TIEMPO DE NAVEGACION]]),0,V053_20[[#This Row],[DISTANCIA POR CARTA]]/V053_20[[#This Row],[TIEMPO DE NAVEGACION]])</f>
        <v>0</v>
      </c>
      <c r="J36" s="242" t="s">
        <v>54</v>
      </c>
      <c r="K36" s="325">
        <v>95</v>
      </c>
      <c r="L36" s="245">
        <v>8.7083333333333321</v>
      </c>
      <c r="M36" s="246">
        <v>0.98958333333333315</v>
      </c>
      <c r="N36" s="246">
        <v>0</v>
      </c>
      <c r="O36" s="257">
        <f>SUM(V056_20[[#This Row],[MPAL]:[CALDERA]])</f>
        <v>9.6979166666666661</v>
      </c>
      <c r="P36" s="319"/>
      <c r="Q36" s="270">
        <f>(Q35-V056_20[[#This Row],[TOTAL ]])+V056_20[[#This Row],[FAENA]]</f>
        <v>535.59027777777783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SUM(V056_20[[#This Row],[MPAL2]:[GI]])</f>
        <v>0</v>
      </c>
      <c r="X36" s="246"/>
      <c r="Y36" s="282">
        <f>(Y35-V056_20[[#This Row],[TOTAL]])+V056_20[[#This Row],[FAENA2]]</f>
        <v>90.300000000000011</v>
      </c>
      <c r="Z36" s="245"/>
      <c r="AA36" s="246"/>
      <c r="AB36" s="320">
        <f>(AB35-V056_20[[#This Row],[CYLINDER MP]])+V056_20[[#This Row],[FAENA EN LTS]]</f>
        <v>100</v>
      </c>
      <c r="AC36" s="246"/>
      <c r="AD36" s="246"/>
      <c r="AE36" s="320">
        <f>(AE35-V056_20[[#This Row],[CARTER MP.]])+V056_20[[#This Row],[FAENA EN LTS2]]</f>
        <v>100</v>
      </c>
      <c r="AF36" s="246"/>
      <c r="AG36" s="246"/>
      <c r="AH36" s="320">
        <f>(AH35-V056_20[[#This Row],[MOT AUX]])+V056_20[[#This Row],[FAENA EN  LTS]]</f>
        <v>100</v>
      </c>
      <c r="AI36" s="246"/>
      <c r="AJ36" s="246"/>
      <c r="AK36" s="321">
        <f>(AK35-V056_20[[#This Row],[HIDRAULICO]])+V056_20[[#This Row],[FAENA EN LTS3]]</f>
        <v>100</v>
      </c>
    </row>
    <row r="37" spans="1:37" x14ac:dyDescent="0.25">
      <c r="A37" s="235" t="s">
        <v>152</v>
      </c>
      <c r="B37" s="236">
        <v>43903</v>
      </c>
      <c r="C37" s="237">
        <v>0.33333333333333331</v>
      </c>
      <c r="D37" s="246">
        <f>IF(V056_20[[#This Row],[FECHA]]-B36=1,((V056_20[[#This Row],[HORA]]-C36)*24)+24,(V056_20[[#This Row],[HORA]]-C36)*24)</f>
        <v>24</v>
      </c>
      <c r="E37" s="239" t="s">
        <v>55</v>
      </c>
      <c r="F37" s="240" t="s">
        <v>56</v>
      </c>
      <c r="G37" s="324"/>
      <c r="H37" s="306"/>
      <c r="I37" s="259">
        <f>IF(ISERROR(V053_20[[#This Row],[DISTANCIA POR CARTA]]/V053_20[[#This Row],[TIEMPO DE NAVEGACION]]),0,V053_20[[#This Row],[DISTANCIA POR CARTA]]/V053_20[[#This Row],[TIEMPO DE NAVEGACION]])</f>
        <v>0</v>
      </c>
      <c r="J37" s="242" t="s">
        <v>54</v>
      </c>
      <c r="K37" s="325">
        <v>95</v>
      </c>
      <c r="L37" s="245">
        <v>24</v>
      </c>
      <c r="M37" s="246">
        <v>2.5</v>
      </c>
      <c r="N37" s="246">
        <v>0</v>
      </c>
      <c r="O37" s="257">
        <f>SUM(V056_20[[#This Row],[MPAL]:[CALDERA]])</f>
        <v>26.5</v>
      </c>
      <c r="P37" s="319"/>
      <c r="Q37" s="270">
        <f>(Q36-V056_20[[#This Row],[TOTAL ]])+V056_20[[#This Row],[FAENA]]</f>
        <v>509.09027777777783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SUM(V056_20[[#This Row],[MPAL2]:[GI]])</f>
        <v>0</v>
      </c>
      <c r="X37" s="246"/>
      <c r="Y37" s="282">
        <f>(Y36-V056_20[[#This Row],[TOTAL]])+V056_20[[#This Row],[FAENA2]]</f>
        <v>90.300000000000011</v>
      </c>
      <c r="Z37" s="245"/>
      <c r="AA37" s="246"/>
      <c r="AB37" s="320">
        <f>(AB36-V056_20[[#This Row],[CYLINDER MP]])+V056_20[[#This Row],[FAENA EN LTS]]</f>
        <v>100</v>
      </c>
      <c r="AC37" s="246"/>
      <c r="AD37" s="246"/>
      <c r="AE37" s="320">
        <f>(AE36-V056_20[[#This Row],[CARTER MP.]])+V056_20[[#This Row],[FAENA EN LTS2]]</f>
        <v>100</v>
      </c>
      <c r="AF37" s="246"/>
      <c r="AG37" s="246"/>
      <c r="AH37" s="320">
        <f>(AH36-V056_20[[#This Row],[MOT AUX]])+V056_20[[#This Row],[FAENA EN  LTS]]</f>
        <v>100</v>
      </c>
      <c r="AI37" s="246"/>
      <c r="AJ37" s="246"/>
      <c r="AK37" s="321">
        <f>(AK36-V056_20[[#This Row],[HIDRAULICO]])+V056_20[[#This Row],[FAENA EN LTS3]]</f>
        <v>100</v>
      </c>
    </row>
    <row r="38" spans="1:37" x14ac:dyDescent="0.25">
      <c r="A38" s="235" t="s">
        <v>152</v>
      </c>
      <c r="B38" s="236">
        <v>43903</v>
      </c>
      <c r="C38" s="237">
        <v>0.89166666666666661</v>
      </c>
      <c r="D38" s="246">
        <f>IF(V056_20[[#This Row],[FECHA]]-B37=1,((V056_20[[#This Row],[HORA]]-C37)*24)+24,(V056_20[[#This Row],[HORA]]-C37)*24)</f>
        <v>13.4</v>
      </c>
      <c r="E38" s="239" t="s">
        <v>55</v>
      </c>
      <c r="F38" s="240" t="s">
        <v>162</v>
      </c>
      <c r="G38" s="324">
        <v>446</v>
      </c>
      <c r="H38" s="306">
        <v>37.4</v>
      </c>
      <c r="I38" s="259">
        <f>IF(ISERROR(V053_20[[#This Row],[DISTANCIA POR CARTA]]/V053_20[[#This Row],[TIEMPO DE NAVEGACION]]),0,V053_20[[#This Row],[DISTANCIA POR CARTA]]/V053_20[[#This Row],[TIEMPO DE NAVEGACION]])</f>
        <v>0</v>
      </c>
      <c r="J38" s="242" t="s">
        <v>54</v>
      </c>
      <c r="K38" s="325">
        <v>95</v>
      </c>
      <c r="L38" s="245">
        <v>12.841666666666667</v>
      </c>
      <c r="M38" s="246">
        <v>1.3958333333333335</v>
      </c>
      <c r="N38" s="246">
        <v>0</v>
      </c>
      <c r="O38" s="257">
        <f>SUM(V056_20[[#This Row],[MPAL]:[CALDERA]])</f>
        <v>14.237500000000001</v>
      </c>
      <c r="P38" s="319"/>
      <c r="Q38" s="270">
        <f>(Q37-V056_20[[#This Row],[TOTAL ]])+V056_20[[#This Row],[FAENA]]</f>
        <v>494.85277777777782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SUM(V056_20[[#This Row],[MPAL2]:[GI]])</f>
        <v>0</v>
      </c>
      <c r="X38" s="246"/>
      <c r="Y38" s="282">
        <f>(Y37-V056_20[[#This Row],[TOTAL]])+V056_20[[#This Row],[FAENA2]]</f>
        <v>90.300000000000011</v>
      </c>
      <c r="Z38" s="245"/>
      <c r="AA38" s="246"/>
      <c r="AB38" s="320">
        <f>(AB37-V056_20[[#This Row],[CYLINDER MP]])+V056_20[[#This Row],[FAENA EN LTS]]</f>
        <v>100</v>
      </c>
      <c r="AC38" s="246"/>
      <c r="AD38" s="246"/>
      <c r="AE38" s="320">
        <f>(AE37-V056_20[[#This Row],[CARTER MP.]])+V056_20[[#This Row],[FAENA EN LTS2]]</f>
        <v>100</v>
      </c>
      <c r="AF38" s="246"/>
      <c r="AG38" s="246"/>
      <c r="AH38" s="320">
        <f>(AH37-V056_20[[#This Row],[MOT AUX]])+V056_20[[#This Row],[FAENA EN  LTS]]</f>
        <v>100</v>
      </c>
      <c r="AI38" s="246"/>
      <c r="AJ38" s="246"/>
      <c r="AK38" s="321">
        <f>(AK37-V056_20[[#This Row],[HIDRAULICO]])+V056_20[[#This Row],[FAENA EN LTS3]]</f>
        <v>100</v>
      </c>
    </row>
    <row r="39" spans="1:37" x14ac:dyDescent="0.25">
      <c r="A39" s="235" t="s">
        <v>152</v>
      </c>
      <c r="B39" s="236">
        <v>43903</v>
      </c>
      <c r="C39" s="237">
        <v>0.97916666666666663</v>
      </c>
      <c r="D39" s="246">
        <f>IF(V056_20[[#This Row],[FECHA]]-B38=1,((V056_20[[#This Row],[HORA]]-C38)*24)+24,(V056_20[[#This Row],[HORA]]-C38)*24)</f>
        <v>2.1000000000000005</v>
      </c>
      <c r="E39" s="239" t="s">
        <v>47</v>
      </c>
      <c r="F39" s="240" t="s">
        <v>48</v>
      </c>
      <c r="G39" s="324"/>
      <c r="H39" s="306"/>
      <c r="I39" s="259">
        <f>IF(ISERROR(V053_20[[#This Row],[DISTANCIA POR CARTA]]/V053_20[[#This Row],[TIEMPO DE NAVEGACION]]),0,V053_20[[#This Row],[DISTANCIA POR CARTA]]/V053_20[[#This Row],[TIEMPO DE NAVEGACION]])</f>
        <v>0</v>
      </c>
      <c r="J39" s="242"/>
      <c r="K39" s="325"/>
      <c r="L39" s="245">
        <v>0.17500000000000004</v>
      </c>
      <c r="M39" s="246">
        <v>0.21875000000000006</v>
      </c>
      <c r="N39" s="246">
        <v>0.17500000000000004</v>
      </c>
      <c r="O39" s="257">
        <f>SUM(V056_20[[#This Row],[MPAL]:[CALDERA]])</f>
        <v>0.56875000000000009</v>
      </c>
      <c r="P39" s="319"/>
      <c r="Q39" s="270">
        <f>(Q38-V056_20[[#This Row],[TOTAL ]])+V056_20[[#This Row],[FAENA]]</f>
        <v>494.28402777777779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SUM(V056_20[[#This Row],[MPAL2]:[GI]])</f>
        <v>0</v>
      </c>
      <c r="X39" s="246"/>
      <c r="Y39" s="282">
        <f>(Y38-V056_20[[#This Row],[TOTAL]])+V056_20[[#This Row],[FAENA2]]</f>
        <v>90.300000000000011</v>
      </c>
      <c r="Z39" s="245"/>
      <c r="AA39" s="246"/>
      <c r="AB39" s="320">
        <f>(AB38-V056_20[[#This Row],[CYLINDER MP]])+V056_20[[#This Row],[FAENA EN LTS]]</f>
        <v>100</v>
      </c>
      <c r="AC39" s="246"/>
      <c r="AD39" s="246"/>
      <c r="AE39" s="320">
        <f>(AE38-V056_20[[#This Row],[CARTER MP.]])+V056_20[[#This Row],[FAENA EN LTS2]]</f>
        <v>100</v>
      </c>
      <c r="AF39" s="246"/>
      <c r="AG39" s="246"/>
      <c r="AH39" s="320">
        <f>(AH38-V056_20[[#This Row],[MOT AUX]])+V056_20[[#This Row],[FAENA EN  LTS]]</f>
        <v>100</v>
      </c>
      <c r="AI39" s="246"/>
      <c r="AJ39" s="246"/>
      <c r="AK39" s="321">
        <f>(AK38-V056_20[[#This Row],[HIDRAULICO]])+V056_20[[#This Row],[FAENA EN LTS3]]</f>
        <v>100</v>
      </c>
    </row>
    <row r="40" spans="1:37" x14ac:dyDescent="0.25">
      <c r="A40" s="235" t="s">
        <v>152</v>
      </c>
      <c r="B40" s="236">
        <v>43904</v>
      </c>
      <c r="C40" s="237">
        <v>7.0833333333333331E-2</v>
      </c>
      <c r="D40" s="246">
        <f>IF(V056_20[[#This Row],[FECHA]]-B39=1,((V056_20[[#This Row],[HORA]]-C39)*24)+24,(V056_20[[#This Row],[HORA]]-C39)*24)</f>
        <v>2.1999999999999993</v>
      </c>
      <c r="E40" s="239" t="s">
        <v>49</v>
      </c>
      <c r="F40" s="240" t="s">
        <v>50</v>
      </c>
      <c r="G40" s="324"/>
      <c r="H40" s="306"/>
      <c r="I40" s="259">
        <f>IF(ISERROR(V053_20[[#This Row],[DISTANCIA POR CARTA]]/V053_20[[#This Row],[TIEMPO DE NAVEGACION]]),0,V053_20[[#This Row],[DISTANCIA POR CARTA]]/V053_20[[#This Row],[TIEMPO DE NAVEGACION]])</f>
        <v>0</v>
      </c>
      <c r="J40" s="242"/>
      <c r="K40" s="325"/>
      <c r="L40" s="245">
        <v>0</v>
      </c>
      <c r="M40" s="246">
        <v>0.2291666666666666</v>
      </c>
      <c r="N40" s="246">
        <v>0.18333333333333326</v>
      </c>
      <c r="O40" s="257">
        <f>SUM(V056_20[[#This Row],[MPAL]:[CALDERA]])</f>
        <v>0.41249999999999987</v>
      </c>
      <c r="P40" s="319"/>
      <c r="Q40" s="270">
        <f>(Q39-V056_20[[#This Row],[TOTAL ]])+V056_20[[#This Row],[FAENA]]</f>
        <v>493.87152777777777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SUM(V056_20[[#This Row],[MPAL2]:[GI]])</f>
        <v>0</v>
      </c>
      <c r="X40" s="246"/>
      <c r="Y40" s="282">
        <f>(Y39-V056_20[[#This Row],[TOTAL]])+V056_20[[#This Row],[FAENA2]]</f>
        <v>90.300000000000011</v>
      </c>
      <c r="Z40" s="245"/>
      <c r="AA40" s="246"/>
      <c r="AB40" s="320">
        <f>(AB39-V056_20[[#This Row],[CYLINDER MP]])+V056_20[[#This Row],[FAENA EN LTS]]</f>
        <v>100</v>
      </c>
      <c r="AC40" s="246"/>
      <c r="AD40" s="246"/>
      <c r="AE40" s="320">
        <f>(AE39-V056_20[[#This Row],[CARTER MP.]])+V056_20[[#This Row],[FAENA EN LTS2]]</f>
        <v>100</v>
      </c>
      <c r="AF40" s="246"/>
      <c r="AG40" s="246"/>
      <c r="AH40" s="320">
        <f>(AH39-V056_20[[#This Row],[MOT AUX]])+V056_20[[#This Row],[FAENA EN  LTS]]</f>
        <v>100</v>
      </c>
      <c r="AI40" s="246"/>
      <c r="AJ40" s="246"/>
      <c r="AK40" s="321">
        <f>(AK39-V056_20[[#This Row],[HIDRAULICO]])+V056_20[[#This Row],[FAENA EN LTS3]]</f>
        <v>100</v>
      </c>
    </row>
    <row r="41" spans="1:37" x14ac:dyDescent="0.25">
      <c r="A41" s="235" t="s">
        <v>152</v>
      </c>
      <c r="B41" s="236">
        <v>43904</v>
      </c>
      <c r="C41" s="237">
        <v>0.33333333333333331</v>
      </c>
      <c r="D41" s="246">
        <f>IF(V056_20[[#This Row],[FECHA]]-B40=1,((V056_20[[#This Row],[HORA]]-C40)*24)+24,(V056_20[[#This Row],[HORA]]-C40)*24)</f>
        <v>6.2999999999999989</v>
      </c>
      <c r="E41" s="239" t="s">
        <v>51</v>
      </c>
      <c r="F41" s="240" t="s">
        <v>51</v>
      </c>
      <c r="G41" s="324"/>
      <c r="H41" s="306"/>
      <c r="I41" s="259">
        <f>IF(ISERROR(V053_20[[#This Row],[DISTANCIA POR CARTA]]/V053_20[[#This Row],[TIEMPO DE NAVEGACION]]),0,V053_20[[#This Row],[DISTANCIA POR CARTA]]/V053_20[[#This Row],[TIEMPO DE NAVEGACION]])</f>
        <v>0</v>
      </c>
      <c r="J41" s="242"/>
      <c r="K41" s="325"/>
      <c r="L41" s="245">
        <v>0</v>
      </c>
      <c r="M41" s="246">
        <v>0.65624999999999989</v>
      </c>
      <c r="N41" s="246">
        <v>0.52499999999999991</v>
      </c>
      <c r="O41" s="257">
        <f>SUM(V056_20[[#This Row],[MPAL]:[CALDERA]])</f>
        <v>1.1812499999999999</v>
      </c>
      <c r="P41" s="319"/>
      <c r="Q41" s="270">
        <f>(Q40-V056_20[[#This Row],[TOTAL ]])+V056_20[[#This Row],[FAENA]]</f>
        <v>492.69027777777779</v>
      </c>
      <c r="R41" s="245">
        <v>0</v>
      </c>
      <c r="S41" s="246">
        <v>0</v>
      </c>
      <c r="T41" s="246">
        <v>0</v>
      </c>
      <c r="U41" s="246">
        <v>0</v>
      </c>
      <c r="V41" s="246">
        <v>1.5</v>
      </c>
      <c r="W41" s="257">
        <f>SUM(V056_20[[#This Row],[MPAL2]:[GI]])</f>
        <v>1.5</v>
      </c>
      <c r="X41" s="246"/>
      <c r="Y41" s="282">
        <f>(Y40-V056_20[[#This Row],[TOTAL]])+V056_20[[#This Row],[FAENA2]]</f>
        <v>88.800000000000011</v>
      </c>
      <c r="Z41" s="245"/>
      <c r="AA41" s="246"/>
      <c r="AB41" s="320">
        <f>(AB40-V056_20[[#This Row],[CYLINDER MP]])+V056_20[[#This Row],[FAENA EN LTS]]</f>
        <v>100</v>
      </c>
      <c r="AC41" s="246"/>
      <c r="AD41" s="246"/>
      <c r="AE41" s="320">
        <f>(AE40-V056_20[[#This Row],[CARTER MP.]])+V056_20[[#This Row],[FAENA EN LTS2]]</f>
        <v>100</v>
      </c>
      <c r="AF41" s="246"/>
      <c r="AG41" s="246"/>
      <c r="AH41" s="320">
        <f>(AH40-V056_20[[#This Row],[MOT AUX]])+V056_20[[#This Row],[FAENA EN  LTS]]</f>
        <v>100</v>
      </c>
      <c r="AI41" s="246"/>
      <c r="AJ41" s="246"/>
      <c r="AK41" s="321">
        <f>(AK40-V056_20[[#This Row],[HIDRAULICO]])+V056_20[[#This Row],[FAENA EN LTS3]]</f>
        <v>100</v>
      </c>
    </row>
    <row r="42" spans="1:37" x14ac:dyDescent="0.25">
      <c r="A42" s="235" t="s">
        <v>152</v>
      </c>
      <c r="B42" s="236">
        <v>43904</v>
      </c>
      <c r="C42" s="237">
        <v>0.62916666666666665</v>
      </c>
      <c r="D42" s="246">
        <f>IF(V056_20[[#This Row],[FECHA]]-B41=1,((V056_20[[#This Row],[HORA]]-C41)*24)+24,(V056_20[[#This Row],[HORA]]-C41)*24)</f>
        <v>7.1</v>
      </c>
      <c r="E42" s="239" t="s">
        <v>51</v>
      </c>
      <c r="F42" s="240" t="s">
        <v>86</v>
      </c>
      <c r="G42" s="324"/>
      <c r="H42" s="306"/>
      <c r="I42" s="259">
        <f>IF(ISERROR(V053_20[[#This Row],[DISTANCIA POR CARTA]]/V053_20[[#This Row],[TIEMPO DE NAVEGACION]]),0,V053_20[[#This Row],[DISTANCIA POR CARTA]]/V053_20[[#This Row],[TIEMPO DE NAVEGACION]])</f>
        <v>0</v>
      </c>
      <c r="J42" s="242"/>
      <c r="K42" s="325"/>
      <c r="L42" s="245">
        <v>0</v>
      </c>
      <c r="M42" s="246">
        <v>0.73958333333333337</v>
      </c>
      <c r="N42" s="246">
        <v>0.59166666666666656</v>
      </c>
      <c r="O42" s="257">
        <f>SUM(V056_20[[#This Row],[MPAL]:[CALDERA]])</f>
        <v>1.3312499999999998</v>
      </c>
      <c r="P42" s="319"/>
      <c r="Q42" s="270">
        <f>(Q41-V056_20[[#This Row],[TOTAL ]])+V056_20[[#This Row],[FAENA]]</f>
        <v>491.35902777777778</v>
      </c>
      <c r="R42" s="245">
        <v>0</v>
      </c>
      <c r="S42" s="246">
        <v>0</v>
      </c>
      <c r="T42" s="246">
        <v>0</v>
      </c>
      <c r="U42" s="246">
        <v>0</v>
      </c>
      <c r="V42" s="246">
        <v>1.8</v>
      </c>
      <c r="W42" s="257">
        <f>SUM(V056_20[[#This Row],[MPAL2]:[GI]])</f>
        <v>1.8</v>
      </c>
      <c r="X42" s="246"/>
      <c r="Y42" s="282">
        <f>(Y41-V056_20[[#This Row],[TOTAL]])+V056_20[[#This Row],[FAENA2]]</f>
        <v>87.000000000000014</v>
      </c>
      <c r="Z42" s="245"/>
      <c r="AA42" s="246"/>
      <c r="AB42" s="320">
        <f>(AB41-V056_20[[#This Row],[CYLINDER MP]])+V056_20[[#This Row],[FAENA EN LTS]]</f>
        <v>100</v>
      </c>
      <c r="AC42" s="246"/>
      <c r="AD42" s="246"/>
      <c r="AE42" s="320">
        <f>(AE41-V056_20[[#This Row],[CARTER MP.]])+V056_20[[#This Row],[FAENA EN LTS2]]</f>
        <v>100</v>
      </c>
      <c r="AF42" s="246"/>
      <c r="AG42" s="246"/>
      <c r="AH42" s="320">
        <f>(AH41-V056_20[[#This Row],[MOT AUX]])+V056_20[[#This Row],[FAENA EN  LTS]]</f>
        <v>100</v>
      </c>
      <c r="AI42" s="246"/>
      <c r="AJ42" s="246"/>
      <c r="AK42" s="321">
        <f>(AK41-V056_20[[#This Row],[HIDRAULICO]])+V056_20[[#This Row],[FAENA EN LTS3]]</f>
        <v>100</v>
      </c>
    </row>
    <row r="43" spans="1:37" x14ac:dyDescent="0.25">
      <c r="A43" s="235" t="s">
        <v>152</v>
      </c>
      <c r="B43" s="236">
        <v>43904</v>
      </c>
      <c r="C43" s="237">
        <v>0.72916666666666663</v>
      </c>
      <c r="D43" s="246">
        <f>IF(V056_20[[#This Row],[FECHA]]-B42=1,((V056_20[[#This Row],[HORA]]-C42)*24)+24,(V056_20[[#This Row],[HORA]]-C42)*24)</f>
        <v>2.3999999999999995</v>
      </c>
      <c r="E43" s="239" t="s">
        <v>49</v>
      </c>
      <c r="F43" s="240" t="s">
        <v>46</v>
      </c>
      <c r="G43" s="324"/>
      <c r="H43" s="306"/>
      <c r="I43" s="259">
        <f>IF(ISERROR(V053_20[[#This Row],[DISTANCIA POR CARTA]]/V053_20[[#This Row],[TIEMPO DE NAVEGACION]]),0,V053_20[[#This Row],[DISTANCIA POR CARTA]]/V053_20[[#This Row],[TIEMPO DE NAVEGACION]])</f>
        <v>11.294117647058824</v>
      </c>
      <c r="J43" s="242"/>
      <c r="K43" s="325"/>
      <c r="L43" s="245">
        <v>0</v>
      </c>
      <c r="M43" s="246">
        <v>0.24999999999999994</v>
      </c>
      <c r="N43" s="246">
        <v>0.19999999999999996</v>
      </c>
      <c r="O43" s="257">
        <f>SUM(V056_20[[#This Row],[MPAL]:[CALDERA]])</f>
        <v>0.4499999999999999</v>
      </c>
      <c r="P43" s="319"/>
      <c r="Q43" s="270">
        <f>(Q42-V056_20[[#This Row],[TOTAL ]])+V056_20[[#This Row],[FAENA]]</f>
        <v>490.90902777777779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SUM(V056_20[[#This Row],[MPAL2]:[GI]])</f>
        <v>0</v>
      </c>
      <c r="X43" s="246"/>
      <c r="Y43" s="282">
        <f>(Y42-V056_20[[#This Row],[TOTAL]])+V056_20[[#This Row],[FAENA2]]</f>
        <v>87.000000000000014</v>
      </c>
      <c r="Z43" s="245"/>
      <c r="AA43" s="246"/>
      <c r="AB43" s="320">
        <f>(AB42-V056_20[[#This Row],[CYLINDER MP]])+V056_20[[#This Row],[FAENA EN LTS]]</f>
        <v>100</v>
      </c>
      <c r="AC43" s="246"/>
      <c r="AD43" s="246"/>
      <c r="AE43" s="320">
        <f>(AE42-V056_20[[#This Row],[CARTER MP.]])+V056_20[[#This Row],[FAENA EN LTS2]]</f>
        <v>100</v>
      </c>
      <c r="AF43" s="246"/>
      <c r="AG43" s="246"/>
      <c r="AH43" s="320">
        <f>(AH42-V056_20[[#This Row],[MOT AUX]])+V056_20[[#This Row],[FAENA EN  LTS]]</f>
        <v>100</v>
      </c>
      <c r="AI43" s="246"/>
      <c r="AJ43" s="246"/>
      <c r="AK43" s="321">
        <f>(AK42-V056_20[[#This Row],[HIDRAULICO]])+V056_20[[#This Row],[FAENA EN LTS3]]</f>
        <v>100</v>
      </c>
    </row>
    <row r="44" spans="1:37" x14ac:dyDescent="0.25">
      <c r="A44" s="235" t="s">
        <v>152</v>
      </c>
      <c r="B44" s="236">
        <v>43904</v>
      </c>
      <c r="C44" s="237">
        <v>0.75</v>
      </c>
      <c r="D44" s="246">
        <f>IF(V056_20[[#This Row],[FECHA]]-B43=1,((V056_20[[#This Row],[HORA]]-C43)*24)+24,(V056_20[[#This Row],[HORA]]-C43)*24)</f>
        <v>0.50000000000000089</v>
      </c>
      <c r="E44" s="239" t="s">
        <v>47</v>
      </c>
      <c r="F44" s="240" t="s">
        <v>79</v>
      </c>
      <c r="G44" s="324"/>
      <c r="H44" s="306"/>
      <c r="I44" s="259">
        <f>IF(ISERROR(V053_20[[#This Row],[DISTANCIA POR CARTA]]/V053_20[[#This Row],[TIEMPO DE NAVEGACION]]),0,V053_20[[#This Row],[DISTANCIA POR CARTA]]/V053_20[[#This Row],[TIEMPO DE NAVEGACION]])</f>
        <v>0</v>
      </c>
      <c r="J44" s="242" t="s">
        <v>54</v>
      </c>
      <c r="K44" s="325">
        <v>95</v>
      </c>
      <c r="L44" s="245">
        <v>0.10416666666666685</v>
      </c>
      <c r="M44" s="246">
        <v>5.2083333333333426E-2</v>
      </c>
      <c r="N44" s="246">
        <v>4.1666666666666741E-2</v>
      </c>
      <c r="O44" s="257">
        <f>SUM(V056_20[[#This Row],[MPAL]:[CALDERA]])</f>
        <v>0.19791666666666702</v>
      </c>
      <c r="P44" s="319"/>
      <c r="Q44" s="270">
        <f>(Q43-V056_20[[#This Row],[TOTAL ]])+V056_20[[#This Row],[FAENA]]</f>
        <v>490.71111111111111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SUM(V056_20[[#This Row],[MPAL2]:[GI]])</f>
        <v>0</v>
      </c>
      <c r="X44" s="246"/>
      <c r="Y44" s="282">
        <f>(Y43-V056_20[[#This Row],[TOTAL]])+V056_20[[#This Row],[FAENA2]]</f>
        <v>87.000000000000014</v>
      </c>
      <c r="Z44" s="245"/>
      <c r="AA44" s="246"/>
      <c r="AB44" s="320">
        <f>(AB43-V056_20[[#This Row],[CYLINDER MP]])+V056_20[[#This Row],[FAENA EN LTS]]</f>
        <v>100</v>
      </c>
      <c r="AC44" s="246"/>
      <c r="AD44" s="246"/>
      <c r="AE44" s="320">
        <f>(AE43-V056_20[[#This Row],[CARTER MP.]])+V056_20[[#This Row],[FAENA EN LTS2]]</f>
        <v>100</v>
      </c>
      <c r="AF44" s="246"/>
      <c r="AG44" s="246"/>
      <c r="AH44" s="320">
        <f>(AH43-V056_20[[#This Row],[MOT AUX]])+V056_20[[#This Row],[FAENA EN  LTS]]</f>
        <v>100</v>
      </c>
      <c r="AI44" s="246"/>
      <c r="AJ44" s="246"/>
      <c r="AK44" s="321">
        <f>(AK43-V056_20[[#This Row],[HIDRAULICO]])+V056_20[[#This Row],[FAENA EN LTS3]]</f>
        <v>100</v>
      </c>
    </row>
    <row r="45" spans="1:37" x14ac:dyDescent="0.25">
      <c r="A45" s="235" t="s">
        <v>152</v>
      </c>
      <c r="B45" s="236">
        <v>43905</v>
      </c>
      <c r="C45" s="237">
        <v>0.33333333333333331</v>
      </c>
      <c r="D45" s="246">
        <f>IF(V056_20[[#This Row],[FECHA]]-B44=1,((V056_20[[#This Row],[HORA]]-C44)*24)+24,(V056_20[[#This Row],[HORA]]-C44)*24)</f>
        <v>14</v>
      </c>
      <c r="E45" s="239" t="s">
        <v>55</v>
      </c>
      <c r="F45" s="240" t="s">
        <v>56</v>
      </c>
      <c r="G45" s="324"/>
      <c r="H45" s="306"/>
      <c r="I45" s="259">
        <f>IF(ISERROR(V053_20[[#This Row],[DISTANCIA POR CARTA]]/V053_20[[#This Row],[TIEMPO DE NAVEGACION]]),0,V053_20[[#This Row],[DISTANCIA POR CARTA]]/V053_20[[#This Row],[TIEMPO DE NAVEGACION]])</f>
        <v>0</v>
      </c>
      <c r="J45" s="242" t="s">
        <v>54</v>
      </c>
      <c r="K45" s="325">
        <v>95</v>
      </c>
      <c r="L45" s="245">
        <v>14</v>
      </c>
      <c r="M45" s="246">
        <v>1.4583333333333335</v>
      </c>
      <c r="N45" s="246">
        <v>0</v>
      </c>
      <c r="O45" s="257">
        <f>SUM(V056_20[[#This Row],[MPAL]:[CALDERA]])</f>
        <v>15.458333333333334</v>
      </c>
      <c r="P45" s="319"/>
      <c r="Q45" s="270">
        <f>(Q44-V056_20[[#This Row],[TOTAL ]])+V056_20[[#This Row],[FAENA]]</f>
        <v>475.25277777777779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SUM(V056_20[[#This Row],[MPAL2]:[GI]])</f>
        <v>0</v>
      </c>
      <c r="X45" s="246"/>
      <c r="Y45" s="282">
        <f>(Y44-V056_20[[#This Row],[TOTAL]])+V056_20[[#This Row],[FAENA2]]</f>
        <v>87.000000000000014</v>
      </c>
      <c r="Z45" s="245"/>
      <c r="AA45" s="246"/>
      <c r="AB45" s="320">
        <f>(AB44-V056_20[[#This Row],[CYLINDER MP]])+V056_20[[#This Row],[FAENA EN LTS]]</f>
        <v>100</v>
      </c>
      <c r="AC45" s="246"/>
      <c r="AD45" s="246"/>
      <c r="AE45" s="320">
        <f>(AE44-V056_20[[#This Row],[CARTER MP.]])+V056_20[[#This Row],[FAENA EN LTS2]]</f>
        <v>100</v>
      </c>
      <c r="AF45" s="246"/>
      <c r="AG45" s="246"/>
      <c r="AH45" s="320">
        <f>(AH44-V056_20[[#This Row],[MOT AUX]])+V056_20[[#This Row],[FAENA EN  LTS]]</f>
        <v>100</v>
      </c>
      <c r="AI45" s="246"/>
      <c r="AJ45" s="246"/>
      <c r="AK45" s="321">
        <f>(AK44-V056_20[[#This Row],[HIDRAULICO]])+V056_20[[#This Row],[FAENA EN LTS3]]</f>
        <v>100</v>
      </c>
    </row>
    <row r="46" spans="1:37" x14ac:dyDescent="0.25">
      <c r="A46" s="235" t="s">
        <v>152</v>
      </c>
      <c r="B46" s="236">
        <v>43905</v>
      </c>
      <c r="C46" s="237">
        <v>0.77916666666666667</v>
      </c>
      <c r="D46" s="246">
        <f>IF(V056_20[[#This Row],[FECHA]]-B45=1,((V056_20[[#This Row],[HORA]]-C45)*24)+24,(V056_20[[#This Row],[HORA]]-C45)*24)</f>
        <v>10.700000000000001</v>
      </c>
      <c r="E46" s="239" t="s">
        <v>55</v>
      </c>
      <c r="F46" s="240" t="s">
        <v>80</v>
      </c>
      <c r="G46" s="324">
        <v>266</v>
      </c>
      <c r="H46" s="306">
        <v>24.7</v>
      </c>
      <c r="I46" s="259">
        <f>IF(ISERROR(V053_20[[#This Row],[DISTANCIA POR CARTA]]/V053_20[[#This Row],[TIEMPO DE NAVEGACION]]),0,V053_20[[#This Row],[DISTANCIA POR CARTA]]/V053_20[[#This Row],[TIEMPO DE NAVEGACION]])</f>
        <v>0</v>
      </c>
      <c r="J46" s="242" t="s">
        <v>54</v>
      </c>
      <c r="K46" s="325">
        <v>95</v>
      </c>
      <c r="L46" s="245">
        <v>10.254166666666668</v>
      </c>
      <c r="M46" s="246">
        <v>1.1145833333333335</v>
      </c>
      <c r="N46" s="246">
        <v>0</v>
      </c>
      <c r="O46" s="257">
        <f>SUM(V056_20[[#This Row],[MPAL]:[CALDERA]])</f>
        <v>11.368750000000002</v>
      </c>
      <c r="P46" s="319"/>
      <c r="Q46" s="270">
        <f>(Q45-V056_20[[#This Row],[TOTAL ]])+V056_20[[#This Row],[FAENA]]</f>
        <v>463.88402777777782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SUM(V056_20[[#This Row],[MPAL2]:[GI]])</f>
        <v>0</v>
      </c>
      <c r="X46" s="246"/>
      <c r="Y46" s="282">
        <f>(Y45-V056_20[[#This Row],[TOTAL]])+V056_20[[#This Row],[FAENA2]]</f>
        <v>87.000000000000014</v>
      </c>
      <c r="Z46" s="245"/>
      <c r="AA46" s="246"/>
      <c r="AB46" s="320">
        <f>(AB45-V056_20[[#This Row],[CYLINDER MP]])+V056_20[[#This Row],[FAENA EN LTS]]</f>
        <v>100</v>
      </c>
      <c r="AC46" s="246"/>
      <c r="AD46" s="246"/>
      <c r="AE46" s="320">
        <f>(AE45-V056_20[[#This Row],[CARTER MP.]])+V056_20[[#This Row],[FAENA EN LTS2]]</f>
        <v>100</v>
      </c>
      <c r="AF46" s="246"/>
      <c r="AG46" s="246"/>
      <c r="AH46" s="320">
        <f>(AH45-V056_20[[#This Row],[MOT AUX]])+V056_20[[#This Row],[FAENA EN  LTS]]</f>
        <v>100</v>
      </c>
      <c r="AI46" s="246"/>
      <c r="AJ46" s="246"/>
      <c r="AK46" s="321">
        <f>(AK45-V056_20[[#This Row],[HIDRAULICO]])+V056_20[[#This Row],[FAENA EN LTS3]]</f>
        <v>100</v>
      </c>
    </row>
    <row r="47" spans="1:37" x14ac:dyDescent="0.25">
      <c r="A47" s="235" t="s">
        <v>152</v>
      </c>
      <c r="B47" s="236">
        <v>43905</v>
      </c>
      <c r="C47" s="237">
        <v>0.79999999999999993</v>
      </c>
      <c r="D47" s="246">
        <f>IF(V056_20[[#This Row],[FECHA]]-B46=1,((V056_20[[#This Row],[HORA]]-C46)*24)+24,(V056_20[[#This Row],[HORA]]-C46)*24)</f>
        <v>0.49999999999999822</v>
      </c>
      <c r="E47" s="239" t="s">
        <v>47</v>
      </c>
      <c r="F47" s="240" t="s">
        <v>48</v>
      </c>
      <c r="G47" s="324"/>
      <c r="H47" s="306"/>
      <c r="I47" s="259">
        <f>IF(ISERROR(V053_20[[#This Row],[DISTANCIA POR CARTA]]/V053_20[[#This Row],[TIEMPO DE NAVEGACION]]),0,V053_20[[#This Row],[DISTANCIA POR CARTA]]/V053_20[[#This Row],[TIEMPO DE NAVEGACION]])</f>
        <v>0</v>
      </c>
      <c r="J47" s="242"/>
      <c r="K47" s="325"/>
      <c r="L47" s="245">
        <v>4.1666666666666519E-2</v>
      </c>
      <c r="M47" s="246">
        <v>5.2083333333333148E-2</v>
      </c>
      <c r="N47" s="246">
        <v>4.1666666666666519E-2</v>
      </c>
      <c r="O47" s="257">
        <f>SUM(V056_20[[#This Row],[MPAL]:[CALDERA]])</f>
        <v>0.13541666666666619</v>
      </c>
      <c r="P47" s="319"/>
      <c r="Q47" s="270">
        <f>(Q46-V056_20[[#This Row],[TOTAL ]])+V056_20[[#This Row],[FAENA]]</f>
        <v>463.74861111111113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SUM(V056_20[[#This Row],[MPAL2]:[GI]])</f>
        <v>0</v>
      </c>
      <c r="X47" s="246"/>
      <c r="Y47" s="282">
        <f>(Y46-V056_20[[#This Row],[TOTAL]])+V056_20[[#This Row],[FAENA2]]</f>
        <v>87.000000000000014</v>
      </c>
      <c r="Z47" s="245"/>
      <c r="AA47" s="246"/>
      <c r="AB47" s="320">
        <f>(AB46-V056_20[[#This Row],[CYLINDER MP]])+V056_20[[#This Row],[FAENA EN LTS]]</f>
        <v>100</v>
      </c>
      <c r="AC47" s="246"/>
      <c r="AD47" s="246"/>
      <c r="AE47" s="320">
        <f>(AE46-V056_20[[#This Row],[CARTER MP.]])+V056_20[[#This Row],[FAENA EN LTS2]]</f>
        <v>100</v>
      </c>
      <c r="AF47" s="246"/>
      <c r="AG47" s="246"/>
      <c r="AH47" s="320">
        <f>(AH46-V056_20[[#This Row],[MOT AUX]])+V056_20[[#This Row],[FAENA EN  LTS]]</f>
        <v>100</v>
      </c>
      <c r="AI47" s="246"/>
      <c r="AJ47" s="246"/>
      <c r="AK47" s="321">
        <f>(AK46-V056_20[[#This Row],[HIDRAULICO]])+V056_20[[#This Row],[FAENA EN LTS3]]</f>
        <v>100</v>
      </c>
    </row>
    <row r="48" spans="1:37" x14ac:dyDescent="0.25">
      <c r="A48" s="235" t="s">
        <v>152</v>
      </c>
      <c r="B48" s="236">
        <v>43906</v>
      </c>
      <c r="C48" s="237">
        <v>0.33333333333333331</v>
      </c>
      <c r="D48" s="246">
        <f>IF(V056_20[[#This Row],[FECHA]]-B47=1,((V056_20[[#This Row],[HORA]]-C47)*24)+24,(V056_20[[#This Row],[HORA]]-C47)*24)</f>
        <v>12.8</v>
      </c>
      <c r="E48" s="239" t="s">
        <v>45</v>
      </c>
      <c r="F48" s="240" t="s">
        <v>45</v>
      </c>
      <c r="G48" s="324"/>
      <c r="H48" s="306"/>
      <c r="I48" s="259">
        <f>IF(ISERROR(V053_20[[#This Row],[DISTANCIA POR CARTA]]/V053_20[[#This Row],[TIEMPO DE NAVEGACION]]),0,V053_20[[#This Row],[DISTANCIA POR CARTA]]/V053_20[[#This Row],[TIEMPO DE NAVEGACION]])</f>
        <v>0</v>
      </c>
      <c r="J48" s="242"/>
      <c r="K48" s="325"/>
      <c r="L48" s="245">
        <v>0</v>
      </c>
      <c r="M48" s="246">
        <v>1.3333333333333335</v>
      </c>
      <c r="N48" s="246">
        <v>1.0666666666666667</v>
      </c>
      <c r="O48" s="257">
        <f>SUM(V056_20[[#This Row],[MPAL]:[CALDERA]])</f>
        <v>2.4000000000000004</v>
      </c>
      <c r="P48" s="319"/>
      <c r="Q48" s="270">
        <f>(Q47-V056_20[[#This Row],[TOTAL ]])+V056_20[[#This Row],[FAENA]]</f>
        <v>461.34861111111115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SUM(V056_20[[#This Row],[MPAL2]:[GI]])</f>
        <v>0</v>
      </c>
      <c r="X48" s="246"/>
      <c r="Y48" s="282">
        <f>(Y47-V056_20[[#This Row],[TOTAL]])+V056_20[[#This Row],[FAENA2]]</f>
        <v>87.000000000000014</v>
      </c>
      <c r="Z48" s="245"/>
      <c r="AA48" s="246"/>
      <c r="AB48" s="320">
        <f>(AB47-V056_20[[#This Row],[CYLINDER MP]])+V056_20[[#This Row],[FAENA EN LTS]]</f>
        <v>100</v>
      </c>
      <c r="AC48" s="246"/>
      <c r="AD48" s="246"/>
      <c r="AE48" s="320">
        <f>(AE47-V056_20[[#This Row],[CARTER MP.]])+V056_20[[#This Row],[FAENA EN LTS2]]</f>
        <v>100</v>
      </c>
      <c r="AF48" s="246"/>
      <c r="AG48" s="246"/>
      <c r="AH48" s="320">
        <f>(AH47-V056_20[[#This Row],[MOT AUX]])+V056_20[[#This Row],[FAENA EN  LTS]]</f>
        <v>100</v>
      </c>
      <c r="AI48" s="246"/>
      <c r="AJ48" s="246"/>
      <c r="AK48" s="321">
        <f>(AK47-V056_20[[#This Row],[HIDRAULICO]])+V056_20[[#This Row],[FAENA EN LTS3]]</f>
        <v>100</v>
      </c>
    </row>
    <row r="49" spans="1:37" x14ac:dyDescent="0.25">
      <c r="A49" s="235" t="s">
        <v>152</v>
      </c>
      <c r="B49" s="236">
        <v>43907</v>
      </c>
      <c r="C49" s="237">
        <v>0.33333333333333331</v>
      </c>
      <c r="D49" s="246">
        <f>IF(V056_20[[#This Row],[FECHA]]-B48=1,((V056_20[[#This Row],[HORA]]-C48)*24)+24,(V056_20[[#This Row],[HORA]]-C48)*24)</f>
        <v>24</v>
      </c>
      <c r="E49" s="239" t="s">
        <v>45</v>
      </c>
      <c r="F49" s="240" t="s">
        <v>45</v>
      </c>
      <c r="G49" s="324"/>
      <c r="H49" s="306"/>
      <c r="I49" s="259">
        <f>IF(ISERROR(V053_20[[#This Row],[DISTANCIA POR CARTA]]/V053_20[[#This Row],[TIEMPO DE NAVEGACION]]),0,V053_20[[#This Row],[DISTANCIA POR CARTA]]/V053_20[[#This Row],[TIEMPO DE NAVEGACION]])</f>
        <v>0</v>
      </c>
      <c r="J49" s="242"/>
      <c r="K49" s="325"/>
      <c r="L49" s="245">
        <v>0</v>
      </c>
      <c r="M49" s="246">
        <v>2.5</v>
      </c>
      <c r="N49" s="246">
        <v>2</v>
      </c>
      <c r="O49" s="257">
        <f>SUM(V056_20[[#This Row],[MPAL]:[CALDERA]])</f>
        <v>4.5</v>
      </c>
      <c r="P49" s="319"/>
      <c r="Q49" s="270">
        <f>(Q48-V056_20[[#This Row],[TOTAL ]])+V056_20[[#This Row],[FAENA]]</f>
        <v>456.84861111111115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SUM(V056_20[[#This Row],[MPAL2]:[GI]])</f>
        <v>0</v>
      </c>
      <c r="X49" s="246"/>
      <c r="Y49" s="282">
        <f>(Y48-V056_20[[#This Row],[TOTAL]])+V056_20[[#This Row],[FAENA2]]</f>
        <v>87.000000000000014</v>
      </c>
      <c r="Z49" s="245"/>
      <c r="AA49" s="246"/>
      <c r="AB49" s="320">
        <f>(AB48-V056_20[[#This Row],[CYLINDER MP]])+V056_20[[#This Row],[FAENA EN LTS]]</f>
        <v>100</v>
      </c>
      <c r="AC49" s="246"/>
      <c r="AD49" s="246"/>
      <c r="AE49" s="320">
        <f>(AE48-V056_20[[#This Row],[CARTER MP.]])+V056_20[[#This Row],[FAENA EN LTS2]]</f>
        <v>100</v>
      </c>
      <c r="AF49" s="246"/>
      <c r="AG49" s="246"/>
      <c r="AH49" s="320">
        <f>(AH48-V056_20[[#This Row],[MOT AUX]])+V056_20[[#This Row],[FAENA EN  LTS]]</f>
        <v>100</v>
      </c>
      <c r="AI49" s="246"/>
      <c r="AJ49" s="246"/>
      <c r="AK49" s="321">
        <f>(AK48-V056_20[[#This Row],[HIDRAULICO]])+V056_20[[#This Row],[FAENA EN LTS3]]</f>
        <v>100</v>
      </c>
    </row>
    <row r="50" spans="1:37" x14ac:dyDescent="0.25">
      <c r="A50" s="235" t="s">
        <v>152</v>
      </c>
      <c r="B50" s="236">
        <v>43908</v>
      </c>
      <c r="C50" s="237">
        <v>0.33333333333333331</v>
      </c>
      <c r="D50" s="246">
        <f>IF(V056_20[[#This Row],[FECHA]]-B49=1,((V056_20[[#This Row],[HORA]]-C49)*24)+24,(V056_20[[#This Row],[HORA]]-C49)*24)</f>
        <v>24</v>
      </c>
      <c r="E50" s="239" t="s">
        <v>45</v>
      </c>
      <c r="F50" s="240" t="s">
        <v>45</v>
      </c>
      <c r="G50" s="324"/>
      <c r="H50" s="306"/>
      <c r="I50" s="259">
        <f>IF(ISERROR(V053_20[[#This Row],[DISTANCIA POR CARTA]]/V053_20[[#This Row],[TIEMPO DE NAVEGACION]]),0,V053_20[[#This Row],[DISTANCIA POR CARTA]]/V053_20[[#This Row],[TIEMPO DE NAVEGACION]])</f>
        <v>0</v>
      </c>
      <c r="J50" s="242"/>
      <c r="K50" s="325"/>
      <c r="L50" s="245">
        <v>0</v>
      </c>
      <c r="M50" s="246">
        <v>2</v>
      </c>
      <c r="N50" s="246">
        <v>0</v>
      </c>
      <c r="O50" s="257">
        <f>SUM(V056_20[[#This Row],[MPAL]:[CALDERA]])</f>
        <v>2</v>
      </c>
      <c r="P50" s="319"/>
      <c r="Q50" s="270">
        <f>(Q49-V056_20[[#This Row],[TOTAL ]])+V056_20[[#This Row],[FAENA]]</f>
        <v>454.84861111111115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SUM(V056_20[[#This Row],[MPAL2]:[GI]])</f>
        <v>0</v>
      </c>
      <c r="X50" s="246"/>
      <c r="Y50" s="282">
        <f>(Y49-V056_20[[#This Row],[TOTAL]])+V056_20[[#This Row],[FAENA2]]</f>
        <v>87.000000000000014</v>
      </c>
      <c r="Z50" s="245"/>
      <c r="AA50" s="246"/>
      <c r="AB50" s="320">
        <f>(AB49-V056_20[[#This Row],[CYLINDER MP]])+V056_20[[#This Row],[FAENA EN LTS]]</f>
        <v>100</v>
      </c>
      <c r="AC50" s="246"/>
      <c r="AD50" s="246"/>
      <c r="AE50" s="320">
        <f>(AE49-V056_20[[#This Row],[CARTER MP.]])+V056_20[[#This Row],[FAENA EN LTS2]]</f>
        <v>100</v>
      </c>
      <c r="AF50" s="246"/>
      <c r="AG50" s="246"/>
      <c r="AH50" s="320">
        <f>(AH49-V056_20[[#This Row],[MOT AUX]])+V056_20[[#This Row],[FAENA EN  LTS]]</f>
        <v>100</v>
      </c>
      <c r="AI50" s="246"/>
      <c r="AJ50" s="246"/>
      <c r="AK50" s="321">
        <f>(AK49-V056_20[[#This Row],[HIDRAULICO]])+V056_20[[#This Row],[FAENA EN LTS3]]</f>
        <v>100</v>
      </c>
    </row>
    <row r="51" spans="1:37" x14ac:dyDescent="0.25">
      <c r="A51" s="235" t="s">
        <v>152</v>
      </c>
      <c r="B51" s="236">
        <v>43909</v>
      </c>
      <c r="C51" s="237">
        <v>0.33333333333333331</v>
      </c>
      <c r="D51" s="246">
        <f>IF(V056_20[[#This Row],[FECHA]]-B50=1,((V056_20[[#This Row],[HORA]]-C50)*24)+24,(V056_20[[#This Row],[HORA]]-C50)*24)</f>
        <v>24</v>
      </c>
      <c r="E51" s="239" t="s">
        <v>45</v>
      </c>
      <c r="F51" s="240" t="s">
        <v>45</v>
      </c>
      <c r="G51" s="324"/>
      <c r="H51" s="306"/>
      <c r="I51" s="259">
        <f>IF(ISERROR(V053_20[[#This Row],[DISTANCIA POR CARTA]]/V053_20[[#This Row],[TIEMPO DE NAVEGACION]]),0,V053_20[[#This Row],[DISTANCIA POR CARTA]]/V053_20[[#This Row],[TIEMPO DE NAVEGACION]])</f>
        <v>11.041666666666666</v>
      </c>
      <c r="J51" s="242"/>
      <c r="K51" s="325"/>
      <c r="L51" s="245">
        <v>0</v>
      </c>
      <c r="M51" s="246">
        <v>2.5</v>
      </c>
      <c r="N51" s="246">
        <v>2</v>
      </c>
      <c r="O51" s="257">
        <f>SUM(V056_20[[#This Row],[MPAL]:[CALDERA]])</f>
        <v>4.5</v>
      </c>
      <c r="P51" s="319"/>
      <c r="Q51" s="270">
        <f>(Q50-V056_20[[#This Row],[TOTAL ]])+V056_20[[#This Row],[FAENA]]</f>
        <v>450.34861111111115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SUM(V056_20[[#This Row],[MPAL2]:[GI]])</f>
        <v>0</v>
      </c>
      <c r="X51" s="246"/>
      <c r="Y51" s="282">
        <f>(Y50-V056_20[[#This Row],[TOTAL]])+V056_20[[#This Row],[FAENA2]]</f>
        <v>87.000000000000014</v>
      </c>
      <c r="Z51" s="245"/>
      <c r="AA51" s="246"/>
      <c r="AB51" s="320">
        <f>(AB50-V056_20[[#This Row],[CYLINDER MP]])+V056_20[[#This Row],[FAENA EN LTS]]</f>
        <v>100</v>
      </c>
      <c r="AC51" s="246"/>
      <c r="AD51" s="246"/>
      <c r="AE51" s="320">
        <f>(AE50-V056_20[[#This Row],[CARTER MP.]])+V056_20[[#This Row],[FAENA EN LTS2]]</f>
        <v>100</v>
      </c>
      <c r="AF51" s="246"/>
      <c r="AG51" s="246"/>
      <c r="AH51" s="320">
        <f>(AH50-V056_20[[#This Row],[MOT AUX]])+V056_20[[#This Row],[FAENA EN  LTS]]</f>
        <v>100</v>
      </c>
      <c r="AI51" s="246"/>
      <c r="AJ51" s="246"/>
      <c r="AK51" s="321">
        <f>(AK50-V056_20[[#This Row],[HIDRAULICO]])+V056_20[[#This Row],[FAENA EN LTS3]]</f>
        <v>100</v>
      </c>
    </row>
    <row r="52" spans="1:37" x14ac:dyDescent="0.25">
      <c r="A52" s="235" t="s">
        <v>152</v>
      </c>
      <c r="B52" s="236">
        <v>43910</v>
      </c>
      <c r="C52" s="237">
        <v>0.33333333333333331</v>
      </c>
      <c r="D52" s="246">
        <f>IF(V056_20[[#This Row],[FECHA]]-B51=1,((V056_20[[#This Row],[HORA]]-C51)*24)+24,(V056_20[[#This Row],[HORA]]-C51)*24)</f>
        <v>24</v>
      </c>
      <c r="E52" s="239" t="s">
        <v>45</v>
      </c>
      <c r="F52" s="240" t="s">
        <v>45</v>
      </c>
      <c r="G52" s="324"/>
      <c r="H52" s="306"/>
      <c r="I52" s="259">
        <f>IF(ISERROR(V053_20[[#This Row],[DISTANCIA POR CARTA]]/V053_20[[#This Row],[TIEMPO DE NAVEGACION]]),0,V053_20[[#This Row],[DISTANCIA POR CARTA]]/V053_20[[#This Row],[TIEMPO DE NAVEGACION]])</f>
        <v>0</v>
      </c>
      <c r="J52" s="242"/>
      <c r="K52" s="325"/>
      <c r="L52" s="245">
        <v>0</v>
      </c>
      <c r="M52" s="246">
        <v>2</v>
      </c>
      <c r="N52" s="246">
        <v>0</v>
      </c>
      <c r="O52" s="257">
        <f>SUM(V056_20[[#This Row],[MPAL]:[CALDERA]])</f>
        <v>2</v>
      </c>
      <c r="P52" s="319"/>
      <c r="Q52" s="270">
        <f>(Q51-V056_20[[#This Row],[TOTAL ]])+V056_20[[#This Row],[FAENA]]</f>
        <v>448.34861111111115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SUM(V056_20[[#This Row],[MPAL2]:[GI]])</f>
        <v>0</v>
      </c>
      <c r="X52" s="246"/>
      <c r="Y52" s="282">
        <f>(Y51-V056_20[[#This Row],[TOTAL]])+V056_20[[#This Row],[FAENA2]]</f>
        <v>87.000000000000014</v>
      </c>
      <c r="Z52" s="245"/>
      <c r="AA52" s="246"/>
      <c r="AB52" s="320">
        <f>(AB51-V056_20[[#This Row],[CYLINDER MP]])+V056_20[[#This Row],[FAENA EN LTS]]</f>
        <v>100</v>
      </c>
      <c r="AC52" s="246"/>
      <c r="AD52" s="246"/>
      <c r="AE52" s="320">
        <f>(AE51-V056_20[[#This Row],[CARTER MP.]])+V056_20[[#This Row],[FAENA EN LTS2]]</f>
        <v>100</v>
      </c>
      <c r="AF52" s="246"/>
      <c r="AG52" s="246"/>
      <c r="AH52" s="320">
        <f>(AH51-V056_20[[#This Row],[MOT AUX]])+V056_20[[#This Row],[FAENA EN  LTS]]</f>
        <v>100</v>
      </c>
      <c r="AI52" s="246"/>
      <c r="AJ52" s="246"/>
      <c r="AK52" s="321">
        <f>(AK51-V056_20[[#This Row],[HIDRAULICO]])+V056_20[[#This Row],[FAENA EN LTS3]]</f>
        <v>100</v>
      </c>
    </row>
    <row r="53" spans="1:37" x14ac:dyDescent="0.25">
      <c r="A53" s="235" t="s">
        <v>152</v>
      </c>
      <c r="B53" s="236">
        <v>43911</v>
      </c>
      <c r="C53" s="237">
        <v>0.33333333333333331</v>
      </c>
      <c r="D53" s="246">
        <f>IF(V056_20[[#This Row],[FECHA]]-B52=1,((V056_20[[#This Row],[HORA]]-C52)*24)+24,(V056_20[[#This Row],[HORA]]-C52)*24)</f>
        <v>24</v>
      </c>
      <c r="E53" s="239" t="s">
        <v>45</v>
      </c>
      <c r="F53" s="240" t="s">
        <v>45</v>
      </c>
      <c r="G53" s="324"/>
      <c r="H53" s="306"/>
      <c r="I53" s="259">
        <f>IF(ISERROR(V053_20[[#This Row],[DISTANCIA POR CARTA]]/V053_20[[#This Row],[TIEMPO DE NAVEGACION]]),0,V053_20[[#This Row],[DISTANCIA POR CARTA]]/V053_20[[#This Row],[TIEMPO DE NAVEGACION]])</f>
        <v>0</v>
      </c>
      <c r="J53" s="242"/>
      <c r="K53" s="325"/>
      <c r="L53" s="245">
        <v>0</v>
      </c>
      <c r="M53" s="246">
        <v>2.5</v>
      </c>
      <c r="N53" s="246">
        <v>2</v>
      </c>
      <c r="O53" s="257">
        <f>SUM(V056_20[[#This Row],[MPAL]:[CALDERA]])</f>
        <v>4.5</v>
      </c>
      <c r="P53" s="319"/>
      <c r="Q53" s="270">
        <f>(Q52-V056_20[[#This Row],[TOTAL ]])+V056_20[[#This Row],[FAENA]]</f>
        <v>443.84861111111115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SUM(V056_20[[#This Row],[MPAL2]:[GI]])</f>
        <v>0</v>
      </c>
      <c r="X53" s="246"/>
      <c r="Y53" s="282">
        <f>(Y52-V056_20[[#This Row],[TOTAL]])+V056_20[[#This Row],[FAENA2]]</f>
        <v>87.000000000000014</v>
      </c>
      <c r="Z53" s="245"/>
      <c r="AA53" s="246"/>
      <c r="AB53" s="320">
        <f>(AB52-V056_20[[#This Row],[CYLINDER MP]])+V056_20[[#This Row],[FAENA EN LTS]]</f>
        <v>100</v>
      </c>
      <c r="AC53" s="246"/>
      <c r="AD53" s="246"/>
      <c r="AE53" s="320">
        <f>(AE52-V056_20[[#This Row],[CARTER MP.]])+V056_20[[#This Row],[FAENA EN LTS2]]</f>
        <v>100</v>
      </c>
      <c r="AF53" s="246"/>
      <c r="AG53" s="246"/>
      <c r="AH53" s="320">
        <f>(AH52-V056_20[[#This Row],[MOT AUX]])+V056_20[[#This Row],[FAENA EN  LTS]]</f>
        <v>100</v>
      </c>
      <c r="AI53" s="246"/>
      <c r="AJ53" s="246"/>
      <c r="AK53" s="321">
        <f>(AK52-V056_20[[#This Row],[HIDRAULICO]])+V056_20[[#This Row],[FAENA EN LTS3]]</f>
        <v>100</v>
      </c>
    </row>
    <row r="54" spans="1:37" x14ac:dyDescent="0.25">
      <c r="A54" s="235" t="s">
        <v>152</v>
      </c>
      <c r="B54" s="236">
        <v>43912</v>
      </c>
      <c r="C54" s="237">
        <v>0.33333333333333331</v>
      </c>
      <c r="D54" s="246">
        <f>IF(V056_20[[#This Row],[FECHA]]-B53=1,((V056_20[[#This Row],[HORA]]-C53)*24)+24,(V056_20[[#This Row],[HORA]]-C53)*24)</f>
        <v>24</v>
      </c>
      <c r="E54" s="239" t="s">
        <v>45</v>
      </c>
      <c r="F54" s="240" t="s">
        <v>45</v>
      </c>
      <c r="G54" s="324"/>
      <c r="H54" s="306"/>
      <c r="I54" s="259">
        <f>IF(ISERROR(V053_20[[#This Row],[DISTANCIA POR CARTA]]/V053_20[[#This Row],[TIEMPO DE NAVEGACION]]),0,V053_20[[#This Row],[DISTANCIA POR CARTA]]/V053_20[[#This Row],[TIEMPO DE NAVEGACION]])</f>
        <v>0</v>
      </c>
      <c r="J54" s="242"/>
      <c r="K54" s="325"/>
      <c r="L54" s="245">
        <v>0</v>
      </c>
      <c r="M54" s="246">
        <v>2.1</v>
      </c>
      <c r="N54" s="246">
        <v>1.7999999999999998</v>
      </c>
      <c r="O54" s="257">
        <f>SUM(V056_20[[#This Row],[MPAL]:[CALDERA]])</f>
        <v>3.9</v>
      </c>
      <c r="P54" s="319"/>
      <c r="Q54" s="270">
        <f>(Q53-V056_20[[#This Row],[TOTAL ]])+V056_20[[#This Row],[FAENA]]</f>
        <v>439.94861111111118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SUM(V056_20[[#This Row],[MPAL2]:[GI]])</f>
        <v>0</v>
      </c>
      <c r="X54" s="246"/>
      <c r="Y54" s="282">
        <f>(Y53-V056_20[[#This Row],[TOTAL]])+V056_20[[#This Row],[FAENA2]]</f>
        <v>87.000000000000014</v>
      </c>
      <c r="Z54" s="245"/>
      <c r="AA54" s="246"/>
      <c r="AB54" s="320">
        <f>(AB53-V056_20[[#This Row],[CYLINDER MP]])+V056_20[[#This Row],[FAENA EN LTS]]</f>
        <v>100</v>
      </c>
      <c r="AC54" s="246"/>
      <c r="AD54" s="246"/>
      <c r="AE54" s="320">
        <f>(AE53-V056_20[[#This Row],[CARTER MP.]])+V056_20[[#This Row],[FAENA EN LTS2]]</f>
        <v>100</v>
      </c>
      <c r="AF54" s="246"/>
      <c r="AG54" s="246"/>
      <c r="AH54" s="320">
        <f>(AH53-V056_20[[#This Row],[MOT AUX]])+V056_20[[#This Row],[FAENA EN  LTS]]</f>
        <v>100</v>
      </c>
      <c r="AI54" s="246"/>
      <c r="AJ54" s="246"/>
      <c r="AK54" s="321">
        <f>(AK53-V056_20[[#This Row],[HIDRAULICO]])+V056_20[[#This Row],[FAENA EN LTS3]]</f>
        <v>100</v>
      </c>
    </row>
    <row r="55" spans="1:37" x14ac:dyDescent="0.25">
      <c r="A55" s="235" t="s">
        <v>152</v>
      </c>
      <c r="B55" s="236">
        <v>43912</v>
      </c>
      <c r="C55" s="237">
        <v>0.70416666666666661</v>
      </c>
      <c r="D55" s="246">
        <f>IF(V056_20[[#This Row],[FECHA]]-B54=1,((V056_20[[#This Row],[HORA]]-C54)*24)+24,(V056_20[[#This Row],[HORA]]-C54)*24)</f>
        <v>8.8999999999999986</v>
      </c>
      <c r="E55" s="239" t="s">
        <v>45</v>
      </c>
      <c r="F55" s="240" t="s">
        <v>46</v>
      </c>
      <c r="G55" s="324"/>
      <c r="H55" s="306"/>
      <c r="I55" s="259">
        <f>IF(ISERROR(V053_20[[#This Row],[DISTANCIA POR CARTA]]/V053_20[[#This Row],[TIEMPO DE NAVEGACION]]),0,V053_20[[#This Row],[DISTANCIA POR CARTA]]/V053_20[[#This Row],[TIEMPO DE NAVEGACION]])</f>
        <v>0</v>
      </c>
      <c r="J55" s="242"/>
      <c r="K55" s="325"/>
      <c r="L55" s="245">
        <v>0</v>
      </c>
      <c r="M55" s="246">
        <v>0.77874999999999994</v>
      </c>
      <c r="N55" s="246">
        <v>0.66749999999999987</v>
      </c>
      <c r="O55" s="257">
        <f>SUM(V056_20[[#This Row],[MPAL]:[CALDERA]])</f>
        <v>1.4462499999999998</v>
      </c>
      <c r="P55" s="319"/>
      <c r="Q55" s="270">
        <f>(Q54-V056_20[[#This Row],[TOTAL ]])+V056_20[[#This Row],[FAENA]]</f>
        <v>438.50236111111116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SUM(V056_20[[#This Row],[MPAL2]:[GI]])</f>
        <v>0</v>
      </c>
      <c r="X55" s="246"/>
      <c r="Y55" s="282">
        <f>(Y54-V056_20[[#This Row],[TOTAL]])+V056_20[[#This Row],[FAENA2]]</f>
        <v>87.000000000000014</v>
      </c>
      <c r="Z55" s="245"/>
      <c r="AA55" s="246"/>
      <c r="AB55" s="320">
        <f>(AB54-V056_20[[#This Row],[CYLINDER MP]])+V056_20[[#This Row],[FAENA EN LTS]]</f>
        <v>100</v>
      </c>
      <c r="AC55" s="246"/>
      <c r="AD55" s="246"/>
      <c r="AE55" s="320">
        <f>(AE54-V056_20[[#This Row],[CARTER MP.]])+V056_20[[#This Row],[FAENA EN LTS2]]</f>
        <v>100</v>
      </c>
      <c r="AF55" s="246"/>
      <c r="AG55" s="246"/>
      <c r="AH55" s="320">
        <f>(AH54-V056_20[[#This Row],[MOT AUX]])+V056_20[[#This Row],[FAENA EN  LTS]]</f>
        <v>100</v>
      </c>
      <c r="AI55" s="246"/>
      <c r="AJ55" s="246"/>
      <c r="AK55" s="321">
        <f>(AK54-V056_20[[#This Row],[HIDRAULICO]])+V056_20[[#This Row],[FAENA EN LTS3]]</f>
        <v>100</v>
      </c>
    </row>
    <row r="56" spans="1:37" x14ac:dyDescent="0.25">
      <c r="A56" s="235" t="s">
        <v>152</v>
      </c>
      <c r="B56" s="236">
        <v>43912</v>
      </c>
      <c r="C56" s="237">
        <v>0.76666666666666661</v>
      </c>
      <c r="D56" s="246">
        <f>IF(V056_20[[#This Row],[FECHA]]-B55=1,((V056_20[[#This Row],[HORA]]-C55)*24)+24,(V056_20[[#This Row],[HORA]]-C55)*24)</f>
        <v>1.5</v>
      </c>
      <c r="E56" s="239" t="s">
        <v>47</v>
      </c>
      <c r="F56" s="240" t="s">
        <v>48</v>
      </c>
      <c r="G56" s="324"/>
      <c r="H56" s="306"/>
      <c r="I56" s="259">
        <f>IF(ISERROR(V053_20[[#This Row],[DISTANCIA POR CARTA]]/V053_20[[#This Row],[TIEMPO DE NAVEGACION]]),0,V053_20[[#This Row],[DISTANCIA POR CARTA]]/V053_20[[#This Row],[TIEMPO DE NAVEGACION]])</f>
        <v>0</v>
      </c>
      <c r="J56" s="242"/>
      <c r="K56" s="325"/>
      <c r="L56" s="245">
        <v>0.125</v>
      </c>
      <c r="M56" s="246">
        <v>0.15625</v>
      </c>
      <c r="N56" s="246">
        <v>0.125</v>
      </c>
      <c r="O56" s="257">
        <f>SUM(V056_20[[#This Row],[MPAL]:[CALDERA]])</f>
        <v>0.40625</v>
      </c>
      <c r="P56" s="319"/>
      <c r="Q56" s="270">
        <f>(Q55-V056_20[[#This Row],[TOTAL ]])+V056_20[[#This Row],[FAENA]]</f>
        <v>438.09611111111116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SUM(V056_20[[#This Row],[MPAL2]:[GI]])</f>
        <v>0</v>
      </c>
      <c r="X56" s="246"/>
      <c r="Y56" s="282">
        <f>(Y55-V056_20[[#This Row],[TOTAL]])+V056_20[[#This Row],[FAENA2]]</f>
        <v>87.000000000000014</v>
      </c>
      <c r="Z56" s="245"/>
      <c r="AA56" s="246"/>
      <c r="AB56" s="320">
        <f>(AB55-V056_20[[#This Row],[CYLINDER MP]])+V056_20[[#This Row],[FAENA EN LTS]]</f>
        <v>100</v>
      </c>
      <c r="AC56" s="246"/>
      <c r="AD56" s="246"/>
      <c r="AE56" s="320">
        <f>(AE55-V056_20[[#This Row],[CARTER MP.]])+V056_20[[#This Row],[FAENA EN LTS2]]</f>
        <v>100</v>
      </c>
      <c r="AF56" s="246"/>
      <c r="AG56" s="246"/>
      <c r="AH56" s="320">
        <f>(AH55-V056_20[[#This Row],[MOT AUX]])+V056_20[[#This Row],[FAENA EN  LTS]]</f>
        <v>100</v>
      </c>
      <c r="AI56" s="246"/>
      <c r="AJ56" s="246"/>
      <c r="AK56" s="321">
        <f>(AK55-V056_20[[#This Row],[HIDRAULICO]])+V056_20[[#This Row],[FAENA EN LTS3]]</f>
        <v>100</v>
      </c>
    </row>
    <row r="57" spans="1:37" x14ac:dyDescent="0.25">
      <c r="A57" s="235" t="s">
        <v>152</v>
      </c>
      <c r="B57" s="236">
        <v>43912</v>
      </c>
      <c r="C57" s="237">
        <v>0.85</v>
      </c>
      <c r="D57" s="246">
        <f>IF(V056_20[[#This Row],[FECHA]]-B56=1,((V056_20[[#This Row],[HORA]]-C56)*24)+24,(V056_20[[#This Row],[HORA]]-C56)*24)</f>
        <v>2.0000000000000009</v>
      </c>
      <c r="E57" s="239" t="s">
        <v>49</v>
      </c>
      <c r="F57" s="240" t="s">
        <v>50</v>
      </c>
      <c r="G57" s="324"/>
      <c r="H57" s="306"/>
      <c r="I57" s="259">
        <f>IF(ISERROR(V053_20[[#This Row],[DISTANCIA POR CARTA]]/V053_20[[#This Row],[TIEMPO DE NAVEGACION]]),0,V053_20[[#This Row],[DISTANCIA POR CARTA]]/V053_20[[#This Row],[TIEMPO DE NAVEGACION]])</f>
        <v>0</v>
      </c>
      <c r="J57" s="242"/>
      <c r="K57" s="325"/>
      <c r="L57" s="245">
        <v>0</v>
      </c>
      <c r="M57" s="246">
        <v>0.20833333333333343</v>
      </c>
      <c r="N57" s="246">
        <v>0.16666666666666674</v>
      </c>
      <c r="O57" s="257">
        <f>SUM(V056_20[[#This Row],[MPAL]:[CALDERA]])</f>
        <v>0.37500000000000017</v>
      </c>
      <c r="P57" s="319"/>
      <c r="Q57" s="270">
        <f>(Q56-V056_20[[#This Row],[TOTAL ]])+V056_20[[#This Row],[FAENA]]</f>
        <v>437.72111111111116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SUM(V056_20[[#This Row],[MPAL2]:[GI]])</f>
        <v>0</v>
      </c>
      <c r="X57" s="246"/>
      <c r="Y57" s="282">
        <f>(Y56-V056_20[[#This Row],[TOTAL]])+V056_20[[#This Row],[FAENA2]]</f>
        <v>87.000000000000014</v>
      </c>
      <c r="Z57" s="245"/>
      <c r="AA57" s="246"/>
      <c r="AB57" s="320">
        <f>(AB56-V056_20[[#This Row],[CYLINDER MP]])+V056_20[[#This Row],[FAENA EN LTS]]</f>
        <v>100</v>
      </c>
      <c r="AC57" s="246"/>
      <c r="AD57" s="246"/>
      <c r="AE57" s="320">
        <f>(AE56-V056_20[[#This Row],[CARTER MP.]])+V056_20[[#This Row],[FAENA EN LTS2]]</f>
        <v>100</v>
      </c>
      <c r="AF57" s="246"/>
      <c r="AG57" s="246"/>
      <c r="AH57" s="320">
        <f>(AH56-V056_20[[#This Row],[MOT AUX]])+V056_20[[#This Row],[FAENA EN  LTS]]</f>
        <v>100</v>
      </c>
      <c r="AI57" s="246"/>
      <c r="AJ57" s="246"/>
      <c r="AK57" s="321">
        <f>(AK56-V056_20[[#This Row],[HIDRAULICO]])+V056_20[[#This Row],[FAENA EN LTS3]]</f>
        <v>100</v>
      </c>
    </row>
    <row r="58" spans="1:37" x14ac:dyDescent="0.25">
      <c r="A58" s="235" t="s">
        <v>152</v>
      </c>
      <c r="B58" s="236">
        <v>43913</v>
      </c>
      <c r="C58" s="237">
        <v>0.33333333333333331</v>
      </c>
      <c r="D58" s="246">
        <f>IF(V056_20[[#This Row],[FECHA]]-B57=1,((V056_20[[#This Row],[HORA]]-C57)*24)+24,(V056_20[[#This Row],[HORA]]-C57)*24)</f>
        <v>11.600000000000001</v>
      </c>
      <c r="E58" s="239" t="s">
        <v>51</v>
      </c>
      <c r="F58" s="240" t="s">
        <v>51</v>
      </c>
      <c r="G58" s="324"/>
      <c r="H58" s="306"/>
      <c r="I58" s="259">
        <f>IF(ISERROR(V053_20[[#This Row],[DISTANCIA POR CARTA]]/V053_20[[#This Row],[TIEMPO DE NAVEGACION]]),0,V053_20[[#This Row],[DISTANCIA POR CARTA]]/V053_20[[#This Row],[TIEMPO DE NAVEGACION]])</f>
        <v>0</v>
      </c>
      <c r="J58" s="242"/>
      <c r="K58" s="325"/>
      <c r="L58" s="245">
        <v>0</v>
      </c>
      <c r="M58" s="246">
        <v>1.2083333333333335</v>
      </c>
      <c r="N58" s="246">
        <v>0.96666666666666679</v>
      </c>
      <c r="O58" s="257">
        <f>SUM(V056_20[[#This Row],[MPAL]:[CALDERA]])</f>
        <v>2.1750000000000003</v>
      </c>
      <c r="P58" s="319"/>
      <c r="Q58" s="270">
        <f>(Q57-V056_20[[#This Row],[TOTAL ]])+V056_20[[#This Row],[FAENA]]</f>
        <v>435.54611111111114</v>
      </c>
      <c r="R58" s="245">
        <v>0</v>
      </c>
      <c r="S58" s="246">
        <v>0</v>
      </c>
      <c r="T58" s="246">
        <v>0</v>
      </c>
      <c r="U58" s="246">
        <v>0</v>
      </c>
      <c r="V58" s="246">
        <v>2.9</v>
      </c>
      <c r="W58" s="257">
        <f>SUM(V056_20[[#This Row],[MPAL2]:[GI]])</f>
        <v>2.9</v>
      </c>
      <c r="X58" s="246"/>
      <c r="Y58" s="282">
        <f>(Y57-V056_20[[#This Row],[TOTAL]])+V056_20[[#This Row],[FAENA2]]</f>
        <v>84.100000000000009</v>
      </c>
      <c r="Z58" s="245"/>
      <c r="AA58" s="246"/>
      <c r="AB58" s="320">
        <f>(AB57-V056_20[[#This Row],[CYLINDER MP]])+V056_20[[#This Row],[FAENA EN LTS]]</f>
        <v>100</v>
      </c>
      <c r="AC58" s="246"/>
      <c r="AD58" s="246"/>
      <c r="AE58" s="320">
        <f>(AE57-V056_20[[#This Row],[CARTER MP.]])+V056_20[[#This Row],[FAENA EN LTS2]]</f>
        <v>100</v>
      </c>
      <c r="AF58" s="246"/>
      <c r="AG58" s="246"/>
      <c r="AH58" s="320">
        <f>(AH57-V056_20[[#This Row],[MOT AUX]])+V056_20[[#This Row],[FAENA EN  LTS]]</f>
        <v>100</v>
      </c>
      <c r="AI58" s="246"/>
      <c r="AJ58" s="246"/>
      <c r="AK58" s="321">
        <f>(AK57-V056_20[[#This Row],[HIDRAULICO]])+V056_20[[#This Row],[FAENA EN LTS3]]</f>
        <v>100</v>
      </c>
    </row>
    <row r="59" spans="1:37" x14ac:dyDescent="0.25">
      <c r="A59" s="235" t="s">
        <v>152</v>
      </c>
      <c r="B59" s="236">
        <v>43913</v>
      </c>
      <c r="C59" s="237">
        <v>0.35000000000000003</v>
      </c>
      <c r="D59" s="246">
        <f>IF(V056_20[[#This Row],[FECHA]]-B58=1,((V056_20[[#This Row],[HORA]]-C58)*24)+24,(V056_20[[#This Row],[HORA]]-C58)*24)</f>
        <v>0.40000000000000124</v>
      </c>
      <c r="E59" s="239" t="s">
        <v>51</v>
      </c>
      <c r="F59" s="240" t="s">
        <v>51</v>
      </c>
      <c r="G59" s="324"/>
      <c r="H59" s="306"/>
      <c r="I59" s="259">
        <f>IF(ISERROR(V053_20[[#This Row],[DISTANCIA POR CARTA]]/V053_20[[#This Row],[TIEMPO DE NAVEGACION]]),0,V053_20[[#This Row],[DISTANCIA POR CARTA]]/V053_20[[#This Row],[TIEMPO DE NAVEGACION]])</f>
        <v>0</v>
      </c>
      <c r="J59" s="242"/>
      <c r="K59" s="325"/>
      <c r="L59" s="245">
        <v>0</v>
      </c>
      <c r="M59" s="246">
        <v>4.1666666666666796E-2</v>
      </c>
      <c r="N59" s="246">
        <v>3.3333333333333437E-2</v>
      </c>
      <c r="O59" s="257">
        <f>SUM(V056_20[[#This Row],[MPAL]:[CALDERA]])</f>
        <v>7.5000000000000233E-2</v>
      </c>
      <c r="P59" s="319"/>
      <c r="Q59" s="270">
        <f>(Q58-V056_20[[#This Row],[TOTAL ]])+V056_20[[#This Row],[FAENA]]</f>
        <v>435.47111111111116</v>
      </c>
      <c r="R59" s="245">
        <v>0</v>
      </c>
      <c r="S59" s="246">
        <v>0</v>
      </c>
      <c r="T59" s="246">
        <v>0</v>
      </c>
      <c r="U59" s="246">
        <v>0</v>
      </c>
      <c r="V59" s="246">
        <v>0.1</v>
      </c>
      <c r="W59" s="257">
        <f>SUM(V056_20[[#This Row],[MPAL2]:[GI]])</f>
        <v>0.1</v>
      </c>
      <c r="X59" s="246"/>
      <c r="Y59" s="282">
        <f>(Y58-V056_20[[#This Row],[TOTAL]])+V056_20[[#This Row],[FAENA2]]</f>
        <v>84.000000000000014</v>
      </c>
      <c r="Z59" s="245"/>
      <c r="AA59" s="246"/>
      <c r="AB59" s="320">
        <f>(AB58-V056_20[[#This Row],[CYLINDER MP]])+V056_20[[#This Row],[FAENA EN LTS]]</f>
        <v>100</v>
      </c>
      <c r="AC59" s="246"/>
      <c r="AD59" s="246"/>
      <c r="AE59" s="320">
        <f>(AE58-V056_20[[#This Row],[CARTER MP.]])+V056_20[[#This Row],[FAENA EN LTS2]]</f>
        <v>100</v>
      </c>
      <c r="AF59" s="246"/>
      <c r="AG59" s="246"/>
      <c r="AH59" s="320">
        <f>(AH58-V056_20[[#This Row],[MOT AUX]])+V056_20[[#This Row],[FAENA EN  LTS]]</f>
        <v>100</v>
      </c>
      <c r="AI59" s="246"/>
      <c r="AJ59" s="246"/>
      <c r="AK59" s="321">
        <f>(AK58-V056_20[[#This Row],[HIDRAULICO]])+V056_20[[#This Row],[FAENA EN LTS3]]</f>
        <v>100</v>
      </c>
    </row>
    <row r="60" spans="1:37" x14ac:dyDescent="0.25">
      <c r="A60" s="235" t="s">
        <v>152</v>
      </c>
      <c r="B60" s="236">
        <v>43913</v>
      </c>
      <c r="C60" s="237">
        <v>0.47083333333333338</v>
      </c>
      <c r="D60" s="246">
        <f>IF(V056_20[[#This Row],[FECHA]]-B59=1,((V056_20[[#This Row],[HORA]]-C59)*24)+24,(V056_20[[#This Row],[HORA]]-C59)*24)</f>
        <v>2.9000000000000004</v>
      </c>
      <c r="E60" s="239" t="s">
        <v>49</v>
      </c>
      <c r="F60" s="240" t="s">
        <v>46</v>
      </c>
      <c r="G60" s="324"/>
      <c r="H60" s="306"/>
      <c r="I60" s="259">
        <f>IF(ISERROR(V053_20[[#This Row],[DISTANCIA POR CARTA]]/V053_20[[#This Row],[TIEMPO DE NAVEGACION]]),0,V053_20[[#This Row],[DISTANCIA POR CARTA]]/V053_20[[#This Row],[TIEMPO DE NAVEGACION]])</f>
        <v>0</v>
      </c>
      <c r="J60" s="242"/>
      <c r="K60" s="325"/>
      <c r="L60" s="245">
        <v>0</v>
      </c>
      <c r="M60" s="246">
        <v>0.30208333333333337</v>
      </c>
      <c r="N60" s="246">
        <v>0.2416666666666667</v>
      </c>
      <c r="O60" s="257">
        <f>SUM(V056_20[[#This Row],[MPAL]:[CALDERA]])</f>
        <v>0.54375000000000007</v>
      </c>
      <c r="P60" s="319"/>
      <c r="Q60" s="270">
        <f>(Q59-V056_20[[#This Row],[TOTAL ]])+V056_20[[#This Row],[FAENA]]</f>
        <v>434.92736111111117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SUM(V056_20[[#This Row],[MPAL2]:[GI]])</f>
        <v>0</v>
      </c>
      <c r="X60" s="246"/>
      <c r="Y60" s="282">
        <f>(Y59-V056_20[[#This Row],[TOTAL]])+V056_20[[#This Row],[FAENA2]]</f>
        <v>84.000000000000014</v>
      </c>
      <c r="Z60" s="245"/>
      <c r="AA60" s="246"/>
      <c r="AB60" s="320">
        <f>(AB59-V056_20[[#This Row],[CYLINDER MP]])+V056_20[[#This Row],[FAENA EN LTS]]</f>
        <v>100</v>
      </c>
      <c r="AC60" s="246"/>
      <c r="AD60" s="246"/>
      <c r="AE60" s="320">
        <f>(AE59-V056_20[[#This Row],[CARTER MP.]])+V056_20[[#This Row],[FAENA EN LTS2]]</f>
        <v>100</v>
      </c>
      <c r="AF60" s="246"/>
      <c r="AG60" s="246"/>
      <c r="AH60" s="320">
        <f>(AH59-V056_20[[#This Row],[MOT AUX]])+V056_20[[#This Row],[FAENA EN  LTS]]</f>
        <v>100</v>
      </c>
      <c r="AI60" s="246"/>
      <c r="AJ60" s="246"/>
      <c r="AK60" s="321">
        <f>(AK59-V056_20[[#This Row],[HIDRAULICO]])+V056_20[[#This Row],[FAENA EN LTS3]]</f>
        <v>100</v>
      </c>
    </row>
    <row r="61" spans="1:37" x14ac:dyDescent="0.25">
      <c r="A61" s="235" t="s">
        <v>152</v>
      </c>
      <c r="B61" s="236">
        <v>43913</v>
      </c>
      <c r="C61" s="237">
        <v>0.5083333333333333</v>
      </c>
      <c r="D61" s="246">
        <f>IF(V056_20[[#This Row],[FECHA]]-B60=1,((V056_20[[#This Row],[HORA]]-C60)*24)+24,(V056_20[[#This Row],[HORA]]-C60)*24)</f>
        <v>0.89999999999999813</v>
      </c>
      <c r="E61" s="239" t="s">
        <v>47</v>
      </c>
      <c r="F61" s="240" t="s">
        <v>163</v>
      </c>
      <c r="G61" s="324"/>
      <c r="H61" s="306"/>
      <c r="I61" s="259">
        <f>IF(ISERROR(V053_20[[#This Row],[DISTANCIA POR CARTA]]/V053_20[[#This Row],[TIEMPO DE NAVEGACION]]),0,V053_20[[#This Row],[DISTANCIA POR CARTA]]/V053_20[[#This Row],[TIEMPO DE NAVEGACION]])</f>
        <v>0</v>
      </c>
      <c r="J61" s="242" t="s">
        <v>54</v>
      </c>
      <c r="K61" s="325">
        <v>95</v>
      </c>
      <c r="L61" s="245">
        <v>0.18749999999999961</v>
      </c>
      <c r="M61" s="246">
        <v>9.3749999999999806E-2</v>
      </c>
      <c r="N61" s="246">
        <v>7.4999999999999845E-2</v>
      </c>
      <c r="O61" s="257">
        <f>SUM(V056_20[[#This Row],[MPAL]:[CALDERA]])</f>
        <v>0.35624999999999929</v>
      </c>
      <c r="P61" s="319"/>
      <c r="Q61" s="270">
        <f>(Q60-V056_20[[#This Row],[TOTAL ]])+V056_20[[#This Row],[FAENA]]</f>
        <v>434.57111111111118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SUM(V056_20[[#This Row],[MPAL2]:[GI]])</f>
        <v>0</v>
      </c>
      <c r="X61" s="246"/>
      <c r="Y61" s="282">
        <f>(Y60-V056_20[[#This Row],[TOTAL]])+V056_20[[#This Row],[FAENA2]]</f>
        <v>84.000000000000014</v>
      </c>
      <c r="Z61" s="245"/>
      <c r="AA61" s="246"/>
      <c r="AB61" s="320">
        <f>(AB60-V056_20[[#This Row],[CYLINDER MP]])+V056_20[[#This Row],[FAENA EN LTS]]</f>
        <v>100</v>
      </c>
      <c r="AC61" s="246"/>
      <c r="AD61" s="246"/>
      <c r="AE61" s="320">
        <f>(AE60-V056_20[[#This Row],[CARTER MP.]])+V056_20[[#This Row],[FAENA EN LTS2]]</f>
        <v>100</v>
      </c>
      <c r="AF61" s="246"/>
      <c r="AG61" s="246"/>
      <c r="AH61" s="320">
        <f>(AH60-V056_20[[#This Row],[MOT AUX]])+V056_20[[#This Row],[FAENA EN  LTS]]</f>
        <v>100</v>
      </c>
      <c r="AI61" s="246"/>
      <c r="AJ61" s="246"/>
      <c r="AK61" s="321">
        <f>(AK60-V056_20[[#This Row],[HIDRAULICO]])+V056_20[[#This Row],[FAENA EN LTS3]]</f>
        <v>100</v>
      </c>
    </row>
    <row r="62" spans="1:37" x14ac:dyDescent="0.25">
      <c r="A62" s="235" t="s">
        <v>152</v>
      </c>
      <c r="B62" s="236">
        <v>43913</v>
      </c>
      <c r="C62" s="237">
        <v>0.90416666666666667</v>
      </c>
      <c r="D62" s="246">
        <f>IF(V056_20[[#This Row],[FECHA]]-B61=1,((V056_20[[#This Row],[HORA]]-C61)*24)+24,(V056_20[[#This Row],[HORA]]-C61)*24)</f>
        <v>9.5</v>
      </c>
      <c r="E62" s="239" t="s">
        <v>55</v>
      </c>
      <c r="F62" s="240" t="s">
        <v>57</v>
      </c>
      <c r="G62" s="324">
        <v>96</v>
      </c>
      <c r="H62" s="306">
        <v>10.4</v>
      </c>
      <c r="I62" s="259">
        <f>IF(ISERROR(V053_20[[#This Row],[DISTANCIA POR CARTA]]/V053_20[[#This Row],[TIEMPO DE NAVEGACION]]),0,V053_20[[#This Row],[DISTANCIA POR CARTA]]/V053_20[[#This Row],[TIEMPO DE NAVEGACION]])</f>
        <v>0</v>
      </c>
      <c r="J62" s="242" t="s">
        <v>54</v>
      </c>
      <c r="K62" s="325">
        <v>95</v>
      </c>
      <c r="L62" s="245">
        <v>9.1041666666666679</v>
      </c>
      <c r="M62" s="246">
        <v>0.98958333333333337</v>
      </c>
      <c r="N62" s="246">
        <v>0</v>
      </c>
      <c r="O62" s="257">
        <f>SUM(V056_20[[#This Row],[MPAL]:[CALDERA]])</f>
        <v>10.093750000000002</v>
      </c>
      <c r="P62" s="319"/>
      <c r="Q62" s="270">
        <f>(Q61-V056_20[[#This Row],[TOTAL ]])+V056_20[[#This Row],[FAENA]]</f>
        <v>424.47736111111118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SUM(V056_20[[#This Row],[MPAL2]:[GI]])</f>
        <v>0</v>
      </c>
      <c r="X62" s="246"/>
      <c r="Y62" s="282">
        <f>(Y61-V056_20[[#This Row],[TOTAL]])+V056_20[[#This Row],[FAENA2]]</f>
        <v>84.000000000000014</v>
      </c>
      <c r="Z62" s="245"/>
      <c r="AA62" s="246"/>
      <c r="AB62" s="320">
        <f>(AB61-V056_20[[#This Row],[CYLINDER MP]])+V056_20[[#This Row],[FAENA EN LTS]]</f>
        <v>100</v>
      </c>
      <c r="AC62" s="246"/>
      <c r="AD62" s="246"/>
      <c r="AE62" s="320">
        <f>(AE61-V056_20[[#This Row],[CARTER MP.]])+V056_20[[#This Row],[FAENA EN LTS2]]</f>
        <v>100</v>
      </c>
      <c r="AF62" s="246"/>
      <c r="AG62" s="246"/>
      <c r="AH62" s="320">
        <f>(AH61-V056_20[[#This Row],[MOT AUX]])+V056_20[[#This Row],[FAENA EN  LTS]]</f>
        <v>100</v>
      </c>
      <c r="AI62" s="246"/>
      <c r="AJ62" s="246"/>
      <c r="AK62" s="321">
        <f>(AK61-V056_20[[#This Row],[HIDRAULICO]])+V056_20[[#This Row],[FAENA EN LTS3]]</f>
        <v>100</v>
      </c>
    </row>
    <row r="63" spans="1:37" x14ac:dyDescent="0.25">
      <c r="A63" s="235" t="s">
        <v>152</v>
      </c>
      <c r="B63" s="236">
        <v>43913</v>
      </c>
      <c r="C63" s="237">
        <v>0.9375</v>
      </c>
      <c r="D63" s="246">
        <f>IF(V056_20[[#This Row],[FECHA]]-B62=1,((V056_20[[#This Row],[HORA]]-C62)*24)+24,(V056_20[[#This Row],[HORA]]-C62)*24)</f>
        <v>0.79999999999999982</v>
      </c>
      <c r="E63" s="239" t="s">
        <v>47</v>
      </c>
      <c r="F63" s="240" t="s">
        <v>48</v>
      </c>
      <c r="G63" s="324"/>
      <c r="H63" s="306"/>
      <c r="I63" s="259">
        <f>IF(ISERROR(V053_20[[#This Row],[DISTANCIA POR CARTA]]/V053_20[[#This Row],[TIEMPO DE NAVEGACION]]),0,V053_20[[#This Row],[DISTANCIA POR CARTA]]/V053_20[[#This Row],[TIEMPO DE NAVEGACION]])</f>
        <v>0</v>
      </c>
      <c r="J63" s="242"/>
      <c r="K63" s="325"/>
      <c r="L63" s="245">
        <v>0.16666666666666663</v>
      </c>
      <c r="M63" s="246">
        <v>8.3333333333333315E-2</v>
      </c>
      <c r="N63" s="246">
        <v>6.6666666666666652E-2</v>
      </c>
      <c r="O63" s="257">
        <f>SUM(V056_20[[#This Row],[MPAL]:[CALDERA]])</f>
        <v>0.3166666666666666</v>
      </c>
      <c r="P63" s="319"/>
      <c r="Q63" s="270">
        <f>(Q62-V056_20[[#This Row],[TOTAL ]])+V056_20[[#This Row],[FAENA]]</f>
        <v>424.16069444444452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SUM(V056_20[[#This Row],[MPAL2]:[GI]])</f>
        <v>0</v>
      </c>
      <c r="X63" s="246"/>
      <c r="Y63" s="282">
        <f>(Y62-V056_20[[#This Row],[TOTAL]])+V056_20[[#This Row],[FAENA2]]</f>
        <v>84.000000000000014</v>
      </c>
      <c r="Z63" s="245"/>
      <c r="AA63" s="246"/>
      <c r="AB63" s="320">
        <f>(AB62-V056_20[[#This Row],[CYLINDER MP]])+V056_20[[#This Row],[FAENA EN LTS]]</f>
        <v>100</v>
      </c>
      <c r="AC63" s="246"/>
      <c r="AD63" s="246"/>
      <c r="AE63" s="320">
        <f>(AE62-V056_20[[#This Row],[CARTER MP.]])+V056_20[[#This Row],[FAENA EN LTS2]]</f>
        <v>100</v>
      </c>
      <c r="AF63" s="246"/>
      <c r="AG63" s="246"/>
      <c r="AH63" s="320">
        <f>(AH62-V056_20[[#This Row],[MOT AUX]])+V056_20[[#This Row],[FAENA EN  LTS]]</f>
        <v>100</v>
      </c>
      <c r="AI63" s="246"/>
      <c r="AJ63" s="246"/>
      <c r="AK63" s="321">
        <f>(AK62-V056_20[[#This Row],[HIDRAULICO]])+V056_20[[#This Row],[FAENA EN LTS3]]</f>
        <v>100</v>
      </c>
    </row>
    <row r="64" spans="1:37" x14ac:dyDescent="0.25">
      <c r="A64" s="235" t="s">
        <v>152</v>
      </c>
      <c r="B64" s="236">
        <v>43914</v>
      </c>
      <c r="C64" s="237">
        <v>0.33333333333333331</v>
      </c>
      <c r="D64" s="246">
        <f>IF(V056_20[[#This Row],[FECHA]]-B63=1,((V056_20[[#This Row],[HORA]]-C63)*24)+24,(V056_20[[#This Row],[HORA]]-C63)*24)</f>
        <v>9.4999999999999982</v>
      </c>
      <c r="E64" s="239" t="s">
        <v>45</v>
      </c>
      <c r="F64" s="240" t="s">
        <v>45</v>
      </c>
      <c r="G64" s="324"/>
      <c r="H64" s="306"/>
      <c r="I64" s="259">
        <f>IF(ISERROR(V053_20[[#This Row],[DISTANCIA POR CARTA]]/V053_20[[#This Row],[TIEMPO DE NAVEGACION]]),0,V053_20[[#This Row],[DISTANCIA POR CARTA]]/V053_20[[#This Row],[TIEMPO DE NAVEGACION]])</f>
        <v>0</v>
      </c>
      <c r="J64" s="242"/>
      <c r="K64" s="325"/>
      <c r="L64" s="245">
        <v>0</v>
      </c>
      <c r="M64" s="246">
        <v>0.87083333333333324</v>
      </c>
      <c r="N64" s="246">
        <v>0.79166666666666652</v>
      </c>
      <c r="O64" s="257">
        <f>SUM(V056_20[[#This Row],[MPAL]:[CALDERA]])</f>
        <v>1.6624999999999996</v>
      </c>
      <c r="P64" s="319"/>
      <c r="Q64" s="270">
        <f>(Q63-V056_20[[#This Row],[TOTAL ]])+V056_20[[#This Row],[FAENA]]</f>
        <v>422.49819444444449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SUM(V056_20[[#This Row],[MPAL2]:[GI]])</f>
        <v>0</v>
      </c>
      <c r="X64" s="246"/>
      <c r="Y64" s="282">
        <f>(Y63-V056_20[[#This Row],[TOTAL]])+V056_20[[#This Row],[FAENA2]]</f>
        <v>84.000000000000014</v>
      </c>
      <c r="Z64" s="245"/>
      <c r="AA64" s="246"/>
      <c r="AB64" s="320">
        <f>(AB63-V056_20[[#This Row],[CYLINDER MP]])+V056_20[[#This Row],[FAENA EN LTS]]</f>
        <v>100</v>
      </c>
      <c r="AC64" s="246"/>
      <c r="AD64" s="246"/>
      <c r="AE64" s="320">
        <f>(AE63-V056_20[[#This Row],[CARTER MP.]])+V056_20[[#This Row],[FAENA EN LTS2]]</f>
        <v>100</v>
      </c>
      <c r="AF64" s="246"/>
      <c r="AG64" s="246"/>
      <c r="AH64" s="320">
        <f>(AH63-V056_20[[#This Row],[MOT AUX]])+V056_20[[#This Row],[FAENA EN  LTS]]</f>
        <v>100</v>
      </c>
      <c r="AI64" s="246"/>
      <c r="AJ64" s="246"/>
      <c r="AK64" s="321">
        <f>(AK63-V056_20[[#This Row],[HIDRAULICO]])+V056_20[[#This Row],[FAENA EN LTS3]]</f>
        <v>100</v>
      </c>
    </row>
    <row r="65" spans="1:37" x14ac:dyDescent="0.25">
      <c r="A65" s="235" t="s">
        <v>152</v>
      </c>
      <c r="B65" s="236">
        <v>43915</v>
      </c>
      <c r="C65" s="237">
        <v>0.33333333333333331</v>
      </c>
      <c r="D65" s="246">
        <f>IF(V056_20[[#This Row],[FECHA]]-B64=1,((V056_20[[#This Row],[HORA]]-C64)*24)+24,(V056_20[[#This Row],[HORA]]-C64)*24)</f>
        <v>24</v>
      </c>
      <c r="E65" s="239" t="s">
        <v>45</v>
      </c>
      <c r="F65" s="240" t="s">
        <v>45</v>
      </c>
      <c r="G65" s="324"/>
      <c r="H65" s="306"/>
      <c r="I65" s="259">
        <f>IF(ISERROR(V053_20[[#This Row],[DISTANCIA POR CARTA]]/V053_20[[#This Row],[TIEMPO DE NAVEGACION]]),0,V053_20[[#This Row],[DISTANCIA POR CARTA]]/V053_20[[#This Row],[TIEMPO DE NAVEGACION]])</f>
        <v>0</v>
      </c>
      <c r="J65" s="242"/>
      <c r="K65" s="325"/>
      <c r="L65" s="245">
        <v>0</v>
      </c>
      <c r="M65" s="246">
        <v>2.2000000000000002</v>
      </c>
      <c r="N65" s="246">
        <v>2</v>
      </c>
      <c r="O65" s="257">
        <f>SUM(V056_20[[#This Row],[MPAL]:[CALDERA]])</f>
        <v>4.2</v>
      </c>
      <c r="P65" s="319"/>
      <c r="Q65" s="270">
        <f>(Q64-V056_20[[#This Row],[TOTAL ]])+V056_20[[#This Row],[FAENA]]</f>
        <v>418.2981944444445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SUM(V056_20[[#This Row],[MPAL2]:[GI]])</f>
        <v>0</v>
      </c>
      <c r="X65" s="246"/>
      <c r="Y65" s="282">
        <f>(Y64-V056_20[[#This Row],[TOTAL]])+V056_20[[#This Row],[FAENA2]]</f>
        <v>84.000000000000014</v>
      </c>
      <c r="Z65" s="245"/>
      <c r="AA65" s="246"/>
      <c r="AB65" s="320">
        <f>(AB64-V056_20[[#This Row],[CYLINDER MP]])+V056_20[[#This Row],[FAENA EN LTS]]</f>
        <v>100</v>
      </c>
      <c r="AC65" s="246"/>
      <c r="AD65" s="246"/>
      <c r="AE65" s="320">
        <f>(AE64-V056_20[[#This Row],[CARTER MP.]])+V056_20[[#This Row],[FAENA EN LTS2]]</f>
        <v>100</v>
      </c>
      <c r="AF65" s="246"/>
      <c r="AG65" s="246"/>
      <c r="AH65" s="320">
        <f>(AH64-V056_20[[#This Row],[MOT AUX]])+V056_20[[#This Row],[FAENA EN  LTS]]</f>
        <v>100</v>
      </c>
      <c r="AI65" s="246"/>
      <c r="AJ65" s="246"/>
      <c r="AK65" s="321">
        <f>(AK64-V056_20[[#This Row],[HIDRAULICO]])+V056_20[[#This Row],[FAENA EN LTS3]]</f>
        <v>100</v>
      </c>
    </row>
    <row r="66" spans="1:37" x14ac:dyDescent="0.25">
      <c r="A66" s="235" t="s">
        <v>152</v>
      </c>
      <c r="B66" s="236">
        <v>43916</v>
      </c>
      <c r="C66" s="237">
        <v>0.33333333333333331</v>
      </c>
      <c r="D66" s="246">
        <f>IF(V056_20[[#This Row],[FECHA]]-B65=1,((V056_20[[#This Row],[HORA]]-C65)*24)+24,(V056_20[[#This Row],[HORA]]-C65)*24)</f>
        <v>24</v>
      </c>
      <c r="E66" s="239" t="s">
        <v>45</v>
      </c>
      <c r="F66" s="240" t="s">
        <v>45</v>
      </c>
      <c r="G66" s="324"/>
      <c r="H66" s="306"/>
      <c r="I66" s="259">
        <f>IF(ISERROR(V053_20[[#This Row],[DISTANCIA POR CARTA]]/V053_20[[#This Row],[TIEMPO DE NAVEGACION]]),0,V053_20[[#This Row],[DISTANCIA POR CARTA]]/V053_20[[#This Row],[TIEMPO DE NAVEGACION]])</f>
        <v>0</v>
      </c>
      <c r="J66" s="242"/>
      <c r="K66" s="325"/>
      <c r="L66" s="245">
        <v>0</v>
      </c>
      <c r="M66" s="246">
        <v>2.2000000000000002</v>
      </c>
      <c r="N66" s="246">
        <v>1.7999999999999998</v>
      </c>
      <c r="O66" s="257">
        <f>SUM(V056_20[[#This Row],[MPAL]:[CALDERA]])</f>
        <v>4</v>
      </c>
      <c r="P66" s="319"/>
      <c r="Q66" s="270">
        <f>(Q65-V056_20[[#This Row],[TOTAL ]])+V056_20[[#This Row],[FAENA]]</f>
        <v>414.2981944444445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SUM(V056_20[[#This Row],[MPAL2]:[GI]])</f>
        <v>0</v>
      </c>
      <c r="X66" s="246"/>
      <c r="Y66" s="282">
        <f>(Y65-V056_20[[#This Row],[TOTAL]])+V056_20[[#This Row],[FAENA2]]</f>
        <v>84.000000000000014</v>
      </c>
      <c r="Z66" s="245"/>
      <c r="AA66" s="246"/>
      <c r="AB66" s="320">
        <f>(AB65-V056_20[[#This Row],[CYLINDER MP]])+V056_20[[#This Row],[FAENA EN LTS]]</f>
        <v>100</v>
      </c>
      <c r="AC66" s="246"/>
      <c r="AD66" s="246"/>
      <c r="AE66" s="320">
        <f>(AE65-V056_20[[#This Row],[CARTER MP.]])+V056_20[[#This Row],[FAENA EN LTS2]]</f>
        <v>100</v>
      </c>
      <c r="AF66" s="246"/>
      <c r="AG66" s="246"/>
      <c r="AH66" s="320">
        <f>(AH65-V056_20[[#This Row],[MOT AUX]])+V056_20[[#This Row],[FAENA EN  LTS]]</f>
        <v>100</v>
      </c>
      <c r="AI66" s="246"/>
      <c r="AJ66" s="246"/>
      <c r="AK66" s="321">
        <f>(AK65-V056_20[[#This Row],[HIDRAULICO]])+V056_20[[#This Row],[FAENA EN LTS3]]</f>
        <v>100</v>
      </c>
    </row>
    <row r="67" spans="1:37" x14ac:dyDescent="0.25">
      <c r="A67" s="235" t="s">
        <v>152</v>
      </c>
      <c r="B67" s="236">
        <v>43917</v>
      </c>
      <c r="C67" s="237">
        <v>0.33333333333333331</v>
      </c>
      <c r="D67" s="246">
        <f>IF(V056_20[[#This Row],[FECHA]]-B66=1,((V056_20[[#This Row],[HORA]]-C66)*24)+24,(V056_20[[#This Row],[HORA]]-C66)*24)</f>
        <v>24</v>
      </c>
      <c r="E67" s="239" t="s">
        <v>45</v>
      </c>
      <c r="F67" s="240" t="s">
        <v>45</v>
      </c>
      <c r="G67" s="324"/>
      <c r="H67" s="306"/>
      <c r="I67" s="259">
        <f>IF(ISERROR(V053_20[[#This Row],[DISTANCIA POR CARTA]]/V053_20[[#This Row],[TIEMPO DE NAVEGACION]]),0,V053_20[[#This Row],[DISTANCIA POR CARTA]]/V053_20[[#This Row],[TIEMPO DE NAVEGACION]])</f>
        <v>0</v>
      </c>
      <c r="J67" s="242"/>
      <c r="K67" s="325"/>
      <c r="L67" s="245">
        <v>0</v>
      </c>
      <c r="M67" s="246">
        <v>2.2000000000000002</v>
      </c>
      <c r="N67" s="246">
        <v>1.7999999999999998</v>
      </c>
      <c r="O67" s="257">
        <f>SUM(V056_20[[#This Row],[MPAL]:[CALDERA]])</f>
        <v>4</v>
      </c>
      <c r="P67" s="319"/>
      <c r="Q67" s="270">
        <f>(Q66-V056_20[[#This Row],[TOTAL ]])+V056_20[[#This Row],[FAENA]]</f>
        <v>410.2981944444445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SUM(V056_20[[#This Row],[MPAL2]:[GI]])</f>
        <v>0</v>
      </c>
      <c r="X67" s="246"/>
      <c r="Y67" s="282">
        <f>(Y66-V056_20[[#This Row],[TOTAL]])+V056_20[[#This Row],[FAENA2]]</f>
        <v>84.000000000000014</v>
      </c>
      <c r="Z67" s="245"/>
      <c r="AA67" s="246"/>
      <c r="AB67" s="320">
        <f>(AB66-V056_20[[#This Row],[CYLINDER MP]])+V056_20[[#This Row],[FAENA EN LTS]]</f>
        <v>100</v>
      </c>
      <c r="AC67" s="246"/>
      <c r="AD67" s="246"/>
      <c r="AE67" s="320">
        <f>(AE66-V056_20[[#This Row],[CARTER MP.]])+V056_20[[#This Row],[FAENA EN LTS2]]</f>
        <v>100</v>
      </c>
      <c r="AF67" s="246"/>
      <c r="AG67" s="246"/>
      <c r="AH67" s="320">
        <f>(AH66-V056_20[[#This Row],[MOT AUX]])+V056_20[[#This Row],[FAENA EN  LTS]]</f>
        <v>100</v>
      </c>
      <c r="AI67" s="246"/>
      <c r="AJ67" s="246"/>
      <c r="AK67" s="321">
        <f>(AK66-V056_20[[#This Row],[HIDRAULICO]])+V056_20[[#This Row],[FAENA EN LTS3]]</f>
        <v>100</v>
      </c>
    </row>
    <row r="68" spans="1:37" x14ac:dyDescent="0.25">
      <c r="A68" s="235" t="s">
        <v>152</v>
      </c>
      <c r="B68" s="236">
        <v>43917</v>
      </c>
      <c r="C68" s="237">
        <v>0.66249999999999998</v>
      </c>
      <c r="D68" s="246">
        <f>IF(V056_20[[#This Row],[FECHA]]-B67=1,((V056_20[[#This Row],[HORA]]-C67)*24)+24,(V056_20[[#This Row],[HORA]]-C67)*24)</f>
        <v>7.9</v>
      </c>
      <c r="E68" s="239" t="s">
        <v>45</v>
      </c>
      <c r="F68" s="240" t="s">
        <v>46</v>
      </c>
      <c r="G68" s="324"/>
      <c r="H68" s="306"/>
      <c r="I68" s="259">
        <f>IF(ISERROR(V053_20[[#This Row],[DISTANCIA POR CARTA]]/V053_20[[#This Row],[TIEMPO DE NAVEGACION]]),0,V053_20[[#This Row],[DISTANCIA POR CARTA]]/V053_20[[#This Row],[TIEMPO DE NAVEGACION]])</f>
        <v>0</v>
      </c>
      <c r="J68" s="242"/>
      <c r="K68" s="325"/>
      <c r="L68" s="245">
        <v>0</v>
      </c>
      <c r="M68" s="246">
        <v>0.72416666666666674</v>
      </c>
      <c r="N68" s="246">
        <v>0.59250000000000003</v>
      </c>
      <c r="O68" s="257">
        <f>SUM(V056_20[[#This Row],[MPAL]:[CALDERA]])</f>
        <v>1.3166666666666669</v>
      </c>
      <c r="P68" s="319"/>
      <c r="Q68" s="270">
        <f>(Q67-V056_20[[#This Row],[TOTAL ]])+V056_20[[#This Row],[FAENA]]</f>
        <v>408.98152777777784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SUM(V056_20[[#This Row],[MPAL2]:[GI]])</f>
        <v>0</v>
      </c>
      <c r="X68" s="246"/>
      <c r="Y68" s="282">
        <f>(Y67-V056_20[[#This Row],[TOTAL]])+V056_20[[#This Row],[FAENA2]]</f>
        <v>84.000000000000014</v>
      </c>
      <c r="Z68" s="245"/>
      <c r="AA68" s="246"/>
      <c r="AB68" s="320">
        <f>(AB67-V056_20[[#This Row],[CYLINDER MP]])+V056_20[[#This Row],[FAENA EN LTS]]</f>
        <v>100</v>
      </c>
      <c r="AC68" s="246"/>
      <c r="AD68" s="246"/>
      <c r="AE68" s="320">
        <f>(AE67-V056_20[[#This Row],[CARTER MP.]])+V056_20[[#This Row],[FAENA EN LTS2]]</f>
        <v>100</v>
      </c>
      <c r="AF68" s="246"/>
      <c r="AG68" s="246"/>
      <c r="AH68" s="320">
        <f>(AH67-V056_20[[#This Row],[MOT AUX]])+V056_20[[#This Row],[FAENA EN  LTS]]</f>
        <v>100</v>
      </c>
      <c r="AI68" s="246"/>
      <c r="AJ68" s="246"/>
      <c r="AK68" s="321">
        <f>(AK67-V056_20[[#This Row],[HIDRAULICO]])+V056_20[[#This Row],[FAENA EN LTS3]]</f>
        <v>100</v>
      </c>
    </row>
    <row r="69" spans="1:37" x14ac:dyDescent="0.25">
      <c r="A69" s="235" t="s">
        <v>152</v>
      </c>
      <c r="B69" s="236">
        <v>43917</v>
      </c>
      <c r="C69" s="237">
        <v>0.73333333333333339</v>
      </c>
      <c r="D69" s="246">
        <f>IF(V056_20[[#This Row],[FECHA]]-B68=1,((V056_20[[#This Row],[HORA]]-C68)*24)+24,(V056_20[[#This Row],[HORA]]-C68)*24)</f>
        <v>1.700000000000002</v>
      </c>
      <c r="E69" s="239" t="s">
        <v>47</v>
      </c>
      <c r="F69" s="240" t="s">
        <v>48</v>
      </c>
      <c r="G69" s="324"/>
      <c r="H69" s="306"/>
      <c r="I69" s="259">
        <f>IF(ISERROR(V053_20[[#This Row],[DISTANCIA POR CARTA]]/V053_20[[#This Row],[TIEMPO DE NAVEGACION]]),0,V053_20[[#This Row],[DISTANCIA POR CARTA]]/V053_20[[#This Row],[TIEMPO DE NAVEGACION]])</f>
        <v>0</v>
      </c>
      <c r="J69" s="242"/>
      <c r="K69" s="325"/>
      <c r="L69" s="245">
        <v>7.0833333333333415E-2</v>
      </c>
      <c r="M69" s="246">
        <v>0.15583333333333352</v>
      </c>
      <c r="N69" s="246">
        <v>0.12750000000000014</v>
      </c>
      <c r="O69" s="257">
        <f>SUM(V056_20[[#This Row],[MPAL]:[CALDERA]])</f>
        <v>0.35416666666666707</v>
      </c>
      <c r="P69" s="319"/>
      <c r="Q69" s="270">
        <f>(Q68-V056_20[[#This Row],[TOTAL ]])+V056_20[[#This Row],[FAENA]]</f>
        <v>408.62736111111116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SUM(V056_20[[#This Row],[MPAL2]:[GI]])</f>
        <v>0</v>
      </c>
      <c r="X69" s="246"/>
      <c r="Y69" s="282">
        <f>(Y68-V056_20[[#This Row],[TOTAL]])+V056_20[[#This Row],[FAENA2]]</f>
        <v>84.000000000000014</v>
      </c>
      <c r="Z69" s="245"/>
      <c r="AA69" s="246"/>
      <c r="AB69" s="320">
        <f>(AB68-V056_20[[#This Row],[CYLINDER MP]])+V056_20[[#This Row],[FAENA EN LTS]]</f>
        <v>100</v>
      </c>
      <c r="AC69" s="246"/>
      <c r="AD69" s="246"/>
      <c r="AE69" s="320">
        <f>(AE68-V056_20[[#This Row],[CARTER MP.]])+V056_20[[#This Row],[FAENA EN LTS2]]</f>
        <v>100</v>
      </c>
      <c r="AF69" s="246"/>
      <c r="AG69" s="246"/>
      <c r="AH69" s="320">
        <f>(AH68-V056_20[[#This Row],[MOT AUX]])+V056_20[[#This Row],[FAENA EN  LTS]]</f>
        <v>100</v>
      </c>
      <c r="AI69" s="246"/>
      <c r="AJ69" s="246"/>
      <c r="AK69" s="321">
        <f>(AK68-V056_20[[#This Row],[HIDRAULICO]])+V056_20[[#This Row],[FAENA EN LTS3]]</f>
        <v>100</v>
      </c>
    </row>
    <row r="70" spans="1:37" x14ac:dyDescent="0.25">
      <c r="A70" s="235" t="s">
        <v>152</v>
      </c>
      <c r="B70" s="236">
        <v>43917</v>
      </c>
      <c r="C70" s="237">
        <v>0.8041666666666667</v>
      </c>
      <c r="D70" s="246">
        <f>IF(V056_20[[#This Row],[FECHA]]-B69=1,((V056_20[[#This Row],[HORA]]-C69)*24)+24,(V056_20[[#This Row],[HORA]]-C69)*24)</f>
        <v>1.6999999999999993</v>
      </c>
      <c r="E70" s="239" t="s">
        <v>49</v>
      </c>
      <c r="F70" s="240" t="s">
        <v>50</v>
      </c>
      <c r="G70" s="324"/>
      <c r="H70" s="306"/>
      <c r="I70" s="259">
        <f>IF(ISERROR(V053_20[[#This Row],[DISTANCIA POR CARTA]]/V053_20[[#This Row],[TIEMPO DE NAVEGACION]]),0,V053_20[[#This Row],[DISTANCIA POR CARTA]]/V053_20[[#This Row],[TIEMPO DE NAVEGACION]])</f>
        <v>0</v>
      </c>
      <c r="J70" s="242"/>
      <c r="K70" s="325"/>
      <c r="L70" s="245">
        <v>0</v>
      </c>
      <c r="M70" s="246">
        <v>0.17708333333333326</v>
      </c>
      <c r="N70" s="246">
        <v>0.14166666666666661</v>
      </c>
      <c r="O70" s="257">
        <f>SUM(V056_20[[#This Row],[MPAL]:[CALDERA]])</f>
        <v>0.31874999999999987</v>
      </c>
      <c r="P70" s="319"/>
      <c r="Q70" s="270">
        <f>(Q69-V056_20[[#This Row],[TOTAL ]])+V056_20[[#This Row],[FAENA]]</f>
        <v>408.30861111111113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SUM(V056_20[[#This Row],[MPAL2]:[GI]])</f>
        <v>0</v>
      </c>
      <c r="X70" s="246"/>
      <c r="Y70" s="282">
        <f>(Y69-V056_20[[#This Row],[TOTAL]])+V056_20[[#This Row],[FAENA2]]</f>
        <v>84.000000000000014</v>
      </c>
      <c r="Z70" s="245"/>
      <c r="AA70" s="246"/>
      <c r="AB70" s="320">
        <f>(AB69-V056_20[[#This Row],[CYLINDER MP]])+V056_20[[#This Row],[FAENA EN LTS]]</f>
        <v>100</v>
      </c>
      <c r="AC70" s="246"/>
      <c r="AD70" s="246"/>
      <c r="AE70" s="320">
        <f>(AE69-V056_20[[#This Row],[CARTER MP.]])+V056_20[[#This Row],[FAENA EN LTS2]]</f>
        <v>100</v>
      </c>
      <c r="AF70" s="246"/>
      <c r="AG70" s="246"/>
      <c r="AH70" s="320">
        <f>(AH69-V056_20[[#This Row],[MOT AUX]])+V056_20[[#This Row],[FAENA EN  LTS]]</f>
        <v>100</v>
      </c>
      <c r="AI70" s="246"/>
      <c r="AJ70" s="246"/>
      <c r="AK70" s="321">
        <f>(AK69-V056_20[[#This Row],[HIDRAULICO]])+V056_20[[#This Row],[FAENA EN LTS3]]</f>
        <v>100</v>
      </c>
    </row>
    <row r="71" spans="1:37" x14ac:dyDescent="0.25">
      <c r="A71" s="235" t="s">
        <v>152</v>
      </c>
      <c r="B71" s="236">
        <v>43918</v>
      </c>
      <c r="C71" s="237">
        <v>0.33333333333333331</v>
      </c>
      <c r="D71" s="246">
        <f>IF(V056_20[[#This Row],[FECHA]]-B70=1,((V056_20[[#This Row],[HORA]]-C70)*24)+24,(V056_20[[#This Row],[HORA]]-C70)*24)</f>
        <v>12.7</v>
      </c>
      <c r="E71" s="239" t="s">
        <v>51</v>
      </c>
      <c r="F71" s="240" t="s">
        <v>51</v>
      </c>
      <c r="G71" s="324"/>
      <c r="H71" s="306"/>
      <c r="I71" s="259">
        <f>IF(ISERROR(V053_20[[#This Row],[DISTANCIA POR CARTA]]/V053_20[[#This Row],[TIEMPO DE NAVEGACION]]),0,V053_20[[#This Row],[DISTANCIA POR CARTA]]/V053_20[[#This Row],[TIEMPO DE NAVEGACION]])</f>
        <v>0</v>
      </c>
      <c r="J71" s="242"/>
      <c r="K71" s="325"/>
      <c r="L71" s="245">
        <v>0</v>
      </c>
      <c r="M71" s="246">
        <v>1.3229166666666667</v>
      </c>
      <c r="N71" s="246">
        <v>1</v>
      </c>
      <c r="O71" s="257">
        <f>SUM(V056_20[[#This Row],[MPAL]:[CALDERA]])</f>
        <v>2.322916666666667</v>
      </c>
      <c r="P71" s="319"/>
      <c r="Q71" s="270">
        <f>(Q70-V056_20[[#This Row],[TOTAL ]])+V056_20[[#This Row],[FAENA]]</f>
        <v>405.98569444444445</v>
      </c>
      <c r="R71" s="245">
        <v>0</v>
      </c>
      <c r="S71" s="246">
        <v>0</v>
      </c>
      <c r="T71" s="246">
        <v>0</v>
      </c>
      <c r="U71" s="246">
        <v>0</v>
      </c>
      <c r="V71" s="246">
        <v>2.1</v>
      </c>
      <c r="W71" s="257">
        <f>SUM(V056_20[[#This Row],[MPAL2]:[GI]])</f>
        <v>2.1</v>
      </c>
      <c r="X71" s="246"/>
      <c r="Y71" s="282">
        <f>(Y70-V056_20[[#This Row],[TOTAL]])+V056_20[[#This Row],[FAENA2]]</f>
        <v>81.90000000000002</v>
      </c>
      <c r="Z71" s="245"/>
      <c r="AA71" s="246"/>
      <c r="AB71" s="320">
        <f>(AB70-V056_20[[#This Row],[CYLINDER MP]])+V056_20[[#This Row],[FAENA EN LTS]]</f>
        <v>100</v>
      </c>
      <c r="AC71" s="246"/>
      <c r="AD71" s="246"/>
      <c r="AE71" s="320">
        <f>(AE70-V056_20[[#This Row],[CARTER MP.]])+V056_20[[#This Row],[FAENA EN LTS2]]</f>
        <v>100</v>
      </c>
      <c r="AF71" s="246"/>
      <c r="AG71" s="246"/>
      <c r="AH71" s="320">
        <f>(AH70-V056_20[[#This Row],[MOT AUX]])+V056_20[[#This Row],[FAENA EN  LTS]]</f>
        <v>100</v>
      </c>
      <c r="AI71" s="246"/>
      <c r="AJ71" s="246"/>
      <c r="AK71" s="321">
        <f>(AK70-V056_20[[#This Row],[HIDRAULICO]])+V056_20[[#This Row],[FAENA EN LTS3]]</f>
        <v>100</v>
      </c>
    </row>
    <row r="72" spans="1:37" x14ac:dyDescent="0.25">
      <c r="A72" s="235" t="s">
        <v>152</v>
      </c>
      <c r="B72" s="236">
        <v>43918</v>
      </c>
      <c r="C72" s="237">
        <v>0.375</v>
      </c>
      <c r="D72" s="246">
        <f>IF(V056_20[[#This Row],[FECHA]]-B71=1,((V056_20[[#This Row],[HORA]]-C71)*24)+24,(V056_20[[#This Row],[HORA]]-C71)*24)</f>
        <v>1.0000000000000004</v>
      </c>
      <c r="E72" s="239" t="s">
        <v>51</v>
      </c>
      <c r="F72" s="240" t="s">
        <v>52</v>
      </c>
      <c r="G72" s="324"/>
      <c r="H72" s="306"/>
      <c r="I72" s="259">
        <f>IF(ISERROR(V053_20[[#This Row],[DISTANCIA POR CARTA]]/V053_20[[#This Row],[TIEMPO DE NAVEGACION]]),0,V053_20[[#This Row],[DISTANCIA POR CARTA]]/V053_20[[#This Row],[TIEMPO DE NAVEGACION]])</f>
        <v>0</v>
      </c>
      <c r="J72" s="242"/>
      <c r="K72" s="325"/>
      <c r="L72" s="245">
        <v>0</v>
      </c>
      <c r="M72" s="246">
        <v>0.10416666666666671</v>
      </c>
      <c r="N72" s="246">
        <v>0.05</v>
      </c>
      <c r="O72" s="257">
        <f>SUM(V056_20[[#This Row],[MPAL]:[CALDERA]])</f>
        <v>0.15416666666666673</v>
      </c>
      <c r="P72" s="319"/>
      <c r="Q72" s="270">
        <f>(Q71-V056_20[[#This Row],[TOTAL ]])+V056_20[[#This Row],[FAENA]]</f>
        <v>405.83152777777781</v>
      </c>
      <c r="R72" s="245">
        <v>0</v>
      </c>
      <c r="S72" s="246">
        <v>0</v>
      </c>
      <c r="T72" s="246">
        <v>0</v>
      </c>
      <c r="U72" s="246">
        <v>0</v>
      </c>
      <c r="V72" s="246">
        <v>0.1</v>
      </c>
      <c r="W72" s="257">
        <f>SUM(V056_20[[#This Row],[MPAL2]:[GI]])</f>
        <v>0.1</v>
      </c>
      <c r="X72" s="246"/>
      <c r="Y72" s="282">
        <f>(Y71-V056_20[[#This Row],[TOTAL]])+V056_20[[#This Row],[FAENA2]]</f>
        <v>81.800000000000026</v>
      </c>
      <c r="Z72" s="245"/>
      <c r="AA72" s="246"/>
      <c r="AB72" s="320">
        <f>(AB71-V056_20[[#This Row],[CYLINDER MP]])+V056_20[[#This Row],[FAENA EN LTS]]</f>
        <v>100</v>
      </c>
      <c r="AC72" s="246"/>
      <c r="AD72" s="246"/>
      <c r="AE72" s="320">
        <f>(AE71-V056_20[[#This Row],[CARTER MP.]])+V056_20[[#This Row],[FAENA EN LTS2]]</f>
        <v>100</v>
      </c>
      <c r="AF72" s="246"/>
      <c r="AG72" s="246"/>
      <c r="AH72" s="320">
        <f>(AH71-V056_20[[#This Row],[MOT AUX]])+V056_20[[#This Row],[FAENA EN  LTS]]</f>
        <v>100</v>
      </c>
      <c r="AI72" s="246"/>
      <c r="AJ72" s="246"/>
      <c r="AK72" s="321">
        <f>(AK71-V056_20[[#This Row],[HIDRAULICO]])+V056_20[[#This Row],[FAENA EN LTS3]]</f>
        <v>100</v>
      </c>
    </row>
    <row r="73" spans="1:37" x14ac:dyDescent="0.25">
      <c r="A73" s="235" t="s">
        <v>152</v>
      </c>
      <c r="B73" s="236">
        <v>43918</v>
      </c>
      <c r="C73" s="237">
        <v>0.47916666666666669</v>
      </c>
      <c r="D73" s="246">
        <f>IF(V056_20[[#This Row],[FECHA]]-B72=1,((V056_20[[#This Row],[HORA]]-C72)*24)+24,(V056_20[[#This Row],[HORA]]-C72)*24)</f>
        <v>2.5000000000000004</v>
      </c>
      <c r="E73" s="239" t="s">
        <v>49</v>
      </c>
      <c r="F73" s="240" t="s">
        <v>46</v>
      </c>
      <c r="G73" s="324"/>
      <c r="H73" s="306"/>
      <c r="I73" s="259">
        <f>IF(ISERROR(V053_20[[#This Row],[DISTANCIA POR CARTA]]/V053_20[[#This Row],[TIEMPO DE NAVEGACION]]),0,V053_20[[#This Row],[DISTANCIA POR CARTA]]/V053_20[[#This Row],[TIEMPO DE NAVEGACION]])</f>
        <v>0</v>
      </c>
      <c r="J73" s="242"/>
      <c r="K73" s="325"/>
      <c r="L73" s="245">
        <v>0</v>
      </c>
      <c r="M73" s="246">
        <v>0.26041666666666674</v>
      </c>
      <c r="N73" s="246">
        <v>0.20833333333333337</v>
      </c>
      <c r="O73" s="257">
        <f>SUM(V056_20[[#This Row],[MPAL]:[CALDERA]])</f>
        <v>0.46875000000000011</v>
      </c>
      <c r="P73" s="319"/>
      <c r="Q73" s="270">
        <f>(Q72-V056_20[[#This Row],[TOTAL ]])+V056_20[[#This Row],[FAENA]]</f>
        <v>405.36277777777781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SUM(V056_20[[#This Row],[MPAL2]:[GI]])</f>
        <v>0</v>
      </c>
      <c r="X73" s="246"/>
      <c r="Y73" s="282">
        <f>(Y72-V056_20[[#This Row],[TOTAL]])+V056_20[[#This Row],[FAENA2]]</f>
        <v>81.800000000000026</v>
      </c>
      <c r="Z73" s="245"/>
      <c r="AA73" s="246"/>
      <c r="AB73" s="320">
        <f>(AB72-V056_20[[#This Row],[CYLINDER MP]])+V056_20[[#This Row],[FAENA EN LTS]]</f>
        <v>100</v>
      </c>
      <c r="AC73" s="246"/>
      <c r="AD73" s="246"/>
      <c r="AE73" s="320">
        <f>(AE72-V056_20[[#This Row],[CARTER MP.]])+V056_20[[#This Row],[FAENA EN LTS2]]</f>
        <v>100</v>
      </c>
      <c r="AF73" s="246"/>
      <c r="AG73" s="246"/>
      <c r="AH73" s="320">
        <f>(AH72-V056_20[[#This Row],[MOT AUX]])+V056_20[[#This Row],[FAENA EN  LTS]]</f>
        <v>100</v>
      </c>
      <c r="AI73" s="246"/>
      <c r="AJ73" s="246"/>
      <c r="AK73" s="321">
        <f>(AK72-V056_20[[#This Row],[HIDRAULICO]])+V056_20[[#This Row],[FAENA EN LTS3]]</f>
        <v>100</v>
      </c>
    </row>
    <row r="74" spans="1:37" x14ac:dyDescent="0.25">
      <c r="A74" s="235" t="s">
        <v>152</v>
      </c>
      <c r="B74" s="236">
        <v>43918</v>
      </c>
      <c r="C74" s="237">
        <v>0.5625</v>
      </c>
      <c r="D74" s="246">
        <f>IF(V056_20[[#This Row],[FECHA]]-B73=1,((V056_20[[#This Row],[HORA]]-C73)*24)+24,(V056_20[[#This Row],[HORA]]-C73)*24)</f>
        <v>1.9999999999999996</v>
      </c>
      <c r="E74" s="239" t="s">
        <v>47</v>
      </c>
      <c r="F74" s="240" t="s">
        <v>60</v>
      </c>
      <c r="G74" s="324"/>
      <c r="H74" s="306"/>
      <c r="I74" s="259">
        <f>IF(ISERROR(V053_20[[#This Row],[DISTANCIA POR CARTA]]/V053_20[[#This Row],[TIEMPO DE NAVEGACION]]),0,V053_20[[#This Row],[DISTANCIA POR CARTA]]/V053_20[[#This Row],[TIEMPO DE NAVEGACION]])</f>
        <v>0</v>
      </c>
      <c r="J74" s="242" t="s">
        <v>54</v>
      </c>
      <c r="K74" s="325">
        <v>95</v>
      </c>
      <c r="L74" s="245">
        <v>0.16666666666666663</v>
      </c>
      <c r="M74" s="246">
        <v>0.20833333333333329</v>
      </c>
      <c r="N74" s="246">
        <v>0.16666666666666663</v>
      </c>
      <c r="O74" s="257">
        <f>SUM(V056_20[[#This Row],[MPAL]:[CALDERA]])</f>
        <v>0.54166666666666652</v>
      </c>
      <c r="P74" s="319"/>
      <c r="Q74" s="270">
        <f>(Q73-V056_20[[#This Row],[TOTAL ]])+V056_20[[#This Row],[FAENA]]</f>
        <v>404.82111111111112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SUM(V056_20[[#This Row],[MPAL2]:[GI]])</f>
        <v>0</v>
      </c>
      <c r="X74" s="246"/>
      <c r="Y74" s="282">
        <f>(Y73-V056_20[[#This Row],[TOTAL]])+V056_20[[#This Row],[FAENA2]]</f>
        <v>81.800000000000026</v>
      </c>
      <c r="Z74" s="245"/>
      <c r="AA74" s="246"/>
      <c r="AB74" s="320">
        <f>(AB73-V056_20[[#This Row],[CYLINDER MP]])+V056_20[[#This Row],[FAENA EN LTS]]</f>
        <v>100</v>
      </c>
      <c r="AC74" s="246"/>
      <c r="AD74" s="246"/>
      <c r="AE74" s="320">
        <f>(AE73-V056_20[[#This Row],[CARTER MP.]])+V056_20[[#This Row],[FAENA EN LTS2]]</f>
        <v>100</v>
      </c>
      <c r="AF74" s="246"/>
      <c r="AG74" s="246"/>
      <c r="AH74" s="320">
        <f>(AH73-V056_20[[#This Row],[MOT AUX]])+V056_20[[#This Row],[FAENA EN  LTS]]</f>
        <v>100</v>
      </c>
      <c r="AI74" s="246"/>
      <c r="AJ74" s="246"/>
      <c r="AK74" s="321">
        <f>(AK73-V056_20[[#This Row],[HIDRAULICO]])+V056_20[[#This Row],[FAENA EN LTS3]]</f>
        <v>100</v>
      </c>
    </row>
    <row r="75" spans="1:37" x14ac:dyDescent="0.25">
      <c r="A75" s="235" t="s">
        <v>152</v>
      </c>
      <c r="B75" s="236">
        <v>43919</v>
      </c>
      <c r="C75" s="237">
        <v>0.33333333333333331</v>
      </c>
      <c r="D75" s="246">
        <f>IF(V056_20[[#This Row],[FECHA]]-B74=1,((V056_20[[#This Row],[HORA]]-C74)*24)+24,(V056_20[[#This Row],[HORA]]-C74)*24)</f>
        <v>18.5</v>
      </c>
      <c r="E75" s="239" t="s">
        <v>61</v>
      </c>
      <c r="F75" s="240" t="s">
        <v>56</v>
      </c>
      <c r="G75" s="324"/>
      <c r="H75" s="306"/>
      <c r="I75" s="259">
        <f>IF(ISERROR(V053_20[[#This Row],[DISTANCIA POR CARTA]]/V053_20[[#This Row],[TIEMPO DE NAVEGACION]]),0,V053_20[[#This Row],[DISTANCIA POR CARTA]]/V053_20[[#This Row],[TIEMPO DE NAVEGACION]])</f>
        <v>0</v>
      </c>
      <c r="J75" s="242" t="s">
        <v>54</v>
      </c>
      <c r="K75" s="325">
        <v>95</v>
      </c>
      <c r="L75" s="245">
        <v>16.958333333333332</v>
      </c>
      <c r="M75" s="246">
        <v>1.9270833333333335</v>
      </c>
      <c r="N75" s="246">
        <v>0</v>
      </c>
      <c r="O75" s="257">
        <f>SUM(V056_20[[#This Row],[MPAL]:[CALDERA]])</f>
        <v>18.885416666666664</v>
      </c>
      <c r="P75" s="319"/>
      <c r="Q75" s="270">
        <f>(Q74-V056_20[[#This Row],[TOTAL ]])+V056_20[[#This Row],[FAENA]]</f>
        <v>385.93569444444444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57">
        <f>SUM(V056_20[[#This Row],[MPAL2]:[GI]])</f>
        <v>0</v>
      </c>
      <c r="X75" s="246"/>
      <c r="Y75" s="282">
        <f>(Y74-V056_20[[#This Row],[TOTAL]])+V056_20[[#This Row],[FAENA2]]</f>
        <v>81.800000000000026</v>
      </c>
      <c r="Z75" s="245"/>
      <c r="AA75" s="246"/>
      <c r="AB75" s="320">
        <f>(AB74-V056_20[[#This Row],[CYLINDER MP]])+V056_20[[#This Row],[FAENA EN LTS]]</f>
        <v>100</v>
      </c>
      <c r="AC75" s="246"/>
      <c r="AD75" s="246"/>
      <c r="AE75" s="320">
        <f>(AE74-V056_20[[#This Row],[CARTER MP.]])+V056_20[[#This Row],[FAENA EN LTS2]]</f>
        <v>100</v>
      </c>
      <c r="AF75" s="246"/>
      <c r="AG75" s="246"/>
      <c r="AH75" s="320">
        <f>(AH74-V056_20[[#This Row],[MOT AUX]])+V056_20[[#This Row],[FAENA EN  LTS]]</f>
        <v>100</v>
      </c>
      <c r="AI75" s="246"/>
      <c r="AJ75" s="246"/>
      <c r="AK75" s="321">
        <f>(AK74-V056_20[[#This Row],[HIDRAULICO]])+V056_20[[#This Row],[FAENA EN LTS3]]</f>
        <v>100</v>
      </c>
    </row>
    <row r="76" spans="1:37" x14ac:dyDescent="0.25">
      <c r="A76" s="235" t="s">
        <v>152</v>
      </c>
      <c r="B76" s="236">
        <v>43919</v>
      </c>
      <c r="C76" s="237">
        <v>0.60416666666666663</v>
      </c>
      <c r="D76" s="246">
        <f>IF(V056_20[[#This Row],[FECHA]]-B75=1,((V056_20[[#This Row],[HORA]]-C75)*24)+24,(V056_20[[#This Row],[HORA]]-C75)*24)</f>
        <v>6.5</v>
      </c>
      <c r="E76" s="239" t="s">
        <v>61</v>
      </c>
      <c r="F76" s="240" t="s">
        <v>62</v>
      </c>
      <c r="G76" s="324">
        <v>265</v>
      </c>
      <c r="H76" s="306">
        <v>25</v>
      </c>
      <c r="I76" s="259">
        <f>IF(ISERROR(V053_20[[#This Row],[DISTANCIA POR CARTA]]/V053_20[[#This Row],[TIEMPO DE NAVEGACION]]),0,V053_20[[#This Row],[DISTANCIA POR CARTA]]/V053_20[[#This Row],[TIEMPO DE NAVEGACION]])</f>
        <v>0</v>
      </c>
      <c r="J76" s="242" t="s">
        <v>54</v>
      </c>
      <c r="K76" s="325">
        <v>95</v>
      </c>
      <c r="L76" s="245">
        <v>5.958333333333333</v>
      </c>
      <c r="M76" s="246">
        <v>0.67708333333333337</v>
      </c>
      <c r="N76" s="246">
        <v>0</v>
      </c>
      <c r="O76" s="257">
        <f>SUM(V056_20[[#This Row],[MPAL]:[CALDERA]])</f>
        <v>6.6354166666666661</v>
      </c>
      <c r="P76" s="319"/>
      <c r="Q76" s="270">
        <f>(Q75-V056_20[[#This Row],[TOTAL ]])+V056_20[[#This Row],[FAENA]]</f>
        <v>379.30027777777775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57">
        <f>SUM(V056_20[[#This Row],[MPAL2]:[GI]])</f>
        <v>0</v>
      </c>
      <c r="X76" s="246"/>
      <c r="Y76" s="282">
        <f>(Y75-V056_20[[#This Row],[TOTAL]])+V056_20[[#This Row],[FAENA2]]</f>
        <v>81.800000000000026</v>
      </c>
      <c r="Z76" s="245"/>
      <c r="AA76" s="246"/>
      <c r="AB76" s="320">
        <f>(AB75-V056_20[[#This Row],[CYLINDER MP]])+V056_20[[#This Row],[FAENA EN LTS]]</f>
        <v>100</v>
      </c>
      <c r="AC76" s="246"/>
      <c r="AD76" s="246"/>
      <c r="AE76" s="320">
        <f>(AE75-V056_20[[#This Row],[CARTER MP.]])+V056_20[[#This Row],[FAENA EN LTS2]]</f>
        <v>100</v>
      </c>
      <c r="AF76" s="246"/>
      <c r="AG76" s="246"/>
      <c r="AH76" s="320">
        <f>(AH75-V056_20[[#This Row],[MOT AUX]])+V056_20[[#This Row],[FAENA EN  LTS]]</f>
        <v>100</v>
      </c>
      <c r="AI76" s="246"/>
      <c r="AJ76" s="246"/>
      <c r="AK76" s="321">
        <f>(AK75-V056_20[[#This Row],[HIDRAULICO]])+V056_20[[#This Row],[FAENA EN LTS3]]</f>
        <v>100</v>
      </c>
    </row>
    <row r="77" spans="1:37" x14ac:dyDescent="0.25">
      <c r="D77" s="132">
        <f>SUBTOTAL(109,V056_20[TIEMPO Hrs])</f>
        <v>643.30000000000007</v>
      </c>
      <c r="L77" s="68">
        <f>SUBTOTAL(109,V056_20[MPAL])</f>
        <v>152.77222222222221</v>
      </c>
      <c r="M77" s="68">
        <f>SUBTOTAL(109,V056_20[AUX.])</f>
        <v>64.323333333333352</v>
      </c>
      <c r="N77" s="68">
        <f>SUBTOTAL(109,V056_20[CALDERA])</f>
        <v>35.50416666666667</v>
      </c>
    </row>
    <row r="78" spans="1:37" x14ac:dyDescent="0.25">
      <c r="O78" s="67">
        <f>SUM(L77:N77)</f>
        <v>252.59972222222223</v>
      </c>
    </row>
    <row r="79" spans="1:37" ht="19.5" thickBot="1" x14ac:dyDescent="0.35">
      <c r="C79" s="69" t="s">
        <v>187</v>
      </c>
      <c r="D79" s="69"/>
      <c r="E79" s="69"/>
      <c r="F79" s="69"/>
      <c r="G79" s="69"/>
      <c r="N79" s="69"/>
      <c r="O79" s="69"/>
      <c r="S79" s="70" t="s">
        <v>188</v>
      </c>
    </row>
    <row r="80" spans="1:37" ht="19.5" thickBot="1" x14ac:dyDescent="0.35">
      <c r="C80" s="69"/>
      <c r="D80" s="69"/>
      <c r="E80" s="69"/>
      <c r="F80" s="69"/>
      <c r="G80" s="69"/>
      <c r="N80" s="69"/>
      <c r="O80" s="69"/>
      <c r="S80" s="70"/>
    </row>
    <row r="81" spans="3:23" ht="45.75" thickBot="1" x14ac:dyDescent="0.3">
      <c r="C81" s="71" t="s">
        <v>11</v>
      </c>
      <c r="D81" s="71" t="s">
        <v>90</v>
      </c>
      <c r="E81" s="72" t="s">
        <v>91</v>
      </c>
      <c r="F81" s="72" t="s">
        <v>92</v>
      </c>
      <c r="G81" s="72" t="s">
        <v>93</v>
      </c>
      <c r="H81" s="71" t="s">
        <v>94</v>
      </c>
      <c r="I81" s="71" t="s">
        <v>95</v>
      </c>
      <c r="J81" s="71" t="s">
        <v>96</v>
      </c>
      <c r="K81" s="71" t="s">
        <v>97</v>
      </c>
      <c r="L81" s="71" t="s">
        <v>98</v>
      </c>
      <c r="M81" s="377" t="s">
        <v>99</v>
      </c>
      <c r="N81" s="75" t="s">
        <v>100</v>
      </c>
      <c r="R81" s="111" t="s">
        <v>101</v>
      </c>
      <c r="S81" s="111" t="s">
        <v>94</v>
      </c>
      <c r="T81" s="111" t="s">
        <v>102</v>
      </c>
      <c r="U81" s="111" t="s">
        <v>96</v>
      </c>
      <c r="V81" s="111" t="s">
        <v>103</v>
      </c>
      <c r="W81" s="111" t="s">
        <v>104</v>
      </c>
    </row>
    <row r="82" spans="3:23" x14ac:dyDescent="0.25">
      <c r="C82" s="77" t="s">
        <v>71</v>
      </c>
      <c r="D82" s="376">
        <f>SUMIF($E$6:$E$76,C82,$D$6:$D$76)</f>
        <v>47.199999999999996</v>
      </c>
      <c r="E82" s="279"/>
      <c r="F82" s="288"/>
      <c r="G82" s="137"/>
      <c r="H82" s="84">
        <f>SUMIF($E$6:$E$76,C82,$L$6:$L$76)+SUMIF($E$6:$E$76,C82,$M$6:$M$76)+SUMIF($E$6:$E$76,C82,$N$6:$N$76)</f>
        <v>8.85</v>
      </c>
      <c r="I82" s="139">
        <f t="shared" ref="I82:I89" si="0">IF(ISERROR(H82*24/D82),0,H82*24/D82)</f>
        <v>4.5</v>
      </c>
      <c r="J82" s="137">
        <v>4.5</v>
      </c>
      <c r="K82" s="80"/>
      <c r="L82" s="38">
        <f>D82*J82/24</f>
        <v>8.85</v>
      </c>
      <c r="M82" s="80">
        <f t="shared" ref="M82:M89" si="1">L82-H82</f>
        <v>0</v>
      </c>
      <c r="N82" s="86"/>
      <c r="Q82" s="82"/>
      <c r="R82" s="83" t="s">
        <v>105</v>
      </c>
      <c r="S82" s="228">
        <f>SUM(V5:V76)</f>
        <v>25.000000000000004</v>
      </c>
      <c r="T82" s="84">
        <f>S82*24/($D$83+$D$89)</f>
        <v>5.8708414872798445</v>
      </c>
      <c r="U82" s="84">
        <v>6</v>
      </c>
      <c r="V82" s="85">
        <f>($D$83+$D$89)*U82/24</f>
        <v>25.55</v>
      </c>
      <c r="W82" s="86">
        <f>V82-S82</f>
        <v>0.54999999999999716</v>
      </c>
    </row>
    <row r="83" spans="3:23" x14ac:dyDescent="0.25">
      <c r="C83" s="87" t="s">
        <v>51</v>
      </c>
      <c r="D83" s="264">
        <f t="shared" ref="D83:D89" si="2">SUMIF($E$6:$E$76,C83,$D$6:$D$76)</f>
        <v>67.5</v>
      </c>
      <c r="E83" s="264"/>
      <c r="F83" s="289"/>
      <c r="G83" s="139"/>
      <c r="H83" s="88">
        <f t="shared" ref="H83:H89" si="3">SUMIF($E$6:$E$76,C83,$L$6:$L$76)+SUMIF($E$6:$E$76,C83,$M$6:$M$76)+SUMIF($E$6:$E$76,C83,$N$6:$N$76)</f>
        <v>12.564583333333333</v>
      </c>
      <c r="I83" s="139">
        <f t="shared" si="0"/>
        <v>4.4674074074074079</v>
      </c>
      <c r="J83" s="139">
        <v>4.5</v>
      </c>
      <c r="K83" s="88"/>
      <c r="L83" s="37">
        <f t="shared" ref="L83:L89" si="4">D83*J83/24</f>
        <v>12.65625</v>
      </c>
      <c r="M83" s="88">
        <f t="shared" si="1"/>
        <v>9.1666666666666785E-2</v>
      </c>
      <c r="N83" s="121"/>
      <c r="R83" s="90" t="s">
        <v>106</v>
      </c>
      <c r="S83" s="286">
        <f>SUM(S5:S76)</f>
        <v>0</v>
      </c>
      <c r="T83" s="84">
        <f>S83*24/($D$83+$D$89)</f>
        <v>0</v>
      </c>
      <c r="U83" s="88"/>
      <c r="V83" s="88"/>
      <c r="W83" s="121"/>
    </row>
    <row r="84" spans="3:23" x14ac:dyDescent="0.25">
      <c r="C84" s="87" t="s">
        <v>61</v>
      </c>
      <c r="D84" s="264">
        <f t="shared" si="2"/>
        <v>25</v>
      </c>
      <c r="E84" s="264">
        <f>SUMIF($E$6:$E$76,C84,$G$6:$G$76)</f>
        <v>265</v>
      </c>
      <c r="F84" s="289">
        <f>E84/D84</f>
        <v>10.6</v>
      </c>
      <c r="G84" s="139">
        <v>12.5</v>
      </c>
      <c r="H84" s="88">
        <f t="shared" si="3"/>
        <v>25.520833333333332</v>
      </c>
      <c r="I84" s="139">
        <f t="shared" si="0"/>
        <v>24.5</v>
      </c>
      <c r="J84" s="139">
        <v>30.5</v>
      </c>
      <c r="K84" s="88">
        <f>E84/G84</f>
        <v>21.2</v>
      </c>
      <c r="L84" s="37">
        <f>K84*J84/24</f>
        <v>26.941666666666666</v>
      </c>
      <c r="M84" s="88">
        <f t="shared" si="1"/>
        <v>1.4208333333333343</v>
      </c>
      <c r="N84" s="121">
        <f>K84-D84</f>
        <v>-3.8000000000000007</v>
      </c>
      <c r="R84" s="90" t="s">
        <v>20</v>
      </c>
      <c r="S84" s="286">
        <f>SUM(T5:T76)</f>
        <v>0</v>
      </c>
      <c r="T84" s="84">
        <f>S84*24/($D$83+$D$89)</f>
        <v>0</v>
      </c>
      <c r="U84" s="88"/>
      <c r="V84" s="88"/>
      <c r="W84" s="121"/>
    </row>
    <row r="85" spans="3:23" x14ac:dyDescent="0.25">
      <c r="C85" s="87" t="s">
        <v>55</v>
      </c>
      <c r="D85" s="264">
        <f t="shared" si="2"/>
        <v>134.10000000000002</v>
      </c>
      <c r="E85" s="264">
        <f>SUMIF($E$6:$E$76,C85,$G$6:$G$76)</f>
        <v>1338</v>
      </c>
      <c r="F85" s="289">
        <f>E85/D85</f>
        <v>9.977628635346754</v>
      </c>
      <c r="G85" s="139">
        <v>12</v>
      </c>
      <c r="H85" s="88">
        <f t="shared" si="3"/>
        <v>140.96041666666667</v>
      </c>
      <c r="I85" s="139">
        <f t="shared" si="0"/>
        <v>25.227815063385531</v>
      </c>
      <c r="J85" s="139">
        <v>30.5</v>
      </c>
      <c r="K85" s="88">
        <f>E85/G85</f>
        <v>111.5</v>
      </c>
      <c r="L85" s="37">
        <f>K85*J85/24</f>
        <v>141.69791666666666</v>
      </c>
      <c r="M85" s="88">
        <f t="shared" si="1"/>
        <v>0.73749999999998295</v>
      </c>
      <c r="N85" s="121">
        <f>K85-D85</f>
        <v>-22.600000000000023</v>
      </c>
      <c r="R85" s="90" t="s">
        <v>107</v>
      </c>
      <c r="S85" s="286">
        <f>SUM(U5:U76)</f>
        <v>0</v>
      </c>
      <c r="T85" s="84">
        <f>S85*24/($D$83+$D$89)</f>
        <v>0</v>
      </c>
      <c r="U85" s="88"/>
      <c r="V85" s="88"/>
      <c r="W85" s="121"/>
    </row>
    <row r="86" spans="3:23" ht="15.75" thickBot="1" x14ac:dyDescent="0.3">
      <c r="C86" s="87" t="s">
        <v>108</v>
      </c>
      <c r="D86" s="264">
        <f t="shared" si="2"/>
        <v>0</v>
      </c>
      <c r="E86" s="264">
        <f>SUMIF($E$6:$E$76,C86,$G$6:$G$76)</f>
        <v>0</v>
      </c>
      <c r="F86" s="289">
        <f>IF(ISERROR(E86/D86),0,E86/D86)</f>
        <v>0</v>
      </c>
      <c r="G86" s="139">
        <v>12</v>
      </c>
      <c r="H86" s="88">
        <f t="shared" si="3"/>
        <v>0</v>
      </c>
      <c r="I86" s="139">
        <f>IF(ISERROR(H86*24/D86),0,H86*24/D86)</f>
        <v>0</v>
      </c>
      <c r="J86" s="139">
        <v>31.5</v>
      </c>
      <c r="K86" s="88">
        <f>E86/G86</f>
        <v>0</v>
      </c>
      <c r="L86" s="37">
        <f>K86*J86/24</f>
        <v>0</v>
      </c>
      <c r="M86" s="88">
        <f t="shared" si="1"/>
        <v>0</v>
      </c>
      <c r="N86" s="121">
        <f>K86-D86</f>
        <v>0</v>
      </c>
      <c r="R86" s="92" t="s">
        <v>24</v>
      </c>
      <c r="S86" s="287">
        <f>SUM(R5:R76)</f>
        <v>0</v>
      </c>
      <c r="T86" s="84">
        <f>S86*24/($D$83+$D$89)</f>
        <v>0</v>
      </c>
      <c r="U86" s="98"/>
      <c r="V86" s="98"/>
      <c r="W86" s="122"/>
    </row>
    <row r="87" spans="3:23" x14ac:dyDescent="0.25">
      <c r="C87" s="87" t="s">
        <v>45</v>
      </c>
      <c r="D87" s="264">
        <f t="shared" si="2"/>
        <v>315</v>
      </c>
      <c r="E87" s="264"/>
      <c r="F87" s="289"/>
      <c r="G87" s="139"/>
      <c r="H87" s="88">
        <f t="shared" si="3"/>
        <v>51.656666666666666</v>
      </c>
      <c r="I87" s="139">
        <f t="shared" si="0"/>
        <v>3.9357460317460315</v>
      </c>
      <c r="J87" s="139">
        <v>4.5</v>
      </c>
      <c r="K87" s="88"/>
      <c r="L87" s="37">
        <f t="shared" si="4"/>
        <v>59.0625</v>
      </c>
      <c r="M87" s="88">
        <f t="shared" si="1"/>
        <v>7.4058333333333337</v>
      </c>
      <c r="N87" s="121"/>
      <c r="S87" s="68"/>
      <c r="T87" s="143"/>
      <c r="U87" s="68"/>
      <c r="V87" s="68"/>
      <c r="W87" s="68"/>
    </row>
    <row r="88" spans="3:23" x14ac:dyDescent="0.25">
      <c r="C88" s="87" t="s">
        <v>47</v>
      </c>
      <c r="D88" s="264">
        <f t="shared" si="2"/>
        <v>19.8</v>
      </c>
      <c r="E88" s="264"/>
      <c r="F88" s="289"/>
      <c r="G88" s="139"/>
      <c r="H88" s="88">
        <f t="shared" si="3"/>
        <v>6.540972222222222</v>
      </c>
      <c r="I88" s="139">
        <f t="shared" si="0"/>
        <v>7.9284511784511773</v>
      </c>
      <c r="J88" s="139">
        <v>4.5</v>
      </c>
      <c r="K88" s="88"/>
      <c r="L88" s="37">
        <f t="shared" si="4"/>
        <v>3.7125000000000004</v>
      </c>
      <c r="M88" s="88">
        <f t="shared" si="1"/>
        <v>-2.8284722222222216</v>
      </c>
      <c r="N88" s="121"/>
      <c r="S88" s="68"/>
      <c r="T88" s="68"/>
      <c r="U88" s="68"/>
      <c r="V88" s="68"/>
      <c r="W88" s="68"/>
    </row>
    <row r="89" spans="3:23" ht="15.75" thickBot="1" x14ac:dyDescent="0.3">
      <c r="C89" s="97" t="s">
        <v>49</v>
      </c>
      <c r="D89" s="290">
        <f t="shared" si="2"/>
        <v>34.700000000000003</v>
      </c>
      <c r="E89" s="290"/>
      <c r="F89" s="291"/>
      <c r="G89" s="140"/>
      <c r="H89" s="98">
        <f t="shared" si="3"/>
        <v>6.5062500000000005</v>
      </c>
      <c r="I89" s="141">
        <f t="shared" si="0"/>
        <v>4.5</v>
      </c>
      <c r="J89" s="141">
        <v>4.5</v>
      </c>
      <c r="K89" s="98"/>
      <c r="L89" s="99">
        <f t="shared" si="4"/>
        <v>6.5062500000000005</v>
      </c>
      <c r="M89" s="98">
        <f t="shared" si="1"/>
        <v>0</v>
      </c>
      <c r="N89" s="122"/>
      <c r="O89" s="68"/>
      <c r="S89" s="68"/>
      <c r="T89" s="68"/>
      <c r="U89" s="68"/>
      <c r="V89" s="68"/>
      <c r="W89" s="68"/>
    </row>
    <row r="90" spans="3:23" ht="15.75" thickBot="1" x14ac:dyDescent="0.3">
      <c r="C90" s="124"/>
      <c r="D90" s="327"/>
      <c r="E90" s="292"/>
      <c r="F90" s="293"/>
      <c r="G90" s="134"/>
      <c r="H90" s="328"/>
      <c r="I90" s="144"/>
      <c r="J90" s="144"/>
      <c r="K90" s="68"/>
      <c r="L90" s="102"/>
      <c r="M90" s="68"/>
      <c r="N90" s="145"/>
      <c r="O90" s="68"/>
      <c r="S90" s="68"/>
      <c r="T90" s="68"/>
      <c r="U90" s="68"/>
      <c r="V90" s="68"/>
      <c r="W90" s="68"/>
    </row>
    <row r="91" spans="3:23" ht="15.75" thickBot="1" x14ac:dyDescent="0.3">
      <c r="C91" s="103" t="s">
        <v>29</v>
      </c>
      <c r="D91" s="284">
        <f>SUM(D82:D89)</f>
        <v>643.29999999999995</v>
      </c>
      <c r="E91" s="284">
        <f>SUM(E82:E88)</f>
        <v>1603</v>
      </c>
      <c r="F91" s="284">
        <f>SUM(F82:F88)/2</f>
        <v>10.288814317673378</v>
      </c>
      <c r="H91" s="101">
        <f>SUM(H82:H89)</f>
        <v>252.59972222222223</v>
      </c>
      <c r="K91" s="142"/>
      <c r="L91" s="104">
        <f>SUM(L82:L89)</f>
        <v>259.42708333333331</v>
      </c>
      <c r="M91" s="101">
        <f>SUM(M82:M89)</f>
        <v>6.8273611111110961</v>
      </c>
      <c r="N91" s="101">
        <f>SUM(N82:N89)</f>
        <v>-26.400000000000023</v>
      </c>
      <c r="R91" s="100" t="s">
        <v>29</v>
      </c>
      <c r="S91" s="101">
        <f>SUM(S82:S86)</f>
        <v>25.000000000000004</v>
      </c>
      <c r="T91" s="101">
        <f>SUM(T82:T86)</f>
        <v>5.8708414872798445</v>
      </c>
      <c r="U91" s="68"/>
      <c r="V91" s="68"/>
      <c r="W91" s="68"/>
    </row>
    <row r="100" spans="9:9" x14ac:dyDescent="0.25">
      <c r="I100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6" name="Rango14"/>
    <protectedRange sqref="AF6:AG76" name="Rango12"/>
    <protectedRange sqref="AC6:AD76" name="Rango10"/>
    <protectedRange sqref="Z6:AA76" name="Rango8"/>
    <protectedRange sqref="X6:X76" name="Rango6"/>
    <protectedRange sqref="R6:V76" name="Rango5"/>
    <protectedRange sqref="P6:P76" name="Rango3"/>
    <protectedRange sqref="E6:N76" name="Rango2"/>
    <protectedRange sqref="A6:C76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76">
    <cfRule type="cellIs" dxfId="1016" priority="2" operator="greaterThan">
      <formula>"S5"</formula>
    </cfRule>
  </conditionalFormatting>
  <conditionalFormatting sqref="I6:I76">
    <cfRule type="cellIs" dxfId="1015" priority="1" operator="greaterThan">
      <formula>0</formula>
    </cfRule>
  </conditionalFormatting>
  <dataValidations count="1">
    <dataValidation type="list" allowBlank="1" showInputMessage="1" showErrorMessage="1" sqref="E6:E76">
      <formula1>$C$77:$C$78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0"/>
  <dimension ref="A1:DX68"/>
  <sheetViews>
    <sheetView workbookViewId="0">
      <pane xSplit="6" ySplit="5" topLeftCell="W3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AK7" sqref="AK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43919</v>
      </c>
      <c r="C4" s="341">
        <v>0.60416666666666663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379.3</v>
      </c>
      <c r="R4" s="553" t="s">
        <v>183</v>
      </c>
      <c r="S4" s="554"/>
      <c r="T4" s="554"/>
      <c r="U4" s="554"/>
      <c r="V4" s="554"/>
      <c r="W4" s="554"/>
      <c r="X4" s="555"/>
      <c r="Y4" s="283">
        <v>81.8</v>
      </c>
      <c r="Z4" s="6"/>
      <c r="AA4" s="7" t="s">
        <v>184</v>
      </c>
      <c r="AB4" s="304">
        <v>2670</v>
      </c>
      <c r="AC4" s="9"/>
      <c r="AD4" s="7" t="s">
        <v>184</v>
      </c>
      <c r="AE4" s="304">
        <v>1900</v>
      </c>
      <c r="AG4" s="7" t="s">
        <v>184</v>
      </c>
      <c r="AH4" s="304">
        <v>2280</v>
      </c>
      <c r="AJ4" s="7" t="s">
        <v>184</v>
      </c>
      <c r="AK4" s="304">
        <v>1300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164</v>
      </c>
      <c r="B6" s="48">
        <v>43919</v>
      </c>
      <c r="C6" s="41">
        <v>0.625</v>
      </c>
      <c r="D6" s="37">
        <f>IF(V057_20[[#This Row],[FECHA]]-B4=1,((V057_20[[#This Row],[HORA]]-C4)*24)+24,(V057_20[[#This Row],[HORA]]-C4)*24)</f>
        <v>0.50000000000000089</v>
      </c>
      <c r="E6" s="250" t="s">
        <v>47</v>
      </c>
      <c r="F6" s="29" t="s">
        <v>48</v>
      </c>
      <c r="G6" s="322"/>
      <c r="H6" s="310"/>
      <c r="I6" s="355">
        <f>IF(ISERROR(V057_20[[#This Row],[DISTANCIA POR CARTA]]/V057_20[[#This Row],[TIEMPO DE NAVEGACION]]),0,V057_20[[#This Row],[DISTANCIA POR CARTA]]/V057_20[[#This Row],[TIEMPO DE NAVEGACION]])</f>
        <v>0</v>
      </c>
      <c r="J6" s="253"/>
      <c r="K6" s="323"/>
      <c r="L6" s="256">
        <v>0.04</v>
      </c>
      <c r="M6" s="257">
        <v>0.05</v>
      </c>
      <c r="N6" s="257">
        <v>0.04</v>
      </c>
      <c r="O6" s="359">
        <f>SUM(V057_20[[#This Row],[MPAL]:[CALDERA]])</f>
        <v>0.13</v>
      </c>
      <c r="P6" s="326"/>
      <c r="Q6" s="270">
        <f>(Q4 -V057_20[[#This Row],[TOTAL ]])+V057_20[FAENA]</f>
        <v>379.17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SUM(V057_20[[#This Row],[MPAL2]:[GI]])</f>
        <v>0</v>
      </c>
      <c r="X6" s="257">
        <v>0</v>
      </c>
      <c r="Y6" s="282">
        <f>(Y4-V057_20[[#This Row],[TOTAL]])+V057_20[[#This Row],[FAENA2]]</f>
        <v>81.8</v>
      </c>
      <c r="Z6" s="256"/>
      <c r="AA6" s="257"/>
      <c r="AB6" s="320">
        <f>(AB4-V057_20[[#This Row],[CYLINDER MP]])+V057_20[[#This Row],[FAENA EN LTS]]</f>
        <v>2670</v>
      </c>
      <c r="AC6" s="257"/>
      <c r="AD6" s="257"/>
      <c r="AE6" s="320">
        <f>(AE4-V057_20[[#This Row],[CARTER MP.]])+V057_20[[#This Row],[FAENA EN LTS2]]</f>
        <v>1900</v>
      </c>
      <c r="AF6" s="257"/>
      <c r="AG6" s="257"/>
      <c r="AH6" s="320">
        <f>(AH4-V057_20[[#This Row],[MOT AUX]])+V057_20[[#This Row],[FAENA EN  LTS]]</f>
        <v>2280</v>
      </c>
      <c r="AI6" s="257"/>
      <c r="AJ6" s="257"/>
      <c r="AK6" s="321">
        <f>(AK4-V057_20[[#This Row],[HIDRAULICO]])+V057_20[[#This Row],[FAENA EN LTS3]]</f>
        <v>1300</v>
      </c>
    </row>
    <row r="7" spans="1:37" s="127" customFormat="1" x14ac:dyDescent="0.25">
      <c r="A7" s="65" t="s">
        <v>164</v>
      </c>
      <c r="B7" s="40">
        <v>43920</v>
      </c>
      <c r="C7" s="351">
        <v>0.33333333333333331</v>
      </c>
      <c r="D7" s="37">
        <f>IF(V057_20[[#This Row],[FECHA]]-B6=1,((V057_20[[#This Row],[HORA]]-C6)*24)+24,(V057_20[[#This Row],[HORA]]-C6)*24)</f>
        <v>17</v>
      </c>
      <c r="E7" s="352" t="s">
        <v>45</v>
      </c>
      <c r="F7" s="29" t="s">
        <v>45</v>
      </c>
      <c r="G7" s="353"/>
      <c r="H7" s="354"/>
      <c r="I7" s="355">
        <f>IF(ISERROR(V057_20[[#This Row],[DISTANCIA POR CARTA]]/V057_20[[#This Row],[TIEMPO DE NAVEGACION]]),0,V057_20[[#This Row],[DISTANCIA POR CARTA]]/V057_20[[#This Row],[TIEMPO DE NAVEGACION]])</f>
        <v>0</v>
      </c>
      <c r="J7" s="356"/>
      <c r="K7" s="357"/>
      <c r="L7" s="358">
        <v>0</v>
      </c>
      <c r="M7" s="139">
        <v>1.56</v>
      </c>
      <c r="N7" s="139">
        <v>1.28</v>
      </c>
      <c r="O7" s="359">
        <f>SUM(V057_20[[#This Row],[MPAL]:[CALDERA]])</f>
        <v>2.84</v>
      </c>
      <c r="P7" s="360"/>
      <c r="Q7" s="270">
        <f>(Q6 -V057_20[[#This Row],[TOTAL ]])+V057_20[FAENA]</f>
        <v>376.33000000000004</v>
      </c>
      <c r="R7" s="358">
        <v>0</v>
      </c>
      <c r="S7" s="139">
        <v>0</v>
      </c>
      <c r="T7" s="139">
        <v>0</v>
      </c>
      <c r="U7" s="139">
        <v>0</v>
      </c>
      <c r="V7" s="139">
        <v>0</v>
      </c>
      <c r="W7" s="359">
        <f>SUM(V057_20[[#This Row],[MPAL2]:[GI]])</f>
        <v>0</v>
      </c>
      <c r="X7" s="139">
        <v>0</v>
      </c>
      <c r="Y7" s="361">
        <f>(Y6-V057_20[[#This Row],[TOTAL]])+V057_20[[#This Row],[FAENA2]]</f>
        <v>81.8</v>
      </c>
      <c r="Z7" s="358"/>
      <c r="AA7" s="139"/>
      <c r="AB7" s="320">
        <f>(AB6-V057_20[[#This Row],[CYLINDER MP]])+V057_20[[#This Row],[FAENA EN LTS]]</f>
        <v>2670</v>
      </c>
      <c r="AC7" s="139"/>
      <c r="AD7" s="139"/>
      <c r="AE7" s="320">
        <f>(AE6-V057_20[[#This Row],[CARTER MP.]])+V057_20[[#This Row],[FAENA EN LTS2]]</f>
        <v>1900</v>
      </c>
      <c r="AF7" s="139"/>
      <c r="AG7" s="139"/>
      <c r="AH7" s="320">
        <f>(AH6-V057_20[[#This Row],[MOT AUX]])+V057_20[[#This Row],[FAENA EN  LTS]]</f>
        <v>2280</v>
      </c>
      <c r="AI7" s="139"/>
      <c r="AJ7" s="139"/>
      <c r="AK7" s="321">
        <f>(AK6-V057_20[[#This Row],[HIDRAULICO]])+V057_20[[#This Row],[FAENA EN LTS3]]</f>
        <v>1300</v>
      </c>
    </row>
    <row r="8" spans="1:37" s="373" customFormat="1" x14ac:dyDescent="0.25">
      <c r="A8" s="131" t="s">
        <v>164</v>
      </c>
      <c r="B8" s="27">
        <v>43921</v>
      </c>
      <c r="C8" s="362">
        <v>0.33333333333333331</v>
      </c>
      <c r="D8" s="37">
        <f>IF(V057_20[[#This Row],[FECHA]]-B7=1,((V057_20[[#This Row],[HORA]]-C7)*24)+24,(V057_20[[#This Row],[HORA]]-C7)*24)</f>
        <v>24</v>
      </c>
      <c r="E8" s="364" t="s">
        <v>45</v>
      </c>
      <c r="F8" s="29" t="s">
        <v>45</v>
      </c>
      <c r="G8" s="365"/>
      <c r="H8" s="366"/>
      <c r="I8" s="355">
        <f>IF(ISERROR(V057_20[[#This Row],[DISTANCIA POR CARTA]]/V057_20[[#This Row],[TIEMPO DE NAVEGACION]]),0,V057_20[[#This Row],[DISTANCIA POR CARTA]]/V057_20[[#This Row],[TIEMPO DE NAVEGACION]])</f>
        <v>0</v>
      </c>
      <c r="J8" s="367"/>
      <c r="K8" s="368"/>
      <c r="L8" s="369">
        <v>0</v>
      </c>
      <c r="M8" s="363">
        <v>2.5</v>
      </c>
      <c r="N8" s="363">
        <v>2</v>
      </c>
      <c r="O8" s="370">
        <f>SUM(V057_20[[#This Row],[MPAL]:[CALDERA]])</f>
        <v>4.5</v>
      </c>
      <c r="P8" s="371"/>
      <c r="Q8" s="270">
        <f>(Q7 -V057_20[[#This Row],[TOTAL ]])+V057_20[FAENA]</f>
        <v>371.83000000000004</v>
      </c>
      <c r="R8" s="369">
        <v>0</v>
      </c>
      <c r="S8" s="363">
        <v>0</v>
      </c>
      <c r="T8" s="363">
        <v>0</v>
      </c>
      <c r="U8" s="363">
        <v>0</v>
      </c>
      <c r="V8" s="363">
        <v>0</v>
      </c>
      <c r="W8" s="370">
        <f>SUM(V057_20[[#This Row],[MPAL2]:[GI]])</f>
        <v>0</v>
      </c>
      <c r="X8" s="363">
        <v>0</v>
      </c>
      <c r="Y8" s="372">
        <f>(Y7-V057_20[[#This Row],[TOTAL]])+V057_20[[#This Row],[FAENA2]]</f>
        <v>81.8</v>
      </c>
      <c r="Z8" s="369"/>
      <c r="AA8" s="363">
        <v>2000</v>
      </c>
      <c r="AB8" s="320">
        <f>(AB7-V057_20[[#This Row],[CYLINDER MP]])+V057_20[[#This Row],[FAENA EN LTS]]</f>
        <v>4670</v>
      </c>
      <c r="AC8" s="363"/>
      <c r="AD8" s="363">
        <v>2400</v>
      </c>
      <c r="AE8" s="320">
        <f>(AE7-V057_20[[#This Row],[CARTER MP.]])+V057_20[[#This Row],[FAENA EN LTS2]]</f>
        <v>4300</v>
      </c>
      <c r="AF8" s="363"/>
      <c r="AG8" s="363">
        <v>2000</v>
      </c>
      <c r="AH8" s="320">
        <f>(AH7-V057_20[[#This Row],[MOT AUX]])+V057_20[[#This Row],[FAENA EN  LTS]]</f>
        <v>4280</v>
      </c>
      <c r="AI8" s="363"/>
      <c r="AJ8" s="363">
        <v>1400</v>
      </c>
      <c r="AK8" s="321">
        <f>(AK7-V057_20[[#This Row],[HIDRAULICO]])+V057_20[[#This Row],[FAENA EN LTS3]]</f>
        <v>2700</v>
      </c>
    </row>
    <row r="9" spans="1:37" x14ac:dyDescent="0.25">
      <c r="A9" s="235" t="s">
        <v>164</v>
      </c>
      <c r="B9" s="384">
        <v>43921</v>
      </c>
      <c r="C9" s="41">
        <v>0.65416666666666667</v>
      </c>
      <c r="D9" s="37">
        <f>IF(V057_20[[#This Row],[FECHA]]-B8=1,((V057_20[[#This Row],[HORA]]-C8)*24)+24,(V057_20[[#This Row],[HORA]]-C8)*24)</f>
        <v>7.7000000000000011</v>
      </c>
      <c r="E9" s="239" t="s">
        <v>45</v>
      </c>
      <c r="F9" s="29" t="s">
        <v>46</v>
      </c>
      <c r="G9" s="324"/>
      <c r="H9" s="306"/>
      <c r="I9" s="355">
        <f>IF(ISERROR(V057_20[[#This Row],[DISTANCIA POR CARTA]]/V057_20[[#This Row],[TIEMPO DE NAVEGACION]]),0,V057_20[[#This Row],[DISTANCIA POR CARTA]]/V057_20[[#This Row],[TIEMPO DE NAVEGACION]])</f>
        <v>0</v>
      </c>
      <c r="J9" s="242"/>
      <c r="K9" s="325"/>
      <c r="L9" s="245">
        <v>0</v>
      </c>
      <c r="M9" s="246">
        <v>0.8</v>
      </c>
      <c r="N9" s="246">
        <v>0.64</v>
      </c>
      <c r="O9" s="257">
        <f>SUM(V057_20[[#This Row],[MPAL]:[CALDERA]])</f>
        <v>1.44</v>
      </c>
      <c r="P9" s="319"/>
      <c r="Q9" s="270">
        <f>(Q8 -V057_20[[#This Row],[TOTAL ]])+V057_20[FAENA]</f>
        <v>370.39000000000004</v>
      </c>
      <c r="R9" s="245">
        <v>0</v>
      </c>
      <c r="S9" s="246">
        <v>0</v>
      </c>
      <c r="T9" s="246">
        <v>0</v>
      </c>
      <c r="U9" s="246">
        <v>0</v>
      </c>
      <c r="V9" s="246">
        <v>1.9</v>
      </c>
      <c r="W9" s="257">
        <f>SUM(V057_20[[#This Row],[MPAL2]:[GI]])</f>
        <v>1.9</v>
      </c>
      <c r="X9" s="246">
        <v>0</v>
      </c>
      <c r="Y9" s="282">
        <f>(Y8-V057_20[[#This Row],[TOTAL]])+V057_20[[#This Row],[FAENA2]]</f>
        <v>79.899999999999991</v>
      </c>
      <c r="Z9" s="245"/>
      <c r="AA9" s="246"/>
      <c r="AB9" s="320">
        <f>(AB8-V057_20[[#This Row],[CYLINDER MP]])+V057_20[[#This Row],[FAENA EN LTS]]</f>
        <v>4670</v>
      </c>
      <c r="AC9" s="246"/>
      <c r="AD9" s="246"/>
      <c r="AE9" s="320">
        <f>(AE8-V057_20[[#This Row],[CARTER MP.]])+V057_20[[#This Row],[FAENA EN LTS2]]</f>
        <v>4300</v>
      </c>
      <c r="AF9" s="246"/>
      <c r="AG9" s="246"/>
      <c r="AH9" s="320">
        <f>(AH8-V057_20[[#This Row],[MOT AUX]])+V057_20[[#This Row],[FAENA EN  LTS]]</f>
        <v>4280</v>
      </c>
      <c r="AI9" s="246"/>
      <c r="AJ9" s="246"/>
      <c r="AK9" s="321">
        <f>(AK8-V057_20[[#This Row],[HIDRAULICO]])+V057_20[[#This Row],[FAENA EN LTS3]]</f>
        <v>2700</v>
      </c>
    </row>
    <row r="10" spans="1:37" x14ac:dyDescent="0.25">
      <c r="A10" s="235" t="s">
        <v>164</v>
      </c>
      <c r="B10" s="384">
        <v>43921</v>
      </c>
      <c r="C10" s="41">
        <v>0.7416666666666667</v>
      </c>
      <c r="D10" s="37">
        <f>IF(V057_20[[#This Row],[FECHA]]-B9=1,((V057_20[[#This Row],[HORA]]-C9)*24)+24,(V057_20[[#This Row],[HORA]]-C9)*24)</f>
        <v>2.1000000000000005</v>
      </c>
      <c r="E10" s="239" t="s">
        <v>47</v>
      </c>
      <c r="F10" s="29" t="s">
        <v>48</v>
      </c>
      <c r="G10" s="324"/>
      <c r="H10" s="306"/>
      <c r="I10" s="355">
        <f>IF(ISERROR(V057_20[[#This Row],[DISTANCIA POR CARTA]]/V057_20[[#This Row],[TIEMPO DE NAVEGACION]]),0,V057_20[[#This Row],[DISTANCIA POR CARTA]]/V057_20[[#This Row],[TIEMPO DE NAVEGACION]])</f>
        <v>0</v>
      </c>
      <c r="J10" s="242"/>
      <c r="K10" s="325"/>
      <c r="L10" s="245">
        <v>0.18</v>
      </c>
      <c r="M10" s="246">
        <v>0.22</v>
      </c>
      <c r="N10" s="246">
        <v>0.18</v>
      </c>
      <c r="O10" s="257">
        <f>SUM(V057_20[[#This Row],[MPAL]:[CALDERA]])</f>
        <v>0.58000000000000007</v>
      </c>
      <c r="P10" s="319"/>
      <c r="Q10" s="270">
        <f>(Q9 -V057_20[[#This Row],[TOTAL ]])+V057_20[FAENA]</f>
        <v>369.81000000000006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0.6</v>
      </c>
      <c r="W10" s="257">
        <f>SUM(V057_20[[#This Row],[MPAL2]:[GI]])</f>
        <v>0.6</v>
      </c>
      <c r="X10" s="246">
        <v>0</v>
      </c>
      <c r="Y10" s="282">
        <f>(Y9-V057_20[[#This Row],[TOTAL]])+V057_20[[#This Row],[FAENA2]]</f>
        <v>79.3</v>
      </c>
      <c r="Z10" s="245"/>
      <c r="AA10" s="246"/>
      <c r="AB10" s="320">
        <f>(AB9-V057_20[[#This Row],[CYLINDER MP]])+V057_20[[#This Row],[FAENA EN LTS]]</f>
        <v>4670</v>
      </c>
      <c r="AC10" s="246"/>
      <c r="AD10" s="246"/>
      <c r="AE10" s="320">
        <f>(AE9-V057_20[[#This Row],[CARTER MP.]])+V057_20[[#This Row],[FAENA EN LTS2]]</f>
        <v>4300</v>
      </c>
      <c r="AF10" s="246"/>
      <c r="AG10" s="246"/>
      <c r="AH10" s="320">
        <f>(AH9-V057_20[[#This Row],[MOT AUX]])+V057_20[[#This Row],[FAENA EN  LTS]]</f>
        <v>4280</v>
      </c>
      <c r="AI10" s="246"/>
      <c r="AJ10" s="246"/>
      <c r="AK10" s="321">
        <f>(AK9-V057_20[[#This Row],[HIDRAULICO]])+V057_20[[#This Row],[FAENA EN LTS3]]</f>
        <v>2700</v>
      </c>
    </row>
    <row r="11" spans="1:37" x14ac:dyDescent="0.25">
      <c r="A11" s="235" t="s">
        <v>164</v>
      </c>
      <c r="B11" s="48">
        <v>43922</v>
      </c>
      <c r="C11" s="41">
        <v>0</v>
      </c>
      <c r="D11" s="37">
        <f>IF(V057_20[[#This Row],[FECHA]]-B10=1,((V057_20[[#This Row],[HORA]]-C10)*24)+24,(V057_20[[#This Row],[HORA]]-C10)*24)</f>
        <v>6.1999999999999993</v>
      </c>
      <c r="E11" s="352" t="s">
        <v>49</v>
      </c>
      <c r="F11" s="29" t="s">
        <v>202</v>
      </c>
      <c r="G11" s="324"/>
      <c r="H11" s="306"/>
      <c r="I11" s="355">
        <f>IF(ISERROR(V057_20[[#This Row],[DISTANCIA POR CARTA]]/V057_20[[#This Row],[TIEMPO DE NAVEGACION]]),0,V057_20[[#This Row],[DISTANCIA POR CARTA]]/V057_20[[#This Row],[TIEMPO DE NAVEGACION]])</f>
        <v>0</v>
      </c>
      <c r="J11" s="242"/>
      <c r="K11" s="325"/>
      <c r="L11" s="245">
        <v>0</v>
      </c>
      <c r="M11" s="246">
        <v>0.56999999999999995</v>
      </c>
      <c r="N11" s="246">
        <v>0.47</v>
      </c>
      <c r="O11" s="257">
        <f>SUM(V057_20[[#This Row],[MPAL]:[CALDERA]])</f>
        <v>1.04</v>
      </c>
      <c r="P11" s="319"/>
      <c r="Q11" s="270">
        <f>(Q10 -V057_20[[#This Row],[TOTAL ]])+V057_20[FAENA]</f>
        <v>368.77000000000004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SUM(V057_20[[#This Row],[MPAL2]:[GI]])</f>
        <v>0</v>
      </c>
      <c r="X11" s="246">
        <v>0</v>
      </c>
      <c r="Y11" s="282">
        <f>(Y10-V057_20[[#This Row],[TOTAL]])+V057_20[[#This Row],[FAENA2]]</f>
        <v>79.3</v>
      </c>
      <c r="Z11" s="245"/>
      <c r="AA11" s="246"/>
      <c r="AB11" s="320">
        <f>(AB10-V057_20[[#This Row],[CYLINDER MP]])+V057_20[[#This Row],[FAENA EN LTS]]</f>
        <v>4670</v>
      </c>
      <c r="AC11" s="246"/>
      <c r="AD11" s="246"/>
      <c r="AE11" s="320">
        <f>(AE10-V057_20[[#This Row],[CARTER MP.]])+V057_20[[#This Row],[FAENA EN LTS2]]</f>
        <v>4300</v>
      </c>
      <c r="AF11" s="246"/>
      <c r="AG11" s="246"/>
      <c r="AH11" s="320">
        <f>(AH10-V057_20[[#This Row],[MOT AUX]])+V057_20[[#This Row],[FAENA EN  LTS]]</f>
        <v>4280</v>
      </c>
      <c r="AI11" s="246"/>
      <c r="AJ11" s="246"/>
      <c r="AK11" s="321">
        <f>(AK10-V057_20[[#This Row],[HIDRAULICO]])+V057_20[[#This Row],[FAENA EN LTS3]]</f>
        <v>2700</v>
      </c>
    </row>
    <row r="12" spans="1:37" x14ac:dyDescent="0.25">
      <c r="A12" s="235" t="s">
        <v>164</v>
      </c>
      <c r="B12" s="382">
        <v>43922</v>
      </c>
      <c r="C12" s="41">
        <v>5.8333333333333327E-2</v>
      </c>
      <c r="D12" s="37">
        <f>IF(V057_20[[#This Row],[FECHA]]-B11=1,((V057_20[[#This Row],[HORA]]-C11)*24)+24,(V057_20[[#This Row],[HORA]]-C11)*24)</f>
        <v>1.4</v>
      </c>
      <c r="E12" s="364" t="s">
        <v>49</v>
      </c>
      <c r="F12" s="29" t="s">
        <v>155</v>
      </c>
      <c r="G12" s="324"/>
      <c r="H12" s="306"/>
      <c r="I12" s="355">
        <f>IF(ISERROR(V057_20[[#This Row],[DISTANCIA POR CARTA]]/V057_20[[#This Row],[TIEMPO DE NAVEGACION]]),0,V057_20[[#This Row],[DISTANCIA POR CARTA]]/V057_20[[#This Row],[TIEMPO DE NAVEGACION]])</f>
        <v>0</v>
      </c>
      <c r="J12" s="242"/>
      <c r="K12" s="325"/>
      <c r="L12" s="245">
        <v>0</v>
      </c>
      <c r="M12" s="246">
        <v>0.13</v>
      </c>
      <c r="N12" s="246">
        <v>0.11</v>
      </c>
      <c r="O12" s="257">
        <f>SUM(V057_20[[#This Row],[MPAL]:[CALDERA]])</f>
        <v>0.24</v>
      </c>
      <c r="P12" s="319"/>
      <c r="Q12" s="270">
        <f>(Q11 -V057_20[[#This Row],[TOTAL ]])+V057_20[FAENA]</f>
        <v>368.53000000000003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SUM(V057_20[[#This Row],[MPAL2]:[GI]])</f>
        <v>0</v>
      </c>
      <c r="X12" s="246">
        <v>0</v>
      </c>
      <c r="Y12" s="282">
        <f>(Y11-V057_20[[#This Row],[TOTAL]])+V057_20[[#This Row],[FAENA2]]</f>
        <v>79.3</v>
      </c>
      <c r="Z12" s="245"/>
      <c r="AA12" s="246"/>
      <c r="AB12" s="320">
        <f>(AB11-V057_20[[#This Row],[CYLINDER MP]])+V057_20[[#This Row],[FAENA EN LTS]]</f>
        <v>4670</v>
      </c>
      <c r="AC12" s="246"/>
      <c r="AD12" s="246"/>
      <c r="AE12" s="320">
        <f>(AE11-V057_20[[#This Row],[CARTER MP.]])+V057_20[[#This Row],[FAENA EN LTS2]]</f>
        <v>4300</v>
      </c>
      <c r="AF12" s="246"/>
      <c r="AG12" s="246"/>
      <c r="AH12" s="320">
        <f>(AH11-V057_20[[#This Row],[MOT AUX]])+V057_20[[#This Row],[FAENA EN  LTS]]</f>
        <v>4280</v>
      </c>
      <c r="AI12" s="246"/>
      <c r="AJ12" s="246"/>
      <c r="AK12" s="321">
        <f>(AK11-V057_20[[#This Row],[HIDRAULICO]])+V057_20[[#This Row],[FAENA EN LTS3]]</f>
        <v>2700</v>
      </c>
    </row>
    <row r="13" spans="1:37" s="127" customFormat="1" x14ac:dyDescent="0.25">
      <c r="A13" s="65" t="s">
        <v>164</v>
      </c>
      <c r="B13" s="382">
        <v>43922</v>
      </c>
      <c r="C13" s="351">
        <v>0.33333333333333331</v>
      </c>
      <c r="D13" s="37">
        <f>IF(V057_20[[#This Row],[FECHA]]-B12=1,((V057_20[[#This Row],[HORA]]-C12)*24)+24,(V057_20[[#This Row],[HORA]]-C12)*24)</f>
        <v>6.6</v>
      </c>
      <c r="E13" s="239" t="s">
        <v>71</v>
      </c>
      <c r="F13" s="29" t="s">
        <v>71</v>
      </c>
      <c r="G13" s="353"/>
      <c r="H13" s="354"/>
      <c r="I13" s="355">
        <f>IF(ISERROR(V057_20[[#This Row],[DISTANCIA POR CARTA]]/V057_20[[#This Row],[TIEMPO DE NAVEGACION]]),0,V057_20[[#This Row],[DISTANCIA POR CARTA]]/V057_20[[#This Row],[TIEMPO DE NAVEGACION]])</f>
        <v>0</v>
      </c>
      <c r="J13" s="356"/>
      <c r="K13" s="357"/>
      <c r="L13" s="358">
        <v>0</v>
      </c>
      <c r="M13" s="139">
        <v>0.61</v>
      </c>
      <c r="N13" s="139">
        <v>0.5</v>
      </c>
      <c r="O13" s="359">
        <f>SUM(V057_20[[#This Row],[MPAL]:[CALDERA]])</f>
        <v>1.1099999999999999</v>
      </c>
      <c r="P13" s="360"/>
      <c r="Q13" s="270">
        <f>(Q12 -V057_20[[#This Row],[TOTAL ]])+V057_20[FAENA]</f>
        <v>367.42</v>
      </c>
      <c r="R13" s="358">
        <v>0</v>
      </c>
      <c r="S13" s="139">
        <v>0</v>
      </c>
      <c r="T13" s="139">
        <v>0</v>
      </c>
      <c r="U13" s="139">
        <v>0</v>
      </c>
      <c r="V13" s="139">
        <v>0</v>
      </c>
      <c r="W13" s="359">
        <f>SUM(V057_20[[#This Row],[MPAL2]:[GI]])</f>
        <v>0</v>
      </c>
      <c r="X13" s="139">
        <v>0</v>
      </c>
      <c r="Y13" s="361">
        <f>(Y12-V057_20[[#This Row],[TOTAL]])+V057_20[[#This Row],[FAENA2]]</f>
        <v>79.3</v>
      </c>
      <c r="Z13" s="358"/>
      <c r="AA13" s="139"/>
      <c r="AB13" s="320">
        <f>(AB12-V057_20[[#This Row],[CYLINDER MP]])+V057_20[[#This Row],[FAENA EN LTS]]</f>
        <v>4670</v>
      </c>
      <c r="AC13" s="139"/>
      <c r="AD13" s="139"/>
      <c r="AE13" s="320">
        <f>(AE12-V057_20[[#This Row],[CARTER MP.]])+V057_20[[#This Row],[FAENA EN LTS2]]</f>
        <v>4300</v>
      </c>
      <c r="AF13" s="139"/>
      <c r="AG13" s="139"/>
      <c r="AH13" s="320">
        <f>(AH12-V057_20[[#This Row],[MOT AUX]])+V057_20[[#This Row],[FAENA EN  LTS]]</f>
        <v>4280</v>
      </c>
      <c r="AI13" s="139"/>
      <c r="AJ13" s="139"/>
      <c r="AK13" s="321">
        <f>(AK12-V057_20[[#This Row],[HIDRAULICO]])+V057_20[[#This Row],[FAENA EN LTS3]]</f>
        <v>2700</v>
      </c>
    </row>
    <row r="14" spans="1:37" s="373" customFormat="1" x14ac:dyDescent="0.25">
      <c r="A14" s="131" t="s">
        <v>164</v>
      </c>
      <c r="B14" s="27">
        <v>43923</v>
      </c>
      <c r="C14" s="362">
        <v>0.33333333333333331</v>
      </c>
      <c r="D14" s="37">
        <f>IF(V057_20[[#This Row],[FECHA]]-B13=1,((V057_20[[#This Row],[HORA]]-C13)*24)+24,(V057_20[[#This Row],[HORA]]-C13)*24)</f>
        <v>24</v>
      </c>
      <c r="E14" s="239" t="s">
        <v>71</v>
      </c>
      <c r="F14" s="29" t="s">
        <v>71</v>
      </c>
      <c r="G14" s="365"/>
      <c r="H14" s="366"/>
      <c r="I14" s="355">
        <f>IF(ISERROR(V057_20[[#This Row],[DISTANCIA POR CARTA]]/V057_20[[#This Row],[TIEMPO DE NAVEGACION]]),0,V057_20[[#This Row],[DISTANCIA POR CARTA]]/V057_20[[#This Row],[TIEMPO DE NAVEGACION]])</f>
        <v>0</v>
      </c>
      <c r="J14" s="367"/>
      <c r="K14" s="368"/>
      <c r="L14" s="369">
        <v>0</v>
      </c>
      <c r="M14" s="363">
        <v>2.2000000000000002</v>
      </c>
      <c r="N14" s="363">
        <v>1.8</v>
      </c>
      <c r="O14" s="370">
        <f>SUM(V057_20[[#This Row],[MPAL]:[CALDERA]])</f>
        <v>4</v>
      </c>
      <c r="P14" s="371"/>
      <c r="Q14" s="270">
        <f>(Q13 -V057_20[[#This Row],[TOTAL ]])+V057_20[FAENA]</f>
        <v>363.42</v>
      </c>
      <c r="R14" s="369">
        <v>0</v>
      </c>
      <c r="S14" s="363">
        <v>0</v>
      </c>
      <c r="T14" s="363">
        <v>0</v>
      </c>
      <c r="U14" s="363">
        <v>0</v>
      </c>
      <c r="V14" s="363">
        <v>0</v>
      </c>
      <c r="W14" s="370">
        <f>SUM(V057_20[[#This Row],[MPAL2]:[GI]])</f>
        <v>0</v>
      </c>
      <c r="X14" s="363">
        <v>0</v>
      </c>
      <c r="Y14" s="372">
        <f>(Y13-V057_20[[#This Row],[TOTAL]])+V057_20[[#This Row],[FAENA2]]</f>
        <v>79.3</v>
      </c>
      <c r="Z14" s="369"/>
      <c r="AA14" s="363"/>
      <c r="AB14" s="320">
        <f>(AB13-V057_20[[#This Row],[CYLINDER MP]])+V057_20[[#This Row],[FAENA EN LTS]]</f>
        <v>4670</v>
      </c>
      <c r="AC14" s="363"/>
      <c r="AD14" s="363"/>
      <c r="AE14" s="320">
        <f>(AE13-V057_20[[#This Row],[CARTER MP.]])+V057_20[[#This Row],[FAENA EN LTS2]]</f>
        <v>4300</v>
      </c>
      <c r="AF14" s="363"/>
      <c r="AG14" s="363"/>
      <c r="AH14" s="320">
        <f>(AH13-V057_20[[#This Row],[MOT AUX]])+V057_20[[#This Row],[FAENA EN  LTS]]</f>
        <v>4280</v>
      </c>
      <c r="AI14" s="363"/>
      <c r="AJ14" s="363"/>
      <c r="AK14" s="321">
        <f>(AK13-V057_20[[#This Row],[HIDRAULICO]])+V057_20[[#This Row],[FAENA EN LTS3]]</f>
        <v>2700</v>
      </c>
    </row>
    <row r="15" spans="1:37" x14ac:dyDescent="0.25">
      <c r="A15" s="235" t="s">
        <v>164</v>
      </c>
      <c r="B15" s="384">
        <v>43923</v>
      </c>
      <c r="C15" s="41">
        <v>0.63750000000000007</v>
      </c>
      <c r="D15" s="37">
        <f>IF(V057_20[[#This Row],[FECHA]]-B14=1,((V057_20[[#This Row],[HORA]]-C14)*24)+24,(V057_20[[#This Row],[HORA]]-C14)*24)</f>
        <v>7.3000000000000025</v>
      </c>
      <c r="E15" s="239" t="s">
        <v>71</v>
      </c>
      <c r="F15" s="29" t="s">
        <v>73</v>
      </c>
      <c r="G15" s="324"/>
      <c r="H15" s="306"/>
      <c r="I15" s="355">
        <f>IF(ISERROR(V057_20[[#This Row],[DISTANCIA POR CARTA]]/V057_20[[#This Row],[TIEMPO DE NAVEGACION]]),0,V057_20[[#This Row],[DISTANCIA POR CARTA]]/V057_20[[#This Row],[TIEMPO DE NAVEGACION]])</f>
        <v>0</v>
      </c>
      <c r="J15" s="242"/>
      <c r="K15" s="325"/>
      <c r="L15" s="245">
        <v>0</v>
      </c>
      <c r="M15" s="246">
        <v>0.67</v>
      </c>
      <c r="N15" s="246">
        <v>0.55000000000000004</v>
      </c>
      <c r="O15" s="257">
        <f>SUM(V057_20[[#This Row],[MPAL]:[CALDERA]])</f>
        <v>1.2200000000000002</v>
      </c>
      <c r="P15" s="319"/>
      <c r="Q15" s="270">
        <f>(Q14 -V057_20[[#This Row],[TOTAL ]])+V057_20[FAENA]</f>
        <v>362.2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SUM(V057_20[[#This Row],[MPAL2]:[GI]])</f>
        <v>0</v>
      </c>
      <c r="X15" s="246">
        <v>0</v>
      </c>
      <c r="Y15" s="282">
        <f>(Y14-V057_20[[#This Row],[TOTAL]])+V057_20[[#This Row],[FAENA2]]</f>
        <v>79.3</v>
      </c>
      <c r="Z15" s="245"/>
      <c r="AA15" s="246"/>
      <c r="AB15" s="320">
        <f>(AB14-V057_20[[#This Row],[CYLINDER MP]])+V057_20[[#This Row],[FAENA EN LTS]]</f>
        <v>4670</v>
      </c>
      <c r="AC15" s="246"/>
      <c r="AD15" s="246"/>
      <c r="AE15" s="320">
        <f>(AE14-V057_20[[#This Row],[CARTER MP.]])+V057_20[[#This Row],[FAENA EN LTS2]]</f>
        <v>4300</v>
      </c>
      <c r="AF15" s="246"/>
      <c r="AG15" s="246"/>
      <c r="AH15" s="320">
        <f>(AH14-V057_20[[#This Row],[MOT AUX]])+V057_20[[#This Row],[FAENA EN  LTS]]</f>
        <v>4280</v>
      </c>
      <c r="AI15" s="246"/>
      <c r="AJ15" s="246"/>
      <c r="AK15" s="321">
        <f>(AK14-V057_20[[#This Row],[HIDRAULICO]])+V057_20[[#This Row],[FAENA EN LTS3]]</f>
        <v>2700</v>
      </c>
    </row>
    <row r="16" spans="1:37" x14ac:dyDescent="0.25">
      <c r="A16" s="235" t="s">
        <v>164</v>
      </c>
      <c r="B16" s="384">
        <v>43923</v>
      </c>
      <c r="C16" s="41">
        <v>0.85416666666666663</v>
      </c>
      <c r="D16" s="37">
        <f>IF(V057_20[[#This Row],[FECHA]]-B15=1,((V057_20[[#This Row],[HORA]]-C15)*24)+24,(V057_20[[#This Row],[HORA]]-C15)*24)</f>
        <v>5.1999999999999975</v>
      </c>
      <c r="E16" s="239" t="s">
        <v>49</v>
      </c>
      <c r="F16" s="29" t="s">
        <v>46</v>
      </c>
      <c r="G16" s="324"/>
      <c r="H16" s="306"/>
      <c r="I16" s="355">
        <f>IF(ISERROR(V057_20[[#This Row],[DISTANCIA POR CARTA]]/V057_20[[#This Row],[TIEMPO DE NAVEGACION]]),0,V057_20[[#This Row],[DISTANCIA POR CARTA]]/V057_20[[#This Row],[TIEMPO DE NAVEGACION]])</f>
        <v>0</v>
      </c>
      <c r="J16" s="242"/>
      <c r="K16" s="325"/>
      <c r="L16" s="245">
        <v>0</v>
      </c>
      <c r="M16" s="246">
        <v>0.48</v>
      </c>
      <c r="N16" s="246">
        <v>0.39</v>
      </c>
      <c r="O16" s="257">
        <f>SUM(V057_20[[#This Row],[MPAL]:[CALDERA]])</f>
        <v>0.87</v>
      </c>
      <c r="P16" s="246"/>
      <c r="Q16" s="270">
        <f>(Q15 -V057_20[[#This Row],[TOTAL ]])+V057_20[FAENA]</f>
        <v>361.33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SUM(V057_20[[#This Row],[MPAL2]:[GI]])</f>
        <v>0</v>
      </c>
      <c r="X16" s="246">
        <v>0</v>
      </c>
      <c r="Y16" s="282">
        <f>(Y15-V057_20[[#This Row],[TOTAL]])+V057_20[[#This Row],[FAENA2]]</f>
        <v>79.3</v>
      </c>
      <c r="Z16" s="245"/>
      <c r="AA16" s="246"/>
      <c r="AB16" s="320">
        <f>(AB15-V057_20[[#This Row],[CYLINDER MP]])+V057_20[[#This Row],[FAENA EN LTS]]</f>
        <v>4670</v>
      </c>
      <c r="AC16" s="246"/>
      <c r="AD16" s="246"/>
      <c r="AE16" s="320">
        <f>(AE15-V057_20[[#This Row],[CARTER MP.]])+V057_20[[#This Row],[FAENA EN LTS2]]</f>
        <v>4300</v>
      </c>
      <c r="AF16" s="246"/>
      <c r="AG16" s="246"/>
      <c r="AH16" s="320">
        <f>(AH15-V057_20[[#This Row],[MOT AUX]])+V057_20[[#This Row],[FAENA EN  LTS]]</f>
        <v>4280</v>
      </c>
      <c r="AI16" s="246"/>
      <c r="AJ16" s="246"/>
      <c r="AK16" s="321">
        <f>(AK15-V057_20[[#This Row],[HIDRAULICO]])+V057_20[[#This Row],[FAENA EN LTS3]]</f>
        <v>2700</v>
      </c>
    </row>
    <row r="17" spans="1:128" x14ac:dyDescent="0.25">
      <c r="A17" s="235" t="s">
        <v>164</v>
      </c>
      <c r="B17" s="384">
        <v>43923</v>
      </c>
      <c r="C17" s="41">
        <v>0.91666666666666663</v>
      </c>
      <c r="D17" s="37">
        <f>IF(V057_20[[#This Row],[FECHA]]-B16=1,((V057_20[[#This Row],[HORA]]-C16)*24)+24,(V057_20[[#This Row],[HORA]]-C16)*24)</f>
        <v>1.5</v>
      </c>
      <c r="E17" s="352" t="s">
        <v>47</v>
      </c>
      <c r="F17" s="29" t="s">
        <v>48</v>
      </c>
      <c r="G17" s="324"/>
      <c r="H17" s="306"/>
      <c r="I17" s="355">
        <f>IF(ISERROR(V057_20[[#This Row],[DISTANCIA POR CARTA]]/V057_20[[#This Row],[TIEMPO DE NAVEGACION]]),0,V057_20[[#This Row],[DISTANCIA POR CARTA]]/V057_20[[#This Row],[TIEMPO DE NAVEGACION]])</f>
        <v>0</v>
      </c>
      <c r="J17" s="242"/>
      <c r="K17" s="325"/>
      <c r="L17" s="245">
        <v>0.13</v>
      </c>
      <c r="M17" s="246">
        <v>0.14000000000000001</v>
      </c>
      <c r="N17" s="246">
        <v>1.1299999999999999</v>
      </c>
      <c r="O17" s="257">
        <f>SUM(V057_20[[#This Row],[MPAL]:[CALDERA]])</f>
        <v>1.4</v>
      </c>
      <c r="P17" s="319"/>
      <c r="Q17" s="270">
        <f>(Q16 -V057_20[[#This Row],[TOTAL ]])+V057_20[FAENA]</f>
        <v>359.93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SUM(V057_20[[#This Row],[MPAL2]:[GI]])</f>
        <v>0</v>
      </c>
      <c r="X17" s="246">
        <v>0</v>
      </c>
      <c r="Y17" s="282">
        <f>(Y16-V057_20[[#This Row],[TOTAL]])+V057_20[[#This Row],[FAENA2]]</f>
        <v>79.3</v>
      </c>
      <c r="Z17" s="245"/>
      <c r="AA17" s="246"/>
      <c r="AB17" s="320">
        <f>(AB16-V057_20[[#This Row],[CYLINDER MP]])+V057_20[[#This Row],[FAENA EN LTS]]</f>
        <v>4670</v>
      </c>
      <c r="AC17" s="246"/>
      <c r="AD17" s="246"/>
      <c r="AE17" s="320">
        <f>(AE16-V057_20[[#This Row],[CARTER MP.]])+V057_20[[#This Row],[FAENA EN LTS2]]</f>
        <v>4300</v>
      </c>
      <c r="AF17" s="246"/>
      <c r="AG17" s="246"/>
      <c r="AH17" s="320">
        <f>(AH16-V057_20[[#This Row],[MOT AUX]])+V057_20[[#This Row],[FAENA EN  LTS]]</f>
        <v>4280</v>
      </c>
      <c r="AI17" s="246"/>
      <c r="AJ17" s="246"/>
      <c r="AK17" s="321">
        <f>(AK16-V057_20[[#This Row],[HIDRAULICO]])+V057_20[[#This Row],[FAENA EN LTS3]]</f>
        <v>2700</v>
      </c>
    </row>
    <row r="18" spans="1:128" s="373" customFormat="1" x14ac:dyDescent="0.25">
      <c r="A18" s="131" t="s">
        <v>164</v>
      </c>
      <c r="B18" s="27">
        <v>43924</v>
      </c>
      <c r="C18" s="362">
        <v>0.33333333333333331</v>
      </c>
      <c r="D18" s="37">
        <f>IF(V057_20[[#This Row],[FECHA]]-B17=1,((V057_20[[#This Row],[HORA]]-C17)*24)+24,(V057_20[[#This Row],[HORA]]-C17)*24)</f>
        <v>10.000000000000002</v>
      </c>
      <c r="E18" s="364" t="s">
        <v>45</v>
      </c>
      <c r="F18" s="29" t="s">
        <v>45</v>
      </c>
      <c r="G18" s="365"/>
      <c r="H18" s="366"/>
      <c r="I18" s="355">
        <f>IF(ISERROR(V057_20[[#This Row],[DISTANCIA POR CARTA]]/V057_20[[#This Row],[TIEMPO DE NAVEGACION]]),0,V057_20[[#This Row],[DISTANCIA POR CARTA]]/V057_20[[#This Row],[TIEMPO DE NAVEGACION]])</f>
        <v>0</v>
      </c>
      <c r="J18" s="367"/>
      <c r="K18" s="368"/>
      <c r="L18" s="369">
        <v>0</v>
      </c>
      <c r="M18" s="363">
        <v>0.92</v>
      </c>
      <c r="N18" s="363">
        <v>0.75</v>
      </c>
      <c r="O18" s="370">
        <f>SUM(V057_20[[#This Row],[MPAL]:[CALDERA]])</f>
        <v>1.67</v>
      </c>
      <c r="P18" s="371"/>
      <c r="Q18" s="270">
        <f>(Q17 -V057_20[[#This Row],[TOTAL ]])+V057_20[FAENA]</f>
        <v>358.26</v>
      </c>
      <c r="R18" s="369">
        <v>0</v>
      </c>
      <c r="S18" s="363">
        <v>0</v>
      </c>
      <c r="T18" s="363">
        <v>0</v>
      </c>
      <c r="U18" s="363">
        <v>0</v>
      </c>
      <c r="V18" s="363">
        <v>0</v>
      </c>
      <c r="W18" s="370">
        <f>SUM(V057_20[[#This Row],[MPAL2]:[GI]])</f>
        <v>0</v>
      </c>
      <c r="X18" s="363">
        <v>0</v>
      </c>
      <c r="Y18" s="372">
        <f>(Y17-V057_20[[#This Row],[TOTAL]])+V057_20[[#This Row],[FAENA2]]</f>
        <v>79.3</v>
      </c>
      <c r="Z18" s="369"/>
      <c r="AA18" s="363"/>
      <c r="AB18" s="320">
        <f>(AB17-V057_20[[#This Row],[CYLINDER MP]])+V057_20[[#This Row],[FAENA EN LTS]]</f>
        <v>4670</v>
      </c>
      <c r="AC18" s="363"/>
      <c r="AD18" s="363"/>
      <c r="AE18" s="320">
        <f>(AE17-V057_20[[#This Row],[CARTER MP.]])+V057_20[[#This Row],[FAENA EN LTS2]]</f>
        <v>4300</v>
      </c>
      <c r="AF18" s="363"/>
      <c r="AG18" s="363"/>
      <c r="AH18" s="320">
        <f>(AH17-V057_20[[#This Row],[MOT AUX]])+V057_20[[#This Row],[FAENA EN  LTS]]</f>
        <v>4280</v>
      </c>
      <c r="AI18" s="363"/>
      <c r="AJ18" s="363"/>
      <c r="AK18" s="321">
        <f>(AK17-V057_20[[#This Row],[HIDRAULICO]])+V057_20[[#This Row],[FAENA EN LTS3]]</f>
        <v>2700</v>
      </c>
    </row>
    <row r="19" spans="1:128" x14ac:dyDescent="0.25">
      <c r="A19" s="235" t="s">
        <v>164</v>
      </c>
      <c r="B19" s="384">
        <v>43924</v>
      </c>
      <c r="C19" s="41">
        <v>0.72916666666666663</v>
      </c>
      <c r="D19" s="37">
        <f>IF(V057_20[[#This Row],[FECHA]]-B18=1,((V057_20[[#This Row],[HORA]]-C18)*24)+24,(V057_20[[#This Row],[HORA]]-C18)*24)</f>
        <v>9.5</v>
      </c>
      <c r="E19" s="352" t="s">
        <v>45</v>
      </c>
      <c r="F19" s="29" t="s">
        <v>46</v>
      </c>
      <c r="G19" s="324"/>
      <c r="H19" s="306"/>
      <c r="I19" s="355">
        <f>IF(ISERROR(V057_20[[#This Row],[DISTANCIA POR CARTA]]/V057_20[[#This Row],[TIEMPO DE NAVEGACION]]),0,V057_20[[#This Row],[DISTANCIA POR CARTA]]/V057_20[[#This Row],[TIEMPO DE NAVEGACION]])</f>
        <v>0</v>
      </c>
      <c r="J19" s="242"/>
      <c r="K19" s="325"/>
      <c r="L19" s="245">
        <v>0</v>
      </c>
      <c r="M19" s="246">
        <v>0.87</v>
      </c>
      <c r="N19" s="246">
        <v>0.71</v>
      </c>
      <c r="O19" s="257">
        <f>SUM(V057_20[[#This Row],[MPAL]:[CALDERA]])</f>
        <v>1.58</v>
      </c>
      <c r="P19" s="319"/>
      <c r="Q19" s="270">
        <f>(Q18 -V057_20[[#This Row],[TOTAL ]])+V057_20[FAENA]</f>
        <v>356.68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SUM(V057_20[[#This Row],[MPAL2]:[GI]])</f>
        <v>0</v>
      </c>
      <c r="X19" s="246">
        <v>0</v>
      </c>
      <c r="Y19" s="282">
        <f>(Y18-V057_20[[#This Row],[TOTAL]])+V057_20[[#This Row],[FAENA2]]</f>
        <v>79.3</v>
      </c>
      <c r="Z19" s="245"/>
      <c r="AA19" s="246"/>
      <c r="AB19" s="320">
        <f>(AB18-V057_20[[#This Row],[CYLINDER MP]])+V057_20[[#This Row],[FAENA EN LTS]]</f>
        <v>4670</v>
      </c>
      <c r="AC19" s="246"/>
      <c r="AD19" s="246"/>
      <c r="AE19" s="320">
        <f>(AE18-V057_20[[#This Row],[CARTER MP.]])+V057_20[[#This Row],[FAENA EN LTS2]]</f>
        <v>4300</v>
      </c>
      <c r="AF19" s="246"/>
      <c r="AG19" s="246"/>
      <c r="AH19" s="320">
        <f>(AH18-V057_20[[#This Row],[MOT AUX]])+V057_20[[#This Row],[FAENA EN  LTS]]</f>
        <v>4280</v>
      </c>
      <c r="AI19" s="246"/>
      <c r="AJ19" s="246"/>
      <c r="AK19" s="321">
        <f>(AK18-V057_20[[#This Row],[HIDRAULICO]])+V057_20[[#This Row],[FAENA EN LTS3]]</f>
        <v>2700</v>
      </c>
    </row>
    <row r="20" spans="1:128" x14ac:dyDescent="0.25">
      <c r="A20" s="235" t="s">
        <v>164</v>
      </c>
      <c r="B20" s="384">
        <v>43924</v>
      </c>
      <c r="C20" s="41">
        <v>0.77916666666666667</v>
      </c>
      <c r="D20" s="37">
        <f>IF(V057_20[[#This Row],[FECHA]]-B19=1,((V057_20[[#This Row],[HORA]]-C19)*24)+24,(V057_20[[#This Row],[HORA]]-C19)*24)</f>
        <v>1.2000000000000011</v>
      </c>
      <c r="E20" s="239" t="s">
        <v>47</v>
      </c>
      <c r="F20" s="29" t="s">
        <v>212</v>
      </c>
      <c r="G20" s="324"/>
      <c r="H20" s="306"/>
      <c r="I20" s="355">
        <f>IF(ISERROR(V057_20[[#This Row],[DISTANCIA POR CARTA]]/V057_20[[#This Row],[TIEMPO DE NAVEGACION]]),0,V057_20[[#This Row],[DISTANCIA POR CARTA]]/V057_20[[#This Row],[TIEMPO DE NAVEGACION]])</f>
        <v>0</v>
      </c>
      <c r="J20" s="242"/>
      <c r="K20" s="325"/>
      <c r="L20" s="245">
        <v>0.1</v>
      </c>
      <c r="M20" s="246">
        <v>0.13</v>
      </c>
      <c r="N20" s="246">
        <v>0.12</v>
      </c>
      <c r="O20" s="257">
        <f>SUM(V057_20[[#This Row],[MPAL]:[CALDERA]])</f>
        <v>0.35</v>
      </c>
      <c r="P20" s="319"/>
      <c r="Q20" s="270">
        <f>(Q19 -V057_20[[#This Row],[TOTAL ]])+V057_20[FAENA]</f>
        <v>356.33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SUM(V057_20[[#This Row],[MPAL2]:[GI]])</f>
        <v>0</v>
      </c>
      <c r="X20" s="246">
        <v>0</v>
      </c>
      <c r="Y20" s="282">
        <f>(Y19-V057_20[[#This Row],[TOTAL]])+V057_20[[#This Row],[FAENA2]]</f>
        <v>79.3</v>
      </c>
      <c r="Z20" s="245"/>
      <c r="AA20" s="246"/>
      <c r="AB20" s="320">
        <f>(AB19-V057_20[[#This Row],[CYLINDER MP]])+V057_20[[#This Row],[FAENA EN LTS]]</f>
        <v>4670</v>
      </c>
      <c r="AC20" s="246"/>
      <c r="AD20" s="246"/>
      <c r="AE20" s="320">
        <f>(AE19-V057_20[[#This Row],[CARTER MP.]])+V057_20[[#This Row],[FAENA EN LTS2]]</f>
        <v>4300</v>
      </c>
      <c r="AF20" s="246"/>
      <c r="AG20" s="246"/>
      <c r="AH20" s="320">
        <f>(AH19-V057_20[[#This Row],[MOT AUX]])+V057_20[[#This Row],[FAENA EN  LTS]]</f>
        <v>4280</v>
      </c>
      <c r="AI20" s="246"/>
      <c r="AJ20" s="246"/>
      <c r="AK20" s="321">
        <f>(AK19-V057_20[[#This Row],[HIDRAULICO]])+V057_20[[#This Row],[FAENA EN LTS3]]</f>
        <v>2700</v>
      </c>
    </row>
    <row r="21" spans="1:128" s="127" customFormat="1" x14ac:dyDescent="0.25">
      <c r="A21" s="65" t="s">
        <v>164</v>
      </c>
      <c r="B21" s="40">
        <v>43925</v>
      </c>
      <c r="C21" s="351">
        <v>0.33333333333333331</v>
      </c>
      <c r="D21" s="37">
        <f>IF(V057_20[[#This Row],[FECHA]]-B20=1,((V057_20[[#This Row],[HORA]]-C20)*24)+24,(V057_20[[#This Row],[HORA]]-C20)*24)</f>
        <v>13.299999999999999</v>
      </c>
      <c r="E21" s="352" t="s">
        <v>55</v>
      </c>
      <c r="F21" s="374" t="s">
        <v>56</v>
      </c>
      <c r="G21" s="353"/>
      <c r="H21" s="354"/>
      <c r="I21" s="355">
        <f>IF(ISERROR(V057_20[[#This Row],[DISTANCIA POR CARTA]]/V057_20[[#This Row],[TIEMPO DE NAVEGACION]]),0,V057_20[[#This Row],[DISTANCIA POR CARTA]]/V057_20[[#This Row],[TIEMPO DE NAVEGACION]])</f>
        <v>0</v>
      </c>
      <c r="J21" s="356"/>
      <c r="K21" s="357">
        <v>96</v>
      </c>
      <c r="L21" s="358">
        <v>12.19</v>
      </c>
      <c r="M21" s="139">
        <v>1.39</v>
      </c>
      <c r="N21" s="139">
        <v>0</v>
      </c>
      <c r="O21" s="359">
        <f>SUM(V057_20[[#This Row],[MPAL]:[CALDERA]])</f>
        <v>13.58</v>
      </c>
      <c r="P21" s="360"/>
      <c r="Q21" s="270">
        <f>(Q20 -V057_20[[#This Row],[TOTAL ]])+V057_20[FAENA]</f>
        <v>342.75</v>
      </c>
      <c r="R21" s="358">
        <v>0</v>
      </c>
      <c r="S21" s="139">
        <v>0</v>
      </c>
      <c r="T21" s="139">
        <v>0</v>
      </c>
      <c r="U21" s="139">
        <v>0</v>
      </c>
      <c r="V21" s="139">
        <v>0</v>
      </c>
      <c r="W21" s="359">
        <f>SUM(V057_20[[#This Row],[MPAL2]:[GI]])</f>
        <v>0</v>
      </c>
      <c r="X21" s="139">
        <v>0</v>
      </c>
      <c r="Y21" s="361">
        <f>(Y20-V057_20[[#This Row],[TOTAL]])+V057_20[[#This Row],[FAENA2]]</f>
        <v>79.3</v>
      </c>
      <c r="Z21" s="358"/>
      <c r="AA21" s="139"/>
      <c r="AB21" s="320">
        <f>(AB20-V057_20[[#This Row],[CYLINDER MP]])+V057_20[[#This Row],[FAENA EN LTS]]</f>
        <v>4670</v>
      </c>
      <c r="AC21" s="139"/>
      <c r="AD21" s="139"/>
      <c r="AE21" s="320">
        <f>(AE20-V057_20[[#This Row],[CARTER MP.]])+V057_20[[#This Row],[FAENA EN LTS2]]</f>
        <v>4300</v>
      </c>
      <c r="AF21" s="139"/>
      <c r="AG21" s="139"/>
      <c r="AH21" s="320">
        <f>(AH20-V057_20[[#This Row],[MOT AUX]])+V057_20[[#This Row],[FAENA EN  LTS]]</f>
        <v>4280</v>
      </c>
      <c r="AI21" s="139"/>
      <c r="AJ21" s="139"/>
      <c r="AK21" s="321">
        <f>(AK20-V057_20[[#This Row],[HIDRAULICO]])+V057_20[[#This Row],[FAENA EN LTS3]]</f>
        <v>2700</v>
      </c>
    </row>
    <row r="22" spans="1:128" s="373" customFormat="1" x14ac:dyDescent="0.25">
      <c r="A22" s="131" t="s">
        <v>164</v>
      </c>
      <c r="B22" s="27">
        <v>43926</v>
      </c>
      <c r="C22" s="362">
        <v>0.33333333333333331</v>
      </c>
      <c r="D22" s="37">
        <f>IF(V057_20[[#This Row],[FECHA]]-B21=1,((V057_20[[#This Row],[HORA]]-C21)*24)+24,(V057_20[[#This Row],[HORA]]-C21)*24)</f>
        <v>24</v>
      </c>
      <c r="E22" s="364" t="s">
        <v>55</v>
      </c>
      <c r="F22" s="375" t="s">
        <v>56</v>
      </c>
      <c r="G22" s="365"/>
      <c r="H22" s="366"/>
      <c r="I22" s="355">
        <f>IF(ISERROR(V057_20[[#This Row],[DISTANCIA POR CARTA]]/V057_20[[#This Row],[TIEMPO DE NAVEGACION]]),0,V057_20[[#This Row],[DISTANCIA POR CARTA]]/V057_20[[#This Row],[TIEMPO DE NAVEGACION]])</f>
        <v>0</v>
      </c>
      <c r="J22" s="367"/>
      <c r="K22" s="368">
        <v>96</v>
      </c>
      <c r="L22" s="369">
        <v>22</v>
      </c>
      <c r="M22" s="363">
        <v>2.5</v>
      </c>
      <c r="N22" s="363">
        <v>0</v>
      </c>
      <c r="O22" s="370">
        <f>SUM(V057_20[[#This Row],[MPAL]:[CALDERA]])</f>
        <v>24.5</v>
      </c>
      <c r="P22" s="371"/>
      <c r="Q22" s="270">
        <f>(Q21 -V057_20[[#This Row],[TOTAL ]])+V057_20[FAENA]</f>
        <v>318.25</v>
      </c>
      <c r="R22" s="369">
        <v>0</v>
      </c>
      <c r="S22" s="363">
        <v>0</v>
      </c>
      <c r="T22" s="363">
        <v>0</v>
      </c>
      <c r="U22" s="363">
        <v>0</v>
      </c>
      <c r="V22" s="363">
        <v>0</v>
      </c>
      <c r="W22" s="370">
        <f>SUM(V057_20[[#This Row],[MPAL2]:[GI]])</f>
        <v>0</v>
      </c>
      <c r="X22" s="363">
        <v>0</v>
      </c>
      <c r="Y22" s="372">
        <f>(Y21-V057_20[[#This Row],[TOTAL]])+V057_20[[#This Row],[FAENA2]]</f>
        <v>79.3</v>
      </c>
      <c r="Z22" s="369"/>
      <c r="AA22" s="363"/>
      <c r="AB22" s="320">
        <f>(AB21-V057_20[[#This Row],[CYLINDER MP]])+V057_20[[#This Row],[FAENA EN LTS]]</f>
        <v>4670</v>
      </c>
      <c r="AC22" s="363"/>
      <c r="AD22" s="363"/>
      <c r="AE22" s="320">
        <f>(AE21-V057_20[[#This Row],[CARTER MP.]])+V057_20[[#This Row],[FAENA EN LTS2]]</f>
        <v>4300</v>
      </c>
      <c r="AF22" s="363"/>
      <c r="AG22" s="363"/>
      <c r="AH22" s="320">
        <f>(AH21-V057_20[[#This Row],[MOT AUX]])+V057_20[[#This Row],[FAENA EN  LTS]]</f>
        <v>4280</v>
      </c>
      <c r="AI22" s="363"/>
      <c r="AJ22" s="363"/>
      <c r="AK22" s="321">
        <f>(AK21-V057_20[[#This Row],[HIDRAULICO]])+V057_20[[#This Row],[FAENA EN LTS3]]</f>
        <v>2700</v>
      </c>
    </row>
    <row r="23" spans="1:128" s="127" customFormat="1" x14ac:dyDescent="0.25">
      <c r="A23" s="65" t="s">
        <v>164</v>
      </c>
      <c r="B23" s="384">
        <v>43926</v>
      </c>
      <c r="C23" s="351">
        <v>0.52083333333333337</v>
      </c>
      <c r="D23" s="37">
        <f>IF(V057_20[[#This Row],[FECHA]]-B22=1,((V057_20[[#This Row],[HORA]]-C22)*24)+24,(V057_20[[#This Row],[HORA]]-C22)*24)</f>
        <v>4.5000000000000018</v>
      </c>
      <c r="E23" s="352" t="s">
        <v>55</v>
      </c>
      <c r="F23" s="374" t="s">
        <v>211</v>
      </c>
      <c r="G23" s="353">
        <v>458</v>
      </c>
      <c r="H23" s="354">
        <v>41.8</v>
      </c>
      <c r="I23" s="355">
        <f>IF(ISERROR(V057_20[[#This Row],[DISTANCIA POR CARTA]]/V057_20[[#This Row],[TIEMPO DE NAVEGACION]]),0,V057_20[[#This Row],[DISTANCIA POR CARTA]]/V057_20[[#This Row],[TIEMPO DE NAVEGACION]])</f>
        <v>10.956937799043063</v>
      </c>
      <c r="J23" s="379" t="s">
        <v>215</v>
      </c>
      <c r="K23" s="357">
        <v>96</v>
      </c>
      <c r="L23" s="358">
        <v>4.13</v>
      </c>
      <c r="M23" s="139">
        <v>0.47</v>
      </c>
      <c r="N23" s="139">
        <v>0</v>
      </c>
      <c r="O23" s="359">
        <f>SUM(V057_20[[#This Row],[MPAL]:[CALDERA]])</f>
        <v>4.5999999999999996</v>
      </c>
      <c r="P23" s="360"/>
      <c r="Q23" s="270">
        <f>(Q22 -V057_20[[#This Row],[TOTAL ]])+V057_20[FAENA]</f>
        <v>313.64999999999998</v>
      </c>
      <c r="R23" s="358">
        <v>0</v>
      </c>
      <c r="S23" s="139">
        <v>0</v>
      </c>
      <c r="T23" s="139">
        <v>0</v>
      </c>
      <c r="U23" s="139">
        <v>0</v>
      </c>
      <c r="V23" s="139">
        <v>0</v>
      </c>
      <c r="W23" s="359">
        <f>SUM(V057_20[[#This Row],[MPAL2]:[GI]])</f>
        <v>0</v>
      </c>
      <c r="X23" s="139">
        <v>0</v>
      </c>
      <c r="Y23" s="361">
        <f>(Y22-V057_20[[#This Row],[TOTAL]])+V057_20[[#This Row],[FAENA2]]</f>
        <v>79.3</v>
      </c>
      <c r="Z23" s="358"/>
      <c r="AA23" s="139"/>
      <c r="AB23" s="320">
        <f>(AB22-V057_20[[#This Row],[CYLINDER MP]])+V057_20[[#This Row],[FAENA EN LTS]]</f>
        <v>4670</v>
      </c>
      <c r="AC23" s="139"/>
      <c r="AD23" s="139"/>
      <c r="AE23" s="320">
        <f>(AE22-V057_20[[#This Row],[CARTER MP.]])+V057_20[[#This Row],[FAENA EN LTS2]]</f>
        <v>4300</v>
      </c>
      <c r="AF23" s="139"/>
      <c r="AG23" s="139"/>
      <c r="AH23" s="320">
        <f>(AH22-V057_20[[#This Row],[MOT AUX]])+V057_20[[#This Row],[FAENA EN  LTS]]</f>
        <v>4280</v>
      </c>
      <c r="AI23" s="139"/>
      <c r="AJ23" s="139"/>
      <c r="AK23" s="321">
        <f>(AK22-V057_20[[#This Row],[HIDRAULICO]])+V057_20[[#This Row],[FAENA EN LTS3]]</f>
        <v>2700</v>
      </c>
    </row>
    <row r="24" spans="1:128" s="373" customFormat="1" x14ac:dyDescent="0.25">
      <c r="A24" s="131" t="s">
        <v>164</v>
      </c>
      <c r="B24" s="384">
        <v>43926</v>
      </c>
      <c r="C24" s="362">
        <v>0.54166666666666663</v>
      </c>
      <c r="D24" s="37">
        <f>IF(V057_20[[#This Row],[FECHA]]-B23=1,((V057_20[[#This Row],[HORA]]-C23)*24)+24,(V057_20[[#This Row],[HORA]]-C23)*24)</f>
        <v>0.49999999999999822</v>
      </c>
      <c r="E24" s="364" t="s">
        <v>47</v>
      </c>
      <c r="F24" s="29" t="s">
        <v>48</v>
      </c>
      <c r="G24" s="365"/>
      <c r="H24" s="366"/>
      <c r="I24" s="355">
        <f>IF(ISERROR(V057_20[[#This Row],[DISTANCIA POR CARTA]]/V057_20[[#This Row],[TIEMPO DE NAVEGACION]]),0,V057_20[[#This Row],[DISTANCIA POR CARTA]]/V057_20[[#This Row],[TIEMPO DE NAVEGACION]])</f>
        <v>0</v>
      </c>
      <c r="J24" s="367"/>
      <c r="K24" s="368"/>
      <c r="L24" s="369">
        <v>0</v>
      </c>
      <c r="M24" s="363">
        <v>0.05</v>
      </c>
      <c r="N24" s="363">
        <v>0.04</v>
      </c>
      <c r="O24" s="370">
        <f>SUM(V057_20[[#This Row],[MPAL]:[CALDERA]])</f>
        <v>0.09</v>
      </c>
      <c r="P24" s="371"/>
      <c r="Q24" s="270">
        <f>(Q23 -V057_20[[#This Row],[TOTAL ]])+V057_20[FAENA]</f>
        <v>313.56</v>
      </c>
      <c r="R24" s="369">
        <v>0</v>
      </c>
      <c r="S24" s="363">
        <v>0</v>
      </c>
      <c r="T24" s="363">
        <v>0</v>
      </c>
      <c r="U24" s="363">
        <v>0</v>
      </c>
      <c r="V24" s="363">
        <v>0</v>
      </c>
      <c r="W24" s="370">
        <f>SUM(V057_20[[#This Row],[MPAL2]:[GI]])</f>
        <v>0</v>
      </c>
      <c r="X24" s="363">
        <v>0</v>
      </c>
      <c r="Y24" s="372">
        <f>(Y23-V057_20[[#This Row],[TOTAL]])+V057_20[[#This Row],[FAENA2]]</f>
        <v>79.3</v>
      </c>
      <c r="Z24" s="369"/>
      <c r="AA24" s="363"/>
      <c r="AB24" s="320">
        <f>(AB23-V057_20[[#This Row],[CYLINDER MP]])+V057_20[[#This Row],[FAENA EN LTS]]</f>
        <v>4670</v>
      </c>
      <c r="AC24" s="363"/>
      <c r="AD24" s="363"/>
      <c r="AE24" s="320">
        <f>(AE23-V057_20[[#This Row],[CARTER MP.]])+V057_20[[#This Row],[FAENA EN LTS2]]</f>
        <v>4300</v>
      </c>
      <c r="AF24" s="363"/>
      <c r="AG24" s="363"/>
      <c r="AH24" s="320">
        <f>(AH23-V057_20[[#This Row],[MOT AUX]])+V057_20[[#This Row],[FAENA EN  LTS]]</f>
        <v>4280</v>
      </c>
      <c r="AI24" s="363"/>
      <c r="AJ24" s="363"/>
      <c r="AK24" s="321">
        <f>(AK23-V057_20[[#This Row],[HIDRAULICO]])+V057_20[[#This Row],[FAENA EN LTS3]]</f>
        <v>2700</v>
      </c>
    </row>
    <row r="25" spans="1:128" s="127" customFormat="1" x14ac:dyDescent="0.25">
      <c r="A25" s="65" t="s">
        <v>164</v>
      </c>
      <c r="B25" s="40">
        <v>43927</v>
      </c>
      <c r="C25" s="351">
        <v>0.33333333333333331</v>
      </c>
      <c r="D25" s="37">
        <f>IF(V057_20[[#This Row],[FECHA]]-B24=1,((V057_20[[#This Row],[HORA]]-C24)*24)+24,(V057_20[[#This Row],[HORA]]-C24)*24)</f>
        <v>19</v>
      </c>
      <c r="E25" s="352" t="s">
        <v>45</v>
      </c>
      <c r="F25" s="29" t="s">
        <v>45</v>
      </c>
      <c r="G25" s="353"/>
      <c r="H25" s="354"/>
      <c r="I25" s="355">
        <f>IF(ISERROR(V057_20[[#This Row],[DISTANCIA POR CARTA]]/V057_20[[#This Row],[TIEMPO DE NAVEGACION]]),0,V057_20[[#This Row],[DISTANCIA POR CARTA]]/V057_20[[#This Row],[TIEMPO DE NAVEGACION]])</f>
        <v>0</v>
      </c>
      <c r="J25" s="356"/>
      <c r="K25" s="357"/>
      <c r="L25" s="369">
        <v>0</v>
      </c>
      <c r="M25" s="139">
        <v>1.74</v>
      </c>
      <c r="N25" s="139">
        <v>1.43</v>
      </c>
      <c r="O25" s="359">
        <f>SUM(V057_20[[#This Row],[MPAL]:[CALDERA]])</f>
        <v>3.17</v>
      </c>
      <c r="P25" s="360"/>
      <c r="Q25" s="270">
        <f>(Q24 -V057_20[[#This Row],[TOTAL ]])+V057_20[FAENA]</f>
        <v>310.39</v>
      </c>
      <c r="R25" s="358">
        <v>0</v>
      </c>
      <c r="S25" s="139">
        <v>0</v>
      </c>
      <c r="T25" s="139">
        <v>0</v>
      </c>
      <c r="U25" s="139">
        <v>0</v>
      </c>
      <c r="V25" s="139">
        <v>0</v>
      </c>
      <c r="W25" s="359">
        <f>SUM(V057_20[[#This Row],[MPAL2]:[GI]])</f>
        <v>0</v>
      </c>
      <c r="X25" s="139">
        <v>0</v>
      </c>
      <c r="Y25" s="361">
        <f>(Y24-V057_20[[#This Row],[TOTAL]])+V057_20[[#This Row],[FAENA2]]</f>
        <v>79.3</v>
      </c>
      <c r="Z25" s="358"/>
      <c r="AA25" s="139"/>
      <c r="AB25" s="320">
        <f>(AB24-V057_20[[#This Row],[CYLINDER MP]])+V057_20[[#This Row],[FAENA EN LTS]]</f>
        <v>4670</v>
      </c>
      <c r="AC25" s="139"/>
      <c r="AD25" s="139"/>
      <c r="AE25" s="320">
        <f>(AE24-V057_20[[#This Row],[CARTER MP.]])+V057_20[[#This Row],[FAENA EN LTS2]]</f>
        <v>4300</v>
      </c>
      <c r="AF25" s="139"/>
      <c r="AG25" s="139"/>
      <c r="AH25" s="320">
        <f>(AH24-V057_20[[#This Row],[MOT AUX]])+V057_20[[#This Row],[FAENA EN  LTS]]</f>
        <v>4280</v>
      </c>
      <c r="AI25" s="139"/>
      <c r="AJ25" s="139"/>
      <c r="AK25" s="321">
        <f>(AK24-V057_20[[#This Row],[HIDRAULICO]])+V057_20[[#This Row],[FAENA EN LTS3]]</f>
        <v>2700</v>
      </c>
    </row>
    <row r="26" spans="1:128" s="373" customFormat="1" x14ac:dyDescent="0.25">
      <c r="A26" s="131" t="s">
        <v>164</v>
      </c>
      <c r="B26" s="27">
        <v>43928</v>
      </c>
      <c r="C26" s="362">
        <v>0.33333333333333331</v>
      </c>
      <c r="D26" s="37">
        <f>IF(V057_20[[#This Row],[FECHA]]-B25=1,((V057_20[[#This Row],[HORA]]-C25)*24)+24,(V057_20[[#This Row],[HORA]]-C25)*24)</f>
        <v>24</v>
      </c>
      <c r="E26" s="364" t="s">
        <v>45</v>
      </c>
      <c r="F26" s="29" t="s">
        <v>45</v>
      </c>
      <c r="G26" s="365"/>
      <c r="H26" s="366"/>
      <c r="I26" s="355">
        <f>IF(ISERROR(V057_20[[#This Row],[DISTANCIA POR CARTA]]/V057_20[[#This Row],[TIEMPO DE NAVEGACION]]),0,V057_20[[#This Row],[DISTANCIA POR CARTA]]/V057_20[[#This Row],[TIEMPO DE NAVEGACION]])</f>
        <v>0</v>
      </c>
      <c r="J26" s="367"/>
      <c r="K26" s="368"/>
      <c r="L26" s="369">
        <v>0</v>
      </c>
      <c r="M26" s="363">
        <v>2.2000000000000002</v>
      </c>
      <c r="N26" s="363">
        <v>0</v>
      </c>
      <c r="O26" s="370">
        <f>SUM(V057_20[[#This Row],[MPAL]:[CALDERA]])</f>
        <v>2.2000000000000002</v>
      </c>
      <c r="P26" s="371"/>
      <c r="Q26" s="270">
        <f>(Q25 -V057_20[[#This Row],[TOTAL ]])+V057_20[FAENA]</f>
        <v>308.19</v>
      </c>
      <c r="R26" s="369">
        <v>0</v>
      </c>
      <c r="S26" s="363">
        <v>0</v>
      </c>
      <c r="T26" s="363">
        <v>0</v>
      </c>
      <c r="U26" s="363">
        <v>0</v>
      </c>
      <c r="V26" s="363">
        <v>0</v>
      </c>
      <c r="W26" s="370">
        <f>SUM(V057_20[[#This Row],[MPAL2]:[GI]])</f>
        <v>0</v>
      </c>
      <c r="X26" s="363">
        <v>0</v>
      </c>
      <c r="Y26" s="372">
        <f>(Y25-V057_20[[#This Row],[TOTAL]])+V057_20[[#This Row],[FAENA2]]</f>
        <v>79.3</v>
      </c>
      <c r="Z26" s="369"/>
      <c r="AA26" s="363"/>
      <c r="AB26" s="320">
        <f>(AB25-V057_20[[#This Row],[CYLINDER MP]])+V057_20[[#This Row],[FAENA EN LTS]]</f>
        <v>4670</v>
      </c>
      <c r="AC26" s="363"/>
      <c r="AD26" s="363"/>
      <c r="AE26" s="320">
        <f>(AE25-V057_20[[#This Row],[CARTER MP.]])+V057_20[[#This Row],[FAENA EN LTS2]]</f>
        <v>4300</v>
      </c>
      <c r="AF26" s="363"/>
      <c r="AG26" s="363"/>
      <c r="AH26" s="320">
        <f>(AH25-V057_20[[#This Row],[MOT AUX]])+V057_20[[#This Row],[FAENA EN  LTS]]</f>
        <v>4280</v>
      </c>
      <c r="AI26" s="363"/>
      <c r="AJ26" s="363"/>
      <c r="AK26" s="321">
        <f>(AK25-V057_20[[#This Row],[HIDRAULICO]])+V057_20[[#This Row],[FAENA EN LTS3]]</f>
        <v>2700</v>
      </c>
    </row>
    <row r="27" spans="1:128" s="127" customFormat="1" x14ac:dyDescent="0.25">
      <c r="A27" s="65" t="s">
        <v>164</v>
      </c>
      <c r="B27" s="40">
        <v>43929</v>
      </c>
      <c r="C27" s="351">
        <v>0.33333333333333331</v>
      </c>
      <c r="D27" s="37">
        <f>IF(V057_20[[#This Row],[FECHA]]-B26=1,((V057_20[[#This Row],[HORA]]-C26)*24)+24,(V057_20[[#This Row],[HORA]]-C26)*24)</f>
        <v>24</v>
      </c>
      <c r="E27" s="352" t="s">
        <v>45</v>
      </c>
      <c r="F27" s="29" t="s">
        <v>45</v>
      </c>
      <c r="G27" s="353"/>
      <c r="H27" s="354"/>
      <c r="I27" s="355">
        <f>IF(ISERROR(V057_20[[#This Row],[DISTANCIA POR CARTA]]/V057_20[[#This Row],[TIEMPO DE NAVEGACION]]),0,V057_20[[#This Row],[DISTANCIA POR CARTA]]/V057_20[[#This Row],[TIEMPO DE NAVEGACION]])</f>
        <v>0</v>
      </c>
      <c r="J27" s="356"/>
      <c r="K27" s="357"/>
      <c r="L27" s="369">
        <v>0</v>
      </c>
      <c r="M27" s="363">
        <v>2.2000000000000002</v>
      </c>
      <c r="N27" s="139">
        <v>0</v>
      </c>
      <c r="O27" s="359">
        <f>SUM(V057_20[[#This Row],[MPAL]:[CALDERA]])</f>
        <v>2.2000000000000002</v>
      </c>
      <c r="P27" s="360"/>
      <c r="Q27" s="270">
        <f>(Q26 -V057_20[[#This Row],[TOTAL ]])+V057_20[FAENA]</f>
        <v>305.99</v>
      </c>
      <c r="R27" s="358">
        <v>0</v>
      </c>
      <c r="S27" s="139">
        <v>0</v>
      </c>
      <c r="T27" s="139">
        <v>0</v>
      </c>
      <c r="U27" s="139">
        <v>0</v>
      </c>
      <c r="V27" s="139">
        <v>0</v>
      </c>
      <c r="W27" s="359">
        <f>SUM(V057_20[[#This Row],[MPAL2]:[GI]])</f>
        <v>0</v>
      </c>
      <c r="X27" s="139">
        <v>0</v>
      </c>
      <c r="Y27" s="361">
        <f>(Y26-V057_20[[#This Row],[TOTAL]])+V057_20[[#This Row],[FAENA2]]</f>
        <v>79.3</v>
      </c>
      <c r="Z27" s="358"/>
      <c r="AA27" s="139"/>
      <c r="AB27" s="320">
        <f>(AB26-V057_20[[#This Row],[CYLINDER MP]])+V057_20[[#This Row],[FAENA EN LTS]]</f>
        <v>4670</v>
      </c>
      <c r="AC27" s="139"/>
      <c r="AD27" s="139"/>
      <c r="AE27" s="320">
        <f>(AE26-V057_20[[#This Row],[CARTER MP.]])+V057_20[[#This Row],[FAENA EN LTS2]]</f>
        <v>4300</v>
      </c>
      <c r="AF27" s="139"/>
      <c r="AG27" s="139"/>
      <c r="AH27" s="320">
        <f>(AH26-V057_20[[#This Row],[MOT AUX]])+V057_20[[#This Row],[FAENA EN  LTS]]</f>
        <v>4280</v>
      </c>
      <c r="AI27" s="139"/>
      <c r="AJ27" s="139"/>
      <c r="AK27" s="321">
        <f>(AK26-V057_20[[#This Row],[HIDRAULICO]])+V057_20[[#This Row],[FAENA EN LTS3]]</f>
        <v>2700</v>
      </c>
    </row>
    <row r="28" spans="1:128" s="373" customFormat="1" x14ac:dyDescent="0.25">
      <c r="A28" s="131" t="s">
        <v>164</v>
      </c>
      <c r="B28" s="27">
        <v>43930</v>
      </c>
      <c r="C28" s="362">
        <v>0.33333333333333331</v>
      </c>
      <c r="D28" s="37">
        <f>IF(V057_20[[#This Row],[FECHA]]-B27=1,((V057_20[[#This Row],[HORA]]-C27)*24)+24,(V057_20[[#This Row],[HORA]]-C27)*24)</f>
        <v>24</v>
      </c>
      <c r="E28" s="364" t="s">
        <v>45</v>
      </c>
      <c r="F28" s="29" t="s">
        <v>45</v>
      </c>
      <c r="G28" s="365"/>
      <c r="H28" s="366"/>
      <c r="I28" s="355">
        <f>IF(ISERROR(V057_20[[#This Row],[DISTANCIA POR CARTA]]/V057_20[[#This Row],[TIEMPO DE NAVEGACION]]),0,V057_20[[#This Row],[DISTANCIA POR CARTA]]/V057_20[[#This Row],[TIEMPO DE NAVEGACION]])</f>
        <v>0</v>
      </c>
      <c r="J28" s="367"/>
      <c r="K28" s="368"/>
      <c r="L28" s="369">
        <v>0</v>
      </c>
      <c r="M28" s="363">
        <v>2.2000000000000002</v>
      </c>
      <c r="N28" s="363">
        <v>0</v>
      </c>
      <c r="O28" s="370">
        <f>SUM(V057_20[[#This Row],[MPAL]:[CALDERA]])</f>
        <v>2.2000000000000002</v>
      </c>
      <c r="P28" s="371"/>
      <c r="Q28" s="270">
        <f>(Q27 -V057_20[[#This Row],[TOTAL ]])+V057_20[FAENA]</f>
        <v>303.79000000000002</v>
      </c>
      <c r="R28" s="369">
        <v>0</v>
      </c>
      <c r="S28" s="363">
        <v>0</v>
      </c>
      <c r="T28" s="363">
        <v>0</v>
      </c>
      <c r="U28" s="363">
        <v>0</v>
      </c>
      <c r="V28" s="363">
        <v>0</v>
      </c>
      <c r="W28" s="370">
        <f>SUM(V057_20[[#This Row],[MPAL2]:[GI]])</f>
        <v>0</v>
      </c>
      <c r="X28" s="363">
        <v>0</v>
      </c>
      <c r="Y28" s="372">
        <f>(Y27-V057_20[[#This Row],[TOTAL]])+V057_20[[#This Row],[FAENA2]]</f>
        <v>79.3</v>
      </c>
      <c r="Z28" s="369"/>
      <c r="AA28" s="363"/>
      <c r="AB28" s="320">
        <f>(AB27-V057_20[[#This Row],[CYLINDER MP]])+V057_20[[#This Row],[FAENA EN LTS]]</f>
        <v>4670</v>
      </c>
      <c r="AC28" s="363"/>
      <c r="AD28" s="363"/>
      <c r="AE28" s="320">
        <f>(AE27-V057_20[[#This Row],[CARTER MP.]])+V057_20[[#This Row],[FAENA EN LTS2]]</f>
        <v>4300</v>
      </c>
      <c r="AF28" s="363"/>
      <c r="AG28" s="363"/>
      <c r="AH28" s="320">
        <f>(AH27-V057_20[[#This Row],[MOT AUX]])+V057_20[[#This Row],[FAENA EN  LTS]]</f>
        <v>4280</v>
      </c>
      <c r="AI28" s="363"/>
      <c r="AJ28" s="363"/>
      <c r="AK28" s="321">
        <f>(AK27-V057_20[[#This Row],[HIDRAULICO]])+V057_20[[#This Row],[FAENA EN LTS3]]</f>
        <v>2700</v>
      </c>
    </row>
    <row r="29" spans="1:128" s="127" customFormat="1" x14ac:dyDescent="0.25">
      <c r="A29" s="65" t="s">
        <v>164</v>
      </c>
      <c r="B29" s="40">
        <v>43931</v>
      </c>
      <c r="C29" s="351">
        <v>0.33333333333333331</v>
      </c>
      <c r="D29" s="37">
        <f>IF(V057_20[[#This Row],[FECHA]]-B28=1,((V057_20[[#This Row],[HORA]]-C28)*24)+24,(V057_20[[#This Row],[HORA]]-C28)*24)</f>
        <v>24</v>
      </c>
      <c r="E29" s="352" t="s">
        <v>45</v>
      </c>
      <c r="F29" s="29" t="s">
        <v>45</v>
      </c>
      <c r="G29" s="353"/>
      <c r="H29" s="354"/>
      <c r="I29" s="355">
        <f>IF(ISERROR(V057_20[[#This Row],[DISTANCIA POR CARTA]]/V057_20[[#This Row],[TIEMPO DE NAVEGACION]]),0,V057_20[[#This Row],[DISTANCIA POR CARTA]]/V057_20[[#This Row],[TIEMPO DE NAVEGACION]])</f>
        <v>0</v>
      </c>
      <c r="J29" s="356"/>
      <c r="K29" s="357"/>
      <c r="L29" s="369">
        <v>0</v>
      </c>
      <c r="M29" s="363">
        <v>2.2000000000000002</v>
      </c>
      <c r="N29" s="363">
        <v>0</v>
      </c>
      <c r="O29" s="359">
        <f>SUM(V057_20[[#This Row],[MPAL]:[CALDERA]])</f>
        <v>2.2000000000000002</v>
      </c>
      <c r="P29" s="360"/>
      <c r="Q29" s="270">
        <f>(Q28 -V057_20[[#This Row],[TOTAL ]])+V057_20[FAENA]</f>
        <v>301.59000000000003</v>
      </c>
      <c r="R29" s="358">
        <v>0</v>
      </c>
      <c r="S29" s="139">
        <v>0</v>
      </c>
      <c r="T29" s="139">
        <v>0</v>
      </c>
      <c r="U29" s="139">
        <v>0</v>
      </c>
      <c r="V29" s="139">
        <v>0</v>
      </c>
      <c r="W29" s="359">
        <f>SUM(V057_20[[#This Row],[MPAL2]:[GI]])</f>
        <v>0</v>
      </c>
      <c r="X29" s="139">
        <v>0</v>
      </c>
      <c r="Y29" s="361">
        <f>(Y28-V057_20[[#This Row],[TOTAL]])+V057_20[[#This Row],[FAENA2]]</f>
        <v>79.3</v>
      </c>
      <c r="Z29" s="358"/>
      <c r="AA29" s="139"/>
      <c r="AB29" s="320">
        <f>(AB28-V057_20[[#This Row],[CYLINDER MP]])+V057_20[[#This Row],[FAENA EN LTS]]</f>
        <v>4670</v>
      </c>
      <c r="AC29" s="139"/>
      <c r="AD29" s="139"/>
      <c r="AE29" s="320">
        <f>(AE28-V057_20[[#This Row],[CARTER MP.]])+V057_20[[#This Row],[FAENA EN LTS2]]</f>
        <v>4300</v>
      </c>
      <c r="AF29" s="139"/>
      <c r="AG29" s="139"/>
      <c r="AH29" s="320">
        <f>(AH28-V057_20[[#This Row],[MOT AUX]])+V057_20[[#This Row],[FAENA EN  LTS]]</f>
        <v>4280</v>
      </c>
      <c r="AI29" s="139"/>
      <c r="AJ29" s="139"/>
      <c r="AK29" s="321">
        <f>(AK28-V057_20[[#This Row],[HIDRAULICO]])+V057_20[[#This Row],[FAENA EN LTS3]]</f>
        <v>2700</v>
      </c>
    </row>
    <row r="30" spans="1:128" s="373" customFormat="1" x14ac:dyDescent="0.25">
      <c r="A30" s="131" t="s">
        <v>164</v>
      </c>
      <c r="B30" s="27">
        <v>43932</v>
      </c>
      <c r="C30" s="362">
        <v>0.33333333333333331</v>
      </c>
      <c r="D30" s="37">
        <f>IF(V057_20[[#This Row],[FECHA]]-B29=1,((V057_20[[#This Row],[HORA]]-C29)*24)+24,(V057_20[[#This Row],[HORA]]-C29)*24)</f>
        <v>24</v>
      </c>
      <c r="E30" s="364" t="s">
        <v>45</v>
      </c>
      <c r="F30" s="29" t="s">
        <v>45</v>
      </c>
      <c r="G30" s="365"/>
      <c r="H30" s="366"/>
      <c r="I30" s="355">
        <f>IF(ISERROR(V057_20[[#This Row],[DISTANCIA POR CARTA]]/V057_20[[#This Row],[TIEMPO DE NAVEGACION]]),0,V057_20[[#This Row],[DISTANCIA POR CARTA]]/V057_20[[#This Row],[TIEMPO DE NAVEGACION]])</f>
        <v>0</v>
      </c>
      <c r="J30" s="367"/>
      <c r="K30" s="368"/>
      <c r="L30" s="369">
        <v>0</v>
      </c>
      <c r="M30" s="363">
        <v>2.2000000000000002</v>
      </c>
      <c r="N30" s="363">
        <v>0</v>
      </c>
      <c r="O30" s="370">
        <f>SUM(V057_20[[#This Row],[MPAL]:[CALDERA]])</f>
        <v>2.2000000000000002</v>
      </c>
      <c r="P30" s="371"/>
      <c r="Q30" s="270">
        <f>(Q29 -V057_20[[#This Row],[TOTAL ]])+V057_20[FAENA]</f>
        <v>299.39000000000004</v>
      </c>
      <c r="R30" s="369">
        <v>0</v>
      </c>
      <c r="S30" s="363">
        <v>0</v>
      </c>
      <c r="T30" s="363">
        <v>0</v>
      </c>
      <c r="U30" s="363">
        <v>0</v>
      </c>
      <c r="V30" s="363">
        <v>0</v>
      </c>
      <c r="W30" s="370">
        <f>SUM(V057_20[[#This Row],[MPAL2]:[GI]])</f>
        <v>0</v>
      </c>
      <c r="X30" s="363">
        <v>0</v>
      </c>
      <c r="Y30" s="372">
        <f>(Y29-V057_20[[#This Row],[TOTAL]])+V057_20[[#This Row],[FAENA2]]</f>
        <v>79.3</v>
      </c>
      <c r="Z30" s="369"/>
      <c r="AA30" s="363"/>
      <c r="AB30" s="320">
        <f>(AB29-V057_20[[#This Row],[CYLINDER MP]])+V057_20[[#This Row],[FAENA EN LTS]]</f>
        <v>4670</v>
      </c>
      <c r="AC30" s="363"/>
      <c r="AD30" s="363"/>
      <c r="AE30" s="320">
        <f>(AE29-V057_20[[#This Row],[CARTER MP.]])+V057_20[[#This Row],[FAENA EN LTS2]]</f>
        <v>4300</v>
      </c>
      <c r="AF30" s="363"/>
      <c r="AG30" s="363"/>
      <c r="AH30" s="320">
        <f>(AH29-V057_20[[#This Row],[MOT AUX]])+V057_20[[#This Row],[FAENA EN  LTS]]</f>
        <v>4280</v>
      </c>
      <c r="AI30" s="363"/>
      <c r="AJ30" s="363"/>
      <c r="AK30" s="321">
        <f>(AK29-V057_20[[#This Row],[HIDRAULICO]])+V057_20[[#This Row],[FAENA EN LTS3]]</f>
        <v>2700</v>
      </c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  <c r="BN30" s="127"/>
      <c r="BO30" s="127"/>
      <c r="BP30" s="127"/>
      <c r="BQ30" s="127"/>
      <c r="BR30" s="127"/>
      <c r="BS30" s="127"/>
      <c r="BT30" s="127"/>
      <c r="BU30" s="127"/>
      <c r="BV30" s="127"/>
      <c r="BW30" s="127"/>
      <c r="BX30" s="127"/>
      <c r="BY30" s="127"/>
      <c r="BZ30" s="127"/>
      <c r="CA30" s="127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  <c r="CN30" s="127"/>
      <c r="CO30" s="127"/>
      <c r="CP30" s="127"/>
      <c r="CQ30" s="127"/>
      <c r="CR30" s="127"/>
      <c r="CS30" s="127"/>
      <c r="CT30" s="127"/>
      <c r="CU30" s="127"/>
      <c r="CV30" s="127"/>
      <c r="CW30" s="127"/>
      <c r="CX30" s="127"/>
      <c r="CY30" s="127"/>
      <c r="CZ30" s="127"/>
      <c r="DA30" s="127"/>
      <c r="DB30" s="127"/>
      <c r="DC30" s="127"/>
      <c r="DD30" s="127"/>
      <c r="DE30" s="127"/>
      <c r="DF30" s="127"/>
      <c r="DG30" s="127"/>
      <c r="DH30" s="127"/>
      <c r="DI30" s="127"/>
      <c r="DJ30" s="127"/>
      <c r="DK30" s="127"/>
      <c r="DL30" s="127"/>
      <c r="DM30" s="127"/>
      <c r="DN30" s="127"/>
      <c r="DO30" s="127"/>
      <c r="DP30" s="127"/>
      <c r="DQ30" s="127"/>
      <c r="DR30" s="127"/>
      <c r="DS30" s="127"/>
      <c r="DT30" s="127"/>
      <c r="DU30" s="127"/>
      <c r="DV30" s="127"/>
      <c r="DW30" s="127"/>
      <c r="DX30" s="127"/>
    </row>
    <row r="31" spans="1:128" s="127" customFormat="1" x14ac:dyDescent="0.25">
      <c r="A31" s="65" t="s">
        <v>164</v>
      </c>
      <c r="B31" s="40">
        <v>43933</v>
      </c>
      <c r="C31" s="351">
        <v>0.33333333333333331</v>
      </c>
      <c r="D31" s="37">
        <f>IF(V057_20[[#This Row],[FECHA]]-B30=1,((V057_20[[#This Row],[HORA]]-C30)*24)+24,(V057_20[[#This Row],[HORA]]-C30)*24)</f>
        <v>24</v>
      </c>
      <c r="E31" s="352" t="s">
        <v>45</v>
      </c>
      <c r="F31" s="29" t="s">
        <v>45</v>
      </c>
      <c r="G31" s="353"/>
      <c r="H31" s="354"/>
      <c r="I31" s="355">
        <f>IF(ISERROR(V057_20[[#This Row],[DISTANCIA POR CARTA]]/V057_20[[#This Row],[TIEMPO DE NAVEGACION]]),0,V057_20[[#This Row],[DISTANCIA POR CARTA]]/V057_20[[#This Row],[TIEMPO DE NAVEGACION]])</f>
        <v>0</v>
      </c>
      <c r="J31" s="356"/>
      <c r="K31" s="357"/>
      <c r="L31" s="369">
        <v>0</v>
      </c>
      <c r="M31" s="363">
        <v>2.2000000000000002</v>
      </c>
      <c r="N31" s="363">
        <v>0</v>
      </c>
      <c r="O31" s="359">
        <f>SUM(V057_20[[#This Row],[MPAL]:[CALDERA]])</f>
        <v>2.2000000000000002</v>
      </c>
      <c r="P31" s="360"/>
      <c r="Q31" s="270">
        <f>(Q30 -V057_20[[#This Row],[TOTAL ]])+V057_20[FAENA]</f>
        <v>297.19000000000005</v>
      </c>
      <c r="R31" s="358">
        <v>0</v>
      </c>
      <c r="S31" s="139">
        <v>0</v>
      </c>
      <c r="T31" s="139">
        <v>0</v>
      </c>
      <c r="U31" s="139">
        <v>0</v>
      </c>
      <c r="V31" s="139">
        <v>0</v>
      </c>
      <c r="W31" s="359">
        <f>SUM(V057_20[[#This Row],[MPAL2]:[GI]])</f>
        <v>0</v>
      </c>
      <c r="X31" s="139">
        <v>0</v>
      </c>
      <c r="Y31" s="361">
        <f>(Y30-V057_20[[#This Row],[TOTAL]])+V057_20[[#This Row],[FAENA2]]</f>
        <v>79.3</v>
      </c>
      <c r="Z31" s="358"/>
      <c r="AA31" s="139"/>
      <c r="AB31" s="320">
        <f>(AB30-V057_20[[#This Row],[CYLINDER MP]])+V057_20[[#This Row],[FAENA EN LTS]]</f>
        <v>4670</v>
      </c>
      <c r="AC31" s="139"/>
      <c r="AD31" s="139"/>
      <c r="AE31" s="320">
        <f>(AE30-V057_20[[#This Row],[CARTER MP.]])+V057_20[[#This Row],[FAENA EN LTS2]]</f>
        <v>4300</v>
      </c>
      <c r="AF31" s="139"/>
      <c r="AG31" s="139"/>
      <c r="AH31" s="320">
        <f>(AH30-V057_20[[#This Row],[MOT AUX]])+V057_20[[#This Row],[FAENA EN  LTS]]</f>
        <v>4280</v>
      </c>
      <c r="AI31" s="139"/>
      <c r="AJ31" s="139"/>
      <c r="AK31" s="321">
        <f>(AK30-V057_20[[#This Row],[HIDRAULICO]])+V057_20[[#This Row],[FAENA EN LTS3]]</f>
        <v>2700</v>
      </c>
    </row>
    <row r="32" spans="1:128" s="373" customFormat="1" x14ac:dyDescent="0.25">
      <c r="A32" s="131" t="s">
        <v>164</v>
      </c>
      <c r="B32" s="27">
        <v>43934</v>
      </c>
      <c r="C32" s="362">
        <v>0.33333333333333331</v>
      </c>
      <c r="D32" s="37">
        <f>IF(V057_20[[#This Row],[FECHA]]-B31=1,((V057_20[[#This Row],[HORA]]-C31)*24)+24,(V057_20[[#This Row],[HORA]]-C31)*24)</f>
        <v>24</v>
      </c>
      <c r="E32" s="364" t="s">
        <v>45</v>
      </c>
      <c r="F32" s="29" t="s">
        <v>45</v>
      </c>
      <c r="G32" s="365"/>
      <c r="H32" s="366"/>
      <c r="I32" s="355">
        <f>IF(ISERROR(V057_20[[#This Row],[DISTANCIA POR CARTA]]/V057_20[[#This Row],[TIEMPO DE NAVEGACION]]),0,V057_20[[#This Row],[DISTANCIA POR CARTA]]/V057_20[[#This Row],[TIEMPO DE NAVEGACION]])</f>
        <v>0</v>
      </c>
      <c r="J32" s="367"/>
      <c r="K32" s="368"/>
      <c r="L32" s="369">
        <v>0</v>
      </c>
      <c r="M32" s="363">
        <v>2.2000000000000002</v>
      </c>
      <c r="N32" s="363">
        <v>1.2</v>
      </c>
      <c r="O32" s="370">
        <f>SUM(V057_20[[#This Row],[MPAL]:[CALDERA]])</f>
        <v>3.4000000000000004</v>
      </c>
      <c r="P32" s="371"/>
      <c r="Q32" s="270">
        <f>(Q31 -V057_20[[#This Row],[TOTAL ]])+V057_20[FAENA]</f>
        <v>293.79000000000008</v>
      </c>
      <c r="R32" s="369">
        <v>0</v>
      </c>
      <c r="S32" s="363">
        <v>0</v>
      </c>
      <c r="T32" s="363">
        <v>0</v>
      </c>
      <c r="U32" s="363">
        <v>0</v>
      </c>
      <c r="V32" s="363">
        <v>0</v>
      </c>
      <c r="W32" s="370">
        <v>0</v>
      </c>
      <c r="X32" s="363">
        <v>0</v>
      </c>
      <c r="Y32" s="372">
        <f>(Y31-V057_20[[#This Row],[TOTAL]])+V057_20[[#This Row],[FAENA2]]</f>
        <v>79.3</v>
      </c>
      <c r="Z32" s="369"/>
      <c r="AA32" s="363"/>
      <c r="AB32" s="320">
        <f>(AB31-V057_20[[#This Row],[CYLINDER MP]])+V057_20[[#This Row],[FAENA EN LTS]]</f>
        <v>4670</v>
      </c>
      <c r="AC32" s="363"/>
      <c r="AD32" s="363"/>
      <c r="AE32" s="320">
        <f>(AE31-V057_20[[#This Row],[CARTER MP.]])+V057_20[[#This Row],[FAENA EN LTS2]]</f>
        <v>4300</v>
      </c>
      <c r="AF32" s="363"/>
      <c r="AG32" s="363"/>
      <c r="AH32" s="320">
        <f>(AH31-V057_20[[#This Row],[MOT AUX]])+V057_20[[#This Row],[FAENA EN  LTS]]</f>
        <v>4280</v>
      </c>
      <c r="AI32" s="363"/>
      <c r="AJ32" s="363"/>
      <c r="AK32" s="321">
        <f>(AK31-V057_20[[#This Row],[HIDRAULICO]])+V057_20[[#This Row],[FAENA EN LTS3]]</f>
        <v>2700</v>
      </c>
      <c r="AL32" s="127"/>
      <c r="AM32" s="127"/>
      <c r="AN32" s="127"/>
      <c r="AO32" s="127"/>
      <c r="AP32" s="127"/>
      <c r="AQ32" s="127"/>
      <c r="AR32" s="127"/>
      <c r="AS32" s="127"/>
      <c r="AT32" s="127"/>
      <c r="AU32" s="127"/>
      <c r="AV32" s="127"/>
      <c r="AW32" s="127"/>
      <c r="AX32" s="127"/>
      <c r="AY32" s="127"/>
      <c r="AZ32" s="127"/>
      <c r="BA32" s="127"/>
      <c r="BB32" s="127"/>
      <c r="BC32" s="127"/>
      <c r="BD32" s="127"/>
      <c r="BE32" s="127"/>
      <c r="BF32" s="127"/>
      <c r="BG32" s="127"/>
      <c r="BH32" s="127"/>
      <c r="BI32" s="127"/>
      <c r="BJ32" s="127"/>
      <c r="BK32" s="127"/>
      <c r="BL32" s="127"/>
      <c r="BM32" s="127"/>
      <c r="BN32" s="127"/>
      <c r="BO32" s="127"/>
      <c r="BP32" s="127"/>
      <c r="BQ32" s="127"/>
      <c r="BR32" s="127"/>
      <c r="BS32" s="127"/>
      <c r="BT32" s="127"/>
      <c r="BU32" s="127"/>
      <c r="BV32" s="127"/>
      <c r="BW32" s="127"/>
      <c r="BX32" s="127"/>
      <c r="BY32" s="127"/>
      <c r="BZ32" s="127"/>
      <c r="CA32" s="127"/>
      <c r="CB32" s="127"/>
      <c r="CC32" s="127"/>
      <c r="CD32" s="127"/>
      <c r="CE32" s="127"/>
      <c r="CF32" s="127"/>
      <c r="CG32" s="127"/>
      <c r="CH32" s="127"/>
      <c r="CI32" s="127"/>
      <c r="CJ32" s="127"/>
      <c r="CK32" s="127"/>
      <c r="CL32" s="127"/>
      <c r="CM32" s="127"/>
      <c r="CN32" s="127"/>
      <c r="CO32" s="127"/>
      <c r="CP32" s="127"/>
      <c r="CQ32" s="127"/>
      <c r="CR32" s="127"/>
      <c r="CS32" s="127"/>
      <c r="CT32" s="127"/>
      <c r="CU32" s="127"/>
      <c r="CV32" s="127"/>
      <c r="CW32" s="127"/>
      <c r="CX32" s="127"/>
      <c r="CY32" s="127"/>
      <c r="CZ32" s="127"/>
      <c r="DA32" s="127"/>
      <c r="DB32" s="127"/>
      <c r="DC32" s="127"/>
      <c r="DD32" s="127"/>
      <c r="DE32" s="127"/>
      <c r="DF32" s="127"/>
      <c r="DG32" s="127"/>
      <c r="DH32" s="127"/>
      <c r="DI32" s="127"/>
      <c r="DJ32" s="127"/>
      <c r="DK32" s="127"/>
      <c r="DL32" s="127"/>
      <c r="DM32" s="127"/>
      <c r="DN32" s="127"/>
      <c r="DO32" s="127"/>
      <c r="DP32" s="127"/>
      <c r="DQ32" s="127"/>
      <c r="DR32" s="127"/>
      <c r="DS32" s="127"/>
      <c r="DT32" s="127"/>
      <c r="DU32" s="127"/>
      <c r="DV32" s="127"/>
      <c r="DW32" s="127"/>
      <c r="DX32" s="127"/>
    </row>
    <row r="33" spans="1:128" s="127" customFormat="1" x14ac:dyDescent="0.25">
      <c r="A33" s="65" t="s">
        <v>164</v>
      </c>
      <c r="B33" s="40">
        <v>43935</v>
      </c>
      <c r="C33" s="351">
        <v>0.33333333333333331</v>
      </c>
      <c r="D33" s="37">
        <f>IF(V057_20[[#This Row],[FECHA]]-B32=1,((V057_20[[#This Row],[HORA]]-C32)*24)+24,(V057_20[[#This Row],[HORA]]-C32)*24)</f>
        <v>24</v>
      </c>
      <c r="E33" s="352" t="s">
        <v>45</v>
      </c>
      <c r="F33" s="29" t="s">
        <v>45</v>
      </c>
      <c r="G33" s="353"/>
      <c r="H33" s="354"/>
      <c r="I33" s="355">
        <f>IF(ISERROR(V057_20[[#This Row],[DISTANCIA POR CARTA]]/V057_20[[#This Row],[TIEMPO DE NAVEGACION]]),0,V057_20[[#This Row],[DISTANCIA POR CARTA]]/V057_20[[#This Row],[TIEMPO DE NAVEGACION]])</f>
        <v>0</v>
      </c>
      <c r="J33" s="356"/>
      <c r="K33" s="357"/>
      <c r="L33" s="369">
        <v>0</v>
      </c>
      <c r="M33" s="363">
        <v>2.2000000000000002</v>
      </c>
      <c r="N33" s="139">
        <v>1.8</v>
      </c>
      <c r="O33" s="359">
        <f>SUM(V057_20[[#This Row],[MPAL]:[CALDERA]])</f>
        <v>4</v>
      </c>
      <c r="P33" s="360"/>
      <c r="Q33" s="270">
        <f>(Q32 -V057_20[[#This Row],[TOTAL ]])+V057_20[FAENA]</f>
        <v>289.79000000000008</v>
      </c>
      <c r="R33" s="358">
        <v>0</v>
      </c>
      <c r="S33" s="139">
        <v>0</v>
      </c>
      <c r="T33" s="139">
        <v>0</v>
      </c>
      <c r="U33" s="139">
        <v>0</v>
      </c>
      <c r="V33" s="139">
        <v>0</v>
      </c>
      <c r="W33" s="359">
        <f>SUM(V057_20[[#This Row],[MPAL2]:[GI]])</f>
        <v>0</v>
      </c>
      <c r="X33" s="139">
        <v>0</v>
      </c>
      <c r="Y33" s="361">
        <f>(Y32-V057_20[[#This Row],[TOTAL]])+V057_20[[#This Row],[FAENA2]]</f>
        <v>79.3</v>
      </c>
      <c r="Z33" s="358"/>
      <c r="AA33" s="139"/>
      <c r="AB33" s="320">
        <f>(AB32-V057_20[[#This Row],[CYLINDER MP]])+V057_20[[#This Row],[FAENA EN LTS]]</f>
        <v>4670</v>
      </c>
      <c r="AC33" s="139"/>
      <c r="AD33" s="139"/>
      <c r="AE33" s="320">
        <f>(AE32-V057_20[[#This Row],[CARTER MP.]])+V057_20[[#This Row],[FAENA EN LTS2]]</f>
        <v>4300</v>
      </c>
      <c r="AF33" s="139"/>
      <c r="AG33" s="139"/>
      <c r="AH33" s="320">
        <f>(AH32-V057_20[[#This Row],[MOT AUX]])+V057_20[[#This Row],[FAENA EN  LTS]]</f>
        <v>4280</v>
      </c>
      <c r="AI33" s="139"/>
      <c r="AJ33" s="139"/>
      <c r="AK33" s="321">
        <f>(AK32-V057_20[[#This Row],[HIDRAULICO]])+V057_20[[#This Row],[FAENA EN LTS3]]</f>
        <v>2700</v>
      </c>
    </row>
    <row r="34" spans="1:128" x14ac:dyDescent="0.25">
      <c r="A34" s="235" t="s">
        <v>164</v>
      </c>
      <c r="B34" s="48">
        <v>43936</v>
      </c>
      <c r="C34" s="41">
        <v>1.6666666666666666E-2</v>
      </c>
      <c r="D34" s="37">
        <f>IF(V057_20[[#This Row],[FECHA]]-B33=1,((V057_20[[#This Row],[HORA]]-C33)*24)+24,(V057_20[[#This Row],[HORA]]-C33)*24)</f>
        <v>16.399999999999999</v>
      </c>
      <c r="E34" s="364" t="s">
        <v>45</v>
      </c>
      <c r="F34" s="29" t="s">
        <v>46</v>
      </c>
      <c r="G34" s="324"/>
      <c r="H34" s="306"/>
      <c r="I34" s="355">
        <f>IF(ISERROR(V057_20[[#This Row],[DISTANCIA POR CARTA]]/V057_20[[#This Row],[TIEMPO DE NAVEGACION]]),0,V057_20[[#This Row],[DISTANCIA POR CARTA]]/V057_20[[#This Row],[TIEMPO DE NAVEGACION]])</f>
        <v>0</v>
      </c>
      <c r="J34" s="242"/>
      <c r="K34" s="325"/>
      <c r="L34" s="369">
        <v>0</v>
      </c>
      <c r="M34" s="246">
        <v>1.5</v>
      </c>
      <c r="N34" s="246">
        <v>1.23</v>
      </c>
      <c r="O34" s="257">
        <f>SUM(V057_20[[#This Row],[MPAL]:[CALDERA]])</f>
        <v>2.73</v>
      </c>
      <c r="P34" s="319"/>
      <c r="Q34" s="270">
        <f>(Q33 -V057_20[[#This Row],[TOTAL ]])+V057_20[FAENA]</f>
        <v>287.06000000000006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SUM(V057_20[[#This Row],[MPAL2]:[GI]])</f>
        <v>0</v>
      </c>
      <c r="X34" s="246">
        <v>0</v>
      </c>
      <c r="Y34" s="282">
        <f>(Y33-V057_20[[#This Row],[TOTAL]])+V057_20[[#This Row],[FAENA2]]</f>
        <v>79.3</v>
      </c>
      <c r="Z34" s="245"/>
      <c r="AA34" s="246"/>
      <c r="AB34" s="320">
        <f>(AB33-V057_20[[#This Row],[CYLINDER MP]])+V057_20[[#This Row],[FAENA EN LTS]]</f>
        <v>4670</v>
      </c>
      <c r="AC34" s="246"/>
      <c r="AD34" s="246"/>
      <c r="AE34" s="320">
        <f>(AE33-V057_20[[#This Row],[CARTER MP.]])+V057_20[[#This Row],[FAENA EN LTS2]]</f>
        <v>4300</v>
      </c>
      <c r="AF34" s="246"/>
      <c r="AG34" s="246"/>
      <c r="AH34" s="320">
        <f>(AH33-V057_20[[#This Row],[MOT AUX]])+V057_20[[#This Row],[FAENA EN  LTS]]</f>
        <v>4280</v>
      </c>
      <c r="AI34" s="246"/>
      <c r="AJ34" s="246"/>
      <c r="AK34" s="321">
        <f>(AK33-V057_20[[#This Row],[HIDRAULICO]])+V057_20[[#This Row],[FAENA EN LTS3]]</f>
        <v>2700</v>
      </c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7"/>
      <c r="BL34" s="127"/>
      <c r="BM34" s="127"/>
      <c r="BN34" s="127"/>
      <c r="BO34" s="127"/>
      <c r="BP34" s="127"/>
      <c r="BQ34" s="127"/>
      <c r="BR34" s="127"/>
      <c r="BS34" s="127"/>
      <c r="BT34" s="127"/>
      <c r="BU34" s="127"/>
      <c r="BV34" s="127"/>
      <c r="BW34" s="127"/>
      <c r="BX34" s="127"/>
      <c r="BY34" s="127"/>
      <c r="BZ34" s="127"/>
      <c r="CA34" s="127"/>
      <c r="CB34" s="127"/>
      <c r="CC34" s="127"/>
      <c r="CD34" s="127"/>
      <c r="CE34" s="127"/>
      <c r="CF34" s="127"/>
      <c r="CG34" s="127"/>
      <c r="CH34" s="127"/>
      <c r="CI34" s="127"/>
      <c r="CJ34" s="127"/>
      <c r="CK34" s="127"/>
      <c r="CL34" s="127"/>
      <c r="CM34" s="127"/>
      <c r="CN34" s="127"/>
      <c r="CO34" s="127"/>
      <c r="CP34" s="127"/>
      <c r="CQ34" s="127"/>
      <c r="CR34" s="127"/>
      <c r="CS34" s="127"/>
      <c r="CT34" s="127"/>
      <c r="CU34" s="127"/>
      <c r="CV34" s="127"/>
      <c r="CW34" s="127"/>
      <c r="CX34" s="127"/>
      <c r="CY34" s="127"/>
      <c r="CZ34" s="127"/>
      <c r="DA34" s="127"/>
      <c r="DB34" s="127"/>
      <c r="DC34" s="127"/>
      <c r="DD34" s="127"/>
      <c r="DE34" s="127"/>
      <c r="DF34" s="127"/>
      <c r="DG34" s="127"/>
      <c r="DH34" s="127"/>
      <c r="DI34" s="127"/>
      <c r="DJ34" s="127"/>
      <c r="DK34" s="127"/>
      <c r="DL34" s="127"/>
      <c r="DM34" s="127"/>
      <c r="DN34" s="127"/>
      <c r="DO34" s="127"/>
      <c r="DP34" s="127"/>
      <c r="DQ34" s="127"/>
      <c r="DR34" s="127"/>
      <c r="DS34" s="127"/>
      <c r="DT34" s="127"/>
      <c r="DU34" s="127"/>
      <c r="DV34" s="127"/>
      <c r="DW34" s="127"/>
      <c r="DX34" s="127"/>
    </row>
    <row r="35" spans="1:128" x14ac:dyDescent="0.25">
      <c r="A35" s="235" t="s">
        <v>164</v>
      </c>
      <c r="B35" s="382">
        <v>43936</v>
      </c>
      <c r="C35" s="41">
        <v>0.18333333333333335</v>
      </c>
      <c r="D35" s="37">
        <f>IF(V057_20[[#This Row],[FECHA]]-B34=1,((V057_20[[#This Row],[HORA]]-C34)*24)+24,(V057_20[[#This Row],[HORA]]-C34)*24)</f>
        <v>4</v>
      </c>
      <c r="E35" s="239" t="s">
        <v>47</v>
      </c>
      <c r="F35" s="29" t="s">
        <v>48</v>
      </c>
      <c r="G35" s="324"/>
      <c r="H35" s="306"/>
      <c r="I35" s="355">
        <f>IF(ISERROR(V057_20[[#This Row],[DISTANCIA POR CARTA]]/V057_20[[#This Row],[TIEMPO DE NAVEGACION]]),0,V057_20[[#This Row],[DISTANCIA POR CARTA]]/V057_20[[#This Row],[TIEMPO DE NAVEGACION]])</f>
        <v>0</v>
      </c>
      <c r="J35" s="242"/>
      <c r="K35" s="325"/>
      <c r="L35" s="245">
        <v>0.33</v>
      </c>
      <c r="M35" s="246">
        <v>0.42</v>
      </c>
      <c r="N35" s="246">
        <v>3.3000000000000002E-2</v>
      </c>
      <c r="O35" s="257">
        <f>SUM(V057_20[[#This Row],[MPAL]:[CALDERA]])</f>
        <v>0.78300000000000003</v>
      </c>
      <c r="P35" s="319"/>
      <c r="Q35" s="270">
        <f>(Q34 -V057_20[[#This Row],[TOTAL ]])+V057_20[FAENA]</f>
        <v>286.27700000000004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SUM(V057_20[[#This Row],[MPAL2]:[GI]])</f>
        <v>0</v>
      </c>
      <c r="X35" s="246">
        <v>0</v>
      </c>
      <c r="Y35" s="282">
        <f>(Y34-V057_20[[#This Row],[TOTAL]])+V057_20[[#This Row],[FAENA2]]</f>
        <v>79.3</v>
      </c>
      <c r="Z35" s="245"/>
      <c r="AA35" s="246"/>
      <c r="AB35" s="320">
        <f>(AB34-V057_20[[#This Row],[CYLINDER MP]])+V057_20[[#This Row],[FAENA EN LTS]]</f>
        <v>4670</v>
      </c>
      <c r="AC35" s="246"/>
      <c r="AD35" s="246"/>
      <c r="AE35" s="320">
        <f>(AE34-V057_20[[#This Row],[CARTER MP.]])+V057_20[[#This Row],[FAENA EN LTS2]]</f>
        <v>4300</v>
      </c>
      <c r="AF35" s="246"/>
      <c r="AG35" s="246"/>
      <c r="AH35" s="320">
        <f>(AH34-V057_20[[#This Row],[MOT AUX]])+V057_20[[#This Row],[FAENA EN  LTS]]</f>
        <v>4280</v>
      </c>
      <c r="AI35" s="246"/>
      <c r="AJ35" s="246"/>
      <c r="AK35" s="321">
        <f>(AK34-V057_20[[#This Row],[HIDRAULICO]])+V057_20[[#This Row],[FAENA EN LTS3]]</f>
        <v>2700</v>
      </c>
      <c r="AL35" s="127"/>
      <c r="AM35" s="127"/>
      <c r="AN35" s="127"/>
      <c r="AO35" s="127"/>
      <c r="AP35" s="127"/>
      <c r="AQ35" s="127"/>
      <c r="AR35" s="127"/>
      <c r="AS35" s="127"/>
      <c r="AT35" s="127"/>
      <c r="AU35" s="127"/>
      <c r="AV35" s="127"/>
      <c r="AW35" s="127"/>
      <c r="AX35" s="127"/>
      <c r="AY35" s="127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7"/>
      <c r="BL35" s="127"/>
      <c r="BM35" s="127"/>
      <c r="BN35" s="127"/>
      <c r="BO35" s="127"/>
      <c r="BP35" s="127"/>
      <c r="BQ35" s="127"/>
      <c r="BR35" s="127"/>
      <c r="BS35" s="127"/>
      <c r="BT35" s="127"/>
      <c r="BU35" s="127"/>
      <c r="BV35" s="127"/>
      <c r="BW35" s="127"/>
      <c r="BX35" s="127"/>
      <c r="BY35" s="127"/>
      <c r="BZ35" s="127"/>
      <c r="CA35" s="127"/>
      <c r="CB35" s="127"/>
      <c r="CC35" s="127"/>
      <c r="CD35" s="127"/>
      <c r="CE35" s="127"/>
      <c r="CF35" s="127"/>
      <c r="CG35" s="127"/>
      <c r="CH35" s="127"/>
      <c r="CI35" s="127"/>
      <c r="CJ35" s="127"/>
      <c r="CK35" s="127"/>
      <c r="CL35" s="127"/>
      <c r="CM35" s="127"/>
      <c r="CN35" s="127"/>
      <c r="CO35" s="127"/>
      <c r="CP35" s="127"/>
      <c r="CQ35" s="127"/>
      <c r="CR35" s="127"/>
      <c r="CS35" s="127"/>
      <c r="CT35" s="127"/>
      <c r="CU35" s="127"/>
      <c r="CV35" s="127"/>
      <c r="CW35" s="127"/>
      <c r="CX35" s="127"/>
      <c r="CY35" s="127"/>
      <c r="CZ35" s="127"/>
      <c r="DA35" s="127"/>
      <c r="DB35" s="127"/>
      <c r="DC35" s="127"/>
      <c r="DD35" s="127"/>
      <c r="DE35" s="127"/>
      <c r="DF35" s="127"/>
      <c r="DG35" s="127"/>
      <c r="DH35" s="127"/>
      <c r="DI35" s="127"/>
      <c r="DJ35" s="127"/>
      <c r="DK35" s="127"/>
      <c r="DL35" s="127"/>
      <c r="DM35" s="127"/>
      <c r="DN35" s="127"/>
      <c r="DO35" s="127"/>
      <c r="DP35" s="127"/>
      <c r="DQ35" s="127"/>
      <c r="DR35" s="127"/>
      <c r="DS35" s="127"/>
      <c r="DT35" s="127"/>
      <c r="DU35" s="127"/>
      <c r="DV35" s="127"/>
      <c r="DW35" s="127"/>
      <c r="DX35" s="127"/>
    </row>
    <row r="36" spans="1:128" s="373" customFormat="1" x14ac:dyDescent="0.25">
      <c r="A36" s="131" t="s">
        <v>164</v>
      </c>
      <c r="B36" s="382">
        <v>43936</v>
      </c>
      <c r="C36" s="362">
        <v>0.33333333333333331</v>
      </c>
      <c r="D36" s="37">
        <f>IF(V057_20[[#This Row],[FECHA]]-B35=1,((V057_20[[#This Row],[HORA]]-C35)*24)+24,(V057_20[[#This Row],[HORA]]-C35)*24)</f>
        <v>3.5999999999999992</v>
      </c>
      <c r="E36" s="364" t="s">
        <v>49</v>
      </c>
      <c r="F36" s="29" t="s">
        <v>59</v>
      </c>
      <c r="G36" s="365"/>
      <c r="H36" s="366"/>
      <c r="I36" s="355">
        <f>IF(ISERROR(V057_20[[#This Row],[DISTANCIA POR CARTA]]/V057_20[[#This Row],[TIEMPO DE NAVEGACION]]),0,V057_20[[#This Row],[DISTANCIA POR CARTA]]/V057_20[[#This Row],[TIEMPO DE NAVEGACION]])</f>
        <v>0</v>
      </c>
      <c r="J36" s="367"/>
      <c r="K36" s="368"/>
      <c r="L36" s="369">
        <v>0</v>
      </c>
      <c r="M36" s="363">
        <v>0.38</v>
      </c>
      <c r="N36" s="363">
        <v>0.3</v>
      </c>
      <c r="O36" s="370">
        <f>SUM(V057_20[[#This Row],[MPAL]:[CALDERA]])</f>
        <v>0.67999999999999994</v>
      </c>
      <c r="P36" s="371"/>
      <c r="Q36" s="270">
        <f>(Q35 -V057_20[[#This Row],[TOTAL ]])+V057_20[FAENA]</f>
        <v>285.59700000000004</v>
      </c>
      <c r="R36" s="369">
        <v>0</v>
      </c>
      <c r="S36" s="363">
        <v>0</v>
      </c>
      <c r="T36" s="363">
        <v>0</v>
      </c>
      <c r="U36" s="363">
        <v>0</v>
      </c>
      <c r="V36" s="363">
        <v>0</v>
      </c>
      <c r="W36" s="370">
        <f>SUM(V057_20[[#This Row],[MPAL2]:[GI]])</f>
        <v>0</v>
      </c>
      <c r="X36" s="363">
        <v>0</v>
      </c>
      <c r="Y36" s="372">
        <f>(Y35-V057_20[[#This Row],[TOTAL]])+V057_20[[#This Row],[FAENA2]]</f>
        <v>79.3</v>
      </c>
      <c r="Z36" s="369"/>
      <c r="AA36" s="363"/>
      <c r="AB36" s="320">
        <f>(AB35-V057_20[[#This Row],[CYLINDER MP]])+V057_20[[#This Row],[FAENA EN LTS]]</f>
        <v>4670</v>
      </c>
      <c r="AC36" s="363"/>
      <c r="AD36" s="363"/>
      <c r="AE36" s="320">
        <f>(AE35-V057_20[[#This Row],[CARTER MP.]])+V057_20[[#This Row],[FAENA EN LTS2]]</f>
        <v>4300</v>
      </c>
      <c r="AF36" s="363"/>
      <c r="AG36" s="363"/>
      <c r="AH36" s="320">
        <f>(AH35-V057_20[[#This Row],[MOT AUX]])+V057_20[[#This Row],[FAENA EN  LTS]]</f>
        <v>4280</v>
      </c>
      <c r="AI36" s="363"/>
      <c r="AJ36" s="363"/>
      <c r="AK36" s="321">
        <f>(AK35-V057_20[[#This Row],[HIDRAULICO]])+V057_20[[#This Row],[FAENA EN LTS3]]</f>
        <v>2700</v>
      </c>
      <c r="AL36" s="127"/>
      <c r="AM36" s="127"/>
      <c r="AN36" s="127"/>
      <c r="AO36" s="127"/>
      <c r="AP36" s="127"/>
      <c r="AQ36" s="127"/>
      <c r="AR36" s="127"/>
      <c r="AS36" s="127"/>
      <c r="AT36" s="127"/>
      <c r="AU36" s="127"/>
      <c r="AV36" s="127"/>
      <c r="AW36" s="127"/>
      <c r="AX36" s="127"/>
      <c r="AY36" s="127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7"/>
      <c r="BL36" s="127"/>
      <c r="BM36" s="127"/>
      <c r="BN36" s="127"/>
      <c r="BO36" s="127"/>
      <c r="BP36" s="127"/>
      <c r="BQ36" s="127"/>
      <c r="BR36" s="127"/>
      <c r="BS36" s="127"/>
      <c r="BT36" s="127"/>
      <c r="BU36" s="127"/>
      <c r="BV36" s="127"/>
      <c r="BW36" s="127"/>
      <c r="BX36" s="127"/>
      <c r="BY36" s="127"/>
      <c r="BZ36" s="127"/>
      <c r="CA36" s="127"/>
      <c r="CB36" s="127"/>
      <c r="CC36" s="127"/>
      <c r="CD36" s="127"/>
      <c r="CE36" s="127"/>
      <c r="CF36" s="127"/>
      <c r="CG36" s="127"/>
      <c r="CH36" s="127"/>
      <c r="CI36" s="127"/>
      <c r="CJ36" s="127"/>
      <c r="CK36" s="127"/>
      <c r="CL36" s="127"/>
      <c r="CM36" s="127"/>
      <c r="CN36" s="127"/>
      <c r="CO36" s="127"/>
      <c r="CP36" s="127"/>
      <c r="CQ36" s="127"/>
      <c r="CR36" s="127"/>
      <c r="CS36" s="127"/>
      <c r="CT36" s="127"/>
      <c r="CU36" s="127"/>
      <c r="CV36" s="127"/>
      <c r="CW36" s="127"/>
      <c r="CX36" s="127"/>
      <c r="CY36" s="127"/>
      <c r="CZ36" s="127"/>
      <c r="DA36" s="127"/>
      <c r="DB36" s="127"/>
      <c r="DC36" s="127"/>
      <c r="DD36" s="127"/>
      <c r="DE36" s="127"/>
      <c r="DF36" s="127"/>
      <c r="DG36" s="127"/>
      <c r="DH36" s="127"/>
      <c r="DI36" s="127"/>
      <c r="DJ36" s="127"/>
      <c r="DK36" s="127"/>
      <c r="DL36" s="127"/>
      <c r="DM36" s="127"/>
      <c r="DN36" s="127"/>
      <c r="DO36" s="127"/>
      <c r="DP36" s="127"/>
      <c r="DQ36" s="127"/>
      <c r="DR36" s="127"/>
      <c r="DS36" s="127"/>
      <c r="DT36" s="127"/>
      <c r="DU36" s="127"/>
      <c r="DV36" s="127"/>
      <c r="DW36" s="127"/>
      <c r="DX36" s="127"/>
    </row>
    <row r="37" spans="1:128" x14ac:dyDescent="0.25">
      <c r="A37" s="235" t="s">
        <v>164</v>
      </c>
      <c r="B37" s="382">
        <v>43936</v>
      </c>
      <c r="C37" s="41">
        <v>0.33749999999999997</v>
      </c>
      <c r="D37" s="37">
        <f>IF(V057_20[[#This Row],[FECHA]]-B36=1,((V057_20[[#This Row],[HORA]]-C36)*24)+24,(V057_20[[#This Row],[HORA]]-C36)*24)</f>
        <v>9.9999999999999645E-2</v>
      </c>
      <c r="E37" s="352" t="s">
        <v>49</v>
      </c>
      <c r="F37" s="29" t="s">
        <v>50</v>
      </c>
      <c r="G37" s="324"/>
      <c r="H37" s="306"/>
      <c r="I37" s="355">
        <f>IF(ISERROR(V057_20[[#This Row],[DISTANCIA POR CARTA]]/V057_20[[#This Row],[TIEMPO DE NAVEGACION]]),0,V057_20[[#This Row],[DISTANCIA POR CARTA]]/V057_20[[#This Row],[TIEMPO DE NAVEGACION]])</f>
        <v>0</v>
      </c>
      <c r="J37" s="242"/>
      <c r="K37" s="325"/>
      <c r="L37" s="369">
        <v>0</v>
      </c>
      <c r="M37" s="246">
        <v>0.01</v>
      </c>
      <c r="N37" s="246">
        <v>0.01</v>
      </c>
      <c r="O37" s="257">
        <f>SUM(V057_20[[#This Row],[MPAL]:[CALDERA]])</f>
        <v>0.02</v>
      </c>
      <c r="P37" s="319"/>
      <c r="Q37" s="270">
        <f>(Q36 -V057_20[[#This Row],[TOTAL ]])+V057_20[FAENA]</f>
        <v>285.57700000000006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SUM(V057_20[[#This Row],[MPAL2]:[GI]])</f>
        <v>0</v>
      </c>
      <c r="X37" s="246">
        <v>0</v>
      </c>
      <c r="Y37" s="282">
        <f>(Y36-V057_20[[#This Row],[TOTAL]])+V057_20[[#This Row],[FAENA2]]</f>
        <v>79.3</v>
      </c>
      <c r="Z37" s="245"/>
      <c r="AA37" s="246"/>
      <c r="AB37" s="320">
        <f>(AB36-V057_20[[#This Row],[CYLINDER MP]])+V057_20[[#This Row],[FAENA EN LTS]]</f>
        <v>4670</v>
      </c>
      <c r="AC37" s="246"/>
      <c r="AD37" s="246"/>
      <c r="AE37" s="320">
        <f>(AE36-V057_20[[#This Row],[CARTER MP.]])+V057_20[[#This Row],[FAENA EN LTS2]]</f>
        <v>4300</v>
      </c>
      <c r="AF37" s="246"/>
      <c r="AG37" s="246"/>
      <c r="AH37" s="320">
        <f>(AH36-V057_20[[#This Row],[MOT AUX]])+V057_20[[#This Row],[FAENA EN  LTS]]</f>
        <v>4280</v>
      </c>
      <c r="AI37" s="246"/>
      <c r="AJ37" s="246"/>
      <c r="AK37" s="321">
        <f>(AK36-V057_20[[#This Row],[HIDRAULICO]])+V057_20[[#This Row],[FAENA EN LTS3]]</f>
        <v>2700</v>
      </c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7"/>
      <c r="BL37" s="127"/>
      <c r="BM37" s="127"/>
      <c r="BN37" s="127"/>
      <c r="BO37" s="127"/>
      <c r="BP37" s="127"/>
      <c r="BQ37" s="127"/>
      <c r="BR37" s="127"/>
      <c r="BS37" s="127"/>
      <c r="BT37" s="127"/>
      <c r="BU37" s="127"/>
      <c r="BV37" s="127"/>
      <c r="BW37" s="127"/>
      <c r="BX37" s="127"/>
      <c r="BY37" s="127"/>
      <c r="BZ37" s="127"/>
      <c r="CA37" s="127"/>
      <c r="CB37" s="127"/>
      <c r="CC37" s="127"/>
      <c r="CD37" s="127"/>
      <c r="CE37" s="127"/>
      <c r="CF37" s="127"/>
      <c r="CG37" s="127"/>
      <c r="CH37" s="127"/>
      <c r="CI37" s="127"/>
      <c r="CJ37" s="127"/>
      <c r="CK37" s="127"/>
      <c r="CL37" s="127"/>
      <c r="CM37" s="127"/>
      <c r="CN37" s="127"/>
      <c r="CO37" s="127"/>
      <c r="CP37" s="127"/>
      <c r="CQ37" s="127"/>
      <c r="CR37" s="127"/>
      <c r="CS37" s="127"/>
      <c r="CT37" s="127"/>
      <c r="CU37" s="127"/>
      <c r="CV37" s="127"/>
      <c r="CW37" s="127"/>
      <c r="CX37" s="127"/>
      <c r="CY37" s="127"/>
      <c r="CZ37" s="127"/>
      <c r="DA37" s="127"/>
      <c r="DB37" s="127"/>
      <c r="DC37" s="127"/>
      <c r="DD37" s="127"/>
      <c r="DE37" s="127"/>
      <c r="DF37" s="127"/>
      <c r="DG37" s="127"/>
      <c r="DH37" s="127"/>
      <c r="DI37" s="127"/>
      <c r="DJ37" s="127"/>
      <c r="DK37" s="127"/>
      <c r="DL37" s="127"/>
      <c r="DM37" s="127"/>
      <c r="DN37" s="127"/>
      <c r="DO37" s="127"/>
      <c r="DP37" s="127"/>
      <c r="DQ37" s="127"/>
      <c r="DR37" s="127"/>
      <c r="DS37" s="127"/>
      <c r="DT37" s="127"/>
      <c r="DU37" s="127"/>
      <c r="DV37" s="127"/>
      <c r="DW37" s="127"/>
      <c r="DX37" s="127"/>
    </row>
    <row r="38" spans="1:128" s="373" customFormat="1" x14ac:dyDescent="0.25">
      <c r="A38" s="131" t="s">
        <v>164</v>
      </c>
      <c r="B38" s="27">
        <v>43937</v>
      </c>
      <c r="C38" s="362">
        <v>0.33333333333333331</v>
      </c>
      <c r="D38" s="37">
        <f>IF(V057_20[[#This Row],[FECHA]]-B37=1,((V057_20[[#This Row],[HORA]]-C37)*24)+24,(V057_20[[#This Row],[HORA]]-C37)*24)</f>
        <v>23.9</v>
      </c>
      <c r="E38" s="239" t="s">
        <v>51</v>
      </c>
      <c r="F38" s="29" t="s">
        <v>51</v>
      </c>
      <c r="G38" s="365"/>
      <c r="H38" s="366"/>
      <c r="I38" s="355">
        <f>IF(ISERROR(V057_20[[#This Row],[DISTANCIA POR CARTA]]/V057_20[[#This Row],[TIEMPO DE NAVEGACION]]),0,V057_20[[#This Row],[DISTANCIA POR CARTA]]/V057_20[[#This Row],[TIEMPO DE NAVEGACION]])</f>
        <v>0</v>
      </c>
      <c r="J38" s="367"/>
      <c r="K38" s="368"/>
      <c r="L38" s="369">
        <v>0</v>
      </c>
      <c r="M38" s="363">
        <v>2.4900000000000002</v>
      </c>
      <c r="N38" s="363">
        <v>1.99</v>
      </c>
      <c r="O38" s="370">
        <f>SUM(V057_20[[#This Row],[MPAL]:[CALDERA]])</f>
        <v>4.4800000000000004</v>
      </c>
      <c r="P38" s="371"/>
      <c r="Q38" s="270">
        <f>(Q37 -V057_20[[#This Row],[TOTAL ]])+V057_20[FAENA]</f>
        <v>281.09700000000004</v>
      </c>
      <c r="R38" s="369">
        <v>0</v>
      </c>
      <c r="S38" s="363">
        <v>0</v>
      </c>
      <c r="T38" s="363">
        <v>0</v>
      </c>
      <c r="U38" s="363">
        <v>0</v>
      </c>
      <c r="V38" s="363">
        <v>5.9</v>
      </c>
      <c r="W38" s="370">
        <f>SUM(V057_20[[#This Row],[MPAL2]:[GI]])</f>
        <v>5.9</v>
      </c>
      <c r="X38" s="363">
        <v>0</v>
      </c>
      <c r="Y38" s="372">
        <f>(Y37-V057_20[[#This Row],[TOTAL]])+V057_20[[#This Row],[FAENA2]]</f>
        <v>73.399999999999991</v>
      </c>
      <c r="Z38" s="369"/>
      <c r="AA38" s="363"/>
      <c r="AB38" s="320">
        <f>(AB37-V057_20[[#This Row],[CYLINDER MP]])+V057_20[[#This Row],[FAENA EN LTS]]</f>
        <v>4670</v>
      </c>
      <c r="AC38" s="363"/>
      <c r="AD38" s="363"/>
      <c r="AE38" s="320">
        <f>(AE37-V057_20[[#This Row],[CARTER MP.]])+V057_20[[#This Row],[FAENA EN LTS2]]</f>
        <v>4300</v>
      </c>
      <c r="AF38" s="363"/>
      <c r="AG38" s="363"/>
      <c r="AH38" s="320">
        <f>(AH37-V057_20[[#This Row],[MOT AUX]])+V057_20[[#This Row],[FAENA EN  LTS]]</f>
        <v>4280</v>
      </c>
      <c r="AI38" s="363"/>
      <c r="AJ38" s="363"/>
      <c r="AK38" s="321">
        <f>(AK37-V057_20[[#This Row],[HIDRAULICO]])+V057_20[[#This Row],[FAENA EN LTS3]]</f>
        <v>2700</v>
      </c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7"/>
      <c r="BL38" s="127"/>
      <c r="BM38" s="127"/>
      <c r="BN38" s="127"/>
      <c r="BO38" s="127"/>
      <c r="BP38" s="127"/>
      <c r="BQ38" s="127"/>
      <c r="BR38" s="127"/>
      <c r="BS38" s="127"/>
      <c r="BT38" s="127"/>
      <c r="BU38" s="127"/>
      <c r="BV38" s="127"/>
      <c r="BW38" s="127"/>
      <c r="BX38" s="127"/>
      <c r="BY38" s="127"/>
      <c r="BZ38" s="127"/>
      <c r="CA38" s="127"/>
      <c r="CB38" s="127"/>
      <c r="CC38" s="127"/>
      <c r="CD38" s="127"/>
      <c r="CE38" s="127"/>
      <c r="CF38" s="127"/>
      <c r="CG38" s="127"/>
      <c r="CH38" s="127"/>
      <c r="CI38" s="127"/>
      <c r="CJ38" s="127"/>
      <c r="CK38" s="127"/>
      <c r="CL38" s="127"/>
      <c r="CM38" s="127"/>
      <c r="CN38" s="127"/>
      <c r="CO38" s="127"/>
      <c r="CP38" s="127"/>
      <c r="CQ38" s="127"/>
      <c r="CR38" s="127"/>
      <c r="CS38" s="127"/>
      <c r="CT38" s="127"/>
      <c r="CU38" s="127"/>
      <c r="CV38" s="127"/>
      <c r="CW38" s="127"/>
      <c r="CX38" s="127"/>
      <c r="CY38" s="127"/>
      <c r="CZ38" s="127"/>
      <c r="DA38" s="127"/>
      <c r="DB38" s="127"/>
      <c r="DC38" s="127"/>
      <c r="DD38" s="127"/>
      <c r="DE38" s="127"/>
      <c r="DF38" s="127"/>
      <c r="DG38" s="127"/>
      <c r="DH38" s="127"/>
      <c r="DI38" s="127"/>
      <c r="DJ38" s="127"/>
      <c r="DK38" s="127"/>
      <c r="DL38" s="127"/>
      <c r="DM38" s="127"/>
      <c r="DN38" s="127"/>
      <c r="DO38" s="127"/>
      <c r="DP38" s="127"/>
      <c r="DQ38" s="127"/>
      <c r="DR38" s="127"/>
      <c r="DS38" s="127"/>
      <c r="DT38" s="127"/>
      <c r="DU38" s="127"/>
      <c r="DV38" s="127"/>
      <c r="DW38" s="127"/>
      <c r="DX38" s="127"/>
    </row>
    <row r="39" spans="1:128" x14ac:dyDescent="0.25">
      <c r="A39" s="235" t="s">
        <v>164</v>
      </c>
      <c r="B39" s="384">
        <v>43937</v>
      </c>
      <c r="C39" s="41">
        <v>0.77916666666666667</v>
      </c>
      <c r="D39" s="37">
        <f>IF(V057_20[[#This Row],[FECHA]]-B38=1,((V057_20[[#This Row],[HORA]]-C38)*24)+24,(V057_20[[#This Row],[HORA]]-C38)*24)</f>
        <v>10.700000000000001</v>
      </c>
      <c r="E39" s="239" t="s">
        <v>51</v>
      </c>
      <c r="F39" s="29" t="s">
        <v>200</v>
      </c>
      <c r="G39" s="324"/>
      <c r="H39" s="306"/>
      <c r="I39" s="355">
        <f>IF(ISERROR(V057_20[[#This Row],[DISTANCIA POR CARTA]]/V057_20[[#This Row],[TIEMPO DE NAVEGACION]]),0,V057_20[[#This Row],[DISTANCIA POR CARTA]]/V057_20[[#This Row],[TIEMPO DE NAVEGACION]])</f>
        <v>0</v>
      </c>
      <c r="J39" s="242"/>
      <c r="K39" s="325"/>
      <c r="L39" s="369">
        <v>0</v>
      </c>
      <c r="M39" s="246">
        <v>1.1100000000000001</v>
      </c>
      <c r="N39" s="246">
        <v>0.89</v>
      </c>
      <c r="O39" s="257">
        <f>SUM(V057_20[[#This Row],[MPAL]:[CALDERA]])</f>
        <v>2</v>
      </c>
      <c r="P39" s="319"/>
      <c r="Q39" s="270">
        <f>(Q38 -V057_20[[#This Row],[TOTAL ]])+V057_20[FAENA]</f>
        <v>279.09700000000004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2.6</v>
      </c>
      <c r="W39" s="257">
        <f>SUM(V057_20[[#This Row],[MPAL2]:[GI]])</f>
        <v>2.6</v>
      </c>
      <c r="X39" s="246">
        <v>0</v>
      </c>
      <c r="Y39" s="282">
        <f>(Y38-V057_20[[#This Row],[TOTAL]])+V057_20[[#This Row],[FAENA2]]</f>
        <v>70.8</v>
      </c>
      <c r="Z39" s="245"/>
      <c r="AA39" s="246"/>
      <c r="AB39" s="320">
        <f>(AB38-V057_20[[#This Row],[CYLINDER MP]])+V057_20[[#This Row],[FAENA EN LTS]]</f>
        <v>4670</v>
      </c>
      <c r="AC39" s="246"/>
      <c r="AD39" s="246"/>
      <c r="AE39" s="320">
        <f>(AE38-V057_20[[#This Row],[CARTER MP.]])+V057_20[[#This Row],[FAENA EN LTS2]]</f>
        <v>4300</v>
      </c>
      <c r="AF39" s="246"/>
      <c r="AG39" s="246"/>
      <c r="AH39" s="320">
        <f>(AH38-V057_20[[#This Row],[MOT AUX]])+V057_20[[#This Row],[FAENA EN  LTS]]</f>
        <v>4280</v>
      </c>
      <c r="AI39" s="246"/>
      <c r="AJ39" s="246"/>
      <c r="AK39" s="321">
        <f>(AK38-V057_20[[#This Row],[HIDRAULICO]])+V057_20[[#This Row],[FAENA EN LTS3]]</f>
        <v>2700</v>
      </c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7"/>
      <c r="BL39" s="127"/>
      <c r="BM39" s="127"/>
      <c r="BN39" s="127"/>
      <c r="BO39" s="127"/>
      <c r="BP39" s="127"/>
      <c r="BQ39" s="127"/>
      <c r="BR39" s="127"/>
      <c r="BS39" s="127"/>
      <c r="BT39" s="127"/>
      <c r="BU39" s="127"/>
      <c r="BV39" s="127"/>
      <c r="BW39" s="127"/>
      <c r="BX39" s="127"/>
      <c r="BY39" s="127"/>
      <c r="BZ39" s="127"/>
      <c r="CA39" s="127"/>
      <c r="CB39" s="127"/>
      <c r="CC39" s="127"/>
      <c r="CD39" s="127"/>
      <c r="CE39" s="127"/>
      <c r="CF39" s="127"/>
      <c r="CG39" s="127"/>
      <c r="CH39" s="127"/>
      <c r="CI39" s="127"/>
      <c r="CJ39" s="127"/>
      <c r="CK39" s="127"/>
      <c r="CL39" s="127"/>
      <c r="CM39" s="127"/>
      <c r="CN39" s="127"/>
      <c r="CO39" s="127"/>
      <c r="CP39" s="127"/>
      <c r="CQ39" s="127"/>
      <c r="CR39" s="127"/>
      <c r="CS39" s="127"/>
      <c r="CT39" s="127"/>
      <c r="CU39" s="127"/>
      <c r="CV39" s="127"/>
      <c r="CW39" s="127"/>
      <c r="CX39" s="127"/>
      <c r="CY39" s="127"/>
      <c r="CZ39" s="127"/>
      <c r="DA39" s="127"/>
      <c r="DB39" s="127"/>
      <c r="DC39" s="127"/>
      <c r="DD39" s="127"/>
      <c r="DE39" s="127"/>
      <c r="DF39" s="127"/>
      <c r="DG39" s="127"/>
      <c r="DH39" s="127"/>
      <c r="DI39" s="127"/>
      <c r="DJ39" s="127"/>
      <c r="DK39" s="127"/>
      <c r="DL39" s="127"/>
      <c r="DM39" s="127"/>
      <c r="DN39" s="127"/>
      <c r="DO39" s="127"/>
      <c r="DP39" s="127"/>
      <c r="DQ39" s="127"/>
      <c r="DR39" s="127"/>
      <c r="DS39" s="127"/>
      <c r="DT39" s="127"/>
      <c r="DU39" s="127"/>
      <c r="DV39" s="127"/>
      <c r="DW39" s="127"/>
      <c r="DX39" s="127"/>
    </row>
    <row r="40" spans="1:128" x14ac:dyDescent="0.25">
      <c r="A40" s="235" t="s">
        <v>164</v>
      </c>
      <c r="B40" s="384">
        <v>43937</v>
      </c>
      <c r="C40" s="41">
        <v>0.9291666666666667</v>
      </c>
      <c r="D40" s="37">
        <f>IF(V057_20[[#This Row],[FECHA]]-B39=1,((V057_20[[#This Row],[HORA]]-C39)*24)+24,(V057_20[[#This Row],[HORA]]-C39)*24)</f>
        <v>3.6000000000000005</v>
      </c>
      <c r="E40" s="239" t="s">
        <v>49</v>
      </c>
      <c r="F40" s="29" t="s">
        <v>46</v>
      </c>
      <c r="G40" s="324"/>
      <c r="H40" s="306"/>
      <c r="I40" s="355">
        <f>IF(ISERROR(V057_20[[#This Row],[DISTANCIA POR CARTA]]/V057_20[[#This Row],[TIEMPO DE NAVEGACION]]),0,V057_20[[#This Row],[DISTANCIA POR CARTA]]/V057_20[[#This Row],[TIEMPO DE NAVEGACION]])</f>
        <v>0</v>
      </c>
      <c r="J40" s="242"/>
      <c r="K40" s="325"/>
      <c r="L40" s="369">
        <v>0</v>
      </c>
      <c r="M40" s="246">
        <v>0.38</v>
      </c>
      <c r="N40" s="246">
        <v>0.44</v>
      </c>
      <c r="O40" s="257">
        <f>SUM(V057_20[[#This Row],[MPAL]:[CALDERA]])</f>
        <v>0.82000000000000006</v>
      </c>
      <c r="P40" s="319"/>
      <c r="Q40" s="270">
        <f>(Q39 -V057_20[[#This Row],[TOTAL ]])+V057_20[FAENA]</f>
        <v>278.27700000000004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SUM(V057_20[[#This Row],[MPAL2]:[GI]])</f>
        <v>0</v>
      </c>
      <c r="X40" s="246">
        <v>0</v>
      </c>
      <c r="Y40" s="282">
        <f>(Y39-V057_20[[#This Row],[TOTAL]])+V057_20[[#This Row],[FAENA2]]</f>
        <v>70.8</v>
      </c>
      <c r="Z40" s="245"/>
      <c r="AA40" s="246"/>
      <c r="AB40" s="320">
        <f>(AB39-V057_20[[#This Row],[CYLINDER MP]])+V057_20[[#This Row],[FAENA EN LTS]]</f>
        <v>4670</v>
      </c>
      <c r="AC40" s="246"/>
      <c r="AD40" s="246"/>
      <c r="AE40" s="320">
        <f>(AE39-V057_20[[#This Row],[CARTER MP.]])+V057_20[[#This Row],[FAENA EN LTS2]]</f>
        <v>4300</v>
      </c>
      <c r="AF40" s="246"/>
      <c r="AG40" s="246"/>
      <c r="AH40" s="320">
        <f>(AH39-V057_20[[#This Row],[MOT AUX]])+V057_20[[#This Row],[FAENA EN  LTS]]</f>
        <v>4280</v>
      </c>
      <c r="AI40" s="246"/>
      <c r="AJ40" s="246"/>
      <c r="AK40" s="321">
        <f>(AK39-V057_20[[#This Row],[HIDRAULICO]])+V057_20[[#This Row],[FAENA EN LTS3]]</f>
        <v>2700</v>
      </c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7"/>
      <c r="BL40" s="127"/>
      <c r="BM40" s="127"/>
      <c r="BN40" s="127"/>
      <c r="BO40" s="127"/>
      <c r="BP40" s="127"/>
      <c r="BQ40" s="127"/>
      <c r="BR40" s="127"/>
      <c r="BS40" s="127"/>
      <c r="BT40" s="127"/>
      <c r="BU40" s="127"/>
      <c r="BV40" s="127"/>
      <c r="BW40" s="127"/>
      <c r="BX40" s="127"/>
      <c r="BY40" s="127"/>
      <c r="BZ40" s="127"/>
      <c r="CA40" s="127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  <c r="CN40" s="127"/>
      <c r="CO40" s="127"/>
      <c r="CP40" s="127"/>
      <c r="CQ40" s="127"/>
      <c r="CR40" s="127"/>
      <c r="CS40" s="127"/>
      <c r="CT40" s="127"/>
      <c r="CU40" s="127"/>
      <c r="CV40" s="127"/>
      <c r="CW40" s="127"/>
      <c r="CX40" s="127"/>
      <c r="CY40" s="127"/>
      <c r="CZ40" s="127"/>
      <c r="DA40" s="127"/>
      <c r="DB40" s="127"/>
      <c r="DC40" s="127"/>
      <c r="DD40" s="127"/>
      <c r="DE40" s="127"/>
      <c r="DF40" s="127"/>
      <c r="DG40" s="127"/>
      <c r="DH40" s="127"/>
      <c r="DI40" s="127"/>
      <c r="DJ40" s="127"/>
      <c r="DK40" s="127"/>
      <c r="DL40" s="127"/>
      <c r="DM40" s="127"/>
      <c r="DN40" s="127"/>
      <c r="DO40" s="127"/>
      <c r="DP40" s="127"/>
      <c r="DQ40" s="127"/>
      <c r="DR40" s="127"/>
      <c r="DS40" s="127"/>
      <c r="DT40" s="127"/>
      <c r="DU40" s="127"/>
      <c r="DV40" s="127"/>
      <c r="DW40" s="127"/>
      <c r="DX40" s="127"/>
    </row>
    <row r="41" spans="1:128" x14ac:dyDescent="0.25">
      <c r="A41" s="235" t="s">
        <v>164</v>
      </c>
      <c r="B41" s="384">
        <v>43937</v>
      </c>
      <c r="C41" s="41">
        <v>0.96666666666666667</v>
      </c>
      <c r="D41" s="37">
        <f>IF(V057_20[[#This Row],[FECHA]]-B40=1,((V057_20[[#This Row],[HORA]]-C40)*24)+24,(V057_20[[#This Row],[HORA]]-C40)*24)</f>
        <v>0.89999999999999947</v>
      </c>
      <c r="E41" s="239" t="s">
        <v>47</v>
      </c>
      <c r="F41" s="29" t="s">
        <v>213</v>
      </c>
      <c r="G41" s="324"/>
      <c r="H41" s="306"/>
      <c r="I41" s="355">
        <f>IF(ISERROR(V057_20[[#This Row],[DISTANCIA POR CARTA]]/V057_20[[#This Row],[TIEMPO DE NAVEGACION]]),0,V057_20[[#This Row],[DISTANCIA POR CARTA]]/V057_20[[#This Row],[TIEMPO DE NAVEGACION]])</f>
        <v>0</v>
      </c>
      <c r="J41" s="242"/>
      <c r="K41" s="325"/>
      <c r="L41" s="245">
        <v>0.3</v>
      </c>
      <c r="M41" s="246">
        <v>0.09</v>
      </c>
      <c r="N41" s="246">
        <v>0.15</v>
      </c>
      <c r="O41" s="257">
        <f>SUM(V057_20[[#This Row],[MPAL]:[CALDERA]])</f>
        <v>0.54</v>
      </c>
      <c r="P41" s="319"/>
      <c r="Q41" s="270">
        <f>(Q40 -V057_20[[#This Row],[TOTAL ]])+V057_20[FAENA]</f>
        <v>277.73700000000002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SUM(V057_20[[#This Row],[MPAL2]:[GI]])</f>
        <v>0</v>
      </c>
      <c r="X41" s="246">
        <v>0</v>
      </c>
      <c r="Y41" s="282">
        <f>(Y40-V057_20[[#This Row],[TOTAL]])+V057_20[[#This Row],[FAENA2]]</f>
        <v>70.8</v>
      </c>
      <c r="Z41" s="245"/>
      <c r="AA41" s="246"/>
      <c r="AB41" s="320">
        <f>(AB40-V057_20[[#This Row],[CYLINDER MP]])+V057_20[[#This Row],[FAENA EN LTS]]</f>
        <v>4670</v>
      </c>
      <c r="AC41" s="246"/>
      <c r="AD41" s="246"/>
      <c r="AE41" s="320">
        <f>(AE40-V057_20[[#This Row],[CARTER MP.]])+V057_20[[#This Row],[FAENA EN LTS2]]</f>
        <v>4300</v>
      </c>
      <c r="AF41" s="246"/>
      <c r="AG41" s="246"/>
      <c r="AH41" s="320">
        <f>(AH40-V057_20[[#This Row],[MOT AUX]])+V057_20[[#This Row],[FAENA EN  LTS]]</f>
        <v>4280</v>
      </c>
      <c r="AI41" s="246"/>
      <c r="AJ41" s="246"/>
      <c r="AK41" s="321">
        <f>(AK40-V057_20[[#This Row],[HIDRAULICO]])+V057_20[[#This Row],[FAENA EN LTS3]]</f>
        <v>2700</v>
      </c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7"/>
      <c r="BJ41" s="127"/>
      <c r="BK41" s="127"/>
      <c r="BL41" s="127"/>
      <c r="BM41" s="127"/>
      <c r="BN41" s="127"/>
      <c r="BO41" s="127"/>
      <c r="BP41" s="127"/>
      <c r="BQ41" s="127"/>
      <c r="BR41" s="127"/>
      <c r="BS41" s="127"/>
      <c r="BT41" s="127"/>
      <c r="BU41" s="127"/>
      <c r="BV41" s="127"/>
      <c r="BW41" s="127"/>
      <c r="BX41" s="127"/>
      <c r="BY41" s="127"/>
      <c r="BZ41" s="127"/>
      <c r="CA41" s="127"/>
      <c r="CB41" s="127"/>
      <c r="CC41" s="127"/>
      <c r="CD41" s="127"/>
      <c r="CE41" s="127"/>
      <c r="CF41" s="127"/>
      <c r="CG41" s="127"/>
      <c r="CH41" s="127"/>
      <c r="CI41" s="127"/>
      <c r="CJ41" s="127"/>
      <c r="CK41" s="127"/>
      <c r="CL41" s="127"/>
      <c r="CM41" s="127"/>
      <c r="CN41" s="127"/>
      <c r="CO41" s="127"/>
      <c r="CP41" s="127"/>
      <c r="CQ41" s="127"/>
      <c r="CR41" s="127"/>
      <c r="CS41" s="127"/>
      <c r="CT41" s="127"/>
      <c r="CU41" s="127"/>
      <c r="CV41" s="127"/>
      <c r="CW41" s="127"/>
      <c r="CX41" s="127"/>
      <c r="CY41" s="127"/>
      <c r="CZ41" s="127"/>
      <c r="DA41" s="127"/>
      <c r="DB41" s="127"/>
      <c r="DC41" s="127"/>
      <c r="DD41" s="127"/>
      <c r="DE41" s="127"/>
      <c r="DF41" s="127"/>
      <c r="DG41" s="127"/>
      <c r="DH41" s="127"/>
      <c r="DI41" s="127"/>
      <c r="DJ41" s="127"/>
      <c r="DK41" s="127"/>
      <c r="DL41" s="127"/>
      <c r="DM41" s="127"/>
      <c r="DN41" s="127"/>
      <c r="DO41" s="127"/>
      <c r="DP41" s="127"/>
      <c r="DQ41" s="127"/>
      <c r="DR41" s="127"/>
      <c r="DS41" s="127"/>
      <c r="DT41" s="127"/>
      <c r="DU41" s="127"/>
      <c r="DV41" s="127"/>
      <c r="DW41" s="127"/>
      <c r="DX41" s="127"/>
    </row>
    <row r="42" spans="1:128" s="373" customFormat="1" x14ac:dyDescent="0.25">
      <c r="A42" s="131" t="s">
        <v>164</v>
      </c>
      <c r="B42" s="27">
        <v>43938</v>
      </c>
      <c r="C42" s="362">
        <v>0.33333333333333331</v>
      </c>
      <c r="D42" s="37">
        <f>IF(V057_20[[#This Row],[FECHA]]-B41=1,((V057_20[[#This Row],[HORA]]-C41)*24)+24,(V057_20[[#This Row],[HORA]]-C41)*24)</f>
        <v>8.8000000000000007</v>
      </c>
      <c r="E42" s="239" t="s">
        <v>61</v>
      </c>
      <c r="F42" s="29" t="s">
        <v>56</v>
      </c>
      <c r="G42" s="365"/>
      <c r="H42" s="366"/>
      <c r="I42" s="355">
        <f>IF(ISERROR(V057_20[[#This Row],[DISTANCIA POR CARTA]]/V057_20[[#This Row],[TIEMPO DE NAVEGACION]]),0,V057_20[[#This Row],[DISTANCIA POR CARTA]]/V057_20[[#This Row],[TIEMPO DE NAVEGACION]])</f>
        <v>0</v>
      </c>
      <c r="J42" s="367"/>
      <c r="K42" s="368">
        <v>97</v>
      </c>
      <c r="L42" s="369">
        <v>8.8000000000000007</v>
      </c>
      <c r="M42" s="363">
        <v>0.92</v>
      </c>
      <c r="N42" s="363">
        <v>0.73</v>
      </c>
      <c r="O42" s="370">
        <f>SUM(V057_20[[#This Row],[MPAL]:[CALDERA]])</f>
        <v>10.450000000000001</v>
      </c>
      <c r="P42" s="371"/>
      <c r="Q42" s="270">
        <f>(Q41 -V057_20[[#This Row],[TOTAL ]])+V057_20[FAENA]</f>
        <v>267.28700000000003</v>
      </c>
      <c r="R42" s="369">
        <v>0</v>
      </c>
      <c r="S42" s="363">
        <v>0</v>
      </c>
      <c r="T42" s="363">
        <v>0</v>
      </c>
      <c r="U42" s="363">
        <v>0</v>
      </c>
      <c r="V42" s="363">
        <v>0</v>
      </c>
      <c r="W42" s="370">
        <f>SUM(V057_20[[#This Row],[MPAL2]:[GI]])</f>
        <v>0</v>
      </c>
      <c r="X42" s="363">
        <v>0</v>
      </c>
      <c r="Y42" s="372">
        <f>(Y41-V057_20[[#This Row],[TOTAL]])+V057_20[[#This Row],[FAENA2]]</f>
        <v>70.8</v>
      </c>
      <c r="Z42" s="369"/>
      <c r="AA42" s="363"/>
      <c r="AB42" s="320">
        <f>(AB41-V057_20[[#This Row],[CYLINDER MP]])+V057_20[[#This Row],[FAENA EN LTS]]</f>
        <v>4670</v>
      </c>
      <c r="AC42" s="363"/>
      <c r="AD42" s="363"/>
      <c r="AE42" s="320">
        <f>(AE41-V057_20[[#This Row],[CARTER MP.]])+V057_20[[#This Row],[FAENA EN LTS2]]</f>
        <v>4300</v>
      </c>
      <c r="AF42" s="363"/>
      <c r="AG42" s="363"/>
      <c r="AH42" s="320">
        <f>(AH41-V057_20[[#This Row],[MOT AUX]])+V057_20[[#This Row],[FAENA EN  LTS]]</f>
        <v>4280</v>
      </c>
      <c r="AI42" s="363"/>
      <c r="AJ42" s="363"/>
      <c r="AK42" s="321">
        <f>(AK41-V057_20[[#This Row],[HIDRAULICO]])+V057_20[[#This Row],[FAENA EN LTS3]]</f>
        <v>2700</v>
      </c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7"/>
      <c r="BL42" s="127"/>
      <c r="BM42" s="127"/>
      <c r="BN42" s="127"/>
      <c r="BO42" s="127"/>
      <c r="BP42" s="127"/>
      <c r="BQ42" s="127"/>
      <c r="BR42" s="127"/>
      <c r="BS42" s="127"/>
      <c r="BT42" s="127"/>
      <c r="BU42" s="127"/>
      <c r="BV42" s="127"/>
      <c r="BW42" s="127"/>
      <c r="BX42" s="127"/>
      <c r="BY42" s="127"/>
      <c r="BZ42" s="127"/>
      <c r="CA42" s="127"/>
      <c r="CB42" s="127"/>
      <c r="CC42" s="127"/>
      <c r="CD42" s="127"/>
      <c r="CE42" s="127"/>
      <c r="CF42" s="127"/>
      <c r="CG42" s="127"/>
      <c r="CH42" s="127"/>
      <c r="CI42" s="127"/>
      <c r="CJ42" s="127"/>
      <c r="CK42" s="127"/>
      <c r="CL42" s="127"/>
      <c r="CM42" s="127"/>
      <c r="CN42" s="127"/>
      <c r="CO42" s="127"/>
      <c r="CP42" s="127"/>
      <c r="CQ42" s="127"/>
      <c r="CR42" s="127"/>
      <c r="CS42" s="127"/>
      <c r="CT42" s="127"/>
      <c r="CU42" s="127"/>
      <c r="CV42" s="127"/>
      <c r="CW42" s="127"/>
      <c r="CX42" s="127"/>
      <c r="CY42" s="127"/>
      <c r="CZ42" s="127"/>
      <c r="DA42" s="127"/>
      <c r="DB42" s="127"/>
      <c r="DC42" s="127"/>
      <c r="DD42" s="127"/>
      <c r="DE42" s="127"/>
      <c r="DF42" s="127"/>
      <c r="DG42" s="127"/>
      <c r="DH42" s="127"/>
      <c r="DI42" s="127"/>
      <c r="DJ42" s="127"/>
      <c r="DK42" s="127"/>
      <c r="DL42" s="127"/>
      <c r="DM42" s="127"/>
      <c r="DN42" s="127"/>
      <c r="DO42" s="127"/>
      <c r="DP42" s="127"/>
      <c r="DQ42" s="127"/>
      <c r="DR42" s="127"/>
      <c r="DS42" s="127"/>
      <c r="DT42" s="127"/>
      <c r="DU42" s="127"/>
      <c r="DV42" s="127"/>
      <c r="DW42" s="127"/>
      <c r="DX42" s="127"/>
    </row>
    <row r="43" spans="1:128" s="127" customFormat="1" x14ac:dyDescent="0.25">
      <c r="A43" s="65" t="s">
        <v>164</v>
      </c>
      <c r="B43" s="40">
        <v>43939</v>
      </c>
      <c r="C43" s="351">
        <v>0.33333333333333331</v>
      </c>
      <c r="D43" s="37">
        <f>IF(V057_20[[#This Row],[FECHA]]-B42=1,((V057_20[[#This Row],[HORA]]-C42)*24)+24,(V057_20[[#This Row],[HORA]]-C42)*24)</f>
        <v>24</v>
      </c>
      <c r="E43" s="239" t="s">
        <v>61</v>
      </c>
      <c r="F43" s="29" t="s">
        <v>56</v>
      </c>
      <c r="G43" s="353"/>
      <c r="H43" s="354"/>
      <c r="I43" s="355">
        <f>IF(ISERROR(V057_20[[#This Row],[DISTANCIA POR CARTA]]/V057_20[[#This Row],[TIEMPO DE NAVEGACION]]),0,V057_20[[#This Row],[DISTANCIA POR CARTA]]/V057_20[[#This Row],[TIEMPO DE NAVEGACION]])</f>
        <v>0</v>
      </c>
      <c r="J43" s="356"/>
      <c r="K43" s="357">
        <v>97</v>
      </c>
      <c r="L43" s="358">
        <v>24</v>
      </c>
      <c r="M43" s="139">
        <v>2.5</v>
      </c>
      <c r="N43" s="139">
        <v>0</v>
      </c>
      <c r="O43" s="359">
        <f>SUM(V057_20[[#This Row],[MPAL]:[CALDERA]])</f>
        <v>26.5</v>
      </c>
      <c r="P43" s="360"/>
      <c r="Q43" s="270">
        <f>(Q42 -V057_20[[#This Row],[TOTAL ]])+V057_20[FAENA]</f>
        <v>240.78700000000003</v>
      </c>
      <c r="R43" s="358">
        <v>0</v>
      </c>
      <c r="S43" s="139">
        <v>0</v>
      </c>
      <c r="T43" s="139">
        <v>0</v>
      </c>
      <c r="U43" s="139">
        <v>0</v>
      </c>
      <c r="V43" s="139">
        <v>0</v>
      </c>
      <c r="W43" s="359">
        <f>SUM(V057_20[[#This Row],[MPAL2]:[GI]])</f>
        <v>0</v>
      </c>
      <c r="X43" s="139">
        <v>0</v>
      </c>
      <c r="Y43" s="361">
        <f>(Y42-V057_20[[#This Row],[TOTAL]])+V057_20[[#This Row],[FAENA2]]</f>
        <v>70.8</v>
      </c>
      <c r="Z43" s="358"/>
      <c r="AA43" s="139"/>
      <c r="AB43" s="320">
        <f>(AB42-V057_20[[#This Row],[CYLINDER MP]])+V057_20[[#This Row],[FAENA EN LTS]]</f>
        <v>4670</v>
      </c>
      <c r="AC43" s="139"/>
      <c r="AD43" s="139"/>
      <c r="AE43" s="320">
        <f>(AE42-V057_20[[#This Row],[CARTER MP.]])+V057_20[[#This Row],[FAENA EN LTS2]]</f>
        <v>4300</v>
      </c>
      <c r="AF43" s="139"/>
      <c r="AG43" s="139"/>
      <c r="AH43" s="320">
        <f>(AH42-V057_20[[#This Row],[MOT AUX]])+V057_20[[#This Row],[FAENA EN  LTS]]</f>
        <v>4280</v>
      </c>
      <c r="AI43" s="139"/>
      <c r="AJ43" s="139"/>
      <c r="AK43" s="321">
        <f>(AK42-V057_20[[#This Row],[HIDRAULICO]])+V057_20[[#This Row],[FAENA EN LTS3]]</f>
        <v>2700</v>
      </c>
    </row>
    <row r="44" spans="1:128" x14ac:dyDescent="0.25">
      <c r="A44" s="235" t="s">
        <v>164</v>
      </c>
      <c r="B44" s="236">
        <v>43939</v>
      </c>
      <c r="C44" s="237">
        <v>0.54166666666666663</v>
      </c>
      <c r="D44" s="37">
        <f>IF(V057_20[[#This Row],[FECHA]]-B43=1,((V057_20[[#This Row],[HORA]]-C43)*24)+24,(V057_20[[#This Row],[HORA]]-C43)*24)</f>
        <v>5</v>
      </c>
      <c r="E44" s="239" t="s">
        <v>61</v>
      </c>
      <c r="F44" s="375" t="s">
        <v>62</v>
      </c>
      <c r="G44" s="324">
        <v>456</v>
      </c>
      <c r="H44" s="306">
        <v>37.799999999999997</v>
      </c>
      <c r="I44" s="355">
        <f>IF(ISERROR(V057_20[[#This Row],[DISTANCIA POR CARTA]]/V057_20[[#This Row],[TIEMPO DE NAVEGACION]]),0,V057_20[[#This Row],[DISTANCIA POR CARTA]]/V057_20[[#This Row],[TIEMPO DE NAVEGACION]])</f>
        <v>12.063492063492065</v>
      </c>
      <c r="J44" s="380" t="s">
        <v>214</v>
      </c>
      <c r="K44" s="325">
        <v>97</v>
      </c>
      <c r="L44" s="245">
        <v>5</v>
      </c>
      <c r="M44" s="246">
        <v>0.59</v>
      </c>
      <c r="N44" s="246">
        <v>0</v>
      </c>
      <c r="O44" s="257">
        <f>SUM(V057_20[[#This Row],[MPAL]:[CALDERA]])</f>
        <v>5.59</v>
      </c>
      <c r="P44" s="319"/>
      <c r="Q44" s="270">
        <f>(Q43 -V057_20[[#This Row],[TOTAL ]])+V057_20[FAENA]</f>
        <v>235.19700000000003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SUM(V057_20[[#This Row],[MPAL2]:[GI]])</f>
        <v>0</v>
      </c>
      <c r="X44" s="246">
        <v>0</v>
      </c>
      <c r="Y44" s="361">
        <f>(Y43-V057_20[[#This Row],[TOTAL]])+V057_20[[#This Row],[FAENA2]]</f>
        <v>70.8</v>
      </c>
      <c r="Z44" s="245">
        <v>950</v>
      </c>
      <c r="AA44" s="246"/>
      <c r="AB44" s="320">
        <f>(AB43-V057_20[[#This Row],[CYLINDER MP]])+V057_20[[#This Row],[FAENA EN LTS]]</f>
        <v>3720</v>
      </c>
      <c r="AC44" s="246"/>
      <c r="AD44" s="246"/>
      <c r="AE44" s="320">
        <f>(AE43-V057_20[[#This Row],[CARTER MP.]])+V057_20[[#This Row],[FAENA EN LTS2]]</f>
        <v>4300</v>
      </c>
      <c r="AF44" s="246">
        <v>380</v>
      </c>
      <c r="AG44" s="246"/>
      <c r="AH44" s="320">
        <f>(AH43-V057_20[[#This Row],[MOT AUX]])+V057_20[[#This Row],[FAENA EN  LTS]]</f>
        <v>3900</v>
      </c>
      <c r="AI44" s="246">
        <v>400</v>
      </c>
      <c r="AJ44" s="246"/>
      <c r="AK44" s="321">
        <f>(AK43-V057_20[[#This Row],[HIDRAULICO]])+V057_20[[#This Row],[FAENA EN LTS3]]</f>
        <v>2300</v>
      </c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7"/>
      <c r="BL44" s="127"/>
      <c r="BM44" s="127"/>
      <c r="BN44" s="127"/>
      <c r="BO44" s="127"/>
      <c r="BP44" s="127"/>
      <c r="BQ44" s="127"/>
      <c r="BR44" s="127"/>
      <c r="BS44" s="127"/>
      <c r="BT44" s="127"/>
      <c r="BU44" s="127"/>
      <c r="BV44" s="127"/>
      <c r="BW44" s="127"/>
      <c r="BX44" s="127"/>
      <c r="BY44" s="127"/>
      <c r="BZ44" s="127"/>
      <c r="CA44" s="127"/>
      <c r="CB44" s="127"/>
      <c r="CC44" s="127"/>
      <c r="CD44" s="127"/>
      <c r="CE44" s="127"/>
      <c r="CF44" s="127"/>
      <c r="CG44" s="127"/>
      <c r="CH44" s="127"/>
      <c r="CI44" s="127"/>
      <c r="CJ44" s="127"/>
      <c r="CK44" s="127"/>
      <c r="CL44" s="127"/>
      <c r="CM44" s="127"/>
      <c r="CN44" s="127"/>
      <c r="CO44" s="127"/>
      <c r="CP44" s="127"/>
      <c r="CQ44" s="127"/>
      <c r="CR44" s="127"/>
      <c r="CS44" s="127"/>
      <c r="CT44" s="127"/>
      <c r="CU44" s="127"/>
      <c r="CV44" s="127"/>
      <c r="CW44" s="127"/>
      <c r="CX44" s="127"/>
      <c r="CY44" s="127"/>
      <c r="CZ44" s="127"/>
      <c r="DA44" s="127"/>
      <c r="DB44" s="127"/>
      <c r="DC44" s="127"/>
      <c r="DD44" s="127"/>
      <c r="DE44" s="127"/>
      <c r="DF44" s="127"/>
      <c r="DG44" s="127"/>
      <c r="DH44" s="127"/>
      <c r="DI44" s="127"/>
      <c r="DJ44" s="127"/>
      <c r="DK44" s="127"/>
      <c r="DL44" s="127"/>
      <c r="DM44" s="127"/>
      <c r="DN44" s="127"/>
      <c r="DO44" s="127"/>
      <c r="DP44" s="127"/>
      <c r="DQ44" s="127"/>
      <c r="DR44" s="127"/>
      <c r="DS44" s="127"/>
      <c r="DT44" s="127"/>
      <c r="DU44" s="127"/>
      <c r="DV44" s="127"/>
      <c r="DW44" s="127"/>
      <c r="DX44" s="127"/>
    </row>
    <row r="45" spans="1:128" x14ac:dyDescent="0.25">
      <c r="D45" s="132">
        <f>SUBTOTAL(109,V057_20[TIEMPO Hrs])</f>
        <v>478.5</v>
      </c>
      <c r="L45" s="68">
        <f>SUBTOTAL(109,V057_20[MPAL])</f>
        <v>77.2</v>
      </c>
      <c r="M45" s="68">
        <f>SUBTOTAL(109,V057_20[AUX.])</f>
        <v>45.990000000000016</v>
      </c>
      <c r="N45" s="68">
        <f>SUBTOTAL(109,V057_20[CALDERA])</f>
        <v>20.913</v>
      </c>
      <c r="AL45" s="127"/>
      <c r="AM45" s="127"/>
      <c r="AN45" s="127"/>
      <c r="AO45" s="127"/>
      <c r="AP45" s="127"/>
      <c r="AQ45" s="127"/>
      <c r="AR45" s="127"/>
      <c r="AS45" s="127"/>
      <c r="AT45" s="127"/>
      <c r="AU45" s="127"/>
      <c r="AV45" s="127"/>
      <c r="AW45" s="127"/>
      <c r="AX45" s="127"/>
      <c r="AY45" s="127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7"/>
      <c r="BL45" s="127"/>
      <c r="BM45" s="127"/>
      <c r="BN45" s="127"/>
      <c r="BO45" s="127"/>
      <c r="BP45" s="127"/>
      <c r="BQ45" s="127"/>
      <c r="BR45" s="127"/>
      <c r="BS45" s="127"/>
      <c r="BT45" s="127"/>
      <c r="BU45" s="127"/>
      <c r="BV45" s="127"/>
      <c r="BW45" s="127"/>
      <c r="BX45" s="127"/>
      <c r="BY45" s="127"/>
      <c r="BZ45" s="127"/>
      <c r="CA45" s="127"/>
      <c r="CB45" s="127"/>
      <c r="CC45" s="127"/>
      <c r="CD45" s="127"/>
      <c r="CE45" s="127"/>
      <c r="CF45" s="127"/>
      <c r="CG45" s="127"/>
      <c r="CH45" s="127"/>
      <c r="CI45" s="127"/>
      <c r="CJ45" s="127"/>
      <c r="CK45" s="127"/>
      <c r="CL45" s="127"/>
      <c r="CM45" s="127"/>
      <c r="CN45" s="127"/>
      <c r="CO45" s="127"/>
      <c r="CP45" s="127"/>
      <c r="CQ45" s="127"/>
      <c r="CR45" s="127"/>
      <c r="CS45" s="127"/>
      <c r="CT45" s="127"/>
      <c r="CU45" s="127"/>
      <c r="CV45" s="127"/>
      <c r="CW45" s="127"/>
      <c r="CX45" s="127"/>
      <c r="CY45" s="127"/>
      <c r="CZ45" s="127"/>
      <c r="DA45" s="127"/>
      <c r="DB45" s="127"/>
      <c r="DC45" s="127"/>
      <c r="DD45" s="127"/>
      <c r="DE45" s="127"/>
      <c r="DF45" s="127"/>
      <c r="DG45" s="127"/>
      <c r="DH45" s="127"/>
      <c r="DI45" s="127"/>
      <c r="DJ45" s="127"/>
      <c r="DK45" s="127"/>
      <c r="DL45" s="127"/>
      <c r="DM45" s="127"/>
      <c r="DN45" s="127"/>
      <c r="DO45" s="127"/>
      <c r="DP45" s="127"/>
      <c r="DQ45" s="127"/>
      <c r="DR45" s="127"/>
      <c r="DS45" s="127"/>
      <c r="DT45" s="127"/>
      <c r="DU45" s="127"/>
      <c r="DV45" s="127"/>
      <c r="DW45" s="127"/>
      <c r="DX45" s="127"/>
    </row>
    <row r="46" spans="1:128" x14ac:dyDescent="0.25">
      <c r="O46" s="67">
        <f>SUM(L45:N45)</f>
        <v>144.10300000000004</v>
      </c>
    </row>
    <row r="47" spans="1:128" ht="19.5" thickBot="1" x14ac:dyDescent="0.35">
      <c r="C47" s="69" t="s">
        <v>187</v>
      </c>
      <c r="D47" s="69"/>
      <c r="E47" s="69"/>
      <c r="F47" s="69"/>
      <c r="G47" s="69"/>
      <c r="N47" s="69"/>
      <c r="O47" s="69"/>
      <c r="S47" s="70" t="s">
        <v>188</v>
      </c>
    </row>
    <row r="48" spans="1:128" ht="19.5" thickBot="1" x14ac:dyDescent="0.35">
      <c r="C48" s="69"/>
      <c r="D48" s="69"/>
      <c r="E48" s="69"/>
      <c r="F48" s="69"/>
      <c r="G48" s="69"/>
      <c r="N48" s="69"/>
      <c r="O48" s="69"/>
      <c r="S48" s="70"/>
    </row>
    <row r="49" spans="3:23" ht="45.75" thickBot="1" x14ac:dyDescent="0.3">
      <c r="C49" s="71" t="s">
        <v>11</v>
      </c>
      <c r="D49" s="71" t="s">
        <v>90</v>
      </c>
      <c r="E49" s="72" t="s">
        <v>91</v>
      </c>
      <c r="F49" s="72" t="s">
        <v>92</v>
      </c>
      <c r="G49" s="72" t="s">
        <v>93</v>
      </c>
      <c r="H49" s="71" t="s">
        <v>94</v>
      </c>
      <c r="I49" s="71" t="s">
        <v>95</v>
      </c>
      <c r="J49" s="71" t="s">
        <v>96</v>
      </c>
      <c r="K49" s="71" t="s">
        <v>97</v>
      </c>
      <c r="L49" s="71" t="s">
        <v>98</v>
      </c>
      <c r="M49" s="377" t="s">
        <v>99</v>
      </c>
      <c r="N49" s="75" t="s">
        <v>100</v>
      </c>
      <c r="R49" s="111" t="s">
        <v>101</v>
      </c>
      <c r="S49" s="111" t="s">
        <v>94</v>
      </c>
      <c r="T49" s="111" t="s">
        <v>102</v>
      </c>
      <c r="U49" s="111" t="s">
        <v>96</v>
      </c>
      <c r="V49" s="111" t="s">
        <v>103</v>
      </c>
      <c r="W49" s="111" t="s">
        <v>104</v>
      </c>
    </row>
    <row r="50" spans="3:23" x14ac:dyDescent="0.25">
      <c r="C50" s="77" t="s">
        <v>71</v>
      </c>
      <c r="D50" s="376">
        <f t="shared" ref="D50:D57" si="0">SUMIF($E$6:$E$44,C50,$D$6:$D$44)</f>
        <v>37.900000000000006</v>
      </c>
      <c r="E50" s="279"/>
      <c r="F50" s="288"/>
      <c r="G50" s="137"/>
      <c r="H50" s="84">
        <f t="shared" ref="H50:H57" si="1">SUMIF($E$6:$E$44,C50,$L$6:$L$44)+SUMIF($E$6:$E$44,C50,$M$6:$M$44)+SUMIF($E$6:$E$44,C50,$N$6:$N$44)</f>
        <v>6.33</v>
      </c>
      <c r="I50" s="139">
        <f t="shared" ref="I50:I57" si="2">IF(ISERROR(H50*24/D50),0,H50*24/D50)</f>
        <v>4.0084432717678098</v>
      </c>
      <c r="J50" s="137">
        <v>4.5</v>
      </c>
      <c r="K50" s="80"/>
      <c r="L50" s="38">
        <f>D50*J50/24</f>
        <v>7.1062500000000002</v>
      </c>
      <c r="M50" s="80">
        <f t="shared" ref="M50:M57" si="3">L50-H50</f>
        <v>0.77625000000000011</v>
      </c>
      <c r="N50" s="86"/>
      <c r="Q50" s="82"/>
      <c r="R50" s="83" t="s">
        <v>105</v>
      </c>
      <c r="S50" s="228">
        <f>SUM(V5:V44)</f>
        <v>11</v>
      </c>
      <c r="T50" s="84">
        <f>S50*24/($D$51+$D$57)</f>
        <v>4.8263254113345528</v>
      </c>
      <c r="U50" s="84">
        <v>6</v>
      </c>
      <c r="V50" s="85">
        <f>($D$51+$D$57)*U50/24</f>
        <v>13.674999999999999</v>
      </c>
      <c r="W50" s="86">
        <f>V50-S50</f>
        <v>2.6749999999999989</v>
      </c>
    </row>
    <row r="51" spans="3:23" x14ac:dyDescent="0.25">
      <c r="C51" s="87" t="s">
        <v>51</v>
      </c>
      <c r="D51" s="264">
        <f t="shared" si="0"/>
        <v>34.6</v>
      </c>
      <c r="E51" s="264"/>
      <c r="F51" s="289"/>
      <c r="G51" s="139"/>
      <c r="H51" s="88">
        <f t="shared" si="1"/>
        <v>6.48</v>
      </c>
      <c r="I51" s="139">
        <f t="shared" si="2"/>
        <v>4.4947976878612721</v>
      </c>
      <c r="J51" s="139">
        <v>4.5</v>
      </c>
      <c r="K51" s="88"/>
      <c r="L51" s="37">
        <f t="shared" ref="L51:L57" si="4">D51*J51/24</f>
        <v>6.4875000000000007</v>
      </c>
      <c r="M51" s="88">
        <f t="shared" si="3"/>
        <v>7.5000000000002842E-3</v>
      </c>
      <c r="N51" s="121"/>
      <c r="R51" s="90" t="s">
        <v>106</v>
      </c>
      <c r="S51" s="286">
        <f>SUM(S5:S44)</f>
        <v>0</v>
      </c>
      <c r="T51" s="84">
        <f>S51*24/($D$51+$D$57)</f>
        <v>0</v>
      </c>
      <c r="U51" s="88"/>
      <c r="V51" s="88"/>
      <c r="W51" s="121"/>
    </row>
    <row r="52" spans="3:23" x14ac:dyDescent="0.25">
      <c r="C52" s="87" t="s">
        <v>61</v>
      </c>
      <c r="D52" s="264">
        <f t="shared" si="0"/>
        <v>37.799999999999997</v>
      </c>
      <c r="E52" s="264">
        <f>SUMIF($E$6:$E$44,C52,$G$6:$G$44)</f>
        <v>456</v>
      </c>
      <c r="F52" s="289">
        <f>E52/D52</f>
        <v>12.063492063492065</v>
      </c>
      <c r="G52" s="139">
        <v>12.5</v>
      </c>
      <c r="H52" s="88">
        <f t="shared" si="1"/>
        <v>42.539999999999992</v>
      </c>
      <c r="I52" s="139">
        <f t="shared" si="2"/>
        <v>27.009523809523806</v>
      </c>
      <c r="J52" s="139">
        <v>30.5</v>
      </c>
      <c r="K52" s="88">
        <f>E52/G52</f>
        <v>36.479999999999997</v>
      </c>
      <c r="L52" s="37">
        <f>K52*J52/24</f>
        <v>46.359999999999992</v>
      </c>
      <c r="M52" s="88">
        <f t="shared" si="3"/>
        <v>3.8200000000000003</v>
      </c>
      <c r="N52" s="121">
        <f>K52-D52</f>
        <v>-1.3200000000000003</v>
      </c>
      <c r="R52" s="90" t="s">
        <v>20</v>
      </c>
      <c r="S52" s="286">
        <f>SUM(T5:T44)</f>
        <v>0</v>
      </c>
      <c r="T52" s="84">
        <f>S52*24/($D$51+$D$57)</f>
        <v>0</v>
      </c>
      <c r="U52" s="88"/>
      <c r="V52" s="88"/>
      <c r="W52" s="121"/>
    </row>
    <row r="53" spans="3:23" x14ac:dyDescent="0.25">
      <c r="C53" s="87" t="s">
        <v>55</v>
      </c>
      <c r="D53" s="264">
        <f t="shared" si="0"/>
        <v>41.8</v>
      </c>
      <c r="E53" s="264">
        <f>SUMIF($E$6:$E$44,C53,$G$6:$G$44)</f>
        <v>458</v>
      </c>
      <c r="F53" s="289">
        <f>E53/D53</f>
        <v>10.956937799043063</v>
      </c>
      <c r="G53" s="139">
        <v>12</v>
      </c>
      <c r="H53" s="88">
        <f t="shared" si="1"/>
        <v>42.68</v>
      </c>
      <c r="I53" s="139">
        <f t="shared" si="2"/>
        <v>24.505263157894738</v>
      </c>
      <c r="J53" s="139">
        <v>30.5</v>
      </c>
      <c r="K53" s="88">
        <f>E53/G53</f>
        <v>38.166666666666664</v>
      </c>
      <c r="L53" s="37">
        <f>K53*J53/24</f>
        <v>48.503472222222221</v>
      </c>
      <c r="M53" s="88">
        <f t="shared" si="3"/>
        <v>5.8234722222222217</v>
      </c>
      <c r="N53" s="121">
        <f>K53-D53</f>
        <v>-3.6333333333333329</v>
      </c>
      <c r="R53" s="90" t="s">
        <v>107</v>
      </c>
      <c r="S53" s="286">
        <f>SUM(U5:U44)</f>
        <v>0</v>
      </c>
      <c r="T53" s="84">
        <f>S53*24/($D$51+$D$57)</f>
        <v>0</v>
      </c>
      <c r="U53" s="88"/>
      <c r="V53" s="88"/>
      <c r="W53" s="121"/>
    </row>
    <row r="54" spans="3:23" ht="15.75" thickBot="1" x14ac:dyDescent="0.3">
      <c r="C54" s="87" t="s">
        <v>108</v>
      </c>
      <c r="D54" s="264">
        <f t="shared" si="0"/>
        <v>0</v>
      </c>
      <c r="E54" s="264">
        <f>SUMIF($E$6:$E$44,C54,$G$6:$G$44)</f>
        <v>0</v>
      </c>
      <c r="F54" s="289">
        <f>IF(ISERROR(E54/D54),0,E54/D54)</f>
        <v>0</v>
      </c>
      <c r="G54" s="139">
        <v>12</v>
      </c>
      <c r="H54" s="88">
        <f t="shared" si="1"/>
        <v>0</v>
      </c>
      <c r="I54" s="139">
        <f>IF(ISERROR(H54*24/D54),0,H54*24/D54)</f>
        <v>0</v>
      </c>
      <c r="J54" s="139">
        <v>31.5</v>
      </c>
      <c r="K54" s="88">
        <f>E54/G54</f>
        <v>0</v>
      </c>
      <c r="L54" s="37">
        <f>K54*J54/24</f>
        <v>0</v>
      </c>
      <c r="M54" s="88">
        <f t="shared" si="3"/>
        <v>0</v>
      </c>
      <c r="N54" s="121">
        <f>K54-D54</f>
        <v>0</v>
      </c>
      <c r="R54" s="92" t="s">
        <v>24</v>
      </c>
      <c r="S54" s="287">
        <f>SUM(R5:R44)</f>
        <v>0</v>
      </c>
      <c r="T54" s="84">
        <f>S54*24/($D$51+$D$57)</f>
        <v>0</v>
      </c>
      <c r="U54" s="98"/>
      <c r="V54" s="98"/>
      <c r="W54" s="122"/>
    </row>
    <row r="55" spans="3:23" x14ac:dyDescent="0.25">
      <c r="C55" s="87" t="s">
        <v>45</v>
      </c>
      <c r="D55" s="264">
        <f t="shared" si="0"/>
        <v>295.59999999999997</v>
      </c>
      <c r="E55" s="264"/>
      <c r="F55" s="289"/>
      <c r="G55" s="139"/>
      <c r="H55" s="88">
        <f t="shared" si="1"/>
        <v>38.529999999999994</v>
      </c>
      <c r="I55" s="139">
        <f t="shared" si="2"/>
        <v>3.1282814614343706</v>
      </c>
      <c r="J55" s="139">
        <v>4.5</v>
      </c>
      <c r="K55" s="88"/>
      <c r="L55" s="37">
        <f t="shared" si="4"/>
        <v>55.42499999999999</v>
      </c>
      <c r="M55" s="88">
        <f t="shared" si="3"/>
        <v>16.894999999999996</v>
      </c>
      <c r="N55" s="121"/>
      <c r="S55" s="68"/>
      <c r="T55" s="143"/>
      <c r="U55" s="68"/>
      <c r="V55" s="68"/>
      <c r="W55" s="68"/>
    </row>
    <row r="56" spans="3:23" x14ac:dyDescent="0.25">
      <c r="C56" s="87" t="s">
        <v>47</v>
      </c>
      <c r="D56" s="264">
        <f t="shared" si="0"/>
        <v>10.7</v>
      </c>
      <c r="E56" s="264"/>
      <c r="F56" s="289"/>
      <c r="G56" s="139"/>
      <c r="H56" s="88">
        <f t="shared" si="1"/>
        <v>3.8729999999999998</v>
      </c>
      <c r="I56" s="139">
        <f t="shared" si="2"/>
        <v>8.687102803738318</v>
      </c>
      <c r="J56" s="139">
        <v>4.5</v>
      </c>
      <c r="K56" s="88"/>
      <c r="L56" s="37">
        <f t="shared" si="4"/>
        <v>2.0062500000000001</v>
      </c>
      <c r="M56" s="88">
        <f t="shared" si="3"/>
        <v>-1.8667499999999997</v>
      </c>
      <c r="N56" s="121"/>
      <c r="S56" s="68"/>
      <c r="T56" s="68"/>
      <c r="U56" s="68"/>
      <c r="V56" s="68"/>
      <c r="W56" s="68"/>
    </row>
    <row r="57" spans="3:23" ht="15.75" thickBot="1" x14ac:dyDescent="0.3">
      <c r="C57" s="97" t="s">
        <v>49</v>
      </c>
      <c r="D57" s="290">
        <f t="shared" si="0"/>
        <v>20.099999999999994</v>
      </c>
      <c r="E57" s="290"/>
      <c r="F57" s="291"/>
      <c r="G57" s="140"/>
      <c r="H57" s="98">
        <f t="shared" si="1"/>
        <v>3.67</v>
      </c>
      <c r="I57" s="141">
        <f t="shared" si="2"/>
        <v>4.3820895522388073</v>
      </c>
      <c r="J57" s="141">
        <v>4.5</v>
      </c>
      <c r="K57" s="98"/>
      <c r="L57" s="99">
        <f t="shared" si="4"/>
        <v>3.7687499999999989</v>
      </c>
      <c r="M57" s="98">
        <f t="shared" si="3"/>
        <v>9.8749999999999005E-2</v>
      </c>
      <c r="N57" s="122"/>
      <c r="O57" s="68"/>
      <c r="S57" s="68"/>
      <c r="T57" s="68"/>
      <c r="U57" s="68"/>
      <c r="V57" s="68"/>
      <c r="W57" s="68"/>
    </row>
    <row r="58" spans="3:23" ht="15.75" thickBot="1" x14ac:dyDescent="0.3">
      <c r="C58" s="124"/>
      <c r="D58" s="327"/>
      <c r="E58" s="292"/>
      <c r="F58" s="293"/>
      <c r="G58" s="134"/>
      <c r="H58" s="328"/>
      <c r="I58" s="144"/>
      <c r="J58" s="144"/>
      <c r="K58" s="68"/>
      <c r="L58" s="102"/>
      <c r="M58" s="68"/>
      <c r="N58" s="145"/>
      <c r="O58" s="68"/>
      <c r="S58" s="68"/>
      <c r="T58" s="68"/>
      <c r="U58" s="68"/>
      <c r="V58" s="68"/>
      <c r="W58" s="68"/>
    </row>
    <row r="59" spans="3:23" ht="15.75" thickBot="1" x14ac:dyDescent="0.3">
      <c r="C59" s="103" t="s">
        <v>29</v>
      </c>
      <c r="D59" s="284">
        <f>SUM(D50:D57)</f>
        <v>478.49999999999989</v>
      </c>
      <c r="E59" s="284">
        <f>SUM(E50:E56)</f>
        <v>914</v>
      </c>
      <c r="F59" s="284">
        <f>SUM(F50:F56)/2</f>
        <v>11.510214931267564</v>
      </c>
      <c r="H59" s="101">
        <f>SUM(H50:H57)</f>
        <v>144.10299999999998</v>
      </c>
      <c r="K59" s="142"/>
      <c r="L59" s="104">
        <f>SUM(L50:L57)</f>
        <v>169.6572222222222</v>
      </c>
      <c r="M59" s="101">
        <f>SUM(M50:M57)</f>
        <v>25.554222222222219</v>
      </c>
      <c r="N59" s="101">
        <f>SUM(N50:N57)</f>
        <v>-4.9533333333333331</v>
      </c>
      <c r="R59" s="100" t="s">
        <v>29</v>
      </c>
      <c r="S59" s="101">
        <f>SUM(S50:S54)</f>
        <v>11</v>
      </c>
      <c r="T59" s="101">
        <f>SUM(T50:T54)</f>
        <v>4.8263254113345528</v>
      </c>
      <c r="U59" s="68"/>
      <c r="V59" s="68"/>
      <c r="W59" s="68"/>
    </row>
    <row r="68" spans="9:9" x14ac:dyDescent="0.25">
      <c r="I68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44" name="Rango14"/>
    <protectedRange sqref="AF6:AG44" name="Rango12"/>
    <protectedRange sqref="AC6:AD44" name="Rango10"/>
    <protectedRange sqref="Z6:AA44" name="Rango8"/>
    <protectedRange sqref="X6:X44" name="Rango6"/>
    <protectedRange sqref="R6:V44" name="Rango5"/>
    <protectedRange sqref="P6:P44" name="Rango3"/>
    <protectedRange sqref="E6:N44" name="Rango2"/>
    <protectedRange sqref="A6:C4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4">
    <cfRule type="cellIs" dxfId="973" priority="2" operator="greaterThan">
      <formula>"S5"</formula>
    </cfRule>
  </conditionalFormatting>
  <conditionalFormatting sqref="I6:I44">
    <cfRule type="cellIs" dxfId="972" priority="1" operator="greaterThan">
      <formula>0</formula>
    </cfRule>
  </conditionalFormatting>
  <dataValidations count="1">
    <dataValidation type="list" allowBlank="1" showInputMessage="1" showErrorMessage="1" sqref="E6:E44">
      <formula1>$C$45:$C$46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/>
  <dimension ref="A1:AK76"/>
  <sheetViews>
    <sheetView zoomScale="93" zoomScaleNormal="93" workbookViewId="0">
      <pane xSplit="6" ySplit="5" topLeftCell="M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" sqref="D7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43939</v>
      </c>
      <c r="C4" s="341">
        <v>0.54166666666666663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235.2</v>
      </c>
      <c r="R4" s="553" t="s">
        <v>183</v>
      </c>
      <c r="S4" s="554"/>
      <c r="T4" s="554"/>
      <c r="U4" s="554"/>
      <c r="V4" s="554"/>
      <c r="W4" s="554"/>
      <c r="X4" s="555"/>
      <c r="Y4" s="283">
        <v>70.8</v>
      </c>
      <c r="Z4" s="6"/>
      <c r="AA4" s="7" t="s">
        <v>184</v>
      </c>
      <c r="AB4" s="304">
        <v>3720</v>
      </c>
      <c r="AC4" s="9"/>
      <c r="AD4" s="7" t="s">
        <v>184</v>
      </c>
      <c r="AE4" s="304">
        <v>4300</v>
      </c>
      <c r="AG4" s="7" t="s">
        <v>184</v>
      </c>
      <c r="AH4" s="304">
        <v>3900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203</v>
      </c>
      <c r="B6" s="48">
        <v>43939</v>
      </c>
      <c r="C6" s="41">
        <v>0.5708333333333333</v>
      </c>
      <c r="D6" s="37">
        <f>IF(V058_20[[#This Row],[FECHA]]-B4=1,((V058_20[[#This Row],[HORA]]-C4)*24)+24,(V058_20[[#This Row],[HORA]]-C4)*24)</f>
        <v>0.70000000000000018</v>
      </c>
      <c r="E6" s="250" t="s">
        <v>47</v>
      </c>
      <c r="F6" s="29" t="s">
        <v>48</v>
      </c>
      <c r="G6" s="322"/>
      <c r="H6" s="310"/>
      <c r="I6" s="259">
        <f>IF(ISERROR(V058_20[[#This Row],[DISTANCIA POR CARTA]]/V058_20[[#This Row],[TIEMPO DE NAVEGACION]]),0,V058_20[[#This Row],[DISTANCIA POR CARTA]]/V058_20[[#This Row],[TIEMPO DE NAVEGACION]])</f>
        <v>0</v>
      </c>
      <c r="J6" s="253"/>
      <c r="K6" s="323"/>
      <c r="L6" s="256">
        <v>0.15</v>
      </c>
      <c r="M6" s="257">
        <v>7.0000000000000007E-2</v>
      </c>
      <c r="N6" s="257">
        <v>0.06</v>
      </c>
      <c r="O6" s="257">
        <f>SUM(V058_20[[#This Row],[MPAL]:[CALDERA]])</f>
        <v>0.28000000000000003</v>
      </c>
      <c r="P6" s="326"/>
      <c r="Q6" s="281">
        <f>(Q4-V058_20[[#This Row],[TOTAL ]])+V058_20[[#This Row],[FAENA]]</f>
        <v>234.92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SUM(V058_20[[#This Row],[MPAL2]:[GI]])</f>
        <v>0</v>
      </c>
      <c r="X6" s="257"/>
      <c r="Y6" s="282">
        <f>(Y4-V058_20[[#This Row],[TOTAL]])+V058_20[[#This Row],[FAENA2]]</f>
        <v>70.8</v>
      </c>
      <c r="Z6" s="256"/>
      <c r="AA6" s="257"/>
      <c r="AB6" s="320">
        <f>(AB4-V058_20[[#This Row],[CYLINDER MP]])+V058_20[[#This Row],[FAENA EN LTS]]</f>
        <v>3720</v>
      </c>
      <c r="AC6" s="257"/>
      <c r="AD6" s="257"/>
      <c r="AE6" s="320">
        <f>(AE4-V058_20[[#This Row],[CARTER MP.]])+V058_20[[#This Row],[FAENA EN LTS2]]</f>
        <v>4300</v>
      </c>
      <c r="AF6" s="257"/>
      <c r="AG6" s="257"/>
      <c r="AH6" s="320">
        <f>(AH4-V058_20[[#This Row],[MOT AUX]])+V058_20[[#This Row],[FAENA EN  LTS]]</f>
        <v>3900</v>
      </c>
      <c r="AI6" s="257"/>
      <c r="AJ6" s="257"/>
      <c r="AK6" s="321">
        <f>(AK4-V058_20[[#This Row],[HIDRAULICO]])+V058_20[[#This Row],[FAENA EN LTS3]]</f>
        <v>2300</v>
      </c>
    </row>
    <row r="7" spans="1:37" x14ac:dyDescent="0.25">
      <c r="A7" s="235" t="s">
        <v>203</v>
      </c>
      <c r="B7" s="382">
        <v>43939</v>
      </c>
      <c r="C7" s="41">
        <v>0.65</v>
      </c>
      <c r="D7" s="37">
        <f>IF(V058_20[[#This Row],[FECHA]]-B6=1,((V058_20[[#This Row],[HORA]]-C6)*24)+24,(V058_20[[#This Row],[HORA]]-C6)*24)</f>
        <v>1.9000000000000012</v>
      </c>
      <c r="E7" s="239" t="s">
        <v>45</v>
      </c>
      <c r="F7" s="29" t="s">
        <v>46</v>
      </c>
      <c r="G7" s="324"/>
      <c r="H7" s="306"/>
      <c r="I7" s="259">
        <f>IF(ISERROR(V058_20[[#This Row],[DISTANCIA POR CARTA]]/V058_20[[#This Row],[TIEMPO DE NAVEGACION]]),0,V058_20[[#This Row],[DISTANCIA POR CARTA]]/V058_20[[#This Row],[TIEMPO DE NAVEGACION]])</f>
        <v>0</v>
      </c>
      <c r="J7" s="242"/>
      <c r="K7" s="325"/>
      <c r="L7" s="245">
        <v>0</v>
      </c>
      <c r="M7" s="246">
        <v>0.2</v>
      </c>
      <c r="N7" s="246">
        <v>0.16</v>
      </c>
      <c r="O7" s="257">
        <f>SUM(V058_20[[#This Row],[MPAL]:[CALDERA]])</f>
        <v>0.36</v>
      </c>
      <c r="P7" s="319"/>
      <c r="Q7" s="281">
        <f>(Q6-V058_20[[#This Row],[TOTAL ]])+V058_20[[#This Row],[FAENA]]</f>
        <v>234.55999999999997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SUM(V058_20[[#This Row],[MPAL2]:[GI]])</f>
        <v>0</v>
      </c>
      <c r="X7" s="246"/>
      <c r="Y7" s="282">
        <f>(Y6-V058_20[[#This Row],[TOTAL]])+V058_20[[#This Row],[FAENA2]]</f>
        <v>70.8</v>
      </c>
      <c r="Z7" s="245"/>
      <c r="AA7" s="246"/>
      <c r="AB7" s="320">
        <f>(AB6-V058_20[[#This Row],[CYLINDER MP]])+V058_20[[#This Row],[FAENA EN LTS]]</f>
        <v>3720</v>
      </c>
      <c r="AC7" s="246"/>
      <c r="AD7" s="246"/>
      <c r="AE7" s="320">
        <f>(AE6-V058_20[[#This Row],[CARTER MP.]])+V058_20[[#This Row],[FAENA EN LTS2]]</f>
        <v>4300</v>
      </c>
      <c r="AF7" s="246"/>
      <c r="AG7" s="246"/>
      <c r="AH7" s="320">
        <f>(AH6-V058_20[[#This Row],[MOT AUX]])+V058_20[[#This Row],[FAENA EN  LTS]]</f>
        <v>3900</v>
      </c>
      <c r="AI7" s="246"/>
      <c r="AJ7" s="246"/>
      <c r="AK7" s="321">
        <f>(AK6-V058_20[[#This Row],[HIDRAULICO]])+V058_20[[#This Row],[FAENA EN LTS3]]</f>
        <v>2300</v>
      </c>
    </row>
    <row r="8" spans="1:37" x14ac:dyDescent="0.25">
      <c r="A8" s="235" t="s">
        <v>203</v>
      </c>
      <c r="B8" s="382">
        <v>43939</v>
      </c>
      <c r="C8" s="41">
        <v>0.7416666666666667</v>
      </c>
      <c r="D8" s="37">
        <f>IF(V058_20[[#This Row],[FECHA]]-B7=1,((V058_20[[#This Row],[HORA]]-C7)*24)+24,(V058_20[[#This Row],[HORA]]-C7)*24)</f>
        <v>2.2000000000000002</v>
      </c>
      <c r="E8" s="239" t="s">
        <v>47</v>
      </c>
      <c r="F8" s="29" t="s">
        <v>204</v>
      </c>
      <c r="G8" s="324"/>
      <c r="H8" s="306"/>
      <c r="I8" s="259">
        <f>IF(ISERROR(V058_20[[#This Row],[DISTANCIA POR CARTA]]/V058_20[[#This Row],[TIEMPO DE NAVEGACION]]),0,V058_20[[#This Row],[DISTANCIA POR CARTA]]/V058_20[[#This Row],[TIEMPO DE NAVEGACION]])</f>
        <v>0</v>
      </c>
      <c r="J8" s="242"/>
      <c r="K8" s="325"/>
      <c r="L8" s="245">
        <v>0.46</v>
      </c>
      <c r="M8" s="246">
        <v>0.23</v>
      </c>
      <c r="N8" s="246">
        <v>0.18</v>
      </c>
      <c r="O8" s="257">
        <f>SUM(V058_20[[#This Row],[MPAL]:[CALDERA]])</f>
        <v>0.87000000000000011</v>
      </c>
      <c r="P8" s="319"/>
      <c r="Q8" s="281">
        <f>(Q7-V058_20[[#This Row],[TOTAL ]])+V058_20[[#This Row],[FAENA]]</f>
        <v>233.68999999999997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SUM(V058_20[[#This Row],[MPAL2]:[GI]])</f>
        <v>0</v>
      </c>
      <c r="X8" s="246"/>
      <c r="Y8" s="282">
        <f>(Y7-V058_20[[#This Row],[TOTAL]])+V058_20[[#This Row],[FAENA2]]</f>
        <v>70.8</v>
      </c>
      <c r="Z8" s="245"/>
      <c r="AA8" s="246"/>
      <c r="AB8" s="320">
        <f>(AB7-V058_20[[#This Row],[CYLINDER MP]])+V058_20[[#This Row],[FAENA EN LTS]]</f>
        <v>3720</v>
      </c>
      <c r="AC8" s="246"/>
      <c r="AD8" s="246"/>
      <c r="AE8" s="320">
        <f>(AE7-V058_20[[#This Row],[CARTER MP.]])+V058_20[[#This Row],[FAENA EN LTS2]]</f>
        <v>4300</v>
      </c>
      <c r="AF8" s="246"/>
      <c r="AG8" s="246"/>
      <c r="AH8" s="320">
        <f>(AH7-V058_20[[#This Row],[MOT AUX]])+V058_20[[#This Row],[FAENA EN  LTS]]</f>
        <v>3900</v>
      </c>
      <c r="AI8" s="246"/>
      <c r="AJ8" s="246"/>
      <c r="AK8" s="321">
        <f>(AK7-V058_20[[#This Row],[HIDRAULICO]])+V058_20[[#This Row],[FAENA EN LTS3]]</f>
        <v>2300</v>
      </c>
    </row>
    <row r="9" spans="1:37" x14ac:dyDescent="0.25">
      <c r="A9" s="235" t="s">
        <v>203</v>
      </c>
      <c r="B9" s="382">
        <v>43939</v>
      </c>
      <c r="C9" s="41">
        <v>0.98749999999999993</v>
      </c>
      <c r="D9" s="37">
        <f>IF(V058_20[[#This Row],[FECHA]]-B8=1,((V058_20[[#This Row],[HORA]]-C8)*24)+24,(V058_20[[#This Row],[HORA]]-C8)*24)</f>
        <v>5.8999999999999977</v>
      </c>
      <c r="E9" s="352" t="s">
        <v>49</v>
      </c>
      <c r="F9" s="29" t="s">
        <v>85</v>
      </c>
      <c r="G9" s="324"/>
      <c r="H9" s="306"/>
      <c r="I9" s="259">
        <f>IF(ISERROR(V058_20[[#This Row],[DISTANCIA POR CARTA]]/V058_20[[#This Row],[TIEMPO DE NAVEGACION]]),0,V058_20[[#This Row],[DISTANCIA POR CARTA]]/V058_20[[#This Row],[TIEMPO DE NAVEGACION]])</f>
        <v>0</v>
      </c>
      <c r="J9" s="242"/>
      <c r="K9" s="325"/>
      <c r="L9" s="245">
        <v>0</v>
      </c>
      <c r="M9" s="246">
        <v>0.61</v>
      </c>
      <c r="N9" s="246">
        <v>0.49</v>
      </c>
      <c r="O9" s="257">
        <f>SUM(V058_20[[#This Row],[MPAL]:[CALDERA]])</f>
        <v>1.1000000000000001</v>
      </c>
      <c r="P9" s="319"/>
      <c r="Q9" s="281">
        <f>(Q8-V058_20[[#This Row],[TOTAL ]])+V058_20[[#This Row],[FAENA]]</f>
        <v>232.58999999999997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SUM(V058_20[[#This Row],[MPAL2]:[GI]])</f>
        <v>0</v>
      </c>
      <c r="X9" s="246"/>
      <c r="Y9" s="282">
        <f>(Y8-V058_20[[#This Row],[TOTAL]])+V058_20[[#This Row],[FAENA2]]</f>
        <v>70.8</v>
      </c>
      <c r="Z9" s="245"/>
      <c r="AA9" s="246"/>
      <c r="AB9" s="320">
        <f>(AB8-V058_20[[#This Row],[CYLINDER MP]])+V058_20[[#This Row],[FAENA EN LTS]]</f>
        <v>3720</v>
      </c>
      <c r="AC9" s="246"/>
      <c r="AD9" s="246"/>
      <c r="AE9" s="320">
        <f>(AE8-V058_20[[#This Row],[CARTER MP.]])+V058_20[[#This Row],[FAENA EN LTS2]]</f>
        <v>4300</v>
      </c>
      <c r="AF9" s="246"/>
      <c r="AG9" s="246"/>
      <c r="AH9" s="320">
        <f>(AH8-V058_20[[#This Row],[MOT AUX]])+V058_20[[#This Row],[FAENA EN  LTS]]</f>
        <v>3900</v>
      </c>
      <c r="AI9" s="246"/>
      <c r="AJ9" s="246"/>
      <c r="AK9" s="321">
        <f>(AK8-V058_20[[#This Row],[HIDRAULICO]])+V058_20[[#This Row],[FAENA EN LTS3]]</f>
        <v>2300</v>
      </c>
    </row>
    <row r="10" spans="1:37" x14ac:dyDescent="0.25">
      <c r="A10" s="235" t="s">
        <v>203</v>
      </c>
      <c r="B10" s="48">
        <v>43940</v>
      </c>
      <c r="C10" s="362">
        <v>0.33333333333333331</v>
      </c>
      <c r="D10" s="37">
        <f>IF(V058_20[[#This Row],[FECHA]]-B9=1,((V058_20[[#This Row],[HORA]]-C9)*24)+24,(V058_20[[#This Row],[HORA]]-C9)*24)</f>
        <v>8.3000000000000025</v>
      </c>
      <c r="E10" s="239" t="s">
        <v>71</v>
      </c>
      <c r="F10" s="29" t="s">
        <v>71</v>
      </c>
      <c r="G10" s="324"/>
      <c r="H10" s="306"/>
      <c r="I10" s="259">
        <f>IF(ISERROR(V058_20[[#This Row],[DISTANCIA POR CARTA]]/V058_20[[#This Row],[TIEMPO DE NAVEGACION]]),0,V058_20[[#This Row],[DISTANCIA POR CARTA]]/V058_20[[#This Row],[TIEMPO DE NAVEGACION]])</f>
        <v>0</v>
      </c>
      <c r="J10" s="242"/>
      <c r="K10" s="325"/>
      <c r="L10" s="245">
        <v>0</v>
      </c>
      <c r="M10" s="246">
        <v>0.86</v>
      </c>
      <c r="N10" s="246">
        <v>0.69</v>
      </c>
      <c r="O10" s="257">
        <f>SUM(V058_20[[#This Row],[MPAL]:[CALDERA]])</f>
        <v>1.5499999999999998</v>
      </c>
      <c r="P10" s="319"/>
      <c r="Q10" s="281">
        <f>(Q9-V058_20[[#This Row],[TOTAL ]])+V058_20[[#This Row],[FAENA]]</f>
        <v>231.03999999999996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SUM(V058_20[[#This Row],[MPAL2]:[GI]])</f>
        <v>0</v>
      </c>
      <c r="X10" s="246"/>
      <c r="Y10" s="282">
        <f>(Y9-V058_20[[#This Row],[TOTAL]])+V058_20[[#This Row],[FAENA2]]</f>
        <v>70.8</v>
      </c>
      <c r="Z10" s="245"/>
      <c r="AA10" s="246"/>
      <c r="AB10" s="320">
        <f>(AB9-V058_20[[#This Row],[CYLINDER MP]])+V058_20[[#This Row],[FAENA EN LTS]]</f>
        <v>3720</v>
      </c>
      <c r="AC10" s="246"/>
      <c r="AD10" s="246"/>
      <c r="AE10" s="320">
        <f>(AE9-V058_20[[#This Row],[CARTER MP.]])+V058_20[[#This Row],[FAENA EN LTS2]]</f>
        <v>4300</v>
      </c>
      <c r="AF10" s="246"/>
      <c r="AG10" s="246"/>
      <c r="AH10" s="320">
        <f>(AH9-V058_20[[#This Row],[MOT AUX]])+V058_20[[#This Row],[FAENA EN  LTS]]</f>
        <v>3900</v>
      </c>
      <c r="AI10" s="246"/>
      <c r="AJ10" s="246"/>
      <c r="AK10" s="321">
        <f>(AK9-V058_20[[#This Row],[HIDRAULICO]])+V058_20[[#This Row],[FAENA EN LTS3]]</f>
        <v>2300</v>
      </c>
    </row>
    <row r="11" spans="1:37" s="127" customFormat="1" x14ac:dyDescent="0.25">
      <c r="A11" s="65" t="s">
        <v>203</v>
      </c>
      <c r="B11" s="40">
        <v>43941</v>
      </c>
      <c r="C11" s="351">
        <v>0.33333333333333331</v>
      </c>
      <c r="D11" s="37">
        <f>IF(V058_20[[#This Row],[FECHA]]-B10=1,((V058_20[[#This Row],[HORA]]-C10)*24)+24,(V058_20[[#This Row],[HORA]]-C10)*24)</f>
        <v>24</v>
      </c>
      <c r="E11" s="239" t="s">
        <v>71</v>
      </c>
      <c r="F11" s="374" t="s">
        <v>71</v>
      </c>
      <c r="G11" s="353"/>
      <c r="H11" s="354"/>
      <c r="I11" s="259">
        <f>IF(ISERROR(V058_20[[#This Row],[DISTANCIA POR CARTA]]/V058_20[[#This Row],[TIEMPO DE NAVEGACION]]),0,V058_20[[#This Row],[DISTANCIA POR CARTA]]/V058_20[[#This Row],[TIEMPO DE NAVEGACION]])</f>
        <v>0</v>
      </c>
      <c r="J11" s="356"/>
      <c r="K11" s="357"/>
      <c r="L11" s="358">
        <v>0</v>
      </c>
      <c r="M11" s="139">
        <v>2.5</v>
      </c>
      <c r="N11" s="139">
        <v>2</v>
      </c>
      <c r="O11" s="359">
        <f>SUM(V058_20[[#This Row],[MPAL]:[CALDERA]])</f>
        <v>4.5</v>
      </c>
      <c r="P11" s="360"/>
      <c r="Q11" s="281">
        <f>(Q10-V058_20[[#This Row],[TOTAL ]])+V058_20[[#This Row],[FAENA]]</f>
        <v>226.53999999999996</v>
      </c>
      <c r="R11" s="358">
        <v>0</v>
      </c>
      <c r="S11" s="139">
        <v>0</v>
      </c>
      <c r="T11" s="139">
        <v>0</v>
      </c>
      <c r="U11" s="139">
        <v>0</v>
      </c>
      <c r="V11" s="139">
        <v>0</v>
      </c>
      <c r="W11" s="359">
        <f>SUM(V058_20[[#This Row],[MPAL2]:[GI]])</f>
        <v>0</v>
      </c>
      <c r="X11" s="139"/>
      <c r="Y11" s="361">
        <f>(Y10-V058_20[[#This Row],[TOTAL]])+V058_20[[#This Row],[FAENA2]]</f>
        <v>70.8</v>
      </c>
      <c r="Z11" s="358"/>
      <c r="AA11" s="139"/>
      <c r="AB11" s="320">
        <f>(AB10-V058_20[[#This Row],[CYLINDER MP]])+V058_20[[#This Row],[FAENA EN LTS]]</f>
        <v>3720</v>
      </c>
      <c r="AC11" s="139"/>
      <c r="AD11" s="139"/>
      <c r="AE11" s="320">
        <f>(AE10-V058_20[[#This Row],[CARTER MP.]])+V058_20[[#This Row],[FAENA EN LTS2]]</f>
        <v>4300</v>
      </c>
      <c r="AF11" s="139"/>
      <c r="AG11" s="139"/>
      <c r="AH11" s="320">
        <f>(AH10-V058_20[[#This Row],[MOT AUX]])+V058_20[[#This Row],[FAENA EN  LTS]]</f>
        <v>3900</v>
      </c>
      <c r="AI11" s="139"/>
      <c r="AJ11" s="139"/>
      <c r="AK11" s="321">
        <f>(AK10-V058_20[[#This Row],[HIDRAULICO]])+V058_20[[#This Row],[FAENA EN LTS3]]</f>
        <v>2300</v>
      </c>
    </row>
    <row r="12" spans="1:37" x14ac:dyDescent="0.25">
      <c r="A12" s="235" t="s">
        <v>203</v>
      </c>
      <c r="B12" s="383">
        <v>43941</v>
      </c>
      <c r="C12" s="41">
        <v>0.44166666666666665</v>
      </c>
      <c r="D12" s="37">
        <f>IF(V058_20[[#This Row],[FECHA]]-B11=1,((V058_20[[#This Row],[HORA]]-C11)*24)+24,(V058_20[[#This Row],[HORA]]-C11)*24)</f>
        <v>2.6</v>
      </c>
      <c r="E12" s="239" t="s">
        <v>71</v>
      </c>
      <c r="F12" s="29" t="s">
        <v>156</v>
      </c>
      <c r="G12" s="324"/>
      <c r="H12" s="306"/>
      <c r="I12" s="259">
        <f>IF(ISERROR(V058_20[[#This Row],[DISTANCIA POR CARTA]]/V058_20[[#This Row],[TIEMPO DE NAVEGACION]]),0,V058_20[[#This Row],[DISTANCIA POR CARTA]]/V058_20[[#This Row],[TIEMPO DE NAVEGACION]])</f>
        <v>0</v>
      </c>
      <c r="J12" s="242"/>
      <c r="K12" s="325"/>
      <c r="L12" s="245">
        <v>0</v>
      </c>
      <c r="M12" s="246">
        <v>0.27</v>
      </c>
      <c r="N12" s="246">
        <v>0.22</v>
      </c>
      <c r="O12" s="257">
        <f>SUM(V058_20[[#This Row],[MPAL]:[CALDERA]])</f>
        <v>0.49</v>
      </c>
      <c r="P12" s="319"/>
      <c r="Q12" s="281">
        <f>(Q11-V058_20[[#This Row],[TOTAL ]])+V058_20[[#This Row],[FAENA]]</f>
        <v>226.04999999999995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SUM(V058_20[[#This Row],[MPAL2]:[GI]])</f>
        <v>0</v>
      </c>
      <c r="X12" s="246"/>
      <c r="Y12" s="282">
        <f>(Y11-V058_20[[#This Row],[TOTAL]])+V058_20[[#This Row],[FAENA2]]</f>
        <v>70.8</v>
      </c>
      <c r="Z12" s="245"/>
      <c r="AA12" s="246"/>
      <c r="AB12" s="320">
        <f>(AB11-V058_20[[#This Row],[CYLINDER MP]])+V058_20[[#This Row],[FAENA EN LTS]]</f>
        <v>3720</v>
      </c>
      <c r="AC12" s="246"/>
      <c r="AD12" s="246"/>
      <c r="AE12" s="320">
        <f>(AE11-V058_20[[#This Row],[CARTER MP.]])+V058_20[[#This Row],[FAENA EN LTS2]]</f>
        <v>4300</v>
      </c>
      <c r="AF12" s="246"/>
      <c r="AG12" s="246"/>
      <c r="AH12" s="320">
        <f>(AH11-V058_20[[#This Row],[MOT AUX]])+V058_20[[#This Row],[FAENA EN  LTS]]</f>
        <v>3900</v>
      </c>
      <c r="AI12" s="246"/>
      <c r="AJ12" s="246"/>
      <c r="AK12" s="321">
        <f>(AK11-V058_20[[#This Row],[HIDRAULICO]])+V058_20[[#This Row],[FAENA EN LTS3]]</f>
        <v>2300</v>
      </c>
    </row>
    <row r="13" spans="1:37" x14ac:dyDescent="0.25">
      <c r="A13" s="235" t="s">
        <v>203</v>
      </c>
      <c r="B13" s="383">
        <v>43941</v>
      </c>
      <c r="C13" s="41">
        <v>0.6166666666666667</v>
      </c>
      <c r="D13" s="37">
        <f>IF(V058_20[[#This Row],[FECHA]]-B12=1,((V058_20[[#This Row],[HORA]]-C12)*24)+24,(V058_20[[#This Row],[HORA]]-C12)*24)</f>
        <v>4.2000000000000011</v>
      </c>
      <c r="E13" s="352" t="s">
        <v>49</v>
      </c>
      <c r="F13" s="29" t="s">
        <v>46</v>
      </c>
      <c r="G13" s="324"/>
      <c r="H13" s="306"/>
      <c r="I13" s="259">
        <f>IF(ISERROR(V058_20[[#This Row],[DISTANCIA POR CARTA]]/V058_20[[#This Row],[TIEMPO DE NAVEGACION]]),0,V058_20[[#This Row],[DISTANCIA POR CARTA]]/V058_20[[#This Row],[TIEMPO DE NAVEGACION]])</f>
        <v>0</v>
      </c>
      <c r="J13" s="242"/>
      <c r="K13" s="325"/>
      <c r="L13" s="245">
        <v>0</v>
      </c>
      <c r="M13" s="246">
        <v>0.44</v>
      </c>
      <c r="N13" s="246">
        <v>0.35</v>
      </c>
      <c r="O13" s="257">
        <f>SUM(V058_20[[#This Row],[MPAL]:[CALDERA]])</f>
        <v>0.79</v>
      </c>
      <c r="P13" s="319"/>
      <c r="Q13" s="281">
        <f>(Q12-V058_20[[#This Row],[TOTAL ]])+V058_20[[#This Row],[FAENA]]</f>
        <v>225.25999999999996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SUM(V058_20[[#This Row],[MPAL2]:[GI]])</f>
        <v>0</v>
      </c>
      <c r="X13" s="246"/>
      <c r="Y13" s="282">
        <f>(Y12-V058_20[[#This Row],[TOTAL]])+V058_20[[#This Row],[FAENA2]]</f>
        <v>70.8</v>
      </c>
      <c r="Z13" s="245"/>
      <c r="AA13" s="246"/>
      <c r="AB13" s="320">
        <f>(AB12-V058_20[[#This Row],[CYLINDER MP]])+V058_20[[#This Row],[FAENA EN LTS]]</f>
        <v>3720</v>
      </c>
      <c r="AC13" s="246"/>
      <c r="AD13" s="246"/>
      <c r="AE13" s="320">
        <f>(AE12-V058_20[[#This Row],[CARTER MP.]])+V058_20[[#This Row],[FAENA EN LTS2]]</f>
        <v>4300</v>
      </c>
      <c r="AF13" s="246"/>
      <c r="AG13" s="246"/>
      <c r="AH13" s="320">
        <f>(AH12-V058_20[[#This Row],[MOT AUX]])+V058_20[[#This Row],[FAENA EN  LTS]]</f>
        <v>3900</v>
      </c>
      <c r="AI13" s="246"/>
      <c r="AJ13" s="246"/>
      <c r="AK13" s="321">
        <f>(AK12-V058_20[[#This Row],[HIDRAULICO]])+V058_20[[#This Row],[FAENA EN LTS3]]</f>
        <v>2300</v>
      </c>
    </row>
    <row r="14" spans="1:37" x14ac:dyDescent="0.25">
      <c r="A14" s="235" t="s">
        <v>203</v>
      </c>
      <c r="B14" s="383">
        <v>43941</v>
      </c>
      <c r="C14" s="41">
        <v>0.66666666666666663</v>
      </c>
      <c r="D14" s="37">
        <f>IF(V058_20[[#This Row],[FECHA]]-B13=1,((V058_20[[#This Row],[HORA]]-C13)*24)+24,(V058_20[[#This Row],[HORA]]-C13)*24)</f>
        <v>1.1999999999999984</v>
      </c>
      <c r="E14" s="239" t="s">
        <v>47</v>
      </c>
      <c r="F14" s="29" t="s">
        <v>48</v>
      </c>
      <c r="G14" s="324"/>
      <c r="H14" s="306"/>
      <c r="I14" s="259">
        <f>IF(ISERROR(V058_20[[#This Row],[DISTANCIA POR CARTA]]/V058_20[[#This Row],[TIEMPO DE NAVEGACION]]),0,V058_20[[#This Row],[DISTANCIA POR CARTA]]/V058_20[[#This Row],[TIEMPO DE NAVEGACION]])</f>
        <v>0</v>
      </c>
      <c r="J14" s="242"/>
      <c r="K14" s="325"/>
      <c r="L14" s="245">
        <v>0.5</v>
      </c>
      <c r="M14" s="246">
        <v>0.13</v>
      </c>
      <c r="N14" s="246">
        <v>0.1</v>
      </c>
      <c r="O14" s="257">
        <f>SUM(V058_20[[#This Row],[MPAL]:[CALDERA]])</f>
        <v>0.73</v>
      </c>
      <c r="P14" s="319"/>
      <c r="Q14" s="281">
        <f>(Q13-V058_20[[#This Row],[TOTAL ]])+V058_20[[#This Row],[FAENA]]</f>
        <v>224.52999999999997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SUM(V058_20[[#This Row],[MPAL2]:[GI]])</f>
        <v>0</v>
      </c>
      <c r="X14" s="246"/>
      <c r="Y14" s="282">
        <f>(Y13-V058_20[[#This Row],[TOTAL]])+V058_20[[#This Row],[FAENA2]]</f>
        <v>70.8</v>
      </c>
      <c r="Z14" s="245"/>
      <c r="AA14" s="246"/>
      <c r="AB14" s="320">
        <f>(AB13-V058_20[[#This Row],[CYLINDER MP]])+V058_20[[#This Row],[FAENA EN LTS]]</f>
        <v>3720</v>
      </c>
      <c r="AC14" s="246"/>
      <c r="AD14" s="246"/>
      <c r="AE14" s="320">
        <f>(AE13-V058_20[[#This Row],[CARTER MP.]])+V058_20[[#This Row],[FAENA EN LTS2]]</f>
        <v>4300</v>
      </c>
      <c r="AF14" s="246"/>
      <c r="AG14" s="246"/>
      <c r="AH14" s="320">
        <f>(AH13-V058_20[[#This Row],[MOT AUX]])+V058_20[[#This Row],[FAENA EN  LTS]]</f>
        <v>3900</v>
      </c>
      <c r="AI14" s="246"/>
      <c r="AJ14" s="246"/>
      <c r="AK14" s="321">
        <f>(AK13-V058_20[[#This Row],[HIDRAULICO]])+V058_20[[#This Row],[FAENA EN LTS3]]</f>
        <v>2300</v>
      </c>
    </row>
    <row r="15" spans="1:37" s="127" customFormat="1" x14ac:dyDescent="0.25">
      <c r="A15" s="65" t="s">
        <v>203</v>
      </c>
      <c r="B15" s="40">
        <v>43942</v>
      </c>
      <c r="C15" s="351">
        <v>0.33333333333333331</v>
      </c>
      <c r="D15" s="37">
        <f>IF(V058_20[[#This Row],[FECHA]]-B14=1,((V058_20[[#This Row],[HORA]]-C14)*24)+24,(V058_20[[#This Row],[HORA]]-C14)*24)</f>
        <v>16</v>
      </c>
      <c r="E15" s="239" t="s">
        <v>45</v>
      </c>
      <c r="F15" s="374" t="s">
        <v>45</v>
      </c>
      <c r="G15" s="353"/>
      <c r="H15" s="354"/>
      <c r="I15" s="259">
        <f>IF(ISERROR(V058_20[[#This Row],[DISTANCIA POR CARTA]]/V058_20[[#This Row],[TIEMPO DE NAVEGACION]]),0,V058_20[[#This Row],[DISTANCIA POR CARTA]]/V058_20[[#This Row],[TIEMPO DE NAVEGACION]])</f>
        <v>0</v>
      </c>
      <c r="J15" s="356"/>
      <c r="K15" s="357"/>
      <c r="L15" s="358">
        <v>0</v>
      </c>
      <c r="M15" s="139">
        <v>1.67</v>
      </c>
      <c r="N15" s="139">
        <v>1.33</v>
      </c>
      <c r="O15" s="359">
        <f>SUM(V058_20[[#This Row],[MPAL]:[CALDERA]])</f>
        <v>3</v>
      </c>
      <c r="P15" s="360"/>
      <c r="Q15" s="281">
        <f>(Q14-V058_20[[#This Row],[TOTAL ]])+V058_20[[#This Row],[FAENA]]</f>
        <v>221.52999999999997</v>
      </c>
      <c r="R15" s="358">
        <v>0</v>
      </c>
      <c r="S15" s="139">
        <v>0</v>
      </c>
      <c r="T15" s="139">
        <v>0</v>
      </c>
      <c r="U15" s="139">
        <v>0</v>
      </c>
      <c r="V15" s="139">
        <v>0</v>
      </c>
      <c r="W15" s="359">
        <f>SUM(V058_20[[#This Row],[MPAL2]:[GI]])</f>
        <v>0</v>
      </c>
      <c r="X15" s="139"/>
      <c r="Y15" s="361">
        <f>(Y14-V058_20[[#This Row],[TOTAL]])+V058_20[[#This Row],[FAENA2]]</f>
        <v>70.8</v>
      </c>
      <c r="Z15" s="358"/>
      <c r="AA15" s="139">
        <v>2000</v>
      </c>
      <c r="AB15" s="320">
        <f>(AB14-V058_20[[#This Row],[CYLINDER MP]])+V058_20[[#This Row],[FAENA EN LTS]]</f>
        <v>5720</v>
      </c>
      <c r="AC15" s="139"/>
      <c r="AD15" s="139"/>
      <c r="AE15" s="320">
        <f>(AE14-V058_20[[#This Row],[CARTER MP.]])+V058_20[[#This Row],[FAENA EN LTS2]]</f>
        <v>4300</v>
      </c>
      <c r="AF15" s="139"/>
      <c r="AG15" s="139"/>
      <c r="AH15" s="320">
        <f>(AH14-V058_20[[#This Row],[MOT AUX]])+V058_20[[#This Row],[FAENA EN  LTS]]</f>
        <v>3900</v>
      </c>
      <c r="AI15" s="139"/>
      <c r="AJ15" s="139">
        <v>1200</v>
      </c>
      <c r="AK15" s="321">
        <f>(AK14-V058_20[[#This Row],[HIDRAULICO]])+V058_20[[#This Row],[FAENA EN LTS3]]</f>
        <v>3500</v>
      </c>
    </row>
    <row r="16" spans="1:37" x14ac:dyDescent="0.25">
      <c r="A16" s="235" t="s">
        <v>203</v>
      </c>
      <c r="B16" s="383">
        <v>43942</v>
      </c>
      <c r="C16" s="41">
        <v>0.70000000000000007</v>
      </c>
      <c r="D16" s="37">
        <f>IF(V058_20[[#This Row],[FECHA]]-B15=1,((V058_20[[#This Row],[HORA]]-C15)*24)+24,(V058_20[[#This Row],[HORA]]-C15)*24)</f>
        <v>8.8000000000000025</v>
      </c>
      <c r="E16" s="239" t="s">
        <v>45</v>
      </c>
      <c r="F16" s="29" t="s">
        <v>46</v>
      </c>
      <c r="G16" s="324"/>
      <c r="H16" s="306"/>
      <c r="I16" s="259">
        <f>IF(ISERROR(V058_20[[#This Row],[DISTANCIA POR CARTA]]/V058_20[[#This Row],[TIEMPO DE NAVEGACION]]),0,V058_20[[#This Row],[DISTANCIA POR CARTA]]/V058_20[[#This Row],[TIEMPO DE NAVEGACION]])</f>
        <v>0</v>
      </c>
      <c r="J16" s="242"/>
      <c r="K16" s="325"/>
      <c r="L16" s="245">
        <v>0</v>
      </c>
      <c r="M16" s="246">
        <v>0.92</v>
      </c>
      <c r="N16" s="246">
        <v>0.73</v>
      </c>
      <c r="O16" s="257">
        <f>SUM(V058_20[[#This Row],[MPAL]:[CALDERA]])</f>
        <v>1.65</v>
      </c>
      <c r="P16" s="246"/>
      <c r="Q16" s="281">
        <f>(Q15-V058_20[[#This Row],[TOTAL ]])+V058_20[[#This Row],[FAENA]]</f>
        <v>219.87999999999997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SUM(V058_20[[#This Row],[MPAL2]:[GI]])</f>
        <v>0</v>
      </c>
      <c r="X16" s="246"/>
      <c r="Y16" s="282">
        <f>(Y15-V058_20[[#This Row],[TOTAL]])+V058_20[[#This Row],[FAENA2]]</f>
        <v>70.8</v>
      </c>
      <c r="Z16" s="245"/>
      <c r="AA16" s="246"/>
      <c r="AB16" s="320">
        <f>(AB15-V058_20[[#This Row],[CYLINDER MP]])+V058_20[[#This Row],[FAENA EN LTS]]</f>
        <v>5720</v>
      </c>
      <c r="AC16" s="246"/>
      <c r="AD16" s="246"/>
      <c r="AE16" s="320">
        <f>(AE15-V058_20[[#This Row],[CARTER MP.]])+V058_20[[#This Row],[FAENA EN LTS2]]</f>
        <v>4300</v>
      </c>
      <c r="AF16" s="246"/>
      <c r="AG16" s="246"/>
      <c r="AH16" s="320">
        <f>(AH15-V058_20[[#This Row],[MOT AUX]])+V058_20[[#This Row],[FAENA EN  LTS]]</f>
        <v>3900</v>
      </c>
      <c r="AI16" s="246"/>
      <c r="AJ16" s="246"/>
      <c r="AK16" s="321">
        <f>(AK15-V058_20[[#This Row],[HIDRAULICO]])+V058_20[[#This Row],[FAENA EN LTS3]]</f>
        <v>3500</v>
      </c>
    </row>
    <row r="17" spans="1:37" x14ac:dyDescent="0.25">
      <c r="A17" s="235" t="s">
        <v>203</v>
      </c>
      <c r="B17" s="383">
        <v>43942</v>
      </c>
      <c r="C17" s="41">
        <v>0.73749999999999993</v>
      </c>
      <c r="D17" s="37">
        <f>IF(V058_20[[#This Row],[FECHA]]-B16=1,((V058_20[[#This Row],[HORA]]-C16)*24)+24,(V058_20[[#This Row],[HORA]]-C16)*24)</f>
        <v>0.8999999999999968</v>
      </c>
      <c r="E17" s="239" t="s">
        <v>47</v>
      </c>
      <c r="F17" s="29" t="s">
        <v>212</v>
      </c>
      <c r="G17" s="324"/>
      <c r="H17" s="306"/>
      <c r="I17" s="259">
        <f>IF(ISERROR(V058_20[[#This Row],[DISTANCIA POR CARTA]]/V058_20[[#This Row],[TIEMPO DE NAVEGACION]]),0,V058_20[[#This Row],[DISTANCIA POR CARTA]]/V058_20[[#This Row],[TIEMPO DE NAVEGACION]])</f>
        <v>0</v>
      </c>
      <c r="J17" s="242"/>
      <c r="K17" s="325"/>
      <c r="L17" s="245">
        <v>0.37</v>
      </c>
      <c r="M17" s="246">
        <v>0.09</v>
      </c>
      <c r="N17" s="246">
        <v>7.0000000000000007E-2</v>
      </c>
      <c r="O17" s="257">
        <f>SUM(V058_20[[#This Row],[MPAL]:[CALDERA]])</f>
        <v>0.53</v>
      </c>
      <c r="P17" s="319"/>
      <c r="Q17" s="281">
        <f>(Q16-V058_20[[#This Row],[TOTAL ]])+V058_20[[#This Row],[FAENA]]</f>
        <v>219.34999999999997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SUM(V058_20[[#This Row],[MPAL2]:[GI]])</f>
        <v>0</v>
      </c>
      <c r="X17" s="246"/>
      <c r="Y17" s="282">
        <f>(Y16-V058_20[[#This Row],[TOTAL]])+V058_20[[#This Row],[FAENA2]]</f>
        <v>70.8</v>
      </c>
      <c r="Z17" s="245"/>
      <c r="AA17" s="246"/>
      <c r="AB17" s="320">
        <f>(AB16-V058_20[[#This Row],[CYLINDER MP]])+V058_20[[#This Row],[FAENA EN LTS]]</f>
        <v>5720</v>
      </c>
      <c r="AC17" s="246"/>
      <c r="AD17" s="246"/>
      <c r="AE17" s="320">
        <f>(AE16-V058_20[[#This Row],[CARTER MP.]])+V058_20[[#This Row],[FAENA EN LTS2]]</f>
        <v>4300</v>
      </c>
      <c r="AF17" s="246"/>
      <c r="AG17" s="246"/>
      <c r="AH17" s="320">
        <f>(AH16-V058_20[[#This Row],[MOT AUX]])+V058_20[[#This Row],[FAENA EN  LTS]]</f>
        <v>3900</v>
      </c>
      <c r="AI17" s="246"/>
      <c r="AJ17" s="246"/>
      <c r="AK17" s="321">
        <f>(AK16-V058_20[[#This Row],[HIDRAULICO]])+V058_20[[#This Row],[FAENA EN LTS3]]</f>
        <v>3500</v>
      </c>
    </row>
    <row r="18" spans="1:37" x14ac:dyDescent="0.25">
      <c r="A18" s="235" t="s">
        <v>203</v>
      </c>
      <c r="B18" s="48">
        <v>43943</v>
      </c>
      <c r="C18" s="362">
        <v>0.33333333333333331</v>
      </c>
      <c r="D18" s="37">
        <f>IF(V058_20[[#This Row],[FECHA]]-B17=1,((V058_20[[#This Row],[HORA]]-C17)*24)+24,(V058_20[[#This Row],[HORA]]-C17)*24)</f>
        <v>14.3</v>
      </c>
      <c r="E18" s="239" t="s">
        <v>55</v>
      </c>
      <c r="F18" s="29" t="s">
        <v>56</v>
      </c>
      <c r="G18" s="324"/>
      <c r="H18" s="306"/>
      <c r="I18" s="259">
        <f>IF(ISERROR(V058_20[[#This Row],[DISTANCIA POR CARTA]]/V058_20[[#This Row],[TIEMPO DE NAVEGACION]]),0,V058_20[[#This Row],[DISTANCIA POR CARTA]]/V058_20[[#This Row],[TIEMPO DE NAVEGACION]])</f>
        <v>0</v>
      </c>
      <c r="J18" s="242"/>
      <c r="K18" s="325">
        <v>96.5</v>
      </c>
      <c r="L18" s="245">
        <v>14.3</v>
      </c>
      <c r="M18" s="246">
        <v>1.49</v>
      </c>
      <c r="N18" s="246">
        <v>0</v>
      </c>
      <c r="O18" s="257">
        <f>SUM(V058_20[[#This Row],[MPAL]:[CALDERA]])</f>
        <v>15.790000000000001</v>
      </c>
      <c r="P18" s="319"/>
      <c r="Q18" s="281">
        <f>(Q17-V058_20[[#This Row],[TOTAL ]])+V058_20[[#This Row],[FAENA]]</f>
        <v>203.55999999999997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SUM(V058_20[[#This Row],[MPAL2]:[GI]])</f>
        <v>0</v>
      </c>
      <c r="X18" s="246"/>
      <c r="Y18" s="282">
        <f>(Y17-V058_20[[#This Row],[TOTAL]])+V058_20[[#This Row],[FAENA2]]</f>
        <v>70.8</v>
      </c>
      <c r="Z18" s="245"/>
      <c r="AA18" s="246"/>
      <c r="AB18" s="320">
        <f>(AB17-V058_20[[#This Row],[CYLINDER MP]])+V058_20[[#This Row],[FAENA EN LTS]]</f>
        <v>5720</v>
      </c>
      <c r="AC18" s="246"/>
      <c r="AD18" s="246"/>
      <c r="AE18" s="320">
        <f>(AE17-V058_20[[#This Row],[CARTER MP.]])+V058_20[[#This Row],[FAENA EN LTS2]]</f>
        <v>4300</v>
      </c>
      <c r="AF18" s="246"/>
      <c r="AG18" s="246"/>
      <c r="AH18" s="320">
        <f>(AH17-V058_20[[#This Row],[MOT AUX]])+V058_20[[#This Row],[FAENA EN  LTS]]</f>
        <v>3900</v>
      </c>
      <c r="AI18" s="246"/>
      <c r="AJ18" s="246"/>
      <c r="AK18" s="321">
        <f>(AK17-V058_20[[#This Row],[HIDRAULICO]])+V058_20[[#This Row],[FAENA EN LTS3]]</f>
        <v>3500</v>
      </c>
    </row>
    <row r="19" spans="1:37" s="127" customFormat="1" x14ac:dyDescent="0.25">
      <c r="A19" s="65" t="s">
        <v>203</v>
      </c>
      <c r="B19" s="40">
        <v>43944</v>
      </c>
      <c r="C19" s="351">
        <v>0.33333333333333331</v>
      </c>
      <c r="D19" s="37">
        <f>IF(V058_20[[#This Row],[FECHA]]-B18=1,((V058_20[[#This Row],[HORA]]-C18)*24)+24,(V058_20[[#This Row],[HORA]]-C18)*24)</f>
        <v>24</v>
      </c>
      <c r="E19" s="239" t="s">
        <v>55</v>
      </c>
      <c r="F19" s="374" t="s">
        <v>56</v>
      </c>
      <c r="G19" s="353"/>
      <c r="H19" s="354"/>
      <c r="I19" s="259">
        <f>IF(ISERROR(V058_20[[#This Row],[DISTANCIA POR CARTA]]/V058_20[[#This Row],[TIEMPO DE NAVEGACION]]),0,V058_20[[#This Row],[DISTANCIA POR CARTA]]/V058_20[[#This Row],[TIEMPO DE NAVEGACION]])</f>
        <v>0</v>
      </c>
      <c r="J19" s="356"/>
      <c r="K19" s="357">
        <v>96</v>
      </c>
      <c r="L19" s="358">
        <v>24</v>
      </c>
      <c r="M19" s="139">
        <v>2.5</v>
      </c>
      <c r="N19" s="139">
        <v>0</v>
      </c>
      <c r="O19" s="359">
        <f>SUM(V058_20[[#This Row],[MPAL]:[CALDERA]])</f>
        <v>26.5</v>
      </c>
      <c r="P19" s="360"/>
      <c r="Q19" s="281">
        <f>(Q18-V058_20[[#This Row],[TOTAL ]])+V058_20[[#This Row],[FAENA]]</f>
        <v>177.05999999999997</v>
      </c>
      <c r="R19" s="358">
        <v>0</v>
      </c>
      <c r="S19" s="139">
        <v>0</v>
      </c>
      <c r="T19" s="139">
        <v>0</v>
      </c>
      <c r="U19" s="139">
        <v>0</v>
      </c>
      <c r="V19" s="139">
        <v>0</v>
      </c>
      <c r="W19" s="359">
        <f>SUM(V058_20[[#This Row],[MPAL2]:[GI]])</f>
        <v>0</v>
      </c>
      <c r="X19" s="139"/>
      <c r="Y19" s="361">
        <f>(Y18-V058_20[[#This Row],[TOTAL]])+V058_20[[#This Row],[FAENA2]]</f>
        <v>70.8</v>
      </c>
      <c r="Z19" s="358"/>
      <c r="AA19" s="139"/>
      <c r="AB19" s="320">
        <f>(AB18-V058_20[[#This Row],[CYLINDER MP]])+V058_20[[#This Row],[FAENA EN LTS]]</f>
        <v>5720</v>
      </c>
      <c r="AC19" s="139"/>
      <c r="AD19" s="139"/>
      <c r="AE19" s="320">
        <f>(AE18-V058_20[[#This Row],[CARTER MP.]])+V058_20[[#This Row],[FAENA EN LTS2]]</f>
        <v>4300</v>
      </c>
      <c r="AF19" s="139"/>
      <c r="AG19" s="139"/>
      <c r="AH19" s="320">
        <f>(AH18-V058_20[[#This Row],[MOT AUX]])+V058_20[[#This Row],[FAENA EN  LTS]]</f>
        <v>3900</v>
      </c>
      <c r="AI19" s="139"/>
      <c r="AJ19" s="139"/>
      <c r="AK19" s="321">
        <f>(AK18-V058_20[[#This Row],[HIDRAULICO]])+V058_20[[#This Row],[FAENA EN LTS3]]</f>
        <v>3500</v>
      </c>
    </row>
    <row r="20" spans="1:37" x14ac:dyDescent="0.25">
      <c r="A20" s="235" t="s">
        <v>203</v>
      </c>
      <c r="B20" s="383">
        <v>43944</v>
      </c>
      <c r="C20" s="41">
        <v>0.67499999999999993</v>
      </c>
      <c r="D20" s="37">
        <f>IF(V058_20[[#This Row],[FECHA]]-B19=1,((V058_20[[#This Row],[HORA]]-C19)*24)+24,(V058_20[[#This Row],[HORA]]-C19)*24)</f>
        <v>8.1999999999999993</v>
      </c>
      <c r="E20" s="239" t="s">
        <v>55</v>
      </c>
      <c r="F20" s="29" t="s">
        <v>216</v>
      </c>
      <c r="G20" s="324">
        <v>514</v>
      </c>
      <c r="H20" s="306">
        <v>46.5</v>
      </c>
      <c r="I20" s="259">
        <f>IF(ISERROR(V058_20[[#This Row],[DISTANCIA POR CARTA]]/V058_20[[#This Row],[TIEMPO DE NAVEGACION]]),0,V058_20[[#This Row],[DISTANCIA POR CARTA]]/V058_20[[#This Row],[TIEMPO DE NAVEGACION]])</f>
        <v>11.053763440860216</v>
      </c>
      <c r="J20" s="380" t="s">
        <v>214</v>
      </c>
      <c r="K20" s="325">
        <v>96</v>
      </c>
      <c r="L20" s="245">
        <v>8.1999999999999993</v>
      </c>
      <c r="M20" s="246">
        <v>0.85</v>
      </c>
      <c r="N20" s="246">
        <v>0</v>
      </c>
      <c r="O20" s="257">
        <f>SUM(V058_20[[#This Row],[MPAL]:[CALDERA]])</f>
        <v>9.0499999999999989</v>
      </c>
      <c r="P20" s="319"/>
      <c r="Q20" s="281">
        <f>(Q19-V058_20[[#This Row],[TOTAL ]])+V058_20[[#This Row],[FAENA]]</f>
        <v>168.00999999999996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SUM(V058_20[[#This Row],[MPAL2]:[GI]])</f>
        <v>0</v>
      </c>
      <c r="X20" s="246"/>
      <c r="Y20" s="282">
        <f>(Y19-V058_20[[#This Row],[TOTAL]])+V058_20[[#This Row],[FAENA2]]</f>
        <v>70.8</v>
      </c>
      <c r="Z20" s="245"/>
      <c r="AA20" s="246"/>
      <c r="AB20" s="320">
        <f>(AB19-V058_20[[#This Row],[CYLINDER MP]])+V058_20[[#This Row],[FAENA EN LTS]]</f>
        <v>5720</v>
      </c>
      <c r="AC20" s="246"/>
      <c r="AD20" s="246"/>
      <c r="AE20" s="320">
        <f>(AE19-V058_20[[#This Row],[CARTER MP.]])+V058_20[[#This Row],[FAENA EN LTS2]]</f>
        <v>4300</v>
      </c>
      <c r="AF20" s="246"/>
      <c r="AG20" s="246"/>
      <c r="AH20" s="320">
        <f>(AH19-V058_20[[#This Row],[MOT AUX]])+V058_20[[#This Row],[FAENA EN  LTS]]</f>
        <v>3900</v>
      </c>
      <c r="AI20" s="246"/>
      <c r="AJ20" s="246"/>
      <c r="AK20" s="321">
        <f>(AK19-V058_20[[#This Row],[HIDRAULICO]])+V058_20[[#This Row],[FAENA EN LTS3]]</f>
        <v>3500</v>
      </c>
    </row>
    <row r="21" spans="1:37" x14ac:dyDescent="0.25">
      <c r="A21" s="235" t="s">
        <v>203</v>
      </c>
      <c r="B21" s="383">
        <v>43944</v>
      </c>
      <c r="C21" s="41">
        <v>0.6958333333333333</v>
      </c>
      <c r="D21" s="37">
        <f>IF(V058_20[[#This Row],[FECHA]]-B20=1,((V058_20[[#This Row],[HORA]]-C20)*24)+24,(V058_20[[#This Row],[HORA]]-C20)*24)</f>
        <v>0.50000000000000089</v>
      </c>
      <c r="E21" s="239" t="s">
        <v>47</v>
      </c>
      <c r="F21" s="29" t="s">
        <v>48</v>
      </c>
      <c r="G21" s="324"/>
      <c r="H21" s="306"/>
      <c r="I21" s="259">
        <f>IF(ISERROR(V058_20[[#This Row],[DISTANCIA POR CARTA]]/V058_20[[#This Row],[TIEMPO DE NAVEGACION]]),0,V058_20[[#This Row],[DISTANCIA POR CARTA]]/V058_20[[#This Row],[TIEMPO DE NAVEGACION]])</f>
        <v>0</v>
      </c>
      <c r="J21" s="242"/>
      <c r="K21" s="325"/>
      <c r="L21" s="245">
        <v>0.1</v>
      </c>
      <c r="M21" s="246">
        <v>0.05</v>
      </c>
      <c r="N21" s="246">
        <v>0.04</v>
      </c>
      <c r="O21" s="257">
        <f>SUM(V058_20[[#This Row],[MPAL]:[CALDERA]])</f>
        <v>0.19000000000000003</v>
      </c>
      <c r="P21" s="319"/>
      <c r="Q21" s="281">
        <f>(Q20-V058_20[[#This Row],[TOTAL ]])+V058_20[[#This Row],[FAENA]]</f>
        <v>167.81999999999996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SUM(V058_20[[#This Row],[MPAL2]:[GI]])</f>
        <v>0</v>
      </c>
      <c r="X21" s="246"/>
      <c r="Y21" s="282">
        <f>(Y20-V058_20[[#This Row],[TOTAL]])+V058_20[[#This Row],[FAENA2]]</f>
        <v>70.8</v>
      </c>
      <c r="Z21" s="245"/>
      <c r="AA21" s="246"/>
      <c r="AB21" s="320">
        <f>(AB20-V058_20[[#This Row],[CYLINDER MP]])+V058_20[[#This Row],[FAENA EN LTS]]</f>
        <v>5720</v>
      </c>
      <c r="AC21" s="246"/>
      <c r="AD21" s="246"/>
      <c r="AE21" s="320">
        <f>(AE20-V058_20[[#This Row],[CARTER MP.]])+V058_20[[#This Row],[FAENA EN LTS2]]</f>
        <v>4300</v>
      </c>
      <c r="AF21" s="246"/>
      <c r="AG21" s="246"/>
      <c r="AH21" s="320">
        <f>(AH20-V058_20[[#This Row],[MOT AUX]])+V058_20[[#This Row],[FAENA EN  LTS]]</f>
        <v>3900</v>
      </c>
      <c r="AI21" s="246"/>
      <c r="AJ21" s="246"/>
      <c r="AK21" s="321">
        <f>(AK20-V058_20[[#This Row],[HIDRAULICO]])+V058_20[[#This Row],[FAENA EN LTS3]]</f>
        <v>3500</v>
      </c>
    </row>
    <row r="22" spans="1:37" x14ac:dyDescent="0.25">
      <c r="A22" s="235" t="s">
        <v>203</v>
      </c>
      <c r="B22" s="48">
        <v>43945</v>
      </c>
      <c r="C22" s="41">
        <v>0.24166666666666667</v>
      </c>
      <c r="D22" s="37">
        <f>IF(V058_20[[#This Row],[FECHA]]-B21=1,((V058_20[[#This Row],[HORA]]-C21)*24)+24,(V058_20[[#This Row],[HORA]]-C21)*24)</f>
        <v>13.100000000000001</v>
      </c>
      <c r="E22" s="239" t="s">
        <v>45</v>
      </c>
      <c r="F22" s="29" t="s">
        <v>46</v>
      </c>
      <c r="G22" s="324"/>
      <c r="H22" s="306"/>
      <c r="I22" s="259">
        <f>IF(ISERROR(V058_20[[#This Row],[DISTANCIA POR CARTA]]/V058_20[[#This Row],[TIEMPO DE NAVEGACION]]),0,V058_20[[#This Row],[DISTANCIA POR CARTA]]/V058_20[[#This Row],[TIEMPO DE NAVEGACION]])</f>
        <v>0</v>
      </c>
      <c r="J22" s="242"/>
      <c r="K22" s="325"/>
      <c r="L22" s="245">
        <v>0</v>
      </c>
      <c r="M22" s="246">
        <v>1.36</v>
      </c>
      <c r="N22" s="246">
        <v>1.0900000000000001</v>
      </c>
      <c r="O22" s="257">
        <f>SUM(V058_20[[#This Row],[MPAL]:[CALDERA]])</f>
        <v>2.4500000000000002</v>
      </c>
      <c r="P22" s="319"/>
      <c r="Q22" s="281">
        <f>(Q21-V058_20[[#This Row],[TOTAL ]])+V058_20[[#This Row],[FAENA]]</f>
        <v>165.36999999999998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SUM(V058_20[[#This Row],[MPAL2]:[GI]])</f>
        <v>0</v>
      </c>
      <c r="X22" s="246"/>
      <c r="Y22" s="282">
        <f>(Y21-V058_20[[#This Row],[TOTAL]])+V058_20[[#This Row],[FAENA2]]</f>
        <v>70.8</v>
      </c>
      <c r="Z22" s="245"/>
      <c r="AA22" s="246"/>
      <c r="AB22" s="320">
        <f>(AB21-V058_20[[#This Row],[CYLINDER MP]])+V058_20[[#This Row],[FAENA EN LTS]]</f>
        <v>5720</v>
      </c>
      <c r="AC22" s="246"/>
      <c r="AD22" s="246"/>
      <c r="AE22" s="320">
        <f>(AE21-V058_20[[#This Row],[CARTER MP.]])+V058_20[[#This Row],[FAENA EN LTS2]]</f>
        <v>4300</v>
      </c>
      <c r="AF22" s="246"/>
      <c r="AG22" s="246"/>
      <c r="AH22" s="320">
        <f>(AH21-V058_20[[#This Row],[MOT AUX]])+V058_20[[#This Row],[FAENA EN  LTS]]</f>
        <v>3900</v>
      </c>
      <c r="AI22" s="246"/>
      <c r="AJ22" s="246"/>
      <c r="AK22" s="321">
        <f>(AK21-V058_20[[#This Row],[HIDRAULICO]])+V058_20[[#This Row],[FAENA EN LTS3]]</f>
        <v>3500</v>
      </c>
    </row>
    <row r="23" spans="1:37" x14ac:dyDescent="0.25">
      <c r="A23" s="235" t="s">
        <v>203</v>
      </c>
      <c r="B23" s="382">
        <v>43945</v>
      </c>
      <c r="C23" s="41">
        <v>0.29583333333333334</v>
      </c>
      <c r="D23" s="37">
        <f>IF(V058_20[[#This Row],[FECHA]]-B22=1,((V058_20[[#This Row],[HORA]]-C22)*24)+24,(V058_20[[#This Row],[HORA]]-C22)*24)</f>
        <v>1.3</v>
      </c>
      <c r="E23" s="239" t="s">
        <v>47</v>
      </c>
      <c r="F23" s="29" t="s">
        <v>48</v>
      </c>
      <c r="G23" s="324"/>
      <c r="H23" s="306"/>
      <c r="I23" s="259">
        <f>IF(ISERROR(V058_20[[#This Row],[DISTANCIA POR CARTA]]/V058_20[[#This Row],[TIEMPO DE NAVEGACION]]),0,V058_20[[#This Row],[DISTANCIA POR CARTA]]/V058_20[[#This Row],[TIEMPO DE NAVEGACION]])</f>
        <v>0</v>
      </c>
      <c r="J23" s="242"/>
      <c r="K23" s="325"/>
      <c r="L23" s="245">
        <v>0.27</v>
      </c>
      <c r="M23" s="246">
        <v>0.14000000000000001</v>
      </c>
      <c r="N23" s="246">
        <v>0.11</v>
      </c>
      <c r="O23" s="257">
        <f>SUM(V058_20[[#This Row],[MPAL]:[CALDERA]])</f>
        <v>0.52</v>
      </c>
      <c r="P23" s="319"/>
      <c r="Q23" s="281">
        <f>(Q22-V058_20[[#This Row],[TOTAL ]])+V058_20[[#This Row],[FAENA]]</f>
        <v>164.84999999999997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SUM(V058_20[[#This Row],[MPAL2]:[GI]])</f>
        <v>0</v>
      </c>
      <c r="X23" s="246"/>
      <c r="Y23" s="282">
        <f>(Y22-V058_20[[#This Row],[TOTAL]])+V058_20[[#This Row],[FAENA2]]</f>
        <v>70.8</v>
      </c>
      <c r="Z23" s="245"/>
      <c r="AA23" s="246"/>
      <c r="AB23" s="320">
        <f>(AB22-V058_20[[#This Row],[CYLINDER MP]])+V058_20[[#This Row],[FAENA EN LTS]]</f>
        <v>5720</v>
      </c>
      <c r="AC23" s="246"/>
      <c r="AD23" s="246"/>
      <c r="AE23" s="320">
        <f>(AE22-V058_20[[#This Row],[CARTER MP.]])+V058_20[[#This Row],[FAENA EN LTS2]]</f>
        <v>4300</v>
      </c>
      <c r="AF23" s="246"/>
      <c r="AG23" s="246"/>
      <c r="AH23" s="320">
        <f>(AH22-V058_20[[#This Row],[MOT AUX]])+V058_20[[#This Row],[FAENA EN  LTS]]</f>
        <v>3900</v>
      </c>
      <c r="AI23" s="246"/>
      <c r="AJ23" s="246"/>
      <c r="AK23" s="321">
        <f>(AK22-V058_20[[#This Row],[HIDRAULICO]])+V058_20[[#This Row],[FAENA EN LTS3]]</f>
        <v>3500</v>
      </c>
    </row>
    <row r="24" spans="1:37" x14ac:dyDescent="0.25">
      <c r="A24" s="235" t="s">
        <v>203</v>
      </c>
      <c r="B24" s="382">
        <v>43945</v>
      </c>
      <c r="C24" s="362">
        <v>0.33333333333333331</v>
      </c>
      <c r="D24" s="37">
        <f>IF(V058_20[[#This Row],[FECHA]]-B23=1,((V058_20[[#This Row],[HORA]]-C23)*24)+24,(V058_20[[#This Row],[HORA]]-C23)*24)</f>
        <v>0.89999999999999947</v>
      </c>
      <c r="E24" s="364" t="s">
        <v>49</v>
      </c>
      <c r="F24" s="29" t="s">
        <v>205</v>
      </c>
      <c r="G24" s="324"/>
      <c r="H24" s="306"/>
      <c r="I24" s="259">
        <f>IF(ISERROR(V058_20[[#This Row],[DISTANCIA POR CARTA]]/V058_20[[#This Row],[TIEMPO DE NAVEGACION]]),0,V058_20[[#This Row],[DISTANCIA POR CARTA]]/V058_20[[#This Row],[TIEMPO DE NAVEGACION]])</f>
        <v>0</v>
      </c>
      <c r="J24" s="242"/>
      <c r="K24" s="325"/>
      <c r="L24" s="245">
        <v>0</v>
      </c>
      <c r="M24" s="246">
        <v>0.09</v>
      </c>
      <c r="N24" s="246">
        <v>0.08</v>
      </c>
      <c r="O24" s="257">
        <f>SUM(V058_20[[#This Row],[MPAL]:[CALDERA]])</f>
        <v>0.16999999999999998</v>
      </c>
      <c r="P24" s="319"/>
      <c r="Q24" s="281">
        <f>(Q23-V058_20[[#This Row],[TOTAL ]])+V058_20[[#This Row],[FAENA]]</f>
        <v>164.67999999999998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SUM(V058_20[[#This Row],[MPAL2]:[GI]])</f>
        <v>0</v>
      </c>
      <c r="X24" s="246"/>
      <c r="Y24" s="282">
        <f>(Y23-V058_20[[#This Row],[TOTAL]])+V058_20[[#This Row],[FAENA2]]</f>
        <v>70.8</v>
      </c>
      <c r="Z24" s="245"/>
      <c r="AA24" s="246"/>
      <c r="AB24" s="320">
        <f>(AB23-V058_20[[#This Row],[CYLINDER MP]])+V058_20[[#This Row],[FAENA EN LTS]]</f>
        <v>5720</v>
      </c>
      <c r="AC24" s="246"/>
      <c r="AD24" s="246"/>
      <c r="AE24" s="320">
        <f>(AE23-V058_20[[#This Row],[CARTER MP.]])+V058_20[[#This Row],[FAENA EN LTS2]]</f>
        <v>4300</v>
      </c>
      <c r="AF24" s="246"/>
      <c r="AG24" s="246"/>
      <c r="AH24" s="320">
        <f>(AH23-V058_20[[#This Row],[MOT AUX]])+V058_20[[#This Row],[FAENA EN  LTS]]</f>
        <v>3900</v>
      </c>
      <c r="AI24" s="246"/>
      <c r="AJ24" s="246"/>
      <c r="AK24" s="321">
        <f>(AK23-V058_20[[#This Row],[HIDRAULICO]])+V058_20[[#This Row],[FAENA EN LTS3]]</f>
        <v>3500</v>
      </c>
    </row>
    <row r="25" spans="1:37" x14ac:dyDescent="0.25">
      <c r="A25" s="235" t="s">
        <v>203</v>
      </c>
      <c r="B25" s="382">
        <v>43945</v>
      </c>
      <c r="C25" s="41">
        <v>0.375</v>
      </c>
      <c r="D25" s="37">
        <f>IF(V058_20[[#This Row],[FECHA]]-B24=1,((V058_20[[#This Row],[HORA]]-C24)*24)+24,(V058_20[[#This Row],[HORA]]-C24)*24)</f>
        <v>1.0000000000000004</v>
      </c>
      <c r="E25" s="352" t="s">
        <v>49</v>
      </c>
      <c r="F25" s="29" t="s">
        <v>50</v>
      </c>
      <c r="G25" s="324"/>
      <c r="H25" s="306"/>
      <c r="I25" s="259">
        <f>IF(ISERROR(V058_20[[#This Row],[DISTANCIA POR CARTA]]/V058_20[[#This Row],[TIEMPO DE NAVEGACION]]),0,V058_20[[#This Row],[DISTANCIA POR CARTA]]/V058_20[[#This Row],[TIEMPO DE NAVEGACION]])</f>
        <v>0</v>
      </c>
      <c r="J25" s="242"/>
      <c r="K25" s="325"/>
      <c r="L25" s="245">
        <v>0</v>
      </c>
      <c r="M25" s="246">
        <v>0.1</v>
      </c>
      <c r="N25" s="246">
        <v>0.08</v>
      </c>
      <c r="O25" s="257">
        <f>SUM(V058_20[[#This Row],[MPAL]:[CALDERA]])</f>
        <v>0.18</v>
      </c>
      <c r="P25" s="319"/>
      <c r="Q25" s="281">
        <f>(Q24-V058_20[[#This Row],[TOTAL ]])+V058_20[[#This Row],[FAENA]]</f>
        <v>164.49999999999997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SUM(V058_20[[#This Row],[MPAL2]:[GI]])</f>
        <v>0</v>
      </c>
      <c r="X25" s="246"/>
      <c r="Y25" s="282">
        <f>(Y24-V058_20[[#This Row],[TOTAL]])+V058_20[[#This Row],[FAENA2]]</f>
        <v>70.8</v>
      </c>
      <c r="Z25" s="245"/>
      <c r="AA25" s="246"/>
      <c r="AB25" s="320">
        <f>(AB24-V058_20[[#This Row],[CYLINDER MP]])+V058_20[[#This Row],[FAENA EN LTS]]</f>
        <v>5720</v>
      </c>
      <c r="AC25" s="246"/>
      <c r="AD25" s="246"/>
      <c r="AE25" s="320">
        <f>(AE24-V058_20[[#This Row],[CARTER MP.]])+V058_20[[#This Row],[FAENA EN LTS2]]</f>
        <v>4300</v>
      </c>
      <c r="AF25" s="246"/>
      <c r="AG25" s="246"/>
      <c r="AH25" s="320">
        <f>(AH24-V058_20[[#This Row],[MOT AUX]])+V058_20[[#This Row],[FAENA EN  LTS]]</f>
        <v>3900</v>
      </c>
      <c r="AI25" s="246"/>
      <c r="AJ25" s="246"/>
      <c r="AK25" s="321">
        <f>(AK24-V058_20[[#This Row],[HIDRAULICO]])+V058_20[[#This Row],[FAENA EN LTS3]]</f>
        <v>3500</v>
      </c>
    </row>
    <row r="26" spans="1:37" x14ac:dyDescent="0.25">
      <c r="A26" s="235" t="s">
        <v>203</v>
      </c>
      <c r="B26" s="382">
        <v>43945</v>
      </c>
      <c r="C26" s="41">
        <v>0.70000000000000007</v>
      </c>
      <c r="D26" s="37">
        <f>IF(V058_20[[#This Row],[FECHA]]-B25=1,((V058_20[[#This Row],[HORA]]-C25)*24)+24,(V058_20[[#This Row],[HORA]]-C25)*24)</f>
        <v>7.8000000000000016</v>
      </c>
      <c r="E26" s="239" t="s">
        <v>51</v>
      </c>
      <c r="F26" s="29" t="s">
        <v>52</v>
      </c>
      <c r="G26" s="324"/>
      <c r="H26" s="306"/>
      <c r="I26" s="259">
        <f>IF(ISERROR(V058_20[[#This Row],[DISTANCIA POR CARTA]]/V058_20[[#This Row],[TIEMPO DE NAVEGACION]]),0,V058_20[[#This Row],[DISTANCIA POR CARTA]]/V058_20[[#This Row],[TIEMPO DE NAVEGACION]])</f>
        <v>0</v>
      </c>
      <c r="J26" s="242"/>
      <c r="K26" s="325"/>
      <c r="L26" s="245">
        <v>0</v>
      </c>
      <c r="M26" s="246">
        <v>0.81</v>
      </c>
      <c r="N26" s="246">
        <v>0.65</v>
      </c>
      <c r="O26" s="257">
        <f>SUM(V058_20[[#This Row],[MPAL]:[CALDERA]])</f>
        <v>1.46</v>
      </c>
      <c r="P26" s="319"/>
      <c r="Q26" s="281">
        <f>(Q25-V058_20[[#This Row],[TOTAL ]])+V058_20[[#This Row],[FAENA]]</f>
        <v>163.03999999999996</v>
      </c>
      <c r="R26" s="245">
        <v>0</v>
      </c>
      <c r="S26" s="246">
        <v>0</v>
      </c>
      <c r="T26" s="246">
        <v>0</v>
      </c>
      <c r="U26" s="246">
        <v>0</v>
      </c>
      <c r="V26" s="246">
        <v>1.9</v>
      </c>
      <c r="W26" s="257">
        <f>SUM(V058_20[[#This Row],[MPAL2]:[GI]])</f>
        <v>1.9</v>
      </c>
      <c r="X26" s="246"/>
      <c r="Y26" s="282">
        <f>(Y25-V058_20[[#This Row],[TOTAL]])+V058_20[[#This Row],[FAENA2]]</f>
        <v>68.899999999999991</v>
      </c>
      <c r="Z26" s="245"/>
      <c r="AA26" s="246"/>
      <c r="AB26" s="320">
        <f>(AB25-V058_20[[#This Row],[CYLINDER MP]])+V058_20[[#This Row],[FAENA EN LTS]]</f>
        <v>5720</v>
      </c>
      <c r="AC26" s="246"/>
      <c r="AD26" s="246"/>
      <c r="AE26" s="320">
        <f>(AE25-V058_20[[#This Row],[CARTER MP.]])+V058_20[[#This Row],[FAENA EN LTS2]]</f>
        <v>4300</v>
      </c>
      <c r="AF26" s="246"/>
      <c r="AG26" s="246"/>
      <c r="AH26" s="320">
        <f>(AH25-V058_20[[#This Row],[MOT AUX]])+V058_20[[#This Row],[FAENA EN  LTS]]</f>
        <v>3900</v>
      </c>
      <c r="AI26" s="246"/>
      <c r="AJ26" s="246"/>
      <c r="AK26" s="321">
        <f>(AK25-V058_20[[#This Row],[HIDRAULICO]])+V058_20[[#This Row],[FAENA EN LTS3]]</f>
        <v>3500</v>
      </c>
    </row>
    <row r="27" spans="1:37" x14ac:dyDescent="0.25">
      <c r="A27" s="235" t="s">
        <v>203</v>
      </c>
      <c r="B27" s="382">
        <v>43945</v>
      </c>
      <c r="C27" s="41">
        <v>0.82500000000000007</v>
      </c>
      <c r="D27" s="37">
        <f>IF(V058_20[[#This Row],[FECHA]]-B26=1,((V058_20[[#This Row],[HORA]]-C26)*24)+24,(V058_20[[#This Row],[HORA]]-C26)*24)</f>
        <v>3</v>
      </c>
      <c r="E27" s="352" t="s">
        <v>49</v>
      </c>
      <c r="F27" s="29" t="s">
        <v>46</v>
      </c>
      <c r="G27" s="324"/>
      <c r="H27" s="306"/>
      <c r="I27" s="259">
        <f>IF(ISERROR(V058_20[[#This Row],[DISTANCIA POR CARTA]]/V058_20[[#This Row],[TIEMPO DE NAVEGACION]]),0,V058_20[[#This Row],[DISTANCIA POR CARTA]]/V058_20[[#This Row],[TIEMPO DE NAVEGACION]])</f>
        <v>0</v>
      </c>
      <c r="J27" s="242"/>
      <c r="K27" s="325"/>
      <c r="L27" s="245">
        <v>0</v>
      </c>
      <c r="M27" s="246">
        <v>0.31</v>
      </c>
      <c r="N27" s="246">
        <v>0.25</v>
      </c>
      <c r="O27" s="257">
        <f>SUM(V058_20[[#This Row],[MPAL]:[CALDERA]])</f>
        <v>0.56000000000000005</v>
      </c>
      <c r="P27" s="319"/>
      <c r="Q27" s="281">
        <f>(Q26-V058_20[[#This Row],[TOTAL ]])+V058_20[[#This Row],[FAENA]]</f>
        <v>162.47999999999996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SUM(V058_20[[#This Row],[MPAL2]:[GI]])</f>
        <v>0</v>
      </c>
      <c r="X27" s="246"/>
      <c r="Y27" s="282">
        <f>(Y26-V058_20[[#This Row],[TOTAL]])+V058_20[[#This Row],[FAENA2]]</f>
        <v>68.899999999999991</v>
      </c>
      <c r="Z27" s="245"/>
      <c r="AA27" s="246"/>
      <c r="AB27" s="320">
        <f>(AB26-V058_20[[#This Row],[CYLINDER MP]])+V058_20[[#This Row],[FAENA EN LTS]]</f>
        <v>5720</v>
      </c>
      <c r="AC27" s="246"/>
      <c r="AD27" s="246"/>
      <c r="AE27" s="320">
        <f>(AE26-V058_20[[#This Row],[CARTER MP.]])+V058_20[[#This Row],[FAENA EN LTS2]]</f>
        <v>4300</v>
      </c>
      <c r="AF27" s="246"/>
      <c r="AG27" s="246"/>
      <c r="AH27" s="320">
        <f>(AH26-V058_20[[#This Row],[MOT AUX]])+V058_20[[#This Row],[FAENA EN  LTS]]</f>
        <v>3900</v>
      </c>
      <c r="AI27" s="246"/>
      <c r="AJ27" s="246"/>
      <c r="AK27" s="321">
        <f>(AK26-V058_20[[#This Row],[HIDRAULICO]])+V058_20[[#This Row],[FAENA EN LTS3]]</f>
        <v>3500</v>
      </c>
    </row>
    <row r="28" spans="1:37" x14ac:dyDescent="0.25">
      <c r="A28" s="235" t="s">
        <v>203</v>
      </c>
      <c r="B28" s="382">
        <v>43945</v>
      </c>
      <c r="C28" s="41">
        <v>0.85416666666666663</v>
      </c>
      <c r="D28" s="37">
        <f>IF(V058_20[[#This Row],[FECHA]]-B27=1,((V058_20[[#This Row],[HORA]]-C27)*24)+24,(V058_20[[#This Row],[HORA]]-C27)*24)</f>
        <v>0.69999999999999751</v>
      </c>
      <c r="E28" s="239" t="s">
        <v>47</v>
      </c>
      <c r="F28" s="29" t="s">
        <v>217</v>
      </c>
      <c r="G28" s="324"/>
      <c r="H28" s="306"/>
      <c r="I28" s="259">
        <f>IF(ISERROR(V058_20[[#This Row],[DISTANCIA POR CARTA]]/V058_20[[#This Row],[TIEMPO DE NAVEGACION]]),0,V058_20[[#This Row],[DISTANCIA POR CARTA]]/V058_20[[#This Row],[TIEMPO DE NAVEGACION]])</f>
        <v>0</v>
      </c>
      <c r="J28" s="242"/>
      <c r="K28" s="325"/>
      <c r="L28" s="245">
        <v>0.15</v>
      </c>
      <c r="M28" s="246">
        <v>7.0000000000000007E-2</v>
      </c>
      <c r="N28" s="246">
        <v>0.06</v>
      </c>
      <c r="O28" s="257">
        <f>SUM(V058_20[[#This Row],[MPAL]:[CALDERA]])</f>
        <v>0.28000000000000003</v>
      </c>
      <c r="P28" s="319"/>
      <c r="Q28" s="281">
        <f>(Q27-V058_20[[#This Row],[TOTAL ]])+V058_20[[#This Row],[FAENA]]</f>
        <v>162.19999999999996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SUM(V058_20[[#This Row],[MPAL2]:[GI]])</f>
        <v>0</v>
      </c>
      <c r="X28" s="246"/>
      <c r="Y28" s="282">
        <f>(Y27-V058_20[[#This Row],[TOTAL]])+V058_20[[#This Row],[FAENA2]]</f>
        <v>68.899999999999991</v>
      </c>
      <c r="Z28" s="245"/>
      <c r="AA28" s="246"/>
      <c r="AB28" s="320">
        <f>(AB27-V058_20[[#This Row],[CYLINDER MP]])+V058_20[[#This Row],[FAENA EN LTS]]</f>
        <v>5720</v>
      </c>
      <c r="AC28" s="246"/>
      <c r="AD28" s="246"/>
      <c r="AE28" s="320">
        <f>(AE27-V058_20[[#This Row],[CARTER MP.]])+V058_20[[#This Row],[FAENA EN LTS2]]</f>
        <v>4300</v>
      </c>
      <c r="AF28" s="246"/>
      <c r="AG28" s="246"/>
      <c r="AH28" s="320">
        <f>(AH27-V058_20[[#This Row],[MOT AUX]])+V058_20[[#This Row],[FAENA EN  LTS]]</f>
        <v>3900</v>
      </c>
      <c r="AI28" s="246"/>
      <c r="AJ28" s="246"/>
      <c r="AK28" s="321">
        <f>(AK27-V058_20[[#This Row],[HIDRAULICO]])+V058_20[[#This Row],[FAENA EN LTS3]]</f>
        <v>3500</v>
      </c>
    </row>
    <row r="29" spans="1:37" x14ac:dyDescent="0.25">
      <c r="A29" s="235" t="s">
        <v>203</v>
      </c>
      <c r="B29" s="48">
        <v>43946</v>
      </c>
      <c r="C29" s="41">
        <v>4.9999999999999996E-2</v>
      </c>
      <c r="D29" s="37">
        <f>IF(V058_20[[#This Row],[FECHA]]-B28=1,((V058_20[[#This Row],[HORA]]-C28)*24)+24,(V058_20[[#This Row],[HORA]]-C28)*24)</f>
        <v>4.7000000000000028</v>
      </c>
      <c r="E29" s="239" t="s">
        <v>55</v>
      </c>
      <c r="F29" s="29" t="s">
        <v>211</v>
      </c>
      <c r="G29" s="324">
        <v>57</v>
      </c>
      <c r="H29" s="306">
        <v>4.7</v>
      </c>
      <c r="I29" s="259">
        <f>IF(ISERROR(V058_20[[#This Row],[DISTANCIA POR CARTA]]/V058_20[[#This Row],[TIEMPO DE NAVEGACION]]),0,V058_20[[#This Row],[DISTANCIA POR CARTA]]/V058_20[[#This Row],[TIEMPO DE NAVEGACION]])</f>
        <v>12.127659574468085</v>
      </c>
      <c r="J29" s="380" t="s">
        <v>218</v>
      </c>
      <c r="K29" s="325">
        <v>96</v>
      </c>
      <c r="L29" s="245">
        <v>4.7</v>
      </c>
      <c r="M29" s="246">
        <v>0.49</v>
      </c>
      <c r="N29" s="246">
        <v>0</v>
      </c>
      <c r="O29" s="257">
        <f>SUM(V058_20[[#This Row],[MPAL]:[CALDERA]])</f>
        <v>5.19</v>
      </c>
      <c r="P29" s="319"/>
      <c r="Q29" s="281">
        <f>(Q28-V058_20[[#This Row],[TOTAL ]])+V058_20[[#This Row],[FAENA]]</f>
        <v>157.00999999999996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SUM(V058_20[[#This Row],[MPAL2]:[GI]])</f>
        <v>0</v>
      </c>
      <c r="X29" s="246"/>
      <c r="Y29" s="282">
        <f>(Y28-V058_20[[#This Row],[TOTAL]])+V058_20[[#This Row],[FAENA2]]</f>
        <v>68.899999999999991</v>
      </c>
      <c r="Z29" s="245"/>
      <c r="AA29" s="246"/>
      <c r="AB29" s="320">
        <f>(AB28-V058_20[[#This Row],[CYLINDER MP]])+V058_20[[#This Row],[FAENA EN LTS]]</f>
        <v>5720</v>
      </c>
      <c r="AC29" s="246"/>
      <c r="AD29" s="246"/>
      <c r="AE29" s="320">
        <f>(AE28-V058_20[[#This Row],[CARTER MP.]])+V058_20[[#This Row],[FAENA EN LTS2]]</f>
        <v>4300</v>
      </c>
      <c r="AF29" s="246"/>
      <c r="AG29" s="246"/>
      <c r="AH29" s="320">
        <f>(AH28-V058_20[[#This Row],[MOT AUX]])+V058_20[[#This Row],[FAENA EN  LTS]]</f>
        <v>3900</v>
      </c>
      <c r="AI29" s="246"/>
      <c r="AJ29" s="246"/>
      <c r="AK29" s="321">
        <f>(AK28-V058_20[[#This Row],[HIDRAULICO]])+V058_20[[#This Row],[FAENA EN LTS3]]</f>
        <v>3500</v>
      </c>
    </row>
    <row r="30" spans="1:37" x14ac:dyDescent="0.25">
      <c r="A30" s="235" t="s">
        <v>203</v>
      </c>
      <c r="B30" s="382">
        <v>43946</v>
      </c>
      <c r="C30" s="41">
        <v>7.0833333333333331E-2</v>
      </c>
      <c r="D30" s="37">
        <f>IF(V058_20[[#This Row],[FECHA]]-B29=1,((V058_20[[#This Row],[HORA]]-C29)*24)+24,(V058_20[[#This Row],[HORA]]-C29)*24)</f>
        <v>0.5</v>
      </c>
      <c r="E30" s="239" t="s">
        <v>47</v>
      </c>
      <c r="F30" s="29" t="s">
        <v>48</v>
      </c>
      <c r="G30" s="324"/>
      <c r="H30" s="306"/>
      <c r="I30" s="259">
        <f>IF(ISERROR(V058_20[[#This Row],[DISTANCIA POR CARTA]]/V058_20[[#This Row],[TIEMPO DE NAVEGACION]]),0,V058_20[[#This Row],[DISTANCIA POR CARTA]]/V058_20[[#This Row],[TIEMPO DE NAVEGACION]])</f>
        <v>0</v>
      </c>
      <c r="J30" s="242"/>
      <c r="K30" s="325"/>
      <c r="L30" s="245">
        <v>0.1</v>
      </c>
      <c r="M30" s="246">
        <v>0.05</v>
      </c>
      <c r="N30" s="246">
        <v>0.04</v>
      </c>
      <c r="O30" s="257">
        <f>SUM(V058_20[[#This Row],[MPAL]:[CALDERA]])</f>
        <v>0.19000000000000003</v>
      </c>
      <c r="P30" s="319"/>
      <c r="Q30" s="281">
        <f>(Q29-V058_20[[#This Row],[TOTAL ]])+V058_20[[#This Row],[FAENA]]</f>
        <v>156.81999999999996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SUM(V058_20[[#This Row],[MPAL2]:[GI]])</f>
        <v>0</v>
      </c>
      <c r="X30" s="246"/>
      <c r="Y30" s="282">
        <f>(Y29-V058_20[[#This Row],[TOTAL]])+V058_20[[#This Row],[FAENA2]]</f>
        <v>68.899999999999991</v>
      </c>
      <c r="Z30" s="245"/>
      <c r="AA30" s="246"/>
      <c r="AB30" s="320">
        <f>(AB29-V058_20[[#This Row],[CYLINDER MP]])+V058_20[[#This Row],[FAENA EN LTS]]</f>
        <v>5720</v>
      </c>
      <c r="AC30" s="246"/>
      <c r="AD30" s="246"/>
      <c r="AE30" s="320">
        <f>(AE29-V058_20[[#This Row],[CARTER MP.]])+V058_20[[#This Row],[FAENA EN LTS2]]</f>
        <v>4300</v>
      </c>
      <c r="AF30" s="246"/>
      <c r="AG30" s="246"/>
      <c r="AH30" s="320">
        <f>(AH29-V058_20[[#This Row],[MOT AUX]])+V058_20[[#This Row],[FAENA EN  LTS]]</f>
        <v>3900</v>
      </c>
      <c r="AI30" s="246"/>
      <c r="AJ30" s="246"/>
      <c r="AK30" s="321">
        <f>(AK29-V058_20[[#This Row],[HIDRAULICO]])+V058_20[[#This Row],[FAENA EN LTS3]]</f>
        <v>3500</v>
      </c>
    </row>
    <row r="31" spans="1:37" x14ac:dyDescent="0.25">
      <c r="A31" s="235" t="s">
        <v>203</v>
      </c>
      <c r="B31" s="382">
        <v>43946</v>
      </c>
      <c r="C31" s="351">
        <v>0.33333333333333331</v>
      </c>
      <c r="D31" s="37">
        <f>IF(V058_20[[#This Row],[FECHA]]-B30=1,((V058_20[[#This Row],[HORA]]-C30)*24)+24,(V058_20[[#This Row],[HORA]]-C30)*24)</f>
        <v>6.2999999999999989</v>
      </c>
      <c r="E31" s="239" t="s">
        <v>45</v>
      </c>
      <c r="F31" s="29" t="s">
        <v>45</v>
      </c>
      <c r="G31" s="324"/>
      <c r="H31" s="306"/>
      <c r="I31" s="259">
        <f>IF(ISERROR(V058_20[[#This Row],[DISTANCIA POR CARTA]]/V058_20[[#This Row],[TIEMPO DE NAVEGACION]]),0,V058_20[[#This Row],[DISTANCIA POR CARTA]]/V058_20[[#This Row],[TIEMPO DE NAVEGACION]])</f>
        <v>0</v>
      </c>
      <c r="J31" s="242"/>
      <c r="K31" s="325"/>
      <c r="L31" s="245">
        <v>0</v>
      </c>
      <c r="M31" s="246">
        <v>0.66</v>
      </c>
      <c r="N31" s="246">
        <v>0.53</v>
      </c>
      <c r="O31" s="257">
        <f>SUM(V058_20[[#This Row],[MPAL]:[CALDERA]])</f>
        <v>1.19</v>
      </c>
      <c r="P31" s="319"/>
      <c r="Q31" s="281">
        <f>(Q30-V058_20[[#This Row],[TOTAL ]])+V058_20[[#This Row],[FAENA]]</f>
        <v>155.62999999999997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SUM(V058_20[[#This Row],[MPAL2]:[GI]])</f>
        <v>0</v>
      </c>
      <c r="X31" s="246"/>
      <c r="Y31" s="282">
        <f>(Y30-V058_20[[#This Row],[TOTAL]])+V058_20[[#This Row],[FAENA2]]</f>
        <v>68.899999999999991</v>
      </c>
      <c r="Z31" s="245"/>
      <c r="AA31" s="246"/>
      <c r="AB31" s="320">
        <f>(AB30-V058_20[[#This Row],[CYLINDER MP]])+V058_20[[#This Row],[FAENA EN LTS]]</f>
        <v>5720</v>
      </c>
      <c r="AC31" s="246"/>
      <c r="AD31" s="246"/>
      <c r="AE31" s="320">
        <f>(AE30-V058_20[[#This Row],[CARTER MP.]])+V058_20[[#This Row],[FAENA EN LTS2]]</f>
        <v>4300</v>
      </c>
      <c r="AF31" s="246"/>
      <c r="AG31" s="246"/>
      <c r="AH31" s="320">
        <f>(AH30-V058_20[[#This Row],[MOT AUX]])+V058_20[[#This Row],[FAENA EN  LTS]]</f>
        <v>3900</v>
      </c>
      <c r="AI31" s="246"/>
      <c r="AJ31" s="246"/>
      <c r="AK31" s="321">
        <f>(AK30-V058_20[[#This Row],[HIDRAULICO]])+V058_20[[#This Row],[FAENA EN LTS3]]</f>
        <v>3500</v>
      </c>
    </row>
    <row r="32" spans="1:37" x14ac:dyDescent="0.25">
      <c r="A32" s="235" t="s">
        <v>203</v>
      </c>
      <c r="B32" s="48">
        <v>43947</v>
      </c>
      <c r="C32" s="362">
        <v>0.33333333333333331</v>
      </c>
      <c r="D32" s="37">
        <f>IF(V058_20[[#This Row],[FECHA]]-B31=1,((V058_20[[#This Row],[HORA]]-C31)*24)+24,(V058_20[[#This Row],[HORA]]-C31)*24)</f>
        <v>24</v>
      </c>
      <c r="E32" s="239" t="s">
        <v>45</v>
      </c>
      <c r="F32" s="29" t="s">
        <v>45</v>
      </c>
      <c r="G32" s="324"/>
      <c r="H32" s="306"/>
      <c r="I32" s="259">
        <f>IF(ISERROR(V058_20[[#This Row],[DISTANCIA POR CARTA]]/V058_20[[#This Row],[TIEMPO DE NAVEGACION]]),0,V058_20[[#This Row],[DISTANCIA POR CARTA]]/V058_20[[#This Row],[TIEMPO DE NAVEGACION]])</f>
        <v>0</v>
      </c>
      <c r="J32" s="242"/>
      <c r="K32" s="325"/>
      <c r="L32" s="245">
        <v>0</v>
      </c>
      <c r="M32" s="246">
        <v>2.5</v>
      </c>
      <c r="N32" s="246">
        <v>2</v>
      </c>
      <c r="O32" s="257">
        <f>SUM(V058_20[[#This Row],[MPAL]:[CALDERA]])</f>
        <v>4.5</v>
      </c>
      <c r="P32" s="319"/>
      <c r="Q32" s="281">
        <f>(Q31-V058_20[[#This Row],[TOTAL ]])+V058_20[[#This Row],[FAENA]]</f>
        <v>151.12999999999997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SUM(V058_20[[#This Row],[MPAL2]:[GI]])</f>
        <v>0</v>
      </c>
      <c r="X32" s="246"/>
      <c r="Y32" s="282">
        <f>(Y31-V058_20[[#This Row],[TOTAL]])+V058_20[[#This Row],[FAENA2]]</f>
        <v>68.899999999999991</v>
      </c>
      <c r="Z32" s="245"/>
      <c r="AA32" s="246"/>
      <c r="AB32" s="320">
        <f>(AB31-V058_20[[#This Row],[CYLINDER MP]])+V058_20[[#This Row],[FAENA EN LTS]]</f>
        <v>5720</v>
      </c>
      <c r="AC32" s="246"/>
      <c r="AD32" s="246"/>
      <c r="AE32" s="320">
        <f>(AE31-V058_20[[#This Row],[CARTER MP.]])+V058_20[[#This Row],[FAENA EN LTS2]]</f>
        <v>4300</v>
      </c>
      <c r="AF32" s="246"/>
      <c r="AG32" s="246"/>
      <c r="AH32" s="320">
        <f>(AH31-V058_20[[#This Row],[MOT AUX]])+V058_20[[#This Row],[FAENA EN  LTS]]</f>
        <v>3900</v>
      </c>
      <c r="AI32" s="246"/>
      <c r="AJ32" s="246"/>
      <c r="AK32" s="321">
        <f>(AK31-V058_20[[#This Row],[HIDRAULICO]])+V058_20[[#This Row],[FAENA EN LTS3]]</f>
        <v>3500</v>
      </c>
    </row>
    <row r="33" spans="1:37" x14ac:dyDescent="0.25">
      <c r="A33" s="235" t="s">
        <v>203</v>
      </c>
      <c r="B33" s="48">
        <v>43948</v>
      </c>
      <c r="C33" s="351">
        <v>0.33333333333333331</v>
      </c>
      <c r="D33" s="37">
        <f>IF(V058_20[[#This Row],[FECHA]]-B32=1,((V058_20[[#This Row],[HORA]]-C32)*24)+24,(V058_20[[#This Row],[HORA]]-C32)*24)</f>
        <v>24</v>
      </c>
      <c r="E33" s="239" t="s">
        <v>45</v>
      </c>
      <c r="F33" s="29" t="s">
        <v>45</v>
      </c>
      <c r="G33" s="324"/>
      <c r="H33" s="306"/>
      <c r="I33" s="259">
        <f>IF(ISERROR(V058_20[[#This Row],[DISTANCIA POR CARTA]]/V058_20[[#This Row],[TIEMPO DE NAVEGACION]]),0,V058_20[[#This Row],[DISTANCIA POR CARTA]]/V058_20[[#This Row],[TIEMPO DE NAVEGACION]])</f>
        <v>0</v>
      </c>
      <c r="J33" s="242"/>
      <c r="K33" s="325"/>
      <c r="L33" s="245">
        <v>0</v>
      </c>
      <c r="M33" s="246">
        <v>2.5</v>
      </c>
      <c r="N33" s="246">
        <v>0</v>
      </c>
      <c r="O33" s="257">
        <f>SUM(V058_20[[#This Row],[MPAL]:[CALDERA]])</f>
        <v>2.5</v>
      </c>
      <c r="P33" s="319"/>
      <c r="Q33" s="281">
        <f>(Q32-V058_20[[#This Row],[TOTAL ]])+V058_20[[#This Row],[FAENA]]</f>
        <v>148.62999999999997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SUM(V058_20[[#This Row],[MPAL2]:[GI]])</f>
        <v>0</v>
      </c>
      <c r="X33" s="246"/>
      <c r="Y33" s="282">
        <f>(Y32-V058_20[[#This Row],[TOTAL]])+V058_20[[#This Row],[FAENA2]]</f>
        <v>68.899999999999991</v>
      </c>
      <c r="Z33" s="245"/>
      <c r="AA33" s="246"/>
      <c r="AB33" s="320">
        <f>(AB32-V058_20[[#This Row],[CYLINDER MP]])+V058_20[[#This Row],[FAENA EN LTS]]</f>
        <v>5720</v>
      </c>
      <c r="AC33" s="246"/>
      <c r="AD33" s="246"/>
      <c r="AE33" s="320">
        <f>(AE32-V058_20[[#This Row],[CARTER MP.]])+V058_20[[#This Row],[FAENA EN LTS2]]</f>
        <v>4300</v>
      </c>
      <c r="AF33" s="246"/>
      <c r="AG33" s="246"/>
      <c r="AH33" s="320">
        <f>(AH32-V058_20[[#This Row],[MOT AUX]])+V058_20[[#This Row],[FAENA EN  LTS]]</f>
        <v>3900</v>
      </c>
      <c r="AI33" s="246"/>
      <c r="AJ33" s="246"/>
      <c r="AK33" s="321">
        <f>(AK32-V058_20[[#This Row],[HIDRAULICO]])+V058_20[[#This Row],[FAENA EN LTS3]]</f>
        <v>3500</v>
      </c>
    </row>
    <row r="34" spans="1:37" x14ac:dyDescent="0.25">
      <c r="A34" s="235" t="s">
        <v>203</v>
      </c>
      <c r="B34" s="48">
        <v>43949</v>
      </c>
      <c r="C34" s="362">
        <v>0.33333333333333331</v>
      </c>
      <c r="D34" s="37">
        <f>IF(V058_20[[#This Row],[FECHA]]-B33=1,((V058_20[[#This Row],[HORA]]-C33)*24)+24,(V058_20[[#This Row],[HORA]]-C33)*24)</f>
        <v>24</v>
      </c>
      <c r="E34" s="239" t="s">
        <v>45</v>
      </c>
      <c r="F34" s="29" t="s">
        <v>45</v>
      </c>
      <c r="G34" s="324"/>
      <c r="H34" s="306"/>
      <c r="I34" s="259">
        <f>IF(ISERROR(V058_20[[#This Row],[DISTANCIA POR CARTA]]/V058_20[[#This Row],[TIEMPO DE NAVEGACION]]),0,V058_20[[#This Row],[DISTANCIA POR CARTA]]/V058_20[[#This Row],[TIEMPO DE NAVEGACION]])</f>
        <v>0</v>
      </c>
      <c r="J34" s="242"/>
      <c r="K34" s="325"/>
      <c r="L34" s="245">
        <v>0</v>
      </c>
      <c r="M34" s="246">
        <v>2.5</v>
      </c>
      <c r="N34" s="246">
        <v>2</v>
      </c>
      <c r="O34" s="257">
        <f>SUM(V058_20[[#This Row],[MPAL]:[CALDERA]])</f>
        <v>4.5</v>
      </c>
      <c r="P34" s="319"/>
      <c r="Q34" s="281">
        <f>(Q33-V058_20[[#This Row],[TOTAL ]])+V058_20[[#This Row],[FAENA]]</f>
        <v>144.12999999999997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SUM(V058_20[[#This Row],[MPAL2]:[GI]])</f>
        <v>0</v>
      </c>
      <c r="X34" s="246"/>
      <c r="Y34" s="282">
        <f>(Y33-V058_20[[#This Row],[TOTAL]])+V058_20[[#This Row],[FAENA2]]</f>
        <v>68.899999999999991</v>
      </c>
      <c r="Z34" s="245"/>
      <c r="AA34" s="246"/>
      <c r="AB34" s="320">
        <f>(AB33-V058_20[[#This Row],[CYLINDER MP]])+V058_20[[#This Row],[FAENA EN LTS]]</f>
        <v>5720</v>
      </c>
      <c r="AC34" s="246"/>
      <c r="AD34" s="246"/>
      <c r="AE34" s="320">
        <f>(AE33-V058_20[[#This Row],[CARTER MP.]])+V058_20[[#This Row],[FAENA EN LTS2]]</f>
        <v>4300</v>
      </c>
      <c r="AF34" s="246"/>
      <c r="AG34" s="246"/>
      <c r="AH34" s="320">
        <f>(AH33-V058_20[[#This Row],[MOT AUX]])+V058_20[[#This Row],[FAENA EN  LTS]]</f>
        <v>3900</v>
      </c>
      <c r="AI34" s="246"/>
      <c r="AJ34" s="246"/>
      <c r="AK34" s="321">
        <f>(AK33-V058_20[[#This Row],[HIDRAULICO]])+V058_20[[#This Row],[FAENA EN LTS3]]</f>
        <v>3500</v>
      </c>
    </row>
    <row r="35" spans="1:37" x14ac:dyDescent="0.25">
      <c r="A35" s="235" t="s">
        <v>203</v>
      </c>
      <c r="B35" s="48">
        <v>43950</v>
      </c>
      <c r="C35" s="351">
        <v>0.33333333333333331</v>
      </c>
      <c r="D35" s="37">
        <f>IF(V058_20[[#This Row],[FECHA]]-B34=1,((V058_20[[#This Row],[HORA]]-C34)*24)+24,(V058_20[[#This Row],[HORA]]-C34)*24)</f>
        <v>24</v>
      </c>
      <c r="E35" s="239" t="s">
        <v>45</v>
      </c>
      <c r="F35" s="29" t="s">
        <v>45</v>
      </c>
      <c r="G35" s="324"/>
      <c r="H35" s="306"/>
      <c r="I35" s="259">
        <f>IF(ISERROR(V058_20[[#This Row],[DISTANCIA POR CARTA]]/V058_20[[#This Row],[TIEMPO DE NAVEGACION]]),0,V058_20[[#This Row],[DISTANCIA POR CARTA]]/V058_20[[#This Row],[TIEMPO DE NAVEGACION]])</f>
        <v>0</v>
      </c>
      <c r="J35" s="242"/>
      <c r="K35" s="325"/>
      <c r="L35" s="245">
        <v>0</v>
      </c>
      <c r="M35" s="246">
        <v>2.5</v>
      </c>
      <c r="N35" s="246">
        <v>2</v>
      </c>
      <c r="O35" s="257">
        <f>SUM(V058_20[[#This Row],[MPAL]:[CALDERA]])</f>
        <v>4.5</v>
      </c>
      <c r="P35" s="319"/>
      <c r="Q35" s="281">
        <f>(Q34-V058_20[[#This Row],[TOTAL ]])+V058_20[[#This Row],[FAENA]]</f>
        <v>139.62999999999997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SUM(V058_20[[#This Row],[MPAL2]:[GI]])</f>
        <v>0</v>
      </c>
      <c r="X35" s="246"/>
      <c r="Y35" s="282">
        <f>(Y34-V058_20[[#This Row],[TOTAL]])+V058_20[[#This Row],[FAENA2]]</f>
        <v>68.899999999999991</v>
      </c>
      <c r="Z35" s="245"/>
      <c r="AA35" s="246"/>
      <c r="AB35" s="320">
        <f>(AB34-V058_20[[#This Row],[CYLINDER MP]])+V058_20[[#This Row],[FAENA EN LTS]]</f>
        <v>5720</v>
      </c>
      <c r="AC35" s="246"/>
      <c r="AD35" s="246"/>
      <c r="AE35" s="320">
        <f>(AE34-V058_20[[#This Row],[CARTER MP.]])+V058_20[[#This Row],[FAENA EN LTS2]]</f>
        <v>4300</v>
      </c>
      <c r="AF35" s="246"/>
      <c r="AG35" s="246"/>
      <c r="AH35" s="320">
        <f>(AH34-V058_20[[#This Row],[MOT AUX]])+V058_20[[#This Row],[FAENA EN  LTS]]</f>
        <v>3900</v>
      </c>
      <c r="AI35" s="246"/>
      <c r="AJ35" s="246"/>
      <c r="AK35" s="321">
        <f>(AK34-V058_20[[#This Row],[HIDRAULICO]])+V058_20[[#This Row],[FAENA EN LTS3]]</f>
        <v>3500</v>
      </c>
    </row>
    <row r="36" spans="1:37" x14ac:dyDescent="0.25">
      <c r="A36" s="235" t="s">
        <v>203</v>
      </c>
      <c r="B36" s="48">
        <v>43950</v>
      </c>
      <c r="C36" s="41">
        <v>0.52916666666666667</v>
      </c>
      <c r="D36" s="37">
        <f>IF(V058_20[[#This Row],[FECHA]]-B35=1,((V058_20[[#This Row],[HORA]]-C35)*24)+24,(V058_20[[#This Row],[HORA]]-C35)*24)</f>
        <v>4.7000000000000011</v>
      </c>
      <c r="E36" s="239" t="s">
        <v>45</v>
      </c>
      <c r="F36" s="29" t="s">
        <v>46</v>
      </c>
      <c r="G36" s="324"/>
      <c r="H36" s="306"/>
      <c r="I36" s="259">
        <f>IF(ISERROR(V058_20[[#This Row],[DISTANCIA POR CARTA]]/V058_20[[#This Row],[TIEMPO DE NAVEGACION]]),0,V058_20[[#This Row],[DISTANCIA POR CARTA]]/V058_20[[#This Row],[TIEMPO DE NAVEGACION]])</f>
        <v>0</v>
      </c>
      <c r="J36" s="242"/>
      <c r="K36" s="325"/>
      <c r="L36" s="245">
        <v>0</v>
      </c>
      <c r="M36" s="246">
        <v>0.49</v>
      </c>
      <c r="N36" s="246">
        <v>0.39</v>
      </c>
      <c r="O36" s="257">
        <f>SUM(V058_20[[#This Row],[MPAL]:[CALDERA]])</f>
        <v>0.88</v>
      </c>
      <c r="P36" s="319"/>
      <c r="Q36" s="281">
        <f>(Q35-V058_20[[#This Row],[TOTAL ]])+V058_20[[#This Row],[FAENA]]</f>
        <v>138.74999999999997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SUM(V058_20[[#This Row],[MPAL2]:[GI]])</f>
        <v>0</v>
      </c>
      <c r="X36" s="246"/>
      <c r="Y36" s="282">
        <f>(Y35-V058_20[[#This Row],[TOTAL]])+V058_20[[#This Row],[FAENA2]]</f>
        <v>68.899999999999991</v>
      </c>
      <c r="Z36" s="245"/>
      <c r="AA36" s="246"/>
      <c r="AB36" s="320">
        <f>(AB35-V058_20[[#This Row],[CYLINDER MP]])+V058_20[[#This Row],[FAENA EN LTS]]</f>
        <v>5720</v>
      </c>
      <c r="AC36" s="246"/>
      <c r="AD36" s="246"/>
      <c r="AE36" s="320">
        <f>(AE35-V058_20[[#This Row],[CARTER MP.]])+V058_20[[#This Row],[FAENA EN LTS2]]</f>
        <v>4300</v>
      </c>
      <c r="AF36" s="246"/>
      <c r="AG36" s="246"/>
      <c r="AH36" s="320">
        <f>(AH35-V058_20[[#This Row],[MOT AUX]])+V058_20[[#This Row],[FAENA EN  LTS]]</f>
        <v>3900</v>
      </c>
      <c r="AI36" s="246"/>
      <c r="AJ36" s="246"/>
      <c r="AK36" s="321">
        <f>(AK35-V058_20[[#This Row],[HIDRAULICO]])+V058_20[[#This Row],[FAENA EN LTS3]]</f>
        <v>3500</v>
      </c>
    </row>
    <row r="37" spans="1:37" x14ac:dyDescent="0.25">
      <c r="A37" s="235" t="s">
        <v>203</v>
      </c>
      <c r="B37" s="382">
        <v>43950</v>
      </c>
      <c r="C37" s="41">
        <v>0.62916666666666665</v>
      </c>
      <c r="D37" s="37">
        <f>IF(V058_20[[#This Row],[FECHA]]-B36=1,((V058_20[[#This Row],[HORA]]-C36)*24)+24,(V058_20[[#This Row],[HORA]]-C36)*24)</f>
        <v>2.3999999999999995</v>
      </c>
      <c r="E37" s="239" t="s">
        <v>47</v>
      </c>
      <c r="F37" s="29" t="s">
        <v>48</v>
      </c>
      <c r="G37" s="324"/>
      <c r="H37" s="306"/>
      <c r="I37" s="259">
        <f>IF(ISERROR(V058_20[[#This Row],[DISTANCIA POR CARTA]]/V058_20[[#This Row],[TIEMPO DE NAVEGACION]]),0,V058_20[[#This Row],[DISTANCIA POR CARTA]]/V058_20[[#This Row],[TIEMPO DE NAVEGACION]])</f>
        <v>0</v>
      </c>
      <c r="J37" s="242"/>
      <c r="K37" s="325"/>
      <c r="L37" s="245">
        <v>0.6</v>
      </c>
      <c r="M37" s="246">
        <v>0.25</v>
      </c>
      <c r="N37" s="246">
        <v>0.2</v>
      </c>
      <c r="O37" s="257">
        <f>SUM(V058_20[[#This Row],[MPAL]:[CALDERA]])</f>
        <v>1.05</v>
      </c>
      <c r="P37" s="319"/>
      <c r="Q37" s="281">
        <f>(Q36-V058_20[[#This Row],[TOTAL ]])+V058_20[[#This Row],[FAENA]]</f>
        <v>137.69999999999996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SUM(V058_20[[#This Row],[MPAL2]:[GI]])</f>
        <v>0</v>
      </c>
      <c r="X37" s="246"/>
      <c r="Y37" s="282">
        <f>(Y36-V058_20[[#This Row],[TOTAL]])+V058_20[[#This Row],[FAENA2]]</f>
        <v>68.899999999999991</v>
      </c>
      <c r="Z37" s="245"/>
      <c r="AA37" s="246"/>
      <c r="AB37" s="320">
        <f>(AB36-V058_20[[#This Row],[CYLINDER MP]])+V058_20[[#This Row],[FAENA EN LTS]]</f>
        <v>5720</v>
      </c>
      <c r="AC37" s="246"/>
      <c r="AD37" s="246"/>
      <c r="AE37" s="320">
        <f>(AE36-V058_20[[#This Row],[CARTER MP.]])+V058_20[[#This Row],[FAENA EN LTS2]]</f>
        <v>4300</v>
      </c>
      <c r="AF37" s="246"/>
      <c r="AG37" s="246"/>
      <c r="AH37" s="320">
        <f>(AH36-V058_20[[#This Row],[MOT AUX]])+V058_20[[#This Row],[FAENA EN  LTS]]</f>
        <v>3900</v>
      </c>
      <c r="AI37" s="246"/>
      <c r="AJ37" s="246"/>
      <c r="AK37" s="321">
        <f>(AK36-V058_20[[#This Row],[HIDRAULICO]])+V058_20[[#This Row],[FAENA EN LTS3]]</f>
        <v>3500</v>
      </c>
    </row>
    <row r="38" spans="1:37" x14ac:dyDescent="0.25">
      <c r="A38" s="235" t="s">
        <v>203</v>
      </c>
      <c r="B38" s="382">
        <v>43950</v>
      </c>
      <c r="C38" s="41">
        <v>0.72916666666666663</v>
      </c>
      <c r="D38" s="37">
        <f>IF(V058_20[[#This Row],[FECHA]]-B37=1,((V058_20[[#This Row],[HORA]]-C37)*24)+24,(V058_20[[#This Row],[HORA]]-C37)*24)</f>
        <v>2.3999999999999995</v>
      </c>
      <c r="E38" s="239" t="s">
        <v>49</v>
      </c>
      <c r="F38" s="29" t="s">
        <v>50</v>
      </c>
      <c r="G38" s="324"/>
      <c r="H38" s="306"/>
      <c r="I38" s="259">
        <f>IF(ISERROR(V058_20[[#This Row],[DISTANCIA POR CARTA]]/V058_20[[#This Row],[TIEMPO DE NAVEGACION]]),0,V058_20[[#This Row],[DISTANCIA POR CARTA]]/V058_20[[#This Row],[TIEMPO DE NAVEGACION]])</f>
        <v>0</v>
      </c>
      <c r="J38" s="242"/>
      <c r="K38" s="325"/>
      <c r="L38" s="245">
        <v>0</v>
      </c>
      <c r="M38" s="246">
        <v>0.25</v>
      </c>
      <c r="N38" s="246">
        <v>0.2</v>
      </c>
      <c r="O38" s="257">
        <f>SUM(V058_20[[#This Row],[MPAL]:[CALDERA]])</f>
        <v>0.45</v>
      </c>
      <c r="P38" s="319"/>
      <c r="Q38" s="281">
        <f>(Q37-V058_20[[#This Row],[TOTAL ]])+V058_20[[#This Row],[FAENA]]</f>
        <v>137.24999999999997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SUM(V058_20[[#This Row],[MPAL2]:[GI]])</f>
        <v>0</v>
      </c>
      <c r="X38" s="246"/>
      <c r="Y38" s="282">
        <f>(Y37-V058_20[[#This Row],[TOTAL]])+V058_20[[#This Row],[FAENA2]]</f>
        <v>68.899999999999991</v>
      </c>
      <c r="Z38" s="245"/>
      <c r="AA38" s="246"/>
      <c r="AB38" s="320">
        <f>(AB37-V058_20[[#This Row],[CYLINDER MP]])+V058_20[[#This Row],[FAENA EN LTS]]</f>
        <v>5720</v>
      </c>
      <c r="AC38" s="246"/>
      <c r="AD38" s="246"/>
      <c r="AE38" s="320">
        <f>(AE37-V058_20[[#This Row],[CARTER MP.]])+V058_20[[#This Row],[FAENA EN LTS2]]</f>
        <v>4300</v>
      </c>
      <c r="AF38" s="246"/>
      <c r="AG38" s="246"/>
      <c r="AH38" s="320">
        <f>(AH37-V058_20[[#This Row],[MOT AUX]])+V058_20[[#This Row],[FAENA EN  LTS]]</f>
        <v>3900</v>
      </c>
      <c r="AI38" s="246"/>
      <c r="AJ38" s="246"/>
      <c r="AK38" s="321">
        <f>(AK37-V058_20[[#This Row],[HIDRAULICO]])+V058_20[[#This Row],[FAENA EN LTS3]]</f>
        <v>3500</v>
      </c>
    </row>
    <row r="39" spans="1:37" x14ac:dyDescent="0.25">
      <c r="A39" s="235" t="s">
        <v>203</v>
      </c>
      <c r="B39" s="48">
        <v>43951</v>
      </c>
      <c r="C39" s="41">
        <v>0.26666666666666666</v>
      </c>
      <c r="D39" s="37">
        <f>IF(V058_20[[#This Row],[FECHA]]-B38=1,((V058_20[[#This Row],[HORA]]-C38)*24)+24,(V058_20[[#This Row],[HORA]]-C38)*24)</f>
        <v>12.9</v>
      </c>
      <c r="E39" s="239" t="s">
        <v>51</v>
      </c>
      <c r="F39" s="29" t="s">
        <v>52</v>
      </c>
      <c r="G39" s="324"/>
      <c r="H39" s="306"/>
      <c r="I39" s="259">
        <f>IF(ISERROR(V058_20[[#This Row],[DISTANCIA POR CARTA]]/V058_20[[#This Row],[TIEMPO DE NAVEGACION]]),0,V058_20[[#This Row],[DISTANCIA POR CARTA]]/V058_20[[#This Row],[TIEMPO DE NAVEGACION]])</f>
        <v>0</v>
      </c>
      <c r="J39" s="242"/>
      <c r="K39" s="325"/>
      <c r="L39" s="245">
        <v>0</v>
      </c>
      <c r="M39" s="246">
        <v>1.34</v>
      </c>
      <c r="N39" s="246">
        <v>1.08</v>
      </c>
      <c r="O39" s="257">
        <f>SUM(V058_20[[#This Row],[MPAL]:[CALDERA]])</f>
        <v>2.42</v>
      </c>
      <c r="P39" s="319"/>
      <c r="Q39" s="281">
        <f>(Q38-V058_20[[#This Row],[TOTAL ]])+V058_20[[#This Row],[FAENA]]</f>
        <v>134.82999999999998</v>
      </c>
      <c r="R39" s="245">
        <v>0</v>
      </c>
      <c r="S39" s="246">
        <v>0</v>
      </c>
      <c r="T39" s="246">
        <v>0</v>
      </c>
      <c r="U39" s="246">
        <v>0</v>
      </c>
      <c r="V39" s="246">
        <v>3.1</v>
      </c>
      <c r="W39" s="257">
        <f>SUM(V058_20[[#This Row],[MPAL2]:[GI]])</f>
        <v>3.1</v>
      </c>
      <c r="X39" s="246"/>
      <c r="Y39" s="282">
        <f>(Y38-V058_20[[#This Row],[TOTAL]])+V058_20[[#This Row],[FAENA2]]</f>
        <v>65.8</v>
      </c>
      <c r="Z39" s="245"/>
      <c r="AA39" s="246"/>
      <c r="AB39" s="320">
        <f>(AB38-V058_20[[#This Row],[CYLINDER MP]])+V058_20[[#This Row],[FAENA EN LTS]]</f>
        <v>5720</v>
      </c>
      <c r="AC39" s="246"/>
      <c r="AD39" s="246"/>
      <c r="AE39" s="320">
        <f>(AE38-V058_20[[#This Row],[CARTER MP.]])+V058_20[[#This Row],[FAENA EN LTS2]]</f>
        <v>4300</v>
      </c>
      <c r="AF39" s="246"/>
      <c r="AG39" s="246"/>
      <c r="AH39" s="320">
        <f>(AH38-V058_20[[#This Row],[MOT AUX]])+V058_20[[#This Row],[FAENA EN  LTS]]</f>
        <v>3900</v>
      </c>
      <c r="AI39" s="246"/>
      <c r="AJ39" s="246"/>
      <c r="AK39" s="321">
        <f>(AK38-V058_20[[#This Row],[HIDRAULICO]])+V058_20[[#This Row],[FAENA EN LTS3]]</f>
        <v>3500</v>
      </c>
    </row>
    <row r="40" spans="1:37" x14ac:dyDescent="0.25">
      <c r="A40" s="235" t="s">
        <v>203</v>
      </c>
      <c r="B40" s="382">
        <v>43951</v>
      </c>
      <c r="C40" s="362">
        <v>0.33333333333333331</v>
      </c>
      <c r="D40" s="37">
        <f>IF(V058_20[[#This Row],[FECHA]]-B39=1,((V058_20[[#This Row],[HORA]]-C39)*24)+24,(V058_20[[#This Row],[HORA]]-C39)*24)</f>
        <v>1.5999999999999996</v>
      </c>
      <c r="E40" s="239" t="s">
        <v>49</v>
      </c>
      <c r="F40" s="29" t="s">
        <v>206</v>
      </c>
      <c r="G40" s="324"/>
      <c r="H40" s="306"/>
      <c r="I40" s="259">
        <f>IF(ISERROR(V058_20[[#This Row],[DISTANCIA POR CARTA]]/V058_20[[#This Row],[TIEMPO DE NAVEGACION]]),0,V058_20[[#This Row],[DISTANCIA POR CARTA]]/V058_20[[#This Row],[TIEMPO DE NAVEGACION]])</f>
        <v>0</v>
      </c>
      <c r="J40" s="242"/>
      <c r="K40" s="325"/>
      <c r="L40" s="245">
        <v>0</v>
      </c>
      <c r="M40" s="246">
        <v>0.17</v>
      </c>
      <c r="N40" s="246">
        <v>0.13</v>
      </c>
      <c r="O40" s="257">
        <f>SUM(V058_20[[#This Row],[MPAL]:[CALDERA]])</f>
        <v>0.30000000000000004</v>
      </c>
      <c r="P40" s="319"/>
      <c r="Q40" s="281">
        <f>(Q39-V058_20[[#This Row],[TOTAL ]])+V058_20[[#This Row],[FAENA]]</f>
        <v>134.52999999999997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SUM(V058_20[[#This Row],[MPAL2]:[GI]])</f>
        <v>0</v>
      </c>
      <c r="X40" s="246"/>
      <c r="Y40" s="282">
        <f>(Y39-V058_20[[#This Row],[TOTAL]])+V058_20[[#This Row],[FAENA2]]</f>
        <v>65.8</v>
      </c>
      <c r="Z40" s="245"/>
      <c r="AA40" s="246"/>
      <c r="AB40" s="320">
        <f>(AB39-V058_20[[#This Row],[CYLINDER MP]])+V058_20[[#This Row],[FAENA EN LTS]]</f>
        <v>5720</v>
      </c>
      <c r="AC40" s="246"/>
      <c r="AD40" s="246"/>
      <c r="AE40" s="320">
        <f>(AE39-V058_20[[#This Row],[CARTER MP.]])+V058_20[[#This Row],[FAENA EN LTS2]]</f>
        <v>4300</v>
      </c>
      <c r="AF40" s="246"/>
      <c r="AG40" s="246"/>
      <c r="AH40" s="320">
        <f>(AH39-V058_20[[#This Row],[MOT AUX]])+V058_20[[#This Row],[FAENA EN  LTS]]</f>
        <v>3900</v>
      </c>
      <c r="AI40" s="246"/>
      <c r="AJ40" s="246"/>
      <c r="AK40" s="321">
        <f>(AK39-V058_20[[#This Row],[HIDRAULICO]])+V058_20[[#This Row],[FAENA EN LTS3]]</f>
        <v>3500</v>
      </c>
    </row>
    <row r="41" spans="1:37" x14ac:dyDescent="0.25">
      <c r="A41" s="235" t="s">
        <v>203</v>
      </c>
      <c r="B41" s="382">
        <v>43951</v>
      </c>
      <c r="C41" s="41">
        <v>0.42083333333333334</v>
      </c>
      <c r="D41" s="37">
        <f>IF(V058_20[[#This Row],[FECHA]]-B40=1,((V058_20[[#This Row],[HORA]]-C40)*24)+24,(V058_20[[#This Row],[HORA]]-C40)*24)</f>
        <v>2.1000000000000005</v>
      </c>
      <c r="E41" s="239" t="s">
        <v>49</v>
      </c>
      <c r="F41" s="29" t="s">
        <v>46</v>
      </c>
      <c r="G41" s="324"/>
      <c r="H41" s="306"/>
      <c r="I41" s="259">
        <f>IF(ISERROR(V058_20[[#This Row],[DISTANCIA POR CARTA]]/V058_20[[#This Row],[TIEMPO DE NAVEGACION]]),0,V058_20[[#This Row],[DISTANCIA POR CARTA]]/V058_20[[#This Row],[TIEMPO DE NAVEGACION]])</f>
        <v>0</v>
      </c>
      <c r="J41" s="242"/>
      <c r="K41" s="325"/>
      <c r="L41" s="245">
        <v>0</v>
      </c>
      <c r="M41" s="246">
        <v>0.22</v>
      </c>
      <c r="N41" s="246">
        <v>0.18</v>
      </c>
      <c r="O41" s="257">
        <f>SUM(V058_20[[#This Row],[MPAL]:[CALDERA]])</f>
        <v>0.4</v>
      </c>
      <c r="P41" s="319"/>
      <c r="Q41" s="281">
        <f>(Q40-V058_20[[#This Row],[TOTAL ]])+V058_20[[#This Row],[FAENA]]</f>
        <v>134.12999999999997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SUM(V058_20[[#This Row],[MPAL2]:[GI]])</f>
        <v>0</v>
      </c>
      <c r="X41" s="246"/>
      <c r="Y41" s="282">
        <f>(Y40-V058_20[[#This Row],[TOTAL]])+V058_20[[#This Row],[FAENA2]]</f>
        <v>65.8</v>
      </c>
      <c r="Z41" s="245"/>
      <c r="AA41" s="246"/>
      <c r="AB41" s="320">
        <f>(AB40-V058_20[[#This Row],[CYLINDER MP]])+V058_20[[#This Row],[FAENA EN LTS]]</f>
        <v>5720</v>
      </c>
      <c r="AC41" s="246"/>
      <c r="AD41" s="246"/>
      <c r="AE41" s="320">
        <f>(AE40-V058_20[[#This Row],[CARTER MP.]])+V058_20[[#This Row],[FAENA EN LTS2]]</f>
        <v>4300</v>
      </c>
      <c r="AF41" s="246"/>
      <c r="AG41" s="246"/>
      <c r="AH41" s="320">
        <f>(AH40-V058_20[[#This Row],[MOT AUX]])+V058_20[[#This Row],[FAENA EN  LTS]]</f>
        <v>3900</v>
      </c>
      <c r="AI41" s="246"/>
      <c r="AJ41" s="246"/>
      <c r="AK41" s="321">
        <f>(AK40-V058_20[[#This Row],[HIDRAULICO]])+V058_20[[#This Row],[FAENA EN LTS3]]</f>
        <v>3500</v>
      </c>
    </row>
    <row r="42" spans="1:37" x14ac:dyDescent="0.25">
      <c r="A42" s="235" t="s">
        <v>203</v>
      </c>
      <c r="B42" s="382">
        <v>43951</v>
      </c>
      <c r="C42" s="41">
        <v>0.45</v>
      </c>
      <c r="D42" s="37">
        <f>IF(V058_20[[#This Row],[FECHA]]-B41=1,((V058_20[[#This Row],[HORA]]-C41)*24)+24,(V058_20[[#This Row],[HORA]]-C41)*24)</f>
        <v>0.70000000000000018</v>
      </c>
      <c r="E42" s="239" t="s">
        <v>47</v>
      </c>
      <c r="F42" s="29" t="s">
        <v>213</v>
      </c>
      <c r="G42" s="324"/>
      <c r="H42" s="306"/>
      <c r="I42" s="259">
        <f>IF(ISERROR(V058_20[[#This Row],[DISTANCIA POR CARTA]]/V058_20[[#This Row],[TIEMPO DE NAVEGACION]]),0,V058_20[[#This Row],[DISTANCIA POR CARTA]]/V058_20[[#This Row],[TIEMPO DE NAVEGACION]])</f>
        <v>0</v>
      </c>
      <c r="J42" s="242"/>
      <c r="K42" s="325"/>
      <c r="L42" s="245">
        <v>0.15</v>
      </c>
      <c r="M42" s="246">
        <v>7.0000000000000007E-2</v>
      </c>
      <c r="N42" s="246">
        <v>0.06</v>
      </c>
      <c r="O42" s="257">
        <f>SUM(V058_20[[#This Row],[MPAL]:[CALDERA]])</f>
        <v>0.28000000000000003</v>
      </c>
      <c r="P42" s="319"/>
      <c r="Q42" s="281">
        <f>(Q41-V058_20[[#This Row],[TOTAL ]])+V058_20[[#This Row],[FAENA]]</f>
        <v>133.84999999999997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SUM(V058_20[[#This Row],[MPAL2]:[GI]])</f>
        <v>0</v>
      </c>
      <c r="X42" s="246"/>
      <c r="Y42" s="282">
        <f>(Y41-V058_20[[#This Row],[TOTAL]])+V058_20[[#This Row],[FAENA2]]</f>
        <v>65.8</v>
      </c>
      <c r="Z42" s="245"/>
      <c r="AA42" s="246"/>
      <c r="AB42" s="320">
        <f>(AB41-V058_20[[#This Row],[CYLINDER MP]])+V058_20[[#This Row],[FAENA EN LTS]]</f>
        <v>5720</v>
      </c>
      <c r="AC42" s="246"/>
      <c r="AD42" s="246"/>
      <c r="AE42" s="320">
        <f>(AE41-V058_20[[#This Row],[CARTER MP.]])+V058_20[[#This Row],[FAENA EN LTS2]]</f>
        <v>4300</v>
      </c>
      <c r="AF42" s="246"/>
      <c r="AG42" s="246"/>
      <c r="AH42" s="320">
        <f>(AH41-V058_20[[#This Row],[MOT AUX]])+V058_20[[#This Row],[FAENA EN  LTS]]</f>
        <v>3900</v>
      </c>
      <c r="AI42" s="246"/>
      <c r="AJ42" s="246"/>
      <c r="AK42" s="321">
        <f>(AK41-V058_20[[#This Row],[HIDRAULICO]])+V058_20[[#This Row],[FAENA EN LTS3]]</f>
        <v>3500</v>
      </c>
    </row>
    <row r="43" spans="1:37" x14ac:dyDescent="0.25">
      <c r="A43" s="235" t="s">
        <v>203</v>
      </c>
      <c r="B43" s="27">
        <v>43952</v>
      </c>
      <c r="C43" s="362">
        <v>0.33333333333333331</v>
      </c>
      <c r="D43" s="37">
        <f>IF(V058_20[[#This Row],[FECHA]]-B42=1,((V058_20[[#This Row],[HORA]]-C42)*24)+24,(V058_20[[#This Row],[HORA]]-C42)*24)</f>
        <v>21.2</v>
      </c>
      <c r="E43" s="239" t="s">
        <v>55</v>
      </c>
      <c r="F43" s="29" t="s">
        <v>56</v>
      </c>
      <c r="G43" s="324"/>
      <c r="H43" s="306"/>
      <c r="I43" s="259">
        <f>IF(ISERROR(V058_20[[#This Row],[DISTANCIA POR CARTA]]/V058_20[[#This Row],[TIEMPO DE NAVEGACION]]),0,V058_20[[#This Row],[DISTANCIA POR CARTA]]/V058_20[[#This Row],[TIEMPO DE NAVEGACION]])</f>
        <v>0</v>
      </c>
      <c r="J43" s="242"/>
      <c r="K43" s="325">
        <v>96</v>
      </c>
      <c r="L43" s="245">
        <v>21.2</v>
      </c>
      <c r="M43" s="246">
        <v>2.21</v>
      </c>
      <c r="N43" s="246">
        <v>0</v>
      </c>
      <c r="O43" s="257">
        <f>SUM(V058_20[[#This Row],[MPAL]:[CALDERA]])</f>
        <v>23.41</v>
      </c>
      <c r="P43" s="319"/>
      <c r="Q43" s="281">
        <f>(Q42-V058_20[[#This Row],[TOTAL ]])+V058_20[[#This Row],[FAENA]]</f>
        <v>110.43999999999997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SUM(V058_20[[#This Row],[MPAL2]:[GI]])</f>
        <v>0</v>
      </c>
      <c r="X43" s="246"/>
      <c r="Y43" s="282">
        <f>(Y42-V058_20[[#This Row],[TOTAL]])+V058_20[[#This Row],[FAENA2]]</f>
        <v>65.8</v>
      </c>
      <c r="Z43" s="245"/>
      <c r="AA43" s="246"/>
      <c r="AB43" s="320">
        <f>(AB42-V058_20[[#This Row],[CYLINDER MP]])+V058_20[[#This Row],[FAENA EN LTS]]</f>
        <v>5720</v>
      </c>
      <c r="AC43" s="246"/>
      <c r="AD43" s="246"/>
      <c r="AE43" s="320">
        <f>(AE42-V058_20[[#This Row],[CARTER MP.]])+V058_20[[#This Row],[FAENA EN LTS2]]</f>
        <v>4300</v>
      </c>
      <c r="AF43" s="246"/>
      <c r="AG43" s="246"/>
      <c r="AH43" s="320">
        <f>(AH42-V058_20[[#This Row],[MOT AUX]])+V058_20[[#This Row],[FAENA EN  LTS]]</f>
        <v>3900</v>
      </c>
      <c r="AI43" s="246"/>
      <c r="AJ43" s="246"/>
      <c r="AK43" s="321">
        <f>(AK42-V058_20[[#This Row],[HIDRAULICO]])+V058_20[[#This Row],[FAENA EN LTS3]]</f>
        <v>3500</v>
      </c>
    </row>
    <row r="44" spans="1:37" x14ac:dyDescent="0.25">
      <c r="A44" s="235" t="s">
        <v>203</v>
      </c>
      <c r="B44" s="384">
        <v>43952</v>
      </c>
      <c r="C44" s="41">
        <v>0.70833333333333337</v>
      </c>
      <c r="D44" s="37">
        <f>IF(V058_20[[#This Row],[FECHA]]-B43=1,((V058_20[[#This Row],[HORA]]-C43)*24)+24,(V058_20[[#This Row],[HORA]]-C43)*24)</f>
        <v>9.0000000000000018</v>
      </c>
      <c r="E44" s="239" t="s">
        <v>55</v>
      </c>
      <c r="F44" s="29" t="s">
        <v>219</v>
      </c>
      <c r="G44" s="324">
        <v>356.5</v>
      </c>
      <c r="H44" s="306">
        <v>30.2</v>
      </c>
      <c r="I44" s="259">
        <f>IF(ISERROR(V058_20[[#This Row],[DISTANCIA POR CARTA]]/V058_20[[#This Row],[TIEMPO DE NAVEGACION]]),0,V058_20[[#This Row],[DISTANCIA POR CARTA]]/V058_20[[#This Row],[TIEMPO DE NAVEGACION]])</f>
        <v>11.804635761589404</v>
      </c>
      <c r="J44" s="380" t="s">
        <v>214</v>
      </c>
      <c r="K44" s="325">
        <v>96</v>
      </c>
      <c r="L44" s="245">
        <v>9</v>
      </c>
      <c r="M44" s="246">
        <v>0.94</v>
      </c>
      <c r="N44" s="246">
        <v>0.75</v>
      </c>
      <c r="O44" s="257">
        <f>SUM(V058_20[[#This Row],[MPAL]:[CALDERA]])</f>
        <v>10.69</v>
      </c>
      <c r="P44" s="319"/>
      <c r="Q44" s="281">
        <f>(Q43-V058_20[[#This Row],[TOTAL ]])+V058_20[[#This Row],[FAENA]]</f>
        <v>99.749999999999972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SUM(V058_20[[#This Row],[MPAL2]:[GI]])</f>
        <v>0</v>
      </c>
      <c r="X44" s="246"/>
      <c r="Y44" s="282">
        <f>(Y43-V058_20[[#This Row],[TOTAL]])+V058_20[[#This Row],[FAENA2]]</f>
        <v>65.8</v>
      </c>
      <c r="Z44" s="245"/>
      <c r="AA44" s="246"/>
      <c r="AB44" s="320">
        <f>(AB43-V058_20[[#This Row],[CYLINDER MP]])+V058_20[[#This Row],[FAENA EN LTS]]</f>
        <v>5720</v>
      </c>
      <c r="AC44" s="246"/>
      <c r="AD44" s="246"/>
      <c r="AE44" s="320">
        <f>(AE43-V058_20[[#This Row],[CARTER MP.]])+V058_20[[#This Row],[FAENA EN LTS2]]</f>
        <v>4300</v>
      </c>
      <c r="AF44" s="246"/>
      <c r="AG44" s="246"/>
      <c r="AH44" s="320">
        <f>(AH43-V058_20[[#This Row],[MOT AUX]])+V058_20[[#This Row],[FAENA EN  LTS]]</f>
        <v>3900</v>
      </c>
      <c r="AI44" s="246"/>
      <c r="AJ44" s="246"/>
      <c r="AK44" s="321">
        <f>(AK43-V058_20[[#This Row],[HIDRAULICO]])+V058_20[[#This Row],[FAENA EN LTS3]]</f>
        <v>3500</v>
      </c>
    </row>
    <row r="45" spans="1:37" x14ac:dyDescent="0.25">
      <c r="A45" s="235" t="s">
        <v>203</v>
      </c>
      <c r="B45" s="384">
        <v>43952</v>
      </c>
      <c r="C45" s="41">
        <v>0.83333333333333337</v>
      </c>
      <c r="D45" s="37">
        <f>IF(V058_20[[#This Row],[FECHA]]-B44=1,((V058_20[[#This Row],[HORA]]-C44)*24)+24,(V058_20[[#This Row],[HORA]]-C44)*24)</f>
        <v>3</v>
      </c>
      <c r="E45" s="239" t="s">
        <v>45</v>
      </c>
      <c r="F45" s="29" t="s">
        <v>46</v>
      </c>
      <c r="G45" s="324"/>
      <c r="H45" s="306"/>
      <c r="I45" s="259">
        <f>IF(ISERROR(V058_20[[#This Row],[DISTANCIA POR CARTA]]/V058_20[[#This Row],[TIEMPO DE NAVEGACION]]),0,V058_20[[#This Row],[DISTANCIA POR CARTA]]/V058_20[[#This Row],[TIEMPO DE NAVEGACION]])</f>
        <v>0</v>
      </c>
      <c r="J45" s="242"/>
      <c r="K45" s="325"/>
      <c r="L45" s="245">
        <v>0</v>
      </c>
      <c r="M45" s="246">
        <v>0.31</v>
      </c>
      <c r="N45" s="246">
        <v>0.25</v>
      </c>
      <c r="O45" s="257">
        <f>SUM(V058_20[[#This Row],[MPAL]:[CALDERA]])</f>
        <v>0.56000000000000005</v>
      </c>
      <c r="P45" s="319"/>
      <c r="Q45" s="281">
        <f>(Q44-V058_20[[#This Row],[TOTAL ]])+V058_20[[#This Row],[FAENA]]</f>
        <v>99.189999999999969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SUM(V058_20[[#This Row],[MPAL2]:[GI]])</f>
        <v>0</v>
      </c>
      <c r="X45" s="246"/>
      <c r="Y45" s="282">
        <f>(Y44-V058_20[[#This Row],[TOTAL]])+V058_20[[#This Row],[FAENA2]]</f>
        <v>65.8</v>
      </c>
      <c r="Z45" s="245"/>
      <c r="AA45" s="246"/>
      <c r="AB45" s="320">
        <f>(AB44-V058_20[[#This Row],[CYLINDER MP]])+V058_20[[#This Row],[FAENA EN LTS]]</f>
        <v>5720</v>
      </c>
      <c r="AC45" s="246"/>
      <c r="AD45" s="246"/>
      <c r="AE45" s="320">
        <f>(AE44-V058_20[[#This Row],[CARTER MP.]])+V058_20[[#This Row],[FAENA EN LTS2]]</f>
        <v>4300</v>
      </c>
      <c r="AF45" s="246"/>
      <c r="AG45" s="246"/>
      <c r="AH45" s="320">
        <f>(AH44-V058_20[[#This Row],[MOT AUX]])+V058_20[[#This Row],[FAENA EN  LTS]]</f>
        <v>3900</v>
      </c>
      <c r="AI45" s="246"/>
      <c r="AJ45" s="246"/>
      <c r="AK45" s="321">
        <f>(AK44-V058_20[[#This Row],[HIDRAULICO]])+V058_20[[#This Row],[FAENA EN LTS3]]</f>
        <v>3500</v>
      </c>
    </row>
    <row r="46" spans="1:37" x14ac:dyDescent="0.25">
      <c r="A46" s="235" t="s">
        <v>203</v>
      </c>
      <c r="B46" s="384">
        <v>43952</v>
      </c>
      <c r="C46" s="41">
        <v>0.91666666666666663</v>
      </c>
      <c r="D46" s="37">
        <f>IF(V058_20[[#This Row],[FECHA]]-B45=1,((V058_20[[#This Row],[HORA]]-C45)*24)+24,(V058_20[[#This Row],[HORA]]-C45)*24)</f>
        <v>1.9999999999999982</v>
      </c>
      <c r="E46" s="239" t="s">
        <v>47</v>
      </c>
      <c r="F46" s="29" t="s">
        <v>48</v>
      </c>
      <c r="G46" s="324"/>
      <c r="H46" s="306"/>
      <c r="I46" s="259">
        <f>IF(ISERROR(V058_20[[#This Row],[DISTANCIA POR CARTA]]/V058_20[[#This Row],[TIEMPO DE NAVEGACION]]),0,V058_20[[#This Row],[DISTANCIA POR CARTA]]/V058_20[[#This Row],[TIEMPO DE NAVEGACION]])</f>
        <v>0</v>
      </c>
      <c r="J46" s="242"/>
      <c r="K46" s="325"/>
      <c r="L46" s="245">
        <v>0.42</v>
      </c>
      <c r="M46" s="246">
        <v>0.21</v>
      </c>
      <c r="N46" s="246">
        <v>0.17</v>
      </c>
      <c r="O46" s="257">
        <f>SUM(V058_20[[#This Row],[MPAL]:[CALDERA]])</f>
        <v>0.8</v>
      </c>
      <c r="P46" s="319"/>
      <c r="Q46" s="281">
        <f>(Q45-V058_20[[#This Row],[TOTAL ]])+V058_20[[#This Row],[FAENA]]</f>
        <v>98.389999999999972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SUM(V058_20[[#This Row],[MPAL2]:[GI]])</f>
        <v>0</v>
      </c>
      <c r="X46" s="246"/>
      <c r="Y46" s="282">
        <f>(Y45-V058_20[[#This Row],[TOTAL]])+V058_20[[#This Row],[FAENA2]]</f>
        <v>65.8</v>
      </c>
      <c r="Z46" s="245"/>
      <c r="AA46" s="246"/>
      <c r="AB46" s="320">
        <f>(AB45-V058_20[[#This Row],[CYLINDER MP]])+V058_20[[#This Row],[FAENA EN LTS]]</f>
        <v>5720</v>
      </c>
      <c r="AC46" s="246"/>
      <c r="AD46" s="246"/>
      <c r="AE46" s="320">
        <f>(AE45-V058_20[[#This Row],[CARTER MP.]])+V058_20[[#This Row],[FAENA EN LTS2]]</f>
        <v>4300</v>
      </c>
      <c r="AF46" s="246"/>
      <c r="AG46" s="246"/>
      <c r="AH46" s="320">
        <f>(AH45-V058_20[[#This Row],[MOT AUX]])+V058_20[[#This Row],[FAENA EN  LTS]]</f>
        <v>3900</v>
      </c>
      <c r="AI46" s="246"/>
      <c r="AJ46" s="246"/>
      <c r="AK46" s="321">
        <f>(AK45-V058_20[[#This Row],[HIDRAULICO]])+V058_20[[#This Row],[FAENA EN LTS3]]</f>
        <v>3500</v>
      </c>
    </row>
    <row r="47" spans="1:37" x14ac:dyDescent="0.25">
      <c r="A47" s="235" t="s">
        <v>203</v>
      </c>
      <c r="B47" s="48">
        <v>43953</v>
      </c>
      <c r="C47" s="41">
        <v>8.3333333333333329E-2</v>
      </c>
      <c r="D47" s="37">
        <f>IF(V058_20[[#This Row],[FECHA]]-B46=1,((V058_20[[#This Row],[HORA]]-C46)*24)+24,(V058_20[[#This Row],[HORA]]-C46)*24)</f>
        <v>4</v>
      </c>
      <c r="E47" s="239" t="s">
        <v>49</v>
      </c>
      <c r="F47" s="29" t="s">
        <v>50</v>
      </c>
      <c r="G47" s="324"/>
      <c r="H47" s="306"/>
      <c r="I47" s="259">
        <f>IF(ISERROR(V058_20[[#This Row],[DISTANCIA POR CARTA]]/V058_20[[#This Row],[TIEMPO DE NAVEGACION]]),0,V058_20[[#This Row],[DISTANCIA POR CARTA]]/V058_20[[#This Row],[TIEMPO DE NAVEGACION]])</f>
        <v>0</v>
      </c>
      <c r="J47" s="242"/>
      <c r="K47" s="325"/>
      <c r="L47" s="245">
        <v>0</v>
      </c>
      <c r="M47" s="246">
        <v>0.42</v>
      </c>
      <c r="N47" s="246">
        <v>0.33</v>
      </c>
      <c r="O47" s="257">
        <f>SUM(V058_20[[#This Row],[MPAL]:[CALDERA]])</f>
        <v>0.75</v>
      </c>
      <c r="P47" s="319"/>
      <c r="Q47" s="281">
        <f>(Q46-V058_20[[#This Row],[TOTAL ]])+V058_20[[#This Row],[FAENA]]</f>
        <v>97.639999999999972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SUM(V058_20[[#This Row],[MPAL2]:[GI]])</f>
        <v>0</v>
      </c>
      <c r="X47" s="246"/>
      <c r="Y47" s="282">
        <f>(Y46-V058_20[[#This Row],[TOTAL]])+V058_20[[#This Row],[FAENA2]]</f>
        <v>65.8</v>
      </c>
      <c r="Z47" s="245"/>
      <c r="AA47" s="246"/>
      <c r="AB47" s="320">
        <f>(AB46-V058_20[[#This Row],[CYLINDER MP]])+V058_20[[#This Row],[FAENA EN LTS]]</f>
        <v>5720</v>
      </c>
      <c r="AC47" s="246"/>
      <c r="AD47" s="246"/>
      <c r="AE47" s="320">
        <f>(AE46-V058_20[[#This Row],[CARTER MP.]])+V058_20[[#This Row],[FAENA EN LTS2]]</f>
        <v>4300</v>
      </c>
      <c r="AF47" s="246"/>
      <c r="AG47" s="246"/>
      <c r="AH47" s="320">
        <f>(AH46-V058_20[[#This Row],[MOT AUX]])+V058_20[[#This Row],[FAENA EN  LTS]]</f>
        <v>3900</v>
      </c>
      <c r="AI47" s="246"/>
      <c r="AJ47" s="246"/>
      <c r="AK47" s="321">
        <f>(AK46-V058_20[[#This Row],[HIDRAULICO]])+V058_20[[#This Row],[FAENA EN LTS3]]</f>
        <v>3500</v>
      </c>
    </row>
    <row r="48" spans="1:37" x14ac:dyDescent="0.25">
      <c r="A48" s="235" t="s">
        <v>203</v>
      </c>
      <c r="B48" s="382">
        <v>43953</v>
      </c>
      <c r="C48" s="362">
        <v>0.33333333333333331</v>
      </c>
      <c r="D48" s="37">
        <f>IF(V058_20[[#This Row],[FECHA]]-B47=1,((V058_20[[#This Row],[HORA]]-C47)*24)+24,(V058_20[[#This Row],[HORA]]-C47)*24)</f>
        <v>6</v>
      </c>
      <c r="E48" s="239" t="s">
        <v>51</v>
      </c>
      <c r="F48" s="29" t="s">
        <v>51</v>
      </c>
      <c r="G48" s="324"/>
      <c r="H48" s="306"/>
      <c r="I48" s="259">
        <f>IF(ISERROR(V058_20[[#This Row],[DISTANCIA POR CARTA]]/V058_20[[#This Row],[TIEMPO DE NAVEGACION]]),0,V058_20[[#This Row],[DISTANCIA POR CARTA]]/V058_20[[#This Row],[TIEMPO DE NAVEGACION]])</f>
        <v>0</v>
      </c>
      <c r="J48" s="242"/>
      <c r="K48" s="325"/>
      <c r="L48" s="245">
        <v>0</v>
      </c>
      <c r="M48" s="246">
        <v>0.63</v>
      </c>
      <c r="N48" s="246">
        <v>0.5</v>
      </c>
      <c r="O48" s="257">
        <f>SUM(V058_20[[#This Row],[MPAL]:[CALDERA]])</f>
        <v>1.1299999999999999</v>
      </c>
      <c r="P48" s="319"/>
      <c r="Q48" s="281">
        <f>(Q47-V058_20[[#This Row],[TOTAL ]])+V058_20[[#This Row],[FAENA]]</f>
        <v>96.509999999999977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v>1.5</v>
      </c>
      <c r="X48" s="246"/>
      <c r="Y48" s="282">
        <f>(Y47-V058_20[[#This Row],[TOTAL]])+V058_20[[#This Row],[FAENA2]]</f>
        <v>64.3</v>
      </c>
      <c r="Z48" s="245"/>
      <c r="AA48" s="246"/>
      <c r="AB48" s="320">
        <f>(AB47-V058_20[[#This Row],[CYLINDER MP]])+V058_20[[#This Row],[FAENA EN LTS]]</f>
        <v>5720</v>
      </c>
      <c r="AC48" s="246"/>
      <c r="AD48" s="246"/>
      <c r="AE48" s="320">
        <f>(AE47-V058_20[[#This Row],[CARTER MP.]])+V058_20[[#This Row],[FAENA EN LTS2]]</f>
        <v>4300</v>
      </c>
      <c r="AF48" s="246"/>
      <c r="AG48" s="246"/>
      <c r="AH48" s="320">
        <f>(AH47-V058_20[[#This Row],[MOT AUX]])+V058_20[[#This Row],[FAENA EN  LTS]]</f>
        <v>3900</v>
      </c>
      <c r="AI48" s="246"/>
      <c r="AJ48" s="246"/>
      <c r="AK48" s="321">
        <f>(AK47-V058_20[[#This Row],[HIDRAULICO]])+V058_20[[#This Row],[FAENA EN LTS3]]</f>
        <v>3500</v>
      </c>
    </row>
    <row r="49" spans="1:37" x14ac:dyDescent="0.25">
      <c r="A49" s="235" t="s">
        <v>203</v>
      </c>
      <c r="B49" s="382">
        <v>43953</v>
      </c>
      <c r="C49" s="41">
        <v>0.71666666666666667</v>
      </c>
      <c r="D49" s="37">
        <f>IF(V058_20[[#This Row],[FECHA]]-B48=1,((V058_20[[#This Row],[HORA]]-C48)*24)+24,(V058_20[[#This Row],[HORA]]-C48)*24)</f>
        <v>9.2000000000000011</v>
      </c>
      <c r="E49" s="239" t="s">
        <v>51</v>
      </c>
      <c r="F49" s="29" t="s">
        <v>86</v>
      </c>
      <c r="G49" s="324"/>
      <c r="H49" s="306"/>
      <c r="I49" s="259">
        <f>IF(ISERROR(V058_20[[#This Row],[DISTANCIA POR CARTA]]/V058_20[[#This Row],[TIEMPO DE NAVEGACION]]),0,V058_20[[#This Row],[DISTANCIA POR CARTA]]/V058_20[[#This Row],[TIEMPO DE NAVEGACION]])</f>
        <v>0</v>
      </c>
      <c r="J49" s="242"/>
      <c r="K49" s="325"/>
      <c r="L49" s="245">
        <v>0</v>
      </c>
      <c r="M49" s="246">
        <v>0.96</v>
      </c>
      <c r="N49" s="246">
        <v>0.77</v>
      </c>
      <c r="O49" s="257">
        <f>SUM(V058_20[[#This Row],[MPAL]:[CALDERA]])</f>
        <v>1.73</v>
      </c>
      <c r="P49" s="319"/>
      <c r="Q49" s="281">
        <f>(Q48-V058_20[[#This Row],[TOTAL ]])+V058_20[[#This Row],[FAENA]]</f>
        <v>94.779999999999973</v>
      </c>
      <c r="R49" s="245">
        <v>0</v>
      </c>
      <c r="S49" s="246">
        <v>0</v>
      </c>
      <c r="T49" s="246">
        <v>0</v>
      </c>
      <c r="U49" s="246">
        <v>0</v>
      </c>
      <c r="V49" s="246">
        <v>3.1</v>
      </c>
      <c r="W49" s="257">
        <v>2.2999999999999998</v>
      </c>
      <c r="X49" s="246"/>
      <c r="Y49" s="282">
        <f>(Y48-V058_20[[#This Row],[TOTAL]])+V058_20[[#This Row],[FAENA2]]</f>
        <v>62</v>
      </c>
      <c r="Z49" s="245"/>
      <c r="AA49" s="246"/>
      <c r="AB49" s="320">
        <f>(AB48-V058_20[[#This Row],[CYLINDER MP]])+V058_20[[#This Row],[FAENA EN LTS]]</f>
        <v>5720</v>
      </c>
      <c r="AC49" s="246"/>
      <c r="AD49" s="246"/>
      <c r="AE49" s="320">
        <f>(AE48-V058_20[[#This Row],[CARTER MP.]])+V058_20[[#This Row],[FAENA EN LTS2]]</f>
        <v>4300</v>
      </c>
      <c r="AF49" s="246"/>
      <c r="AG49" s="246"/>
      <c r="AH49" s="320">
        <f>(AH48-V058_20[[#This Row],[MOT AUX]])+V058_20[[#This Row],[FAENA EN  LTS]]</f>
        <v>3900</v>
      </c>
      <c r="AI49" s="246"/>
      <c r="AJ49" s="246"/>
      <c r="AK49" s="321">
        <f>(AK48-V058_20[[#This Row],[HIDRAULICO]])+V058_20[[#This Row],[FAENA EN LTS3]]</f>
        <v>3500</v>
      </c>
    </row>
    <row r="50" spans="1:37" x14ac:dyDescent="0.25">
      <c r="A50" s="235" t="s">
        <v>203</v>
      </c>
      <c r="B50" s="382">
        <v>43953</v>
      </c>
      <c r="C50" s="41">
        <v>0.86249999999999993</v>
      </c>
      <c r="D50" s="37">
        <f>IF(V058_20[[#This Row],[FECHA]]-B49=1,((V058_20[[#This Row],[HORA]]-C49)*24)+24,(V058_20[[#This Row],[HORA]]-C49)*24)</f>
        <v>3.4999999999999982</v>
      </c>
      <c r="E50" s="239" t="s">
        <v>49</v>
      </c>
      <c r="F50" s="29" t="s">
        <v>46</v>
      </c>
      <c r="G50" s="324"/>
      <c r="H50" s="306"/>
      <c r="I50" s="259">
        <f>IF(ISERROR(V058_20[[#This Row],[DISTANCIA POR CARTA]]/V058_20[[#This Row],[TIEMPO DE NAVEGACION]]),0,V058_20[[#This Row],[DISTANCIA POR CARTA]]/V058_20[[#This Row],[TIEMPO DE NAVEGACION]])</f>
        <v>0</v>
      </c>
      <c r="J50" s="242"/>
      <c r="K50" s="325"/>
      <c r="L50" s="245">
        <v>0</v>
      </c>
      <c r="M50" s="246">
        <v>0.36</v>
      </c>
      <c r="N50" s="246">
        <v>0.26</v>
      </c>
      <c r="O50" s="257">
        <f>SUM(V058_20[[#This Row],[MPAL]:[CALDERA]])</f>
        <v>0.62</v>
      </c>
      <c r="P50" s="319"/>
      <c r="Q50" s="281">
        <f>(Q49-V058_20[[#This Row],[TOTAL ]])+V058_20[[#This Row],[FAENA]]</f>
        <v>94.159999999999968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SUM(V058_20[[#This Row],[MPAL2]:[GI]])</f>
        <v>0</v>
      </c>
      <c r="X50" s="246"/>
      <c r="Y50" s="282">
        <f>(Y49-V058_20[[#This Row],[TOTAL]])+V058_20[[#This Row],[FAENA2]]</f>
        <v>62</v>
      </c>
      <c r="Z50" s="245"/>
      <c r="AA50" s="246"/>
      <c r="AB50" s="320">
        <f>(AB49-V058_20[[#This Row],[CYLINDER MP]])+V058_20[[#This Row],[FAENA EN LTS]]</f>
        <v>5720</v>
      </c>
      <c r="AC50" s="246"/>
      <c r="AD50" s="246"/>
      <c r="AE50" s="320">
        <f>(AE49-V058_20[[#This Row],[CARTER MP.]])+V058_20[[#This Row],[FAENA EN LTS2]]</f>
        <v>4300</v>
      </c>
      <c r="AF50" s="246"/>
      <c r="AG50" s="246"/>
      <c r="AH50" s="320">
        <f>(AH49-V058_20[[#This Row],[MOT AUX]])+V058_20[[#This Row],[FAENA EN  LTS]]</f>
        <v>3900</v>
      </c>
      <c r="AI50" s="246"/>
      <c r="AJ50" s="246"/>
      <c r="AK50" s="321">
        <f>(AK49-V058_20[[#This Row],[HIDRAULICO]])+V058_20[[#This Row],[FAENA EN LTS3]]</f>
        <v>3500</v>
      </c>
    </row>
    <row r="51" spans="1:37" x14ac:dyDescent="0.25">
      <c r="A51" s="235" t="s">
        <v>203</v>
      </c>
      <c r="B51" s="382">
        <v>43953</v>
      </c>
      <c r="C51" s="41">
        <v>0.9</v>
      </c>
      <c r="D51" s="37">
        <f>IF(V058_20[[#This Row],[FECHA]]-B50=1,((V058_20[[#This Row],[HORA]]-C50)*24)+24,(V058_20[[#This Row],[HORA]]-C50)*24)</f>
        <v>0.90000000000000213</v>
      </c>
      <c r="E51" s="239" t="s">
        <v>47</v>
      </c>
      <c r="F51" s="29" t="s">
        <v>220</v>
      </c>
      <c r="G51" s="324"/>
      <c r="H51" s="306"/>
      <c r="I51" s="259">
        <f>IF(ISERROR(V058_20[[#This Row],[DISTANCIA POR CARTA]]/V058_20[[#This Row],[TIEMPO DE NAVEGACION]]),0,V058_20[[#This Row],[DISTANCIA POR CARTA]]/V058_20[[#This Row],[TIEMPO DE NAVEGACION]])</f>
        <v>0</v>
      </c>
      <c r="J51" s="242"/>
      <c r="K51" s="325"/>
      <c r="L51" s="245">
        <v>0.19</v>
      </c>
      <c r="M51" s="246">
        <v>0.09</v>
      </c>
      <c r="N51" s="246">
        <v>0.1</v>
      </c>
      <c r="O51" s="257">
        <f>SUM(V058_20[[#This Row],[MPAL]:[CALDERA]])</f>
        <v>0.38</v>
      </c>
      <c r="P51" s="319"/>
      <c r="Q51" s="281">
        <f>(Q50-V058_20[[#This Row],[TOTAL ]])+V058_20[[#This Row],[FAENA]]</f>
        <v>93.779999999999973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SUM(V058_20[[#This Row],[MPAL2]:[GI]])</f>
        <v>0</v>
      </c>
      <c r="X51" s="246"/>
      <c r="Y51" s="282">
        <f>(Y50-V058_20[[#This Row],[TOTAL]])+V058_20[[#This Row],[FAENA2]]</f>
        <v>62</v>
      </c>
      <c r="Z51" s="245"/>
      <c r="AA51" s="246"/>
      <c r="AB51" s="320">
        <f>(AB50-V058_20[[#This Row],[CYLINDER MP]])+V058_20[[#This Row],[FAENA EN LTS]]</f>
        <v>5720</v>
      </c>
      <c r="AC51" s="246"/>
      <c r="AD51" s="246"/>
      <c r="AE51" s="320">
        <f>(AE50-V058_20[[#This Row],[CARTER MP.]])+V058_20[[#This Row],[FAENA EN LTS2]]</f>
        <v>4300</v>
      </c>
      <c r="AF51" s="246"/>
      <c r="AG51" s="246"/>
      <c r="AH51" s="320">
        <f>(AH50-V058_20[[#This Row],[MOT AUX]])+V058_20[[#This Row],[FAENA EN  LTS]]</f>
        <v>3900</v>
      </c>
      <c r="AI51" s="246"/>
      <c r="AJ51" s="246"/>
      <c r="AK51" s="321">
        <f>(AK50-V058_20[[#This Row],[HIDRAULICO]])+V058_20[[#This Row],[FAENA EN LTS3]]</f>
        <v>3500</v>
      </c>
    </row>
    <row r="52" spans="1:37" x14ac:dyDescent="0.25">
      <c r="A52" s="235" t="s">
        <v>203</v>
      </c>
      <c r="B52" s="236">
        <v>43954</v>
      </c>
      <c r="C52" s="237">
        <v>0.29166666666666669</v>
      </c>
      <c r="D52" s="37">
        <f>IF(V058_20[[#This Row],[FECHA]]-B51=1,((V058_20[[#This Row],[HORA]]-C51)*24)+24,(V058_20[[#This Row],[HORA]]-C51)*24)</f>
        <v>9.3999999999999986</v>
      </c>
      <c r="E52" s="239" t="s">
        <v>61</v>
      </c>
      <c r="F52" s="378" t="s">
        <v>201</v>
      </c>
      <c r="G52" s="324">
        <v>112.8</v>
      </c>
      <c r="H52" s="306">
        <v>9.4</v>
      </c>
      <c r="I52" s="259">
        <f>IF(ISERROR(V058_20[[#This Row],[DISTANCIA POR CARTA]]/V058_20[[#This Row],[TIEMPO DE NAVEGACION]]),0,V058_20[[#This Row],[DISTANCIA POR CARTA]]/V058_20[[#This Row],[TIEMPO DE NAVEGACION]])</f>
        <v>12</v>
      </c>
      <c r="J52" s="380" t="s">
        <v>214</v>
      </c>
      <c r="K52" s="325">
        <v>96.5</v>
      </c>
      <c r="L52" s="245">
        <v>9.4</v>
      </c>
      <c r="M52" s="246">
        <v>0.98</v>
      </c>
      <c r="N52" s="246">
        <v>0</v>
      </c>
      <c r="O52" s="257">
        <f>SUM(V058_20[[#This Row],[MPAL]:[CALDERA]])</f>
        <v>10.38</v>
      </c>
      <c r="P52" s="319"/>
      <c r="Q52" s="281">
        <f>(Q51-V058_20[[#This Row],[TOTAL ]])+V058_20[[#This Row],[FAENA]]</f>
        <v>83.399999999999977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SUM(V058_20[[#This Row],[MPAL2]:[GI]])</f>
        <v>0</v>
      </c>
      <c r="X52" s="246"/>
      <c r="Y52" s="282">
        <f>(Y51-V058_20[[#This Row],[TOTAL]])+V058_20[[#This Row],[FAENA2]]</f>
        <v>62</v>
      </c>
      <c r="Z52" s="245">
        <v>1140</v>
      </c>
      <c r="AA52" s="246"/>
      <c r="AB52" s="320">
        <f>(AB51-V058_20[[#This Row],[CYLINDER MP]])+V058_20[[#This Row],[FAENA EN LTS]]</f>
        <v>4580</v>
      </c>
      <c r="AC52" s="246"/>
      <c r="AD52" s="246"/>
      <c r="AE52" s="320">
        <f>(AE51-V058_20[[#This Row],[CARTER MP.]])+V058_20[[#This Row],[FAENA EN LTS2]]</f>
        <v>4300</v>
      </c>
      <c r="AF52" s="246">
        <v>190</v>
      </c>
      <c r="AG52" s="246"/>
      <c r="AH52" s="320">
        <f>(AH51-V058_20[[#This Row],[MOT AUX]])+V058_20[[#This Row],[FAENA EN  LTS]]</f>
        <v>3710</v>
      </c>
      <c r="AI52" s="246">
        <v>700</v>
      </c>
      <c r="AJ52" s="246"/>
      <c r="AK52" s="321">
        <f>(AK51-V058_20[[#This Row],[HIDRAULICO]])+V058_20[[#This Row],[FAENA EN LTS3]]</f>
        <v>2800</v>
      </c>
    </row>
    <row r="53" spans="1:37" x14ac:dyDescent="0.25">
      <c r="D53" s="132">
        <f>SUBTOTAL(109,V058_20[TIEMPO Hrs])</f>
        <v>353.99999999999989</v>
      </c>
      <c r="L53" s="68">
        <f>SUBTOTAL(109,V058_20[MPAL])</f>
        <v>94.260000000000019</v>
      </c>
      <c r="M53" s="68">
        <f>SUBTOTAL(109,V058_20[AUX.])</f>
        <v>36.860000000000007</v>
      </c>
      <c r="N53" s="68">
        <f>SUBTOTAL(109,V058_20[CALDERA])</f>
        <v>20.68</v>
      </c>
    </row>
    <row r="54" spans="1:37" x14ac:dyDescent="0.25">
      <c r="O54" s="67">
        <f>SUM(L53:N53)</f>
        <v>151.80000000000004</v>
      </c>
    </row>
    <row r="55" spans="1:37" ht="19.5" thickBot="1" x14ac:dyDescent="0.35">
      <c r="C55" s="69" t="s">
        <v>187</v>
      </c>
      <c r="D55" s="69"/>
      <c r="E55" s="69"/>
      <c r="F55" s="69"/>
      <c r="G55" s="69"/>
      <c r="N55" s="69"/>
      <c r="O55" s="69"/>
      <c r="S55" s="70" t="s">
        <v>188</v>
      </c>
    </row>
    <row r="56" spans="1:37" ht="19.5" thickBot="1" x14ac:dyDescent="0.35">
      <c r="C56" s="69"/>
      <c r="D56" s="69"/>
      <c r="E56" s="69"/>
      <c r="F56" s="69"/>
      <c r="G56" s="69"/>
      <c r="N56" s="69"/>
      <c r="O56" s="69"/>
      <c r="S56" s="70"/>
    </row>
    <row r="57" spans="1:37" ht="45.75" thickBot="1" x14ac:dyDescent="0.3">
      <c r="C57" s="265" t="s">
        <v>11</v>
      </c>
      <c r="D57" s="265" t="s">
        <v>90</v>
      </c>
      <c r="E57" s="266" t="s">
        <v>91</v>
      </c>
      <c r="F57" s="266" t="s">
        <v>92</v>
      </c>
      <c r="G57" s="266" t="s">
        <v>93</v>
      </c>
      <c r="H57" s="265" t="s">
        <v>94</v>
      </c>
      <c r="I57" s="265" t="s">
        <v>95</v>
      </c>
      <c r="J57" s="265" t="s">
        <v>96</v>
      </c>
      <c r="K57" s="265" t="s">
        <v>97</v>
      </c>
      <c r="L57" s="267" t="s">
        <v>98</v>
      </c>
      <c r="M57" s="268" t="s">
        <v>99</v>
      </c>
      <c r="N57" s="269" t="s">
        <v>100</v>
      </c>
      <c r="R57" s="111" t="s">
        <v>101</v>
      </c>
      <c r="S57" s="111" t="s">
        <v>94</v>
      </c>
      <c r="T57" s="111" t="s">
        <v>102</v>
      </c>
      <c r="U57" s="111" t="s">
        <v>96</v>
      </c>
      <c r="V57" s="111" t="s">
        <v>103</v>
      </c>
      <c r="W57" s="111" t="s">
        <v>104</v>
      </c>
    </row>
    <row r="58" spans="1:37" x14ac:dyDescent="0.25">
      <c r="C58" s="77" t="s">
        <v>71</v>
      </c>
      <c r="D58" s="279">
        <f t="shared" ref="D58:D65" si="0">SUMIF($E$6:$E$52,C58,$D$6:$D$52)</f>
        <v>34.900000000000006</v>
      </c>
      <c r="E58" s="279"/>
      <c r="F58" s="288"/>
      <c r="G58" s="137"/>
      <c r="H58" s="80">
        <f t="shared" ref="H58:H65" si="1">SUMIF($E$6:$E$52,C58,$L$6:$L$52)+SUMIF($E$6:$E$52,C58,$M$6:$M$52)+SUMIF($E$6:$E$52,C58,$N$6:$N$52)</f>
        <v>6.54</v>
      </c>
      <c r="I58" s="137">
        <f t="shared" ref="I58:I65" si="2">IF(ISERROR(H58*24/D58),0,H58*24/D58)</f>
        <v>4.4974212034383951</v>
      </c>
      <c r="J58" s="137">
        <v>4.5</v>
      </c>
      <c r="K58" s="80"/>
      <c r="L58" s="79">
        <f>D58*J58/24</f>
        <v>6.5437500000000002</v>
      </c>
      <c r="M58" s="80">
        <f t="shared" ref="M58:M65" si="3">L58-H58</f>
        <v>3.7500000000001421E-3</v>
      </c>
      <c r="N58" s="86"/>
      <c r="Q58" s="82"/>
      <c r="R58" s="83" t="s">
        <v>105</v>
      </c>
      <c r="S58" s="228">
        <f>SUM(V5:V52)</f>
        <v>8.1</v>
      </c>
      <c r="T58" s="84">
        <f>S58*24/($D$59+$D$65)</f>
        <v>3.0139534883720929</v>
      </c>
      <c r="U58" s="84">
        <v>6</v>
      </c>
      <c r="V58" s="85">
        <f>($D$59+$D$65)*U58/24</f>
        <v>16.125</v>
      </c>
      <c r="W58" s="86">
        <f>V58-S58</f>
        <v>8.0250000000000004</v>
      </c>
    </row>
    <row r="59" spans="1:37" x14ac:dyDescent="0.25">
      <c r="C59" s="87" t="s">
        <v>51</v>
      </c>
      <c r="D59" s="264">
        <f t="shared" si="0"/>
        <v>35.900000000000006</v>
      </c>
      <c r="E59" s="264"/>
      <c r="F59" s="289"/>
      <c r="G59" s="139"/>
      <c r="H59" s="88">
        <f t="shared" si="1"/>
        <v>6.74</v>
      </c>
      <c r="I59" s="139">
        <f t="shared" si="2"/>
        <v>4.5058495821727007</v>
      </c>
      <c r="J59" s="139">
        <v>4.5</v>
      </c>
      <c r="K59" s="88"/>
      <c r="L59" s="37">
        <f t="shared" ref="L59:L65" si="4">D59*J59/24</f>
        <v>6.7312500000000002</v>
      </c>
      <c r="M59" s="88">
        <f t="shared" si="3"/>
        <v>-8.7500000000000355E-3</v>
      </c>
      <c r="N59" s="121"/>
      <c r="R59" s="90" t="s">
        <v>106</v>
      </c>
      <c r="S59" s="286">
        <f>SUM(S5:S52)</f>
        <v>0</v>
      </c>
      <c r="T59" s="84">
        <f>S59*24/($D$59+$D$65)</f>
        <v>0</v>
      </c>
      <c r="U59" s="88"/>
      <c r="V59" s="88"/>
      <c r="W59" s="121"/>
    </row>
    <row r="60" spans="1:37" x14ac:dyDescent="0.25">
      <c r="C60" s="87" t="s">
        <v>61</v>
      </c>
      <c r="D60" s="264">
        <f t="shared" si="0"/>
        <v>9.3999999999999986</v>
      </c>
      <c r="E60" s="264">
        <f>SUMIF($E$6:$E$52,C60,$G$6:$G$52)</f>
        <v>112.8</v>
      </c>
      <c r="F60" s="289">
        <f>E60/D60</f>
        <v>12.000000000000002</v>
      </c>
      <c r="G60" s="139">
        <v>12.5</v>
      </c>
      <c r="H60" s="88">
        <f t="shared" si="1"/>
        <v>10.38</v>
      </c>
      <c r="I60" s="139">
        <f t="shared" si="2"/>
        <v>26.502127659574473</v>
      </c>
      <c r="J60" s="139">
        <v>30.5</v>
      </c>
      <c r="K60" s="88">
        <f>E60/G60</f>
        <v>9.0239999999999991</v>
      </c>
      <c r="L60" s="37">
        <f>K60*J60/24</f>
        <v>11.467999999999998</v>
      </c>
      <c r="M60" s="88">
        <f t="shared" si="3"/>
        <v>1.0879999999999974</v>
      </c>
      <c r="N60" s="121">
        <f>K60-D60</f>
        <v>-0.37599999999999945</v>
      </c>
      <c r="R60" s="90" t="s">
        <v>20</v>
      </c>
      <c r="S60" s="286">
        <f>SUM(T5:T52)</f>
        <v>0</v>
      </c>
      <c r="T60" s="84">
        <f>S60*24/($D$59+$D$65)</f>
        <v>0</v>
      </c>
      <c r="U60" s="88"/>
      <c r="V60" s="88"/>
      <c r="W60" s="121"/>
    </row>
    <row r="61" spans="1:37" x14ac:dyDescent="0.25">
      <c r="C61" s="87" t="s">
        <v>55</v>
      </c>
      <c r="D61" s="264">
        <f t="shared" si="0"/>
        <v>81.400000000000006</v>
      </c>
      <c r="E61" s="264">
        <f>SUMIF($E$6:$E$52,C61,$G$6:$G$52)</f>
        <v>927.5</v>
      </c>
      <c r="F61" s="289">
        <f>E61/D61</f>
        <v>11.394348894348894</v>
      </c>
      <c r="G61" s="139">
        <v>12</v>
      </c>
      <c r="H61" s="88">
        <f t="shared" si="1"/>
        <v>90.63000000000001</v>
      </c>
      <c r="I61" s="139">
        <f t="shared" si="2"/>
        <v>26.721375921375923</v>
      </c>
      <c r="J61" s="139">
        <v>30.5</v>
      </c>
      <c r="K61" s="88">
        <f>E61/G61</f>
        <v>77.291666666666671</v>
      </c>
      <c r="L61" s="37">
        <f>K61*J61/24</f>
        <v>98.2248263888889</v>
      </c>
      <c r="M61" s="88">
        <f t="shared" si="3"/>
        <v>7.5948263888888903</v>
      </c>
      <c r="N61" s="121">
        <f>K61-D61</f>
        <v>-4.1083333333333343</v>
      </c>
      <c r="R61" s="90" t="s">
        <v>107</v>
      </c>
      <c r="S61" s="286">
        <f>SUM(U5:U52)</f>
        <v>0</v>
      </c>
      <c r="T61" s="84">
        <f>S61*24/($D$59+$D$65)</f>
        <v>0</v>
      </c>
      <c r="U61" s="88"/>
      <c r="V61" s="88"/>
      <c r="W61" s="121"/>
    </row>
    <row r="62" spans="1:37" ht="15.75" thickBot="1" x14ac:dyDescent="0.3">
      <c r="C62" s="87" t="s">
        <v>108</v>
      </c>
      <c r="D62" s="264">
        <f t="shared" si="0"/>
        <v>0</v>
      </c>
      <c r="E62" s="264">
        <f>SUMIF($E$6:$E$52,C62,$G$6:$G$52)</f>
        <v>0</v>
      </c>
      <c r="F62" s="289">
        <f>IF(ISERROR(E62/D62),0,E62/D62)</f>
        <v>0</v>
      </c>
      <c r="G62" s="139">
        <v>12</v>
      </c>
      <c r="H62" s="88">
        <f t="shared" si="1"/>
        <v>0</v>
      </c>
      <c r="I62" s="139">
        <f>IF(ISERROR(H62*24/D62),0,H62*24/D62)</f>
        <v>0</v>
      </c>
      <c r="J62" s="139">
        <v>31.5</v>
      </c>
      <c r="K62" s="88">
        <f>E62/G62</f>
        <v>0</v>
      </c>
      <c r="L62" s="37">
        <f>K62*J62/24</f>
        <v>0</v>
      </c>
      <c r="M62" s="88">
        <f t="shared" si="3"/>
        <v>0</v>
      </c>
      <c r="N62" s="121">
        <f>K62-D62</f>
        <v>0</v>
      </c>
      <c r="R62" s="92" t="s">
        <v>24</v>
      </c>
      <c r="S62" s="287">
        <f>SUM(R5:R52)</f>
        <v>0</v>
      </c>
      <c r="T62" s="84">
        <f>S62*24/($D$59+$D$65)</f>
        <v>0</v>
      </c>
      <c r="U62" s="98"/>
      <c r="V62" s="98"/>
      <c r="W62" s="122"/>
    </row>
    <row r="63" spans="1:37" x14ac:dyDescent="0.25">
      <c r="C63" s="87" t="s">
        <v>45</v>
      </c>
      <c r="D63" s="264">
        <f t="shared" si="0"/>
        <v>149.79999999999998</v>
      </c>
      <c r="E63" s="264"/>
      <c r="F63" s="289"/>
      <c r="G63" s="139"/>
      <c r="H63" s="88">
        <f t="shared" si="1"/>
        <v>26.090000000000003</v>
      </c>
      <c r="I63" s="139">
        <f t="shared" si="2"/>
        <v>4.1799732977303083</v>
      </c>
      <c r="J63" s="139">
        <v>4.5</v>
      </c>
      <c r="K63" s="88"/>
      <c r="L63" s="37">
        <f t="shared" si="4"/>
        <v>28.087499999999995</v>
      </c>
      <c r="M63" s="88">
        <f t="shared" si="3"/>
        <v>1.9974999999999916</v>
      </c>
      <c r="N63" s="121"/>
      <c r="S63" s="68"/>
      <c r="T63" s="143"/>
      <c r="U63" s="68"/>
      <c r="V63" s="68"/>
      <c r="W63" s="68"/>
    </row>
    <row r="64" spans="1:37" x14ac:dyDescent="0.25">
      <c r="C64" s="87" t="s">
        <v>47</v>
      </c>
      <c r="D64" s="264">
        <f t="shared" si="0"/>
        <v>13.999999999999995</v>
      </c>
      <c r="E64" s="264"/>
      <c r="F64" s="289"/>
      <c r="G64" s="139"/>
      <c r="H64" s="88">
        <f t="shared" si="1"/>
        <v>6.1</v>
      </c>
      <c r="I64" s="139">
        <f t="shared" si="2"/>
        <v>10.457142857142859</v>
      </c>
      <c r="J64" s="139">
        <v>4.5</v>
      </c>
      <c r="K64" s="88"/>
      <c r="L64" s="37">
        <f t="shared" si="4"/>
        <v>2.6249999999999991</v>
      </c>
      <c r="M64" s="88">
        <f t="shared" si="3"/>
        <v>-3.4750000000000005</v>
      </c>
      <c r="N64" s="121"/>
      <c r="S64" s="68"/>
      <c r="T64" s="68"/>
      <c r="U64" s="68"/>
      <c r="V64" s="68"/>
      <c r="W64" s="68"/>
    </row>
    <row r="65" spans="3:23" ht="15.75" thickBot="1" x14ac:dyDescent="0.3">
      <c r="C65" s="97" t="s">
        <v>49</v>
      </c>
      <c r="D65" s="290">
        <f t="shared" si="0"/>
        <v>28.599999999999994</v>
      </c>
      <c r="E65" s="290"/>
      <c r="F65" s="291"/>
      <c r="G65" s="140"/>
      <c r="H65" s="98">
        <f t="shared" si="1"/>
        <v>5.32</v>
      </c>
      <c r="I65" s="141">
        <f t="shared" si="2"/>
        <v>4.4643356643356658</v>
      </c>
      <c r="J65" s="141">
        <v>4.5</v>
      </c>
      <c r="K65" s="98"/>
      <c r="L65" s="99">
        <f t="shared" si="4"/>
        <v>5.3624999999999998</v>
      </c>
      <c r="M65" s="98">
        <f t="shared" si="3"/>
        <v>4.2499999999999538E-2</v>
      </c>
      <c r="N65" s="122"/>
      <c r="O65" s="68"/>
      <c r="S65" s="68"/>
      <c r="T65" s="68"/>
      <c r="U65" s="68"/>
      <c r="V65" s="68"/>
      <c r="W65" s="68"/>
    </row>
    <row r="66" spans="3:23" ht="15.75" thickBot="1" x14ac:dyDescent="0.3">
      <c r="C66" s="124"/>
      <c r="D66" s="327"/>
      <c r="E66" s="292"/>
      <c r="F66" s="293"/>
      <c r="G66" s="134"/>
      <c r="H66" s="328"/>
      <c r="I66" s="144"/>
      <c r="J66" s="144"/>
      <c r="K66" s="68"/>
      <c r="L66" s="102"/>
      <c r="M66" s="68"/>
      <c r="N66" s="145"/>
      <c r="O66" s="68"/>
      <c r="S66" s="68"/>
      <c r="T66" s="68"/>
      <c r="U66" s="68"/>
      <c r="V66" s="68"/>
      <c r="W66" s="68"/>
    </row>
    <row r="67" spans="3:23" ht="15.75" thickBot="1" x14ac:dyDescent="0.3">
      <c r="C67" s="103" t="s">
        <v>29</v>
      </c>
      <c r="D67" s="284">
        <f>SUM(D58:D65)</f>
        <v>354</v>
      </c>
      <c r="E67" s="284">
        <f>SUM(E58:E64)</f>
        <v>1040.3</v>
      </c>
      <c r="F67" s="284">
        <f>SUM(F58:F64)/2</f>
        <v>11.697174447174447</v>
      </c>
      <c r="H67" s="101">
        <f>SUM(H58:H65)</f>
        <v>151.80000000000001</v>
      </c>
      <c r="K67" s="142"/>
      <c r="L67" s="104">
        <f>SUM(L58:L65)</f>
        <v>159.0428263888889</v>
      </c>
      <c r="M67" s="101">
        <f>SUM(M58:M65)</f>
        <v>7.2428263888888793</v>
      </c>
      <c r="N67" s="101">
        <f>SUM(N58:N65)</f>
        <v>-4.4843333333333337</v>
      </c>
      <c r="R67" s="100" t="s">
        <v>29</v>
      </c>
      <c r="S67" s="101">
        <f>SUM(S58:S62)</f>
        <v>8.1</v>
      </c>
      <c r="T67" s="101">
        <f>SUM(T58:T62)</f>
        <v>3.0139534883720929</v>
      </c>
      <c r="U67" s="68"/>
      <c r="V67" s="68"/>
      <c r="W67" s="68"/>
    </row>
    <row r="76" spans="3:23" x14ac:dyDescent="0.25">
      <c r="I76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52" name="Rango14"/>
    <protectedRange sqref="AF6:AG52" name="Rango12"/>
    <protectedRange sqref="AC6:AD52" name="Rango10"/>
    <protectedRange sqref="Z6:AA52" name="Rango8"/>
    <protectedRange sqref="X6:X52" name="Rango6"/>
    <protectedRange sqref="R6:V52" name="Rango5"/>
    <protectedRange sqref="P6:P52" name="Rango3"/>
    <protectedRange sqref="E6:N52" name="Rango2"/>
    <protectedRange sqref="A6:C52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52">
    <cfRule type="cellIs" dxfId="930" priority="2" operator="greaterThan">
      <formula>"S5"</formula>
    </cfRule>
  </conditionalFormatting>
  <conditionalFormatting sqref="I6:I52">
    <cfRule type="cellIs" dxfId="929" priority="1" operator="greaterThan">
      <formula>0</formula>
    </cfRule>
  </conditionalFormatting>
  <dataValidations count="1">
    <dataValidation type="list" allowBlank="1" showInputMessage="1" showErrorMessage="1" sqref="E6:E52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A1:AK97"/>
  <sheetViews>
    <sheetView workbookViewId="0">
      <pane xSplit="6" ySplit="5" topLeftCell="G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E91" sqref="E9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43954</v>
      </c>
      <c r="C4" s="341">
        <v>0.29166666666666669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83.4</v>
      </c>
      <c r="R4" s="553" t="s">
        <v>183</v>
      </c>
      <c r="S4" s="554"/>
      <c r="T4" s="554"/>
      <c r="U4" s="554"/>
      <c r="V4" s="554"/>
      <c r="W4" s="554"/>
      <c r="X4" s="555"/>
      <c r="Y4" s="283">
        <v>62</v>
      </c>
      <c r="Z4" s="6"/>
      <c r="AA4" s="7" t="s">
        <v>184</v>
      </c>
      <c r="AB4" s="304">
        <v>4580</v>
      </c>
      <c r="AC4" s="9"/>
      <c r="AD4" s="7" t="s">
        <v>184</v>
      </c>
      <c r="AE4" s="304">
        <v>4300</v>
      </c>
      <c r="AG4" s="7" t="s">
        <v>184</v>
      </c>
      <c r="AH4" s="304">
        <v>3710</v>
      </c>
      <c r="AJ4" s="7" t="s">
        <v>184</v>
      </c>
      <c r="AK4" s="304">
        <v>2800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207</v>
      </c>
      <c r="B6" s="48">
        <v>43954</v>
      </c>
      <c r="C6" s="41">
        <v>0.32500000000000001</v>
      </c>
      <c r="D6" s="37">
        <f>IF(V059_20[[#This Row],[FECHA]]-B4=1,((V059_20[[#This Row],[HORA]]-C4)*24)+24,(V059_20[[#This Row],[HORA]]-C4)*24)</f>
        <v>0.79999999999999982</v>
      </c>
      <c r="E6" s="250" t="s">
        <v>47</v>
      </c>
      <c r="F6" s="29" t="s">
        <v>48</v>
      </c>
      <c r="G6" s="322"/>
      <c r="H6" s="310"/>
      <c r="I6" s="259">
        <f>IF(ISERROR(V059_20[[#This Row],[DISTANCIA POR CARTA]]/V059_20[[#This Row],[TIEMPO DE NAVEGACION]]),0,V059_20[[#This Row],[DISTANCIA POR CARTA]]/V059_20[[#This Row],[TIEMPO DE NAVEGACION]])</f>
        <v>0</v>
      </c>
      <c r="J6" s="253"/>
      <c r="K6" s="323"/>
      <c r="L6" s="256">
        <v>0.17</v>
      </c>
      <c r="M6" s="257">
        <v>0.08</v>
      </c>
      <c r="N6" s="257">
        <v>7.0000000000000007E-2</v>
      </c>
      <c r="O6" s="257">
        <f>SUM(V059_20[[#This Row],[MPAL]:[CALDERA]])</f>
        <v>0.32</v>
      </c>
      <c r="P6" s="326"/>
      <c r="Q6" s="281">
        <f>(Q4-V059_20[[#This Row],[TOTAL ]])+V059_20[[#This Row],[FAENA]]</f>
        <v>83.080000000000013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SUM(V059_20[[#This Row],[MPAL2]:[GI]])</f>
        <v>0</v>
      </c>
      <c r="X6" s="257"/>
      <c r="Y6" s="282">
        <f>(Y4-V059_20[[#This Row],[TOTAL]])+V059_20[[#This Row],[FAENA2]]</f>
        <v>62</v>
      </c>
      <c r="Z6" s="256"/>
      <c r="AA6" s="257"/>
      <c r="AB6" s="320">
        <f>(AB4-V059_20[[#This Row],[CYLINDER MP]])+V059_20[[#This Row],[FAENA EN LTS]]</f>
        <v>4580</v>
      </c>
      <c r="AC6" s="257"/>
      <c r="AD6" s="257"/>
      <c r="AE6" s="320">
        <f>(AE4-V059_20[[#This Row],[CARTER MP.]])+V059_20[[#This Row],[FAENA EN LTS2]]</f>
        <v>4300</v>
      </c>
      <c r="AF6" s="257"/>
      <c r="AG6" s="257"/>
      <c r="AH6" s="320">
        <f>(AH4-V059_20[[#This Row],[MOT AUX]])+V059_20[[#This Row],[FAENA EN  LTS]]</f>
        <v>3710</v>
      </c>
      <c r="AI6" s="257"/>
      <c r="AJ6" s="257"/>
      <c r="AK6" s="321">
        <f>(AK4-V059_20[[#This Row],[HIDRAULICO]])+V059_20[[#This Row],[FAENA EN LTS3]]</f>
        <v>2800</v>
      </c>
    </row>
    <row r="7" spans="1:37" x14ac:dyDescent="0.25">
      <c r="A7" s="235" t="s">
        <v>207</v>
      </c>
      <c r="B7" s="382">
        <v>43954</v>
      </c>
      <c r="C7" s="351">
        <v>0.33333333333333331</v>
      </c>
      <c r="D7" s="37">
        <f>IF(V059_20[[#This Row],[FECHA]]-B6=1,((V059_20[[#This Row],[HORA]]-C6)*24)+24,(V059_20[[#This Row],[HORA]]-C6)*24)</f>
        <v>0.19999999999999929</v>
      </c>
      <c r="E7" s="239" t="s">
        <v>45</v>
      </c>
      <c r="F7" s="29" t="s">
        <v>208</v>
      </c>
      <c r="G7" s="324"/>
      <c r="H7" s="306"/>
      <c r="I7" s="259">
        <f>IF(ISERROR(V059_20[[#This Row],[DISTANCIA POR CARTA]]/V059_20[[#This Row],[TIEMPO DE NAVEGACION]]),0,V059_20[[#This Row],[DISTANCIA POR CARTA]]/V059_20[[#This Row],[TIEMPO DE NAVEGACION]])</f>
        <v>0</v>
      </c>
      <c r="J7" s="242"/>
      <c r="K7" s="325"/>
      <c r="L7" s="245">
        <v>0</v>
      </c>
      <c r="M7" s="246">
        <v>0.02</v>
      </c>
      <c r="N7" s="246">
        <v>0.02</v>
      </c>
      <c r="O7" s="257">
        <f>SUM(V059_20[[#This Row],[MPAL]:[CALDERA]])</f>
        <v>0.04</v>
      </c>
      <c r="P7" s="319"/>
      <c r="Q7" s="281">
        <f>(Q6-V059_20[[#This Row],[TOTAL ]])+V059_20[[#This Row],[FAENA]]</f>
        <v>83.04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SUM(V059_20[[#This Row],[MPAL2]:[GI]])</f>
        <v>0</v>
      </c>
      <c r="X7" s="246"/>
      <c r="Y7" s="282">
        <f>(Y6-V059_20[[#This Row],[TOTAL]])+V059_20[[#This Row],[FAENA2]]</f>
        <v>62</v>
      </c>
      <c r="Z7" s="245"/>
      <c r="AA7" s="246"/>
      <c r="AB7" s="320">
        <f>(AB6-V059_20[[#This Row],[CYLINDER MP]])+V059_20[[#This Row],[FAENA EN LTS]]</f>
        <v>4580</v>
      </c>
      <c r="AC7" s="246"/>
      <c r="AD7" s="246"/>
      <c r="AE7" s="320">
        <f>(AE6-V059_20[[#This Row],[CARTER MP.]])+V059_20[[#This Row],[FAENA EN LTS2]]</f>
        <v>4300</v>
      </c>
      <c r="AF7" s="246"/>
      <c r="AG7" s="246"/>
      <c r="AH7" s="320">
        <f>(AH6-V059_20[[#This Row],[MOT AUX]])+V059_20[[#This Row],[FAENA EN  LTS]]</f>
        <v>3710</v>
      </c>
      <c r="AI7" s="246"/>
      <c r="AJ7" s="246"/>
      <c r="AK7" s="321">
        <f>(AK6-V059_20[[#This Row],[HIDRAULICO]])+V059_20[[#This Row],[FAENA EN LTS3]]</f>
        <v>2800</v>
      </c>
    </row>
    <row r="8" spans="1:37" x14ac:dyDescent="0.25">
      <c r="A8" s="235" t="s">
        <v>207</v>
      </c>
      <c r="B8" s="382">
        <v>43954</v>
      </c>
      <c r="C8" s="41">
        <v>0.41666666666666669</v>
      </c>
      <c r="D8" s="37">
        <f>IF(V059_20[[#This Row],[FECHA]]-B7=1,((V059_20[[#This Row],[HORA]]-C7)*24)+24,(V059_20[[#This Row],[HORA]]-C7)*24)</f>
        <v>2.0000000000000009</v>
      </c>
      <c r="E8" s="239" t="s">
        <v>45</v>
      </c>
      <c r="F8" s="29" t="s">
        <v>46</v>
      </c>
      <c r="G8" s="324"/>
      <c r="H8" s="306"/>
      <c r="I8" s="259">
        <f>IF(ISERROR(V059_20[[#This Row],[DISTANCIA POR CARTA]]/V059_20[[#This Row],[TIEMPO DE NAVEGACION]]),0,V059_20[[#This Row],[DISTANCIA POR CARTA]]/V059_20[[#This Row],[TIEMPO DE NAVEGACION]])</f>
        <v>0</v>
      </c>
      <c r="J8" s="242"/>
      <c r="K8" s="325"/>
      <c r="L8" s="245">
        <v>0</v>
      </c>
      <c r="M8" s="245">
        <v>0.21</v>
      </c>
      <c r="N8" s="245">
        <v>0.17</v>
      </c>
      <c r="O8" s="257">
        <f>SUM(V059_20[[#This Row],[MPAL]:[CALDERA]])</f>
        <v>0.38</v>
      </c>
      <c r="P8" s="319"/>
      <c r="Q8" s="281">
        <f>(Q7-V059_20[[#This Row],[TOTAL ]])+V059_20[[#This Row],[FAENA]]</f>
        <v>82.660000000000011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SUM(V059_20[[#This Row],[MPAL2]:[GI]])</f>
        <v>0</v>
      </c>
      <c r="X8" s="246"/>
      <c r="Y8" s="282">
        <f>(Y7-V059_20[[#This Row],[TOTAL]])+V059_20[[#This Row],[FAENA2]]</f>
        <v>62</v>
      </c>
      <c r="Z8" s="245"/>
      <c r="AA8" s="246"/>
      <c r="AB8" s="320">
        <f>(AB7-V059_20[[#This Row],[CYLINDER MP]])+V059_20[[#This Row],[FAENA EN LTS]]</f>
        <v>4580</v>
      </c>
      <c r="AC8" s="246"/>
      <c r="AD8" s="246"/>
      <c r="AE8" s="320">
        <f>(AE7-V059_20[[#This Row],[CARTER MP.]])+V059_20[[#This Row],[FAENA EN LTS2]]</f>
        <v>4300</v>
      </c>
      <c r="AF8" s="246"/>
      <c r="AG8" s="246"/>
      <c r="AH8" s="320">
        <f>(AH7-V059_20[[#This Row],[MOT AUX]])+V059_20[[#This Row],[FAENA EN  LTS]]</f>
        <v>3710</v>
      </c>
      <c r="AI8" s="246"/>
      <c r="AJ8" s="246"/>
      <c r="AK8" s="321">
        <f>(AK7-V059_20[[#This Row],[HIDRAULICO]])+V059_20[[#This Row],[FAENA EN LTS3]]</f>
        <v>2800</v>
      </c>
    </row>
    <row r="9" spans="1:37" x14ac:dyDescent="0.25">
      <c r="A9" s="235" t="s">
        <v>207</v>
      </c>
      <c r="B9" s="382">
        <v>43954</v>
      </c>
      <c r="C9" s="41">
        <v>0.42499999999999999</v>
      </c>
      <c r="D9" s="37">
        <f>IF(V059_20[[#This Row],[FECHA]]-B8=1,((V059_20[[#This Row],[HORA]]-C8)*24)+24,(V059_20[[#This Row],[HORA]]-C8)*24)</f>
        <v>0.19999999999999929</v>
      </c>
      <c r="E9" s="239" t="s">
        <v>47</v>
      </c>
      <c r="F9" s="29" t="s">
        <v>221</v>
      </c>
      <c r="G9" s="324"/>
      <c r="H9" s="306"/>
      <c r="I9" s="259">
        <f>IF(ISERROR(V059_20[[#This Row],[DISTANCIA POR CARTA]]/V059_20[[#This Row],[TIEMPO DE NAVEGACION]]),0,V059_20[[#This Row],[DISTANCIA POR CARTA]]/V059_20[[#This Row],[TIEMPO DE NAVEGACION]])</f>
        <v>0</v>
      </c>
      <c r="J9" s="242"/>
      <c r="K9" s="325"/>
      <c r="L9" s="245">
        <v>7.0000000000000007E-2</v>
      </c>
      <c r="M9" s="245">
        <v>0.02</v>
      </c>
      <c r="N9" s="245">
        <v>0.02</v>
      </c>
      <c r="O9" s="257">
        <f>SUM(V059_20[[#This Row],[MPAL]:[CALDERA]])</f>
        <v>0.11000000000000001</v>
      </c>
      <c r="P9" s="319"/>
      <c r="Q9" s="281">
        <f>(Q8-V059_20[[#This Row],[TOTAL ]])+V059_20[[#This Row],[FAENA]]</f>
        <v>82.550000000000011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SUM(V059_20[[#This Row],[MPAL2]:[GI]])</f>
        <v>0</v>
      </c>
      <c r="X9" s="246"/>
      <c r="Y9" s="282">
        <f>(Y8-V059_20[[#This Row],[TOTAL]])+V059_20[[#This Row],[FAENA2]]</f>
        <v>62</v>
      </c>
      <c r="Z9" s="245"/>
      <c r="AA9" s="246"/>
      <c r="AB9" s="320">
        <f>(AB8-V059_20[[#This Row],[CYLINDER MP]])+V059_20[[#This Row],[FAENA EN LTS]]</f>
        <v>4580</v>
      </c>
      <c r="AC9" s="246"/>
      <c r="AD9" s="246"/>
      <c r="AE9" s="320">
        <f>(AE8-V059_20[[#This Row],[CARTER MP.]])+V059_20[[#This Row],[FAENA EN LTS2]]</f>
        <v>4300</v>
      </c>
      <c r="AF9" s="246"/>
      <c r="AG9" s="246"/>
      <c r="AH9" s="320">
        <f>(AH8-V059_20[[#This Row],[MOT AUX]])+V059_20[[#This Row],[FAENA EN  LTS]]</f>
        <v>3710</v>
      </c>
      <c r="AI9" s="246"/>
      <c r="AJ9" s="246"/>
      <c r="AK9" s="321">
        <f>(AK8-V059_20[[#This Row],[HIDRAULICO]])+V059_20[[#This Row],[FAENA EN LTS3]]</f>
        <v>2800</v>
      </c>
    </row>
    <row r="10" spans="1:37" x14ac:dyDescent="0.25">
      <c r="A10" s="235" t="s">
        <v>207</v>
      </c>
      <c r="B10" s="382">
        <v>43954</v>
      </c>
      <c r="C10" s="41">
        <v>0.4458333333333333</v>
      </c>
      <c r="D10" s="37">
        <f>IF(V059_20[[#This Row],[FECHA]]-B9=1,((V059_20[[#This Row],[HORA]]-C9)*24)+24,(V059_20[[#This Row],[HORA]]-C9)*24)</f>
        <v>0.49999999999999956</v>
      </c>
      <c r="E10" s="239" t="s">
        <v>61</v>
      </c>
      <c r="F10" s="29" t="s">
        <v>222</v>
      </c>
      <c r="G10" s="324"/>
      <c r="H10" s="306"/>
      <c r="I10" s="259">
        <f>IF(ISERROR(V059_20[[#This Row],[DISTANCIA POR CARTA]]/V059_20[[#This Row],[TIEMPO DE NAVEGACION]]),0,V059_20[[#This Row],[DISTANCIA POR CARTA]]/V059_20[[#This Row],[TIEMPO DE NAVEGACION]])</f>
        <v>0</v>
      </c>
      <c r="J10" s="242"/>
      <c r="K10" s="325"/>
      <c r="L10" s="245">
        <v>0.21</v>
      </c>
      <c r="M10" s="245">
        <v>0.05</v>
      </c>
      <c r="N10" s="245">
        <v>0.04</v>
      </c>
      <c r="O10" s="257">
        <f>SUM(V059_20[[#This Row],[MPAL]:[CALDERA]])</f>
        <v>0.3</v>
      </c>
      <c r="P10" s="319"/>
      <c r="Q10" s="281">
        <f>(Q9-V059_20[[#This Row],[TOTAL ]])+V059_20[[#This Row],[FAENA]]</f>
        <v>82.250000000000014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SUM(V059_20[[#This Row],[MPAL2]:[GI]])</f>
        <v>0</v>
      </c>
      <c r="X10" s="246"/>
      <c r="Y10" s="282">
        <f>(Y9-V059_20[[#This Row],[TOTAL]])+V059_20[[#This Row],[FAENA2]]</f>
        <v>62</v>
      </c>
      <c r="Z10" s="245"/>
      <c r="AA10" s="246"/>
      <c r="AB10" s="320">
        <f>(AB9-V059_20[[#This Row],[CYLINDER MP]])+V059_20[[#This Row],[FAENA EN LTS]]</f>
        <v>4580</v>
      </c>
      <c r="AC10" s="246"/>
      <c r="AD10" s="246"/>
      <c r="AE10" s="320">
        <f>(AE9-V059_20[[#This Row],[CARTER MP.]])+V059_20[[#This Row],[FAENA EN LTS2]]</f>
        <v>4300</v>
      </c>
      <c r="AF10" s="246"/>
      <c r="AG10" s="246"/>
      <c r="AH10" s="320">
        <f>(AH9-V059_20[[#This Row],[MOT AUX]])+V059_20[[#This Row],[FAENA EN  LTS]]</f>
        <v>3710</v>
      </c>
      <c r="AI10" s="246"/>
      <c r="AJ10" s="246"/>
      <c r="AK10" s="321">
        <f>(AK9-V059_20[[#This Row],[HIDRAULICO]])+V059_20[[#This Row],[FAENA EN LTS3]]</f>
        <v>2800</v>
      </c>
    </row>
    <row r="11" spans="1:37" x14ac:dyDescent="0.25">
      <c r="A11" s="235" t="s">
        <v>207</v>
      </c>
      <c r="B11" s="382">
        <v>43954</v>
      </c>
      <c r="C11" s="41">
        <v>0.51666666666666672</v>
      </c>
      <c r="D11" s="37">
        <f>IF(V059_20[[#This Row],[FECHA]]-B10=1,((V059_20[[#This Row],[HORA]]-C10)*24)+24,(V059_20[[#This Row],[HORA]]-C10)*24)</f>
        <v>1.700000000000002</v>
      </c>
      <c r="E11" s="239" t="s">
        <v>47</v>
      </c>
      <c r="F11" s="29" t="s">
        <v>48</v>
      </c>
      <c r="G11" s="324"/>
      <c r="H11" s="306"/>
      <c r="I11" s="259">
        <f>IF(ISERROR(V059_20[[#This Row],[DISTANCIA POR CARTA]]/V059_20[[#This Row],[TIEMPO DE NAVEGACION]]),0,V059_20[[#This Row],[DISTANCIA POR CARTA]]/V059_20[[#This Row],[TIEMPO DE NAVEGACION]])</f>
        <v>0</v>
      </c>
      <c r="J11" s="242"/>
      <c r="K11" s="325"/>
      <c r="L11" s="245">
        <v>0.35</v>
      </c>
      <c r="M11" s="245">
        <v>0.18</v>
      </c>
      <c r="N11" s="245">
        <v>0.14000000000000001</v>
      </c>
      <c r="O11" s="257">
        <f>SUM(V059_20[[#This Row],[MPAL]:[CALDERA]])</f>
        <v>0.67</v>
      </c>
      <c r="P11" s="319"/>
      <c r="Q11" s="281">
        <f>(Q10-V059_20[[#This Row],[TOTAL ]])+V059_20[[#This Row],[FAENA]]</f>
        <v>81.580000000000013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SUM(V059_20[[#This Row],[MPAL2]:[GI]])</f>
        <v>0</v>
      </c>
      <c r="X11" s="246"/>
      <c r="Y11" s="282">
        <f>(Y10-V059_20[[#This Row],[TOTAL]])+V059_20[[#This Row],[FAENA2]]</f>
        <v>62</v>
      </c>
      <c r="Z11" s="245"/>
      <c r="AA11" s="246"/>
      <c r="AB11" s="320">
        <f>(AB10-V059_20[[#This Row],[CYLINDER MP]])+V059_20[[#This Row],[FAENA EN LTS]]</f>
        <v>4580</v>
      </c>
      <c r="AC11" s="246"/>
      <c r="AD11" s="246"/>
      <c r="AE11" s="320">
        <f>(AE10-V059_20[[#This Row],[CARTER MP.]])+V059_20[[#This Row],[FAENA EN LTS2]]</f>
        <v>4300</v>
      </c>
      <c r="AF11" s="246"/>
      <c r="AG11" s="246"/>
      <c r="AH11" s="320">
        <f>(AH10-V059_20[[#This Row],[MOT AUX]])+V059_20[[#This Row],[FAENA EN  LTS]]</f>
        <v>3710</v>
      </c>
      <c r="AI11" s="246"/>
      <c r="AJ11" s="246"/>
      <c r="AK11" s="321">
        <f>(AK10-V059_20[[#This Row],[HIDRAULICO]])+V059_20[[#This Row],[FAENA EN LTS3]]</f>
        <v>2800</v>
      </c>
    </row>
    <row r="12" spans="1:37" x14ac:dyDescent="0.25">
      <c r="A12" s="235" t="s">
        <v>207</v>
      </c>
      <c r="B12" s="382">
        <v>43954</v>
      </c>
      <c r="C12" s="41">
        <v>0.71250000000000002</v>
      </c>
      <c r="D12" s="37">
        <f>IF(V059_20[[#This Row],[FECHA]]-B11=1,((V059_20[[#This Row],[HORA]]-C11)*24)+24,(V059_20[[#This Row],[HORA]]-C11)*24)</f>
        <v>4.6999999999999993</v>
      </c>
      <c r="E12" s="239" t="s">
        <v>49</v>
      </c>
      <c r="F12" s="29" t="s">
        <v>85</v>
      </c>
      <c r="G12" s="324"/>
      <c r="H12" s="306"/>
      <c r="I12" s="259">
        <f>IF(ISERROR(V059_20[[#This Row],[DISTANCIA POR CARTA]]/V059_20[[#This Row],[TIEMPO DE NAVEGACION]]),0,V059_20[[#This Row],[DISTANCIA POR CARTA]]/V059_20[[#This Row],[TIEMPO DE NAVEGACION]])</f>
        <v>0</v>
      </c>
      <c r="J12" s="242"/>
      <c r="K12" s="325"/>
      <c r="L12" s="245">
        <v>0</v>
      </c>
      <c r="M12" s="245">
        <v>0.49</v>
      </c>
      <c r="N12" s="245">
        <v>0.39</v>
      </c>
      <c r="O12" s="257">
        <f>SUM(V059_20[[#This Row],[MPAL]:[CALDERA]])</f>
        <v>0.88</v>
      </c>
      <c r="P12" s="319"/>
      <c r="Q12" s="281">
        <f>(Q11-V059_20[[#This Row],[TOTAL ]])+V059_20[[#This Row],[FAENA]]</f>
        <v>80.700000000000017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SUM(V059_20[[#This Row],[MPAL2]:[GI]])</f>
        <v>0</v>
      </c>
      <c r="X12" s="246"/>
      <c r="Y12" s="282">
        <f>(Y11-V059_20[[#This Row],[TOTAL]])+V059_20[[#This Row],[FAENA2]]</f>
        <v>62</v>
      </c>
      <c r="Z12" s="245"/>
      <c r="AA12" s="246"/>
      <c r="AB12" s="320">
        <f>(AB11-V059_20[[#This Row],[CYLINDER MP]])+V059_20[[#This Row],[FAENA EN LTS]]</f>
        <v>4580</v>
      </c>
      <c r="AC12" s="246"/>
      <c r="AD12" s="246"/>
      <c r="AE12" s="320">
        <f>(AE11-V059_20[[#This Row],[CARTER MP.]])+V059_20[[#This Row],[FAENA EN LTS2]]</f>
        <v>4300</v>
      </c>
      <c r="AF12" s="246"/>
      <c r="AG12" s="246"/>
      <c r="AH12" s="320">
        <f>(AH11-V059_20[[#This Row],[MOT AUX]])+V059_20[[#This Row],[FAENA EN  LTS]]</f>
        <v>3710</v>
      </c>
      <c r="AI12" s="246"/>
      <c r="AJ12" s="246"/>
      <c r="AK12" s="321">
        <f>(AK11-V059_20[[#This Row],[HIDRAULICO]])+V059_20[[#This Row],[FAENA EN LTS3]]</f>
        <v>2800</v>
      </c>
    </row>
    <row r="13" spans="1:37" x14ac:dyDescent="0.25">
      <c r="A13" s="235" t="s">
        <v>207</v>
      </c>
      <c r="B13" s="48">
        <v>43955</v>
      </c>
      <c r="C13" s="351">
        <v>0.33333333333333331</v>
      </c>
      <c r="D13" s="37">
        <f>IF(V059_20[[#This Row],[FECHA]]-B12=1,((V059_20[[#This Row],[HORA]]-C12)*24)+24,(V059_20[[#This Row],[HORA]]-C12)*24)</f>
        <v>14.899999999999999</v>
      </c>
      <c r="E13" s="239" t="s">
        <v>71</v>
      </c>
      <c r="F13" s="29" t="s">
        <v>71</v>
      </c>
      <c r="G13" s="324"/>
      <c r="H13" s="306"/>
      <c r="I13" s="259">
        <f>IF(ISERROR(V059_20[[#This Row],[DISTANCIA POR CARTA]]/V059_20[[#This Row],[TIEMPO DE NAVEGACION]]),0,V059_20[[#This Row],[DISTANCIA POR CARTA]]/V059_20[[#This Row],[TIEMPO DE NAVEGACION]])</f>
        <v>0</v>
      </c>
      <c r="J13" s="242"/>
      <c r="K13" s="325"/>
      <c r="L13" s="245">
        <v>0</v>
      </c>
      <c r="M13" s="245">
        <v>1.55</v>
      </c>
      <c r="N13" s="245">
        <v>1.24</v>
      </c>
      <c r="O13" s="257">
        <f>SUM(V059_20[[#This Row],[MPAL]:[CALDERA]])</f>
        <v>2.79</v>
      </c>
      <c r="P13" s="319"/>
      <c r="Q13" s="281">
        <f>(Q12-V059_20[[#This Row],[TOTAL ]])+V059_20[[#This Row],[FAENA]]</f>
        <v>77.910000000000011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SUM(V059_20[[#This Row],[MPAL2]:[GI]])</f>
        <v>0</v>
      </c>
      <c r="X13" s="246"/>
      <c r="Y13" s="282">
        <f>(Y12-V059_20[[#This Row],[TOTAL]])+V059_20[[#This Row],[FAENA2]]</f>
        <v>62</v>
      </c>
      <c r="Z13" s="245"/>
      <c r="AA13" s="246"/>
      <c r="AB13" s="320">
        <f>(AB12-V059_20[[#This Row],[CYLINDER MP]])+V059_20[[#This Row],[FAENA EN LTS]]</f>
        <v>4580</v>
      </c>
      <c r="AC13" s="246"/>
      <c r="AD13" s="246"/>
      <c r="AE13" s="320">
        <f>(AE12-V059_20[[#This Row],[CARTER MP.]])+V059_20[[#This Row],[FAENA EN LTS2]]</f>
        <v>4300</v>
      </c>
      <c r="AF13" s="246"/>
      <c r="AG13" s="246"/>
      <c r="AH13" s="320">
        <f>(AH12-V059_20[[#This Row],[MOT AUX]])+V059_20[[#This Row],[FAENA EN  LTS]]</f>
        <v>3710</v>
      </c>
      <c r="AI13" s="246"/>
      <c r="AJ13" s="246"/>
      <c r="AK13" s="321">
        <f>(AK12-V059_20[[#This Row],[HIDRAULICO]])+V059_20[[#This Row],[FAENA EN LTS3]]</f>
        <v>2800</v>
      </c>
    </row>
    <row r="14" spans="1:37" x14ac:dyDescent="0.25">
      <c r="A14" s="235" t="s">
        <v>207</v>
      </c>
      <c r="B14" s="48">
        <v>43956</v>
      </c>
      <c r="C14" s="362">
        <v>0.33333333333333331</v>
      </c>
      <c r="D14" s="37">
        <f>IF(V059_20[[#This Row],[FECHA]]-B13=1,((V059_20[[#This Row],[HORA]]-C13)*24)+24,(V059_20[[#This Row],[HORA]]-C13)*24)</f>
        <v>24</v>
      </c>
      <c r="E14" s="239" t="s">
        <v>71</v>
      </c>
      <c r="F14" s="29" t="s">
        <v>71</v>
      </c>
      <c r="G14" s="324"/>
      <c r="H14" s="306"/>
      <c r="I14" s="259">
        <f>IF(ISERROR(V059_20[[#This Row],[DISTANCIA POR CARTA]]/V059_20[[#This Row],[TIEMPO DE NAVEGACION]]),0,V059_20[[#This Row],[DISTANCIA POR CARTA]]/V059_20[[#This Row],[TIEMPO DE NAVEGACION]])</f>
        <v>0</v>
      </c>
      <c r="J14" s="242"/>
      <c r="K14" s="325"/>
      <c r="L14" s="245">
        <v>0</v>
      </c>
      <c r="M14" s="245">
        <v>2.5</v>
      </c>
      <c r="N14" s="245">
        <v>2</v>
      </c>
      <c r="O14" s="257">
        <f>SUM(V059_20[[#This Row],[MPAL]:[CALDERA]])</f>
        <v>4.5</v>
      </c>
      <c r="P14" s="319"/>
      <c r="Q14" s="281">
        <f>(Q13-V059_20[[#This Row],[TOTAL ]])+V059_20[[#This Row],[FAENA]]</f>
        <v>73.410000000000011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SUM(V059_20[[#This Row],[MPAL2]:[GI]])</f>
        <v>0</v>
      </c>
      <c r="X14" s="246"/>
      <c r="Y14" s="282">
        <f>(Y13-V059_20[[#This Row],[TOTAL]])+V059_20[[#This Row],[FAENA2]]</f>
        <v>62</v>
      </c>
      <c r="Z14" s="245"/>
      <c r="AA14" s="246"/>
      <c r="AB14" s="320">
        <f>(AB13-V059_20[[#This Row],[CYLINDER MP]])+V059_20[[#This Row],[FAENA EN LTS]]</f>
        <v>4580</v>
      </c>
      <c r="AC14" s="246"/>
      <c r="AD14" s="246"/>
      <c r="AE14" s="320">
        <f>(AE13-V059_20[[#This Row],[CARTER MP.]])+V059_20[[#This Row],[FAENA EN LTS2]]</f>
        <v>4300</v>
      </c>
      <c r="AF14" s="246"/>
      <c r="AG14" s="246"/>
      <c r="AH14" s="320">
        <f>(AH13-V059_20[[#This Row],[MOT AUX]])+V059_20[[#This Row],[FAENA EN  LTS]]</f>
        <v>3710</v>
      </c>
      <c r="AI14" s="246"/>
      <c r="AJ14" s="246"/>
      <c r="AK14" s="321">
        <f>(AK13-V059_20[[#This Row],[HIDRAULICO]])+V059_20[[#This Row],[FAENA EN LTS3]]</f>
        <v>2800</v>
      </c>
    </row>
    <row r="15" spans="1:37" x14ac:dyDescent="0.25">
      <c r="A15" s="235" t="s">
        <v>207</v>
      </c>
      <c r="B15" s="48">
        <v>43957</v>
      </c>
      <c r="C15" s="351">
        <v>0.33333333333333331</v>
      </c>
      <c r="D15" s="37">
        <f>IF(V059_20[[#This Row],[FECHA]]-B14=1,((V059_20[[#This Row],[HORA]]-C14)*24)+24,(V059_20[[#This Row],[HORA]]-C14)*24)</f>
        <v>24</v>
      </c>
      <c r="E15" s="239" t="s">
        <v>71</v>
      </c>
      <c r="F15" s="29" t="s">
        <v>71</v>
      </c>
      <c r="G15" s="324"/>
      <c r="H15" s="306"/>
      <c r="I15" s="259">
        <f>IF(ISERROR(V059_20[[#This Row],[DISTANCIA POR CARTA]]/V059_20[[#This Row],[TIEMPO DE NAVEGACION]]),0,V059_20[[#This Row],[DISTANCIA POR CARTA]]/V059_20[[#This Row],[TIEMPO DE NAVEGACION]])</f>
        <v>0</v>
      </c>
      <c r="J15" s="242"/>
      <c r="K15" s="325"/>
      <c r="L15" s="245">
        <v>0</v>
      </c>
      <c r="M15" s="245">
        <v>2.5</v>
      </c>
      <c r="N15" s="245">
        <v>2</v>
      </c>
      <c r="O15" s="257">
        <f>SUM(V059_20[[#This Row],[MPAL]:[CALDERA]])</f>
        <v>4.5</v>
      </c>
      <c r="P15" s="319"/>
      <c r="Q15" s="281">
        <f>(Q14-V059_20[[#This Row],[TOTAL ]])+V059_20[[#This Row],[FAENA]]</f>
        <v>68.910000000000011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SUM(V059_20[[#This Row],[MPAL2]:[GI]])</f>
        <v>0</v>
      </c>
      <c r="X15" s="246"/>
      <c r="Y15" s="282">
        <f>(Y14-V059_20[[#This Row],[TOTAL]])+V059_20[[#This Row],[FAENA2]]</f>
        <v>62</v>
      </c>
      <c r="Z15" s="245"/>
      <c r="AA15" s="246"/>
      <c r="AB15" s="320">
        <f>(AB14-V059_20[[#This Row],[CYLINDER MP]])+V059_20[[#This Row],[FAENA EN LTS]]</f>
        <v>4580</v>
      </c>
      <c r="AC15" s="246"/>
      <c r="AD15" s="246"/>
      <c r="AE15" s="320">
        <f>(AE14-V059_20[[#This Row],[CARTER MP.]])+V059_20[[#This Row],[FAENA EN LTS2]]</f>
        <v>4300</v>
      </c>
      <c r="AF15" s="246"/>
      <c r="AG15" s="246"/>
      <c r="AH15" s="320">
        <f>(AH14-V059_20[[#This Row],[MOT AUX]])+V059_20[[#This Row],[FAENA EN  LTS]]</f>
        <v>3710</v>
      </c>
      <c r="AI15" s="246"/>
      <c r="AJ15" s="246"/>
      <c r="AK15" s="321">
        <f>(AK14-V059_20[[#This Row],[HIDRAULICO]])+V059_20[[#This Row],[FAENA EN LTS3]]</f>
        <v>2800</v>
      </c>
    </row>
    <row r="16" spans="1:37" x14ac:dyDescent="0.25">
      <c r="A16" s="235" t="s">
        <v>207</v>
      </c>
      <c r="B16" s="382">
        <v>43957</v>
      </c>
      <c r="C16" s="41">
        <v>0.46249999999999997</v>
      </c>
      <c r="D16" s="37">
        <f>IF(V059_20[[#This Row],[FECHA]]-B15=1,((V059_20[[#This Row],[HORA]]-C15)*24)+24,(V059_20[[#This Row],[HORA]]-C15)*24)</f>
        <v>3.0999999999999996</v>
      </c>
      <c r="E16" s="239" t="s">
        <v>71</v>
      </c>
      <c r="F16" s="29" t="s">
        <v>156</v>
      </c>
      <c r="G16" s="324"/>
      <c r="H16" s="306"/>
      <c r="I16" s="259">
        <f>IF(ISERROR(V059_20[[#This Row],[DISTANCIA POR CARTA]]/V059_20[[#This Row],[TIEMPO DE NAVEGACION]]),0,V059_20[[#This Row],[DISTANCIA POR CARTA]]/V059_20[[#This Row],[TIEMPO DE NAVEGACION]])</f>
        <v>0</v>
      </c>
      <c r="J16" s="242"/>
      <c r="K16" s="325"/>
      <c r="L16" s="245">
        <v>0</v>
      </c>
      <c r="M16" s="245">
        <v>0.32</v>
      </c>
      <c r="N16" s="245">
        <v>0.26</v>
      </c>
      <c r="O16" s="257">
        <f>SUM(V059_20[[#This Row],[MPAL]:[CALDERA]])</f>
        <v>0.58000000000000007</v>
      </c>
      <c r="P16" s="246"/>
      <c r="Q16" s="281">
        <f>(Q15-V059_20[[#This Row],[TOTAL ]])+V059_20[[#This Row],[FAENA]]</f>
        <v>68.330000000000013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SUM(V059_20[[#This Row],[MPAL2]:[GI]])</f>
        <v>0</v>
      </c>
      <c r="X16" s="246"/>
      <c r="Y16" s="282">
        <f>(Y15-V059_20[[#This Row],[TOTAL]])+V059_20[[#This Row],[FAENA2]]</f>
        <v>62</v>
      </c>
      <c r="Z16" s="245"/>
      <c r="AA16" s="246"/>
      <c r="AB16" s="320">
        <f>(AB15-V059_20[[#This Row],[CYLINDER MP]])+V059_20[[#This Row],[FAENA EN LTS]]</f>
        <v>4580</v>
      </c>
      <c r="AC16" s="246"/>
      <c r="AD16" s="246"/>
      <c r="AE16" s="320">
        <f>(AE15-V059_20[[#This Row],[CARTER MP.]])+V059_20[[#This Row],[FAENA EN LTS2]]</f>
        <v>4300</v>
      </c>
      <c r="AF16" s="246"/>
      <c r="AG16" s="246"/>
      <c r="AH16" s="320">
        <f>(AH15-V059_20[[#This Row],[MOT AUX]])+V059_20[[#This Row],[FAENA EN  LTS]]</f>
        <v>3710</v>
      </c>
      <c r="AI16" s="246"/>
      <c r="AJ16" s="246"/>
      <c r="AK16" s="321">
        <f>(AK15-V059_20[[#This Row],[HIDRAULICO]])+V059_20[[#This Row],[FAENA EN LTS3]]</f>
        <v>2800</v>
      </c>
    </row>
    <row r="17" spans="1:37" x14ac:dyDescent="0.25">
      <c r="A17" s="235" t="s">
        <v>207</v>
      </c>
      <c r="B17" s="382">
        <v>43957</v>
      </c>
      <c r="C17" s="41">
        <v>0.70000000000000007</v>
      </c>
      <c r="D17" s="37">
        <f>IF(V059_20[[#This Row],[FECHA]]-B16=1,((V059_20[[#This Row],[HORA]]-C16)*24)+24,(V059_20[[#This Row],[HORA]]-C16)*24)</f>
        <v>5.7000000000000028</v>
      </c>
      <c r="E17" s="239" t="s">
        <v>49</v>
      </c>
      <c r="F17" s="29" t="s">
        <v>46</v>
      </c>
      <c r="G17" s="324"/>
      <c r="H17" s="306"/>
      <c r="I17" s="259">
        <f>IF(ISERROR(V059_20[[#This Row],[DISTANCIA POR CARTA]]/V059_20[[#This Row],[TIEMPO DE NAVEGACION]]),0,V059_20[[#This Row],[DISTANCIA POR CARTA]]/V059_20[[#This Row],[TIEMPO DE NAVEGACION]])</f>
        <v>0</v>
      </c>
      <c r="J17" s="242"/>
      <c r="K17" s="325"/>
      <c r="L17" s="245">
        <v>0</v>
      </c>
      <c r="M17" s="245">
        <v>0.59</v>
      </c>
      <c r="N17" s="245">
        <v>0.48</v>
      </c>
      <c r="O17" s="257">
        <f>SUM(V059_20[[#This Row],[MPAL]:[CALDERA]])</f>
        <v>1.0699999999999998</v>
      </c>
      <c r="P17" s="319"/>
      <c r="Q17" s="281">
        <f>(Q16-V059_20[[#This Row],[TOTAL ]])+V059_20[[#This Row],[FAENA]]</f>
        <v>67.260000000000019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SUM(V059_20[[#This Row],[MPAL2]:[GI]])</f>
        <v>0</v>
      </c>
      <c r="X17" s="246"/>
      <c r="Y17" s="282">
        <f>(Y16-V059_20[[#This Row],[TOTAL]])+V059_20[[#This Row],[FAENA2]]</f>
        <v>62</v>
      </c>
      <c r="Z17" s="245"/>
      <c r="AA17" s="246"/>
      <c r="AB17" s="320">
        <f>(AB16-V059_20[[#This Row],[CYLINDER MP]])+V059_20[[#This Row],[FAENA EN LTS]]</f>
        <v>4580</v>
      </c>
      <c r="AC17" s="246"/>
      <c r="AD17" s="246"/>
      <c r="AE17" s="320">
        <f>(AE16-V059_20[[#This Row],[CARTER MP.]])+V059_20[[#This Row],[FAENA EN LTS2]]</f>
        <v>4300</v>
      </c>
      <c r="AF17" s="246"/>
      <c r="AG17" s="246"/>
      <c r="AH17" s="320">
        <f>(AH16-V059_20[[#This Row],[MOT AUX]])+V059_20[[#This Row],[FAENA EN  LTS]]</f>
        <v>3710</v>
      </c>
      <c r="AI17" s="246"/>
      <c r="AJ17" s="246"/>
      <c r="AK17" s="321">
        <f>(AK16-V059_20[[#This Row],[HIDRAULICO]])+V059_20[[#This Row],[FAENA EN LTS3]]</f>
        <v>2800</v>
      </c>
    </row>
    <row r="18" spans="1:37" x14ac:dyDescent="0.25">
      <c r="A18" s="235" t="s">
        <v>207</v>
      </c>
      <c r="B18" s="382">
        <v>43957</v>
      </c>
      <c r="C18" s="41">
        <v>0.71250000000000002</v>
      </c>
      <c r="D18" s="37">
        <f>IF(V059_20[[#This Row],[FECHA]]-B17=1,((V059_20[[#This Row],[HORA]]-C17)*24)+24,(V059_20[[#This Row],[HORA]]-C17)*24)</f>
        <v>0.29999999999999893</v>
      </c>
      <c r="E18" s="239" t="s">
        <v>47</v>
      </c>
      <c r="F18" s="29" t="s">
        <v>223</v>
      </c>
      <c r="G18" s="324"/>
      <c r="H18" s="306"/>
      <c r="I18" s="259">
        <f>IF(ISERROR(V059_20[[#This Row],[DISTANCIA POR CARTA]]/V059_20[[#This Row],[TIEMPO DE NAVEGACION]]),0,V059_20[[#This Row],[DISTANCIA POR CARTA]]/V059_20[[#This Row],[TIEMPO DE NAVEGACION]])</f>
        <v>0</v>
      </c>
      <c r="J18" s="242"/>
      <c r="K18" s="325"/>
      <c r="L18" s="245">
        <v>0.06</v>
      </c>
      <c r="M18" s="245">
        <v>0.03</v>
      </c>
      <c r="N18" s="245">
        <v>0.02</v>
      </c>
      <c r="O18" s="257">
        <f>SUM(V059_20[[#This Row],[MPAL]:[CALDERA]])</f>
        <v>0.11</v>
      </c>
      <c r="P18" s="319"/>
      <c r="Q18" s="281">
        <f>(Q17-V059_20[[#This Row],[TOTAL ]])+V059_20[[#This Row],[FAENA]]</f>
        <v>67.15000000000002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SUM(V059_20[[#This Row],[MPAL2]:[GI]])</f>
        <v>0</v>
      </c>
      <c r="X18" s="246"/>
      <c r="Y18" s="282">
        <f>(Y17-V059_20[[#This Row],[TOTAL]])+V059_20[[#This Row],[FAENA2]]</f>
        <v>62</v>
      </c>
      <c r="Z18" s="245"/>
      <c r="AA18" s="246"/>
      <c r="AB18" s="320">
        <f>(AB17-V059_20[[#This Row],[CYLINDER MP]])+V059_20[[#This Row],[FAENA EN LTS]]</f>
        <v>4580</v>
      </c>
      <c r="AC18" s="246"/>
      <c r="AD18" s="246"/>
      <c r="AE18" s="320">
        <f>(AE17-V059_20[[#This Row],[CARTER MP.]])+V059_20[[#This Row],[FAENA EN LTS2]]</f>
        <v>4300</v>
      </c>
      <c r="AF18" s="246"/>
      <c r="AG18" s="246"/>
      <c r="AH18" s="320">
        <f>(AH17-V059_20[[#This Row],[MOT AUX]])+V059_20[[#This Row],[FAENA EN  LTS]]</f>
        <v>3710</v>
      </c>
      <c r="AI18" s="246"/>
      <c r="AJ18" s="246"/>
      <c r="AK18" s="321">
        <f>(AK17-V059_20[[#This Row],[HIDRAULICO]])+V059_20[[#This Row],[FAENA EN LTS3]]</f>
        <v>2800</v>
      </c>
    </row>
    <row r="19" spans="1:37" x14ac:dyDescent="0.25">
      <c r="A19" s="235" t="s">
        <v>207</v>
      </c>
      <c r="B19" s="382">
        <v>43957</v>
      </c>
      <c r="C19" s="41">
        <v>0.7416666666666667</v>
      </c>
      <c r="D19" s="37">
        <f>IF(V059_20[[#This Row],[FECHA]]-B18=1,((V059_20[[#This Row],[HORA]]-C18)*24)+24,(V059_20[[#This Row],[HORA]]-C18)*24)</f>
        <v>0.70000000000000018</v>
      </c>
      <c r="E19" s="239" t="s">
        <v>55</v>
      </c>
      <c r="F19" s="29" t="s">
        <v>224</v>
      </c>
      <c r="G19" s="324"/>
      <c r="H19" s="306"/>
      <c r="I19" s="259">
        <f>IF(ISERROR(V059_20[[#This Row],[DISTANCIA POR CARTA]]/V059_20[[#This Row],[TIEMPO DE NAVEGACION]]),0,V059_20[[#This Row],[DISTANCIA POR CARTA]]/V059_20[[#This Row],[TIEMPO DE NAVEGACION]])</f>
        <v>0</v>
      </c>
      <c r="J19" s="242"/>
      <c r="K19" s="325">
        <v>96</v>
      </c>
      <c r="L19" s="245">
        <v>0.28999999999999998</v>
      </c>
      <c r="M19" s="245">
        <v>7.0000000000000007E-2</v>
      </c>
      <c r="N19" s="245">
        <v>0.06</v>
      </c>
      <c r="O19" s="257">
        <f>SUM(V059_20[[#This Row],[MPAL]:[CALDERA]])</f>
        <v>0.42</v>
      </c>
      <c r="P19" s="319"/>
      <c r="Q19" s="281">
        <f>(Q18-V059_20[[#This Row],[TOTAL ]])+V059_20[[#This Row],[FAENA]]</f>
        <v>66.730000000000018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SUM(V059_20[[#This Row],[MPAL2]:[GI]])</f>
        <v>0</v>
      </c>
      <c r="X19" s="246"/>
      <c r="Y19" s="282">
        <f>(Y18-V059_20[[#This Row],[TOTAL]])+V059_20[[#This Row],[FAENA2]]</f>
        <v>62</v>
      </c>
      <c r="Z19" s="245"/>
      <c r="AA19" s="246"/>
      <c r="AB19" s="320">
        <f>(AB18-V059_20[[#This Row],[CYLINDER MP]])+V059_20[[#This Row],[FAENA EN LTS]]</f>
        <v>4580</v>
      </c>
      <c r="AC19" s="246"/>
      <c r="AD19" s="246"/>
      <c r="AE19" s="320">
        <f>(AE18-V059_20[[#This Row],[CARTER MP.]])+V059_20[[#This Row],[FAENA EN LTS2]]</f>
        <v>4300</v>
      </c>
      <c r="AF19" s="246"/>
      <c r="AG19" s="246"/>
      <c r="AH19" s="320">
        <f>(AH18-V059_20[[#This Row],[MOT AUX]])+V059_20[[#This Row],[FAENA EN  LTS]]</f>
        <v>3710</v>
      </c>
      <c r="AI19" s="246"/>
      <c r="AJ19" s="246"/>
      <c r="AK19" s="321">
        <f>(AK18-V059_20[[#This Row],[HIDRAULICO]])+V059_20[[#This Row],[FAENA EN LTS3]]</f>
        <v>2800</v>
      </c>
    </row>
    <row r="20" spans="1:37" x14ac:dyDescent="0.25">
      <c r="A20" s="235" t="s">
        <v>207</v>
      </c>
      <c r="B20" s="382">
        <v>43957</v>
      </c>
      <c r="C20" s="41">
        <v>0.76666666666666661</v>
      </c>
      <c r="D20" s="37">
        <f>IF(V059_20[[#This Row],[FECHA]]-B19=1,((V059_20[[#This Row],[HORA]]-C19)*24)+24,(V059_20[[#This Row],[HORA]]-C19)*24)</f>
        <v>0.59999999999999787</v>
      </c>
      <c r="E20" s="239" t="s">
        <v>47</v>
      </c>
      <c r="F20" s="29" t="s">
        <v>48</v>
      </c>
      <c r="G20" s="324"/>
      <c r="H20" s="306"/>
      <c r="I20" s="259">
        <f>IF(ISERROR(V059_20[[#This Row],[DISTANCIA POR CARTA]]/V059_20[[#This Row],[TIEMPO DE NAVEGACION]]),0,V059_20[[#This Row],[DISTANCIA POR CARTA]]/V059_20[[#This Row],[TIEMPO DE NAVEGACION]])</f>
        <v>0</v>
      </c>
      <c r="J20" s="242"/>
      <c r="K20" s="325"/>
      <c r="L20" s="245">
        <v>0.13</v>
      </c>
      <c r="M20" s="245">
        <v>0.06</v>
      </c>
      <c r="N20" s="245">
        <v>0.05</v>
      </c>
      <c r="O20" s="257">
        <f>SUM(V059_20[[#This Row],[MPAL]:[CALDERA]])</f>
        <v>0.24</v>
      </c>
      <c r="P20" s="319"/>
      <c r="Q20" s="281">
        <f>(Q19-V059_20[[#This Row],[TOTAL ]])+V059_20[[#This Row],[FAENA]]</f>
        <v>66.490000000000023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SUM(V059_20[[#This Row],[MPAL2]:[GI]])</f>
        <v>0</v>
      </c>
      <c r="X20" s="246"/>
      <c r="Y20" s="282">
        <f>(Y19-V059_20[[#This Row],[TOTAL]])+V059_20[[#This Row],[FAENA2]]</f>
        <v>62</v>
      </c>
      <c r="Z20" s="245"/>
      <c r="AA20" s="246"/>
      <c r="AB20" s="320">
        <f>(AB19-V059_20[[#This Row],[CYLINDER MP]])+V059_20[[#This Row],[FAENA EN LTS]]</f>
        <v>4580</v>
      </c>
      <c r="AC20" s="246"/>
      <c r="AD20" s="246"/>
      <c r="AE20" s="320">
        <f>(AE19-V059_20[[#This Row],[CARTER MP.]])+V059_20[[#This Row],[FAENA EN LTS2]]</f>
        <v>4300</v>
      </c>
      <c r="AF20" s="246"/>
      <c r="AG20" s="246"/>
      <c r="AH20" s="320">
        <f>(AH19-V059_20[[#This Row],[MOT AUX]])+V059_20[[#This Row],[FAENA EN  LTS]]</f>
        <v>3710</v>
      </c>
      <c r="AI20" s="246"/>
      <c r="AJ20" s="246"/>
      <c r="AK20" s="321">
        <f>(AK19-V059_20[[#This Row],[HIDRAULICO]])+V059_20[[#This Row],[FAENA EN LTS3]]</f>
        <v>2800</v>
      </c>
    </row>
    <row r="21" spans="1:37" x14ac:dyDescent="0.25">
      <c r="A21" s="235" t="s">
        <v>207</v>
      </c>
      <c r="B21" s="48">
        <v>43958</v>
      </c>
      <c r="C21" s="41">
        <v>4.1666666666666664E-2</v>
      </c>
      <c r="D21" s="37">
        <f>IF(V059_20[[#This Row],[FECHA]]-B20=1,((V059_20[[#This Row],[HORA]]-C20)*24)+24,(V059_20[[#This Row],[HORA]]-C20)*24)</f>
        <v>6.6000000000000014</v>
      </c>
      <c r="E21" s="239" t="s">
        <v>49</v>
      </c>
      <c r="F21" s="29" t="s">
        <v>65</v>
      </c>
      <c r="G21" s="324"/>
      <c r="H21" s="306"/>
      <c r="I21" s="259">
        <f>IF(ISERROR(V059_20[[#This Row],[DISTANCIA POR CARTA]]/V059_20[[#This Row],[TIEMPO DE NAVEGACION]]),0,V059_20[[#This Row],[DISTANCIA POR CARTA]]/V059_20[[#This Row],[TIEMPO DE NAVEGACION]])</f>
        <v>0</v>
      </c>
      <c r="J21" s="242"/>
      <c r="K21" s="325"/>
      <c r="L21" s="245">
        <v>0</v>
      </c>
      <c r="M21" s="245">
        <v>0.69</v>
      </c>
      <c r="N21" s="245">
        <v>0.55000000000000004</v>
      </c>
      <c r="O21" s="257">
        <f>SUM(V059_20[[#This Row],[MPAL]:[CALDERA]])</f>
        <v>1.24</v>
      </c>
      <c r="P21" s="319">
        <v>800</v>
      </c>
      <c r="Q21" s="281">
        <f>(Q20-V059_20[[#This Row],[TOTAL ]])+V059_20[[#This Row],[FAENA]]</f>
        <v>865.25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SUM(V059_20[[#This Row],[MPAL2]:[GI]])</f>
        <v>0</v>
      </c>
      <c r="X21" s="246">
        <v>80</v>
      </c>
      <c r="Y21" s="282">
        <f>(Y20-V059_20[[#This Row],[TOTAL]])+V059_20[[#This Row],[FAENA2]]</f>
        <v>142</v>
      </c>
      <c r="Z21" s="245"/>
      <c r="AA21" s="246"/>
      <c r="AB21" s="320">
        <f>(AB20-V059_20[[#This Row],[CYLINDER MP]])+V059_20[[#This Row],[FAENA EN LTS]]</f>
        <v>4580</v>
      </c>
      <c r="AC21" s="246"/>
      <c r="AD21" s="246"/>
      <c r="AE21" s="320">
        <f>(AE20-V059_20[[#This Row],[CARTER MP.]])+V059_20[[#This Row],[FAENA EN LTS2]]</f>
        <v>4300</v>
      </c>
      <c r="AF21" s="246"/>
      <c r="AG21" s="246"/>
      <c r="AH21" s="320">
        <f>(AH20-V059_20[[#This Row],[MOT AUX]])+V059_20[[#This Row],[FAENA EN  LTS]]</f>
        <v>3710</v>
      </c>
      <c r="AI21" s="246"/>
      <c r="AJ21" s="246"/>
      <c r="AK21" s="321">
        <f>(AK20-V059_20[[#This Row],[HIDRAULICO]])+V059_20[[#This Row],[FAENA EN LTS3]]</f>
        <v>2800</v>
      </c>
    </row>
    <row r="22" spans="1:37" x14ac:dyDescent="0.25">
      <c r="A22" s="235" t="s">
        <v>207</v>
      </c>
      <c r="B22" s="48">
        <v>43958</v>
      </c>
      <c r="C22" s="362">
        <v>0.33333333333333331</v>
      </c>
      <c r="D22" s="37">
        <f>IF(V059_20[[#This Row],[FECHA]]-B21=1,((V059_20[[#This Row],[HORA]]-C21)*24)+24,(V059_20[[#This Row],[HORA]]-C21)*24)</f>
        <v>6.9999999999999991</v>
      </c>
      <c r="E22" s="239" t="s">
        <v>45</v>
      </c>
      <c r="F22" s="29" t="s">
        <v>208</v>
      </c>
      <c r="G22" s="324"/>
      <c r="H22" s="306"/>
      <c r="I22" s="259">
        <f>IF(ISERROR(V059_20[[#This Row],[DISTANCIA POR CARTA]]/V059_20[[#This Row],[TIEMPO DE NAVEGACION]]),0,V059_20[[#This Row],[DISTANCIA POR CARTA]]/V059_20[[#This Row],[TIEMPO DE NAVEGACION]])</f>
        <v>0</v>
      </c>
      <c r="J22" s="242"/>
      <c r="K22" s="325"/>
      <c r="L22" s="245">
        <v>0</v>
      </c>
      <c r="M22" s="245">
        <v>0.73</v>
      </c>
      <c r="N22" s="245">
        <v>0.57999999999999996</v>
      </c>
      <c r="O22" s="257">
        <f>SUM(V059_20[[#This Row],[MPAL]:[CALDERA]])</f>
        <v>1.31</v>
      </c>
      <c r="P22" s="319"/>
      <c r="Q22" s="281">
        <f>(Q21-V059_20[[#This Row],[TOTAL ]])+V059_20[[#This Row],[FAENA]]</f>
        <v>863.94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SUM(V059_20[[#This Row],[MPAL2]:[GI]])</f>
        <v>0</v>
      </c>
      <c r="X22" s="246"/>
      <c r="Y22" s="282">
        <f>(Y21-V059_20[[#This Row],[TOTAL]])+V059_20[[#This Row],[FAENA2]]</f>
        <v>142</v>
      </c>
      <c r="Z22" s="245"/>
      <c r="AA22" s="246"/>
      <c r="AB22" s="320">
        <f>(AB21-V059_20[[#This Row],[CYLINDER MP]])+V059_20[[#This Row],[FAENA EN LTS]]</f>
        <v>4580</v>
      </c>
      <c r="AC22" s="246"/>
      <c r="AD22" s="246"/>
      <c r="AE22" s="320">
        <f>(AE21-V059_20[[#This Row],[CARTER MP.]])+V059_20[[#This Row],[FAENA EN LTS2]]</f>
        <v>4300</v>
      </c>
      <c r="AF22" s="246"/>
      <c r="AG22" s="246"/>
      <c r="AH22" s="320">
        <f>(AH21-V059_20[[#This Row],[MOT AUX]])+V059_20[[#This Row],[FAENA EN  LTS]]</f>
        <v>3710</v>
      </c>
      <c r="AI22" s="246"/>
      <c r="AJ22" s="246"/>
      <c r="AK22" s="321">
        <f>(AK21-V059_20[[#This Row],[HIDRAULICO]])+V059_20[[#This Row],[FAENA EN LTS3]]</f>
        <v>2800</v>
      </c>
    </row>
    <row r="23" spans="1:37" x14ac:dyDescent="0.25">
      <c r="A23" s="235" t="s">
        <v>207</v>
      </c>
      <c r="B23" s="48">
        <v>43959</v>
      </c>
      <c r="C23" s="351">
        <v>0.33333333333333331</v>
      </c>
      <c r="D23" s="37">
        <f>IF(V059_20[[#This Row],[FECHA]]-B22=1,((V059_20[[#This Row],[HORA]]-C22)*24)+24,(V059_20[[#This Row],[HORA]]-C22)*24)</f>
        <v>24</v>
      </c>
      <c r="E23" s="239" t="s">
        <v>45</v>
      </c>
      <c r="F23" s="29" t="s">
        <v>208</v>
      </c>
      <c r="G23" s="324"/>
      <c r="H23" s="306"/>
      <c r="I23" s="259">
        <f>IF(ISERROR(V059_20[[#This Row],[DISTANCIA POR CARTA]]/V059_20[[#This Row],[TIEMPO DE NAVEGACION]]),0,V059_20[[#This Row],[DISTANCIA POR CARTA]]/V059_20[[#This Row],[TIEMPO DE NAVEGACION]])</f>
        <v>0</v>
      </c>
      <c r="J23" s="242"/>
      <c r="K23" s="325"/>
      <c r="L23" s="245">
        <v>0</v>
      </c>
      <c r="M23" s="245">
        <v>2.5</v>
      </c>
      <c r="N23" s="245">
        <v>2</v>
      </c>
      <c r="O23" s="257">
        <f>SUM(V059_20[[#This Row],[MPAL]:[CALDERA]])</f>
        <v>4.5</v>
      </c>
      <c r="P23" s="319"/>
      <c r="Q23" s="281">
        <f>(Q22-V059_20[[#This Row],[TOTAL ]])+V059_20[[#This Row],[FAENA]]</f>
        <v>859.44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SUM(V059_20[[#This Row],[MPAL2]:[GI]])</f>
        <v>0</v>
      </c>
      <c r="X23" s="246"/>
      <c r="Y23" s="282">
        <f>(Y22-V059_20[[#This Row],[TOTAL]])+V059_20[[#This Row],[FAENA2]]</f>
        <v>142</v>
      </c>
      <c r="Z23" s="245"/>
      <c r="AA23" s="246"/>
      <c r="AB23" s="320">
        <f>(AB22-V059_20[[#This Row],[CYLINDER MP]])+V059_20[[#This Row],[FAENA EN LTS]]</f>
        <v>4580</v>
      </c>
      <c r="AC23" s="246"/>
      <c r="AD23" s="246"/>
      <c r="AE23" s="320">
        <f>(AE22-V059_20[[#This Row],[CARTER MP.]])+V059_20[[#This Row],[FAENA EN LTS2]]</f>
        <v>4300</v>
      </c>
      <c r="AF23" s="246"/>
      <c r="AG23" s="246"/>
      <c r="AH23" s="320">
        <f>(AH22-V059_20[[#This Row],[MOT AUX]])+V059_20[[#This Row],[FAENA EN  LTS]]</f>
        <v>3710</v>
      </c>
      <c r="AI23" s="246"/>
      <c r="AJ23" s="246"/>
      <c r="AK23" s="321">
        <f>(AK22-V059_20[[#This Row],[HIDRAULICO]])+V059_20[[#This Row],[FAENA EN LTS3]]</f>
        <v>2800</v>
      </c>
    </row>
    <row r="24" spans="1:37" x14ac:dyDescent="0.25">
      <c r="A24" s="235" t="s">
        <v>207</v>
      </c>
      <c r="B24" s="382">
        <v>43959</v>
      </c>
      <c r="C24" s="41">
        <v>0.72499999999999998</v>
      </c>
      <c r="D24" s="37">
        <f>IF(V059_20[[#This Row],[FECHA]]-B23=1,((V059_20[[#This Row],[HORA]]-C23)*24)+24,(V059_20[[#This Row],[HORA]]-C23)*24)</f>
        <v>9.4</v>
      </c>
      <c r="E24" s="239" t="s">
        <v>45</v>
      </c>
      <c r="F24" s="29" t="s">
        <v>46</v>
      </c>
      <c r="G24" s="324"/>
      <c r="H24" s="306"/>
      <c r="I24" s="259">
        <f>IF(ISERROR(V059_20[[#This Row],[DISTANCIA POR CARTA]]/V059_20[[#This Row],[TIEMPO DE NAVEGACION]]),0,V059_20[[#This Row],[DISTANCIA POR CARTA]]/V059_20[[#This Row],[TIEMPO DE NAVEGACION]])</f>
        <v>0</v>
      </c>
      <c r="J24" s="242"/>
      <c r="K24" s="325"/>
      <c r="L24" s="245">
        <v>0</v>
      </c>
      <c r="M24" s="245">
        <v>0.98</v>
      </c>
      <c r="N24" s="245">
        <v>0.78</v>
      </c>
      <c r="O24" s="257">
        <f>SUM(V059_20[[#This Row],[MPAL]:[CALDERA]])</f>
        <v>1.76</v>
      </c>
      <c r="P24" s="319"/>
      <c r="Q24" s="281">
        <f>(Q23-V059_20[[#This Row],[TOTAL ]])+V059_20[[#This Row],[FAENA]]</f>
        <v>857.68000000000006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SUM(V059_20[[#This Row],[MPAL2]:[GI]])</f>
        <v>0</v>
      </c>
      <c r="X24" s="246"/>
      <c r="Y24" s="282">
        <f>(Y23-V059_20[[#This Row],[TOTAL]])+V059_20[[#This Row],[FAENA2]]</f>
        <v>142</v>
      </c>
      <c r="Z24" s="245"/>
      <c r="AA24" s="246"/>
      <c r="AB24" s="320">
        <f>(AB23-V059_20[[#This Row],[CYLINDER MP]])+V059_20[[#This Row],[FAENA EN LTS]]</f>
        <v>4580</v>
      </c>
      <c r="AC24" s="246"/>
      <c r="AD24" s="246"/>
      <c r="AE24" s="320">
        <f>(AE23-V059_20[[#This Row],[CARTER MP.]])+V059_20[[#This Row],[FAENA EN LTS2]]</f>
        <v>4300</v>
      </c>
      <c r="AF24" s="246"/>
      <c r="AG24" s="246"/>
      <c r="AH24" s="320">
        <f>(AH23-V059_20[[#This Row],[MOT AUX]])+V059_20[[#This Row],[FAENA EN  LTS]]</f>
        <v>3710</v>
      </c>
      <c r="AI24" s="246"/>
      <c r="AJ24" s="246"/>
      <c r="AK24" s="321">
        <f>(AK23-V059_20[[#This Row],[HIDRAULICO]])+V059_20[[#This Row],[FAENA EN LTS3]]</f>
        <v>2800</v>
      </c>
    </row>
    <row r="25" spans="1:37" x14ac:dyDescent="0.25">
      <c r="A25" s="235" t="s">
        <v>207</v>
      </c>
      <c r="B25" s="382">
        <v>43959</v>
      </c>
      <c r="C25" s="41">
        <v>0.76250000000000007</v>
      </c>
      <c r="D25" s="37">
        <f>IF(V059_20[[#This Row],[FECHA]]-B24=1,((V059_20[[#This Row],[HORA]]-C24)*24)+24,(V059_20[[#This Row],[HORA]]-C24)*24)</f>
        <v>0.90000000000000213</v>
      </c>
      <c r="E25" s="239" t="s">
        <v>47</v>
      </c>
      <c r="F25" s="29" t="s">
        <v>212</v>
      </c>
      <c r="G25" s="324"/>
      <c r="H25" s="306"/>
      <c r="I25" s="259">
        <f>IF(ISERROR(V059_20[[#This Row],[DISTANCIA POR CARTA]]/V059_20[[#This Row],[TIEMPO DE NAVEGACION]]),0,V059_20[[#This Row],[DISTANCIA POR CARTA]]/V059_20[[#This Row],[TIEMPO DE NAVEGACION]])</f>
        <v>0</v>
      </c>
      <c r="J25" s="242"/>
      <c r="K25" s="325"/>
      <c r="L25" s="245">
        <v>0.19</v>
      </c>
      <c r="M25" s="245">
        <v>0.09</v>
      </c>
      <c r="N25" s="245">
        <v>0.08</v>
      </c>
      <c r="O25" s="257">
        <f>SUM(V059_20[[#This Row],[MPAL]:[CALDERA]])</f>
        <v>0.36000000000000004</v>
      </c>
      <c r="P25" s="319"/>
      <c r="Q25" s="281">
        <f>(Q24-V059_20[[#This Row],[TOTAL ]])+V059_20[[#This Row],[FAENA]]</f>
        <v>857.32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SUM(V059_20[[#This Row],[MPAL2]:[GI]])</f>
        <v>0</v>
      </c>
      <c r="X25" s="246"/>
      <c r="Y25" s="282">
        <f>(Y24-V059_20[[#This Row],[TOTAL]])+V059_20[[#This Row],[FAENA2]]</f>
        <v>142</v>
      </c>
      <c r="Z25" s="245"/>
      <c r="AA25" s="246"/>
      <c r="AB25" s="320">
        <f>(AB24-V059_20[[#This Row],[CYLINDER MP]])+V059_20[[#This Row],[FAENA EN LTS]]</f>
        <v>4580</v>
      </c>
      <c r="AC25" s="246"/>
      <c r="AD25" s="246"/>
      <c r="AE25" s="320">
        <f>(AE24-V059_20[[#This Row],[CARTER MP.]])+V059_20[[#This Row],[FAENA EN LTS2]]</f>
        <v>4300</v>
      </c>
      <c r="AF25" s="246"/>
      <c r="AG25" s="246"/>
      <c r="AH25" s="320">
        <f>(AH24-V059_20[[#This Row],[MOT AUX]])+V059_20[[#This Row],[FAENA EN  LTS]]</f>
        <v>3710</v>
      </c>
      <c r="AI25" s="246"/>
      <c r="AJ25" s="246"/>
      <c r="AK25" s="321">
        <f>(AK24-V059_20[[#This Row],[HIDRAULICO]])+V059_20[[#This Row],[FAENA EN LTS3]]</f>
        <v>2800</v>
      </c>
    </row>
    <row r="26" spans="1:37" x14ac:dyDescent="0.25">
      <c r="A26" s="235" t="s">
        <v>207</v>
      </c>
      <c r="B26" s="48">
        <v>43960</v>
      </c>
      <c r="C26" s="362">
        <v>0.33333333333333331</v>
      </c>
      <c r="D26" s="37">
        <f>IF(V059_20[[#This Row],[FECHA]]-B25=1,((V059_20[[#This Row],[HORA]]-C25)*24)+24,(V059_20[[#This Row],[HORA]]-C25)*24)</f>
        <v>13.699999999999998</v>
      </c>
      <c r="E26" s="239" t="s">
        <v>55</v>
      </c>
      <c r="F26" s="29" t="s">
        <v>56</v>
      </c>
      <c r="G26" s="324"/>
      <c r="H26" s="306"/>
      <c r="I26" s="259">
        <f>IF(ISERROR(V059_20[[#This Row],[DISTANCIA POR CARTA]]/V059_20[[#This Row],[TIEMPO DE NAVEGACION]]),0,V059_20[[#This Row],[DISTANCIA POR CARTA]]/V059_20[[#This Row],[TIEMPO DE NAVEGACION]])</f>
        <v>0</v>
      </c>
      <c r="J26" s="242"/>
      <c r="K26" s="325">
        <v>96</v>
      </c>
      <c r="L26" s="245">
        <v>13.13</v>
      </c>
      <c r="M26" s="245">
        <v>1.43</v>
      </c>
      <c r="N26" s="245">
        <v>0</v>
      </c>
      <c r="O26" s="257">
        <f>SUM(V059_20[[#This Row],[MPAL]:[CALDERA]])</f>
        <v>14.56</v>
      </c>
      <c r="P26" s="319"/>
      <c r="Q26" s="281">
        <f>(Q25-V059_20[[#This Row],[TOTAL ]])+V059_20[[#This Row],[FAENA]]</f>
        <v>842.7600000000001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SUM(V059_20[[#This Row],[MPAL2]:[GI]])</f>
        <v>0</v>
      </c>
      <c r="X26" s="246"/>
      <c r="Y26" s="282">
        <f>(Y25-V059_20[[#This Row],[TOTAL]])+V059_20[[#This Row],[FAENA2]]</f>
        <v>142</v>
      </c>
      <c r="Z26" s="245"/>
      <c r="AA26" s="246"/>
      <c r="AB26" s="320">
        <f>(AB25-V059_20[[#This Row],[CYLINDER MP]])+V059_20[[#This Row],[FAENA EN LTS]]</f>
        <v>4580</v>
      </c>
      <c r="AC26" s="246"/>
      <c r="AD26" s="246"/>
      <c r="AE26" s="320">
        <f>(AE25-V059_20[[#This Row],[CARTER MP.]])+V059_20[[#This Row],[FAENA EN LTS2]]</f>
        <v>4300</v>
      </c>
      <c r="AF26" s="246"/>
      <c r="AG26" s="246"/>
      <c r="AH26" s="320">
        <f>(AH25-V059_20[[#This Row],[MOT AUX]])+V059_20[[#This Row],[FAENA EN  LTS]]</f>
        <v>3710</v>
      </c>
      <c r="AI26" s="246"/>
      <c r="AJ26" s="246"/>
      <c r="AK26" s="321">
        <f>(AK25-V059_20[[#This Row],[HIDRAULICO]])+V059_20[[#This Row],[FAENA EN LTS3]]</f>
        <v>2800</v>
      </c>
    </row>
    <row r="27" spans="1:37" x14ac:dyDescent="0.25">
      <c r="A27" s="235" t="s">
        <v>207</v>
      </c>
      <c r="B27" s="48">
        <v>43961</v>
      </c>
      <c r="C27" s="351">
        <v>0.33333333333333331</v>
      </c>
      <c r="D27" s="37">
        <f>IF(V059_20[[#This Row],[FECHA]]-B26=1,((V059_20[[#This Row],[HORA]]-C26)*24)+24,(V059_20[[#This Row],[HORA]]-C26)*24)</f>
        <v>24</v>
      </c>
      <c r="E27" s="239" t="s">
        <v>55</v>
      </c>
      <c r="F27" s="29" t="s">
        <v>56</v>
      </c>
      <c r="G27" s="324"/>
      <c r="H27" s="306"/>
      <c r="I27" s="259">
        <f>IF(ISERROR(V059_20[[#This Row],[DISTANCIA POR CARTA]]/V059_20[[#This Row],[TIEMPO DE NAVEGACION]]),0,V059_20[[#This Row],[DISTANCIA POR CARTA]]/V059_20[[#This Row],[TIEMPO DE NAVEGACION]])</f>
        <v>0</v>
      </c>
      <c r="J27" s="242"/>
      <c r="K27" s="325">
        <v>96</v>
      </c>
      <c r="L27" s="245">
        <v>23</v>
      </c>
      <c r="M27" s="245">
        <v>2.5</v>
      </c>
      <c r="N27" s="245">
        <v>0</v>
      </c>
      <c r="O27" s="257">
        <f>SUM(V059_20[[#This Row],[MPAL]:[CALDERA]])</f>
        <v>25.5</v>
      </c>
      <c r="P27" s="319"/>
      <c r="Q27" s="281">
        <f>(Q26-V059_20[[#This Row],[TOTAL ]])+V059_20[[#This Row],[FAENA]]</f>
        <v>817.2600000000001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SUM(V059_20[[#This Row],[MPAL2]:[GI]])</f>
        <v>0</v>
      </c>
      <c r="X27" s="246"/>
      <c r="Y27" s="282">
        <f>(Y26-V059_20[[#This Row],[TOTAL]])+V059_20[[#This Row],[FAENA2]]</f>
        <v>142</v>
      </c>
      <c r="Z27" s="245"/>
      <c r="AA27" s="246"/>
      <c r="AB27" s="320">
        <f>(AB26-V059_20[[#This Row],[CYLINDER MP]])+V059_20[[#This Row],[FAENA EN LTS]]</f>
        <v>4580</v>
      </c>
      <c r="AC27" s="246"/>
      <c r="AD27" s="246"/>
      <c r="AE27" s="320">
        <f>(AE26-V059_20[[#This Row],[CARTER MP.]])+V059_20[[#This Row],[FAENA EN LTS2]]</f>
        <v>4300</v>
      </c>
      <c r="AF27" s="246"/>
      <c r="AG27" s="246"/>
      <c r="AH27" s="320">
        <f>(AH26-V059_20[[#This Row],[MOT AUX]])+V059_20[[#This Row],[FAENA EN  LTS]]</f>
        <v>3710</v>
      </c>
      <c r="AI27" s="246"/>
      <c r="AJ27" s="246"/>
      <c r="AK27" s="321">
        <f>(AK26-V059_20[[#This Row],[HIDRAULICO]])+V059_20[[#This Row],[FAENA EN LTS3]]</f>
        <v>2800</v>
      </c>
    </row>
    <row r="28" spans="1:37" x14ac:dyDescent="0.25">
      <c r="A28" s="235" t="s">
        <v>207</v>
      </c>
      <c r="B28" s="382">
        <v>43961</v>
      </c>
      <c r="C28" s="41">
        <v>0.45833333333333331</v>
      </c>
      <c r="D28" s="37">
        <f>IF(V059_20[[#This Row],[FECHA]]-B27=1,((V059_20[[#This Row],[HORA]]-C27)*24)+24,(V059_20[[#This Row],[HORA]]-C27)*24)</f>
        <v>3</v>
      </c>
      <c r="E28" s="239" t="s">
        <v>55</v>
      </c>
      <c r="F28" s="29" t="s">
        <v>211</v>
      </c>
      <c r="G28" s="324">
        <v>458</v>
      </c>
      <c r="H28" s="306">
        <v>40.700000000000003</v>
      </c>
      <c r="I28" s="259">
        <f>IF(ISERROR(V059_20[[#This Row],[DISTANCIA POR CARTA]]/V059_20[[#This Row],[TIEMPO DE NAVEGACION]]),0,V059_20[[#This Row],[DISTANCIA POR CARTA]]/V059_20[[#This Row],[TIEMPO DE NAVEGACION]])</f>
        <v>11.253071253071253</v>
      </c>
      <c r="J28" s="380" t="s">
        <v>214</v>
      </c>
      <c r="K28" s="325">
        <v>96</v>
      </c>
      <c r="L28" s="245">
        <v>2.88</v>
      </c>
      <c r="M28" s="245">
        <v>0.31</v>
      </c>
      <c r="N28" s="245">
        <v>0</v>
      </c>
      <c r="O28" s="257">
        <f>SUM(V059_20[[#This Row],[MPAL]:[CALDERA]])</f>
        <v>3.19</v>
      </c>
      <c r="P28" s="319"/>
      <c r="Q28" s="281">
        <f>(Q27-V059_20[[#This Row],[TOTAL ]])+V059_20[[#This Row],[FAENA]]</f>
        <v>814.07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SUM(V059_20[[#This Row],[MPAL2]:[GI]])</f>
        <v>0</v>
      </c>
      <c r="X28" s="246"/>
      <c r="Y28" s="282">
        <f>(Y27-V059_20[[#This Row],[TOTAL]])+V059_20[[#This Row],[FAENA2]]</f>
        <v>142</v>
      </c>
      <c r="Z28" s="245"/>
      <c r="AA28" s="246"/>
      <c r="AB28" s="320">
        <f>(AB27-V059_20[[#This Row],[CYLINDER MP]])+V059_20[[#This Row],[FAENA EN LTS]]</f>
        <v>4580</v>
      </c>
      <c r="AC28" s="246"/>
      <c r="AD28" s="246"/>
      <c r="AE28" s="320">
        <f>(AE27-V059_20[[#This Row],[CARTER MP.]])+V059_20[[#This Row],[FAENA EN LTS2]]</f>
        <v>4300</v>
      </c>
      <c r="AF28" s="246"/>
      <c r="AG28" s="246"/>
      <c r="AH28" s="320">
        <f>(AH27-V059_20[[#This Row],[MOT AUX]])+V059_20[[#This Row],[FAENA EN  LTS]]</f>
        <v>3710</v>
      </c>
      <c r="AI28" s="246"/>
      <c r="AJ28" s="246"/>
      <c r="AK28" s="321">
        <f>(AK27-V059_20[[#This Row],[HIDRAULICO]])+V059_20[[#This Row],[FAENA EN LTS3]]</f>
        <v>2800</v>
      </c>
    </row>
    <row r="29" spans="1:37" x14ac:dyDescent="0.25">
      <c r="A29" s="235" t="s">
        <v>207</v>
      </c>
      <c r="B29" s="382">
        <v>43961</v>
      </c>
      <c r="C29" s="41">
        <v>0.48749999999999999</v>
      </c>
      <c r="D29" s="37">
        <f>IF(V059_20[[#This Row],[FECHA]]-B28=1,((V059_20[[#This Row],[HORA]]-C28)*24)+24,(V059_20[[#This Row],[HORA]]-C28)*24)</f>
        <v>0.70000000000000018</v>
      </c>
      <c r="E29" s="239" t="s">
        <v>47</v>
      </c>
      <c r="F29" s="29" t="s">
        <v>48</v>
      </c>
      <c r="G29" s="324"/>
      <c r="H29" s="306"/>
      <c r="I29" s="259">
        <f>IF(ISERROR(V059_20[[#This Row],[DISTANCIA POR CARTA]]/V059_20[[#This Row],[TIEMPO DE NAVEGACION]]),0,V059_20[[#This Row],[DISTANCIA POR CARTA]]/V059_20[[#This Row],[TIEMPO DE NAVEGACION]])</f>
        <v>0</v>
      </c>
      <c r="J29" s="242"/>
      <c r="K29" s="325"/>
      <c r="L29" s="245">
        <v>0.15</v>
      </c>
      <c r="M29" s="245">
        <v>7.0000000000000007E-2</v>
      </c>
      <c r="N29" s="245">
        <v>0.06</v>
      </c>
      <c r="O29" s="257">
        <f>SUM(V059_20[[#This Row],[MPAL]:[CALDERA]])</f>
        <v>0.28000000000000003</v>
      </c>
      <c r="P29" s="319"/>
      <c r="Q29" s="281">
        <f>(Q28-V059_20[[#This Row],[TOTAL ]])+V059_20[[#This Row],[FAENA]]</f>
        <v>813.79000000000008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SUM(V059_20[[#This Row],[MPAL2]:[GI]])</f>
        <v>0</v>
      </c>
      <c r="X29" s="246"/>
      <c r="Y29" s="282">
        <f>(Y28-V059_20[[#This Row],[TOTAL]])+V059_20[[#This Row],[FAENA2]]</f>
        <v>142</v>
      </c>
      <c r="Z29" s="245"/>
      <c r="AA29" s="246"/>
      <c r="AB29" s="320">
        <f>(AB28-V059_20[[#This Row],[CYLINDER MP]])+V059_20[[#This Row],[FAENA EN LTS]]</f>
        <v>4580</v>
      </c>
      <c r="AC29" s="246"/>
      <c r="AD29" s="246"/>
      <c r="AE29" s="320">
        <f>(AE28-V059_20[[#This Row],[CARTER MP.]])+V059_20[[#This Row],[FAENA EN LTS2]]</f>
        <v>4300</v>
      </c>
      <c r="AF29" s="246"/>
      <c r="AG29" s="246"/>
      <c r="AH29" s="320">
        <f>(AH28-V059_20[[#This Row],[MOT AUX]])+V059_20[[#This Row],[FAENA EN  LTS]]</f>
        <v>3710</v>
      </c>
      <c r="AI29" s="246"/>
      <c r="AJ29" s="246"/>
      <c r="AK29" s="321">
        <f>(AK28-V059_20[[#This Row],[HIDRAULICO]])+V059_20[[#This Row],[FAENA EN LTS3]]</f>
        <v>2800</v>
      </c>
    </row>
    <row r="30" spans="1:37" x14ac:dyDescent="0.25">
      <c r="A30" s="235" t="s">
        <v>207</v>
      </c>
      <c r="B30" s="382">
        <v>43961</v>
      </c>
      <c r="C30" s="41">
        <v>0.92499999999999993</v>
      </c>
      <c r="D30" s="37">
        <f>IF(V059_20[[#This Row],[FECHA]]-B29=1,((V059_20[[#This Row],[HORA]]-C29)*24)+24,(V059_20[[#This Row],[HORA]]-C29)*24)</f>
        <v>10.499999999999998</v>
      </c>
      <c r="E30" s="239" t="s">
        <v>45</v>
      </c>
      <c r="F30" s="29" t="s">
        <v>46</v>
      </c>
      <c r="G30" s="324"/>
      <c r="H30" s="306"/>
      <c r="I30" s="259">
        <f>IF(ISERROR(V059_20[[#This Row],[DISTANCIA POR CARTA]]/V059_20[[#This Row],[TIEMPO DE NAVEGACION]]),0,V059_20[[#This Row],[DISTANCIA POR CARTA]]/V059_20[[#This Row],[TIEMPO DE NAVEGACION]])</f>
        <v>0</v>
      </c>
      <c r="J30" s="242"/>
      <c r="K30" s="325"/>
      <c r="L30" s="245">
        <v>0</v>
      </c>
      <c r="M30" s="245">
        <v>1.0900000000000001</v>
      </c>
      <c r="N30" s="245">
        <v>0.88</v>
      </c>
      <c r="O30" s="257">
        <f>SUM(V059_20[[#This Row],[MPAL]:[CALDERA]])</f>
        <v>1.9700000000000002</v>
      </c>
      <c r="P30" s="319"/>
      <c r="Q30" s="281">
        <f>(Q29-V059_20[[#This Row],[TOTAL ]])+V059_20[[#This Row],[FAENA]]</f>
        <v>811.82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SUM(V059_20[[#This Row],[MPAL2]:[GI]])</f>
        <v>0</v>
      </c>
      <c r="X30" s="246"/>
      <c r="Y30" s="282">
        <f>(Y29-V059_20[[#This Row],[TOTAL]])+V059_20[[#This Row],[FAENA2]]</f>
        <v>142</v>
      </c>
      <c r="Z30" s="245"/>
      <c r="AA30" s="246"/>
      <c r="AB30" s="320">
        <f>(AB29-V059_20[[#This Row],[CYLINDER MP]])+V059_20[[#This Row],[FAENA EN LTS]]</f>
        <v>4580</v>
      </c>
      <c r="AC30" s="246"/>
      <c r="AD30" s="246"/>
      <c r="AE30" s="320">
        <f>(AE29-V059_20[[#This Row],[CARTER MP.]])+V059_20[[#This Row],[FAENA EN LTS2]]</f>
        <v>4300</v>
      </c>
      <c r="AF30" s="246"/>
      <c r="AG30" s="246"/>
      <c r="AH30" s="320">
        <f>(AH29-V059_20[[#This Row],[MOT AUX]])+V059_20[[#This Row],[FAENA EN  LTS]]</f>
        <v>3710</v>
      </c>
      <c r="AI30" s="246"/>
      <c r="AJ30" s="246"/>
      <c r="AK30" s="321">
        <f>(AK29-V059_20[[#This Row],[HIDRAULICO]])+V059_20[[#This Row],[FAENA EN LTS3]]</f>
        <v>2800</v>
      </c>
    </row>
    <row r="31" spans="1:37" x14ac:dyDescent="0.25">
      <c r="A31" s="235" t="s">
        <v>207</v>
      </c>
      <c r="B31" s="48">
        <v>43962</v>
      </c>
      <c r="C31" s="41">
        <v>4.9999999999999996E-2</v>
      </c>
      <c r="D31" s="37">
        <f>IF(V059_20[[#This Row],[FECHA]]-B30=1,((V059_20[[#This Row],[HORA]]-C30)*24)+24,(V059_20[[#This Row],[HORA]]-C30)*24)</f>
        <v>3.0000000000000036</v>
      </c>
      <c r="E31" s="239" t="s">
        <v>47</v>
      </c>
      <c r="F31" s="29" t="s">
        <v>48</v>
      </c>
      <c r="G31" s="324"/>
      <c r="H31" s="306"/>
      <c r="I31" s="259">
        <f>IF(ISERROR(V059_20[[#This Row],[DISTANCIA POR CARTA]]/V059_20[[#This Row],[TIEMPO DE NAVEGACION]]),0,V059_20[[#This Row],[DISTANCIA POR CARTA]]/V059_20[[#This Row],[TIEMPO DE NAVEGACION]])</f>
        <v>0</v>
      </c>
      <c r="J31" s="242"/>
      <c r="K31" s="325"/>
      <c r="L31" s="245">
        <v>0.63</v>
      </c>
      <c r="M31" s="245">
        <v>0.31</v>
      </c>
      <c r="N31" s="245">
        <v>0.25</v>
      </c>
      <c r="O31" s="257">
        <f>SUM(V059_20[[#This Row],[MPAL]:[CALDERA]])</f>
        <v>1.19</v>
      </c>
      <c r="P31" s="319"/>
      <c r="Q31" s="281">
        <f>(Q30-V059_20[[#This Row],[TOTAL ]])+V059_20[[#This Row],[FAENA]]</f>
        <v>810.63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SUM(V059_20[[#This Row],[MPAL2]:[GI]])</f>
        <v>0</v>
      </c>
      <c r="X31" s="246"/>
      <c r="Y31" s="282">
        <f>(Y30-V059_20[[#This Row],[TOTAL]])+V059_20[[#This Row],[FAENA2]]</f>
        <v>142</v>
      </c>
      <c r="Z31" s="245"/>
      <c r="AA31" s="246"/>
      <c r="AB31" s="320">
        <f>(AB30-V059_20[[#This Row],[CYLINDER MP]])+V059_20[[#This Row],[FAENA EN LTS]]</f>
        <v>4580</v>
      </c>
      <c r="AC31" s="246"/>
      <c r="AD31" s="246"/>
      <c r="AE31" s="320">
        <f>(AE30-V059_20[[#This Row],[CARTER MP.]])+V059_20[[#This Row],[FAENA EN LTS2]]</f>
        <v>4300</v>
      </c>
      <c r="AF31" s="246"/>
      <c r="AG31" s="246"/>
      <c r="AH31" s="320">
        <f>(AH30-V059_20[[#This Row],[MOT AUX]])+V059_20[[#This Row],[FAENA EN  LTS]]</f>
        <v>3710</v>
      </c>
      <c r="AI31" s="246"/>
      <c r="AJ31" s="246"/>
      <c r="AK31" s="321">
        <f>(AK30-V059_20[[#This Row],[HIDRAULICO]])+V059_20[[#This Row],[FAENA EN LTS3]]</f>
        <v>2800</v>
      </c>
    </row>
    <row r="32" spans="1:37" x14ac:dyDescent="0.25">
      <c r="A32" s="235" t="s">
        <v>207</v>
      </c>
      <c r="B32" s="382">
        <v>43962</v>
      </c>
      <c r="C32" s="41">
        <v>0.16666666666666666</v>
      </c>
      <c r="D32" s="37">
        <f>IF(V059_20[[#This Row],[FECHA]]-B31=1,((V059_20[[#This Row],[HORA]]-C31)*24)+24,(V059_20[[#This Row],[HORA]]-C31)*24)</f>
        <v>2.8</v>
      </c>
      <c r="E32" s="239" t="s">
        <v>49</v>
      </c>
      <c r="F32" s="29" t="s">
        <v>50</v>
      </c>
      <c r="G32" s="324"/>
      <c r="H32" s="306"/>
      <c r="I32" s="259">
        <f>IF(ISERROR(V059_20[[#This Row],[DISTANCIA POR CARTA]]/V059_20[[#This Row],[TIEMPO DE NAVEGACION]]),0,V059_20[[#This Row],[DISTANCIA POR CARTA]]/V059_20[[#This Row],[TIEMPO DE NAVEGACION]])</f>
        <v>0</v>
      </c>
      <c r="J32" s="242"/>
      <c r="K32" s="325"/>
      <c r="L32" s="245">
        <v>0</v>
      </c>
      <c r="M32" s="245">
        <v>0.28999999999999998</v>
      </c>
      <c r="N32" s="245">
        <v>0.23</v>
      </c>
      <c r="O32" s="257">
        <f>SUM(V059_20[[#This Row],[MPAL]:[CALDERA]])</f>
        <v>0.52</v>
      </c>
      <c r="P32" s="319"/>
      <c r="Q32" s="281">
        <f>(Q31-V059_20[[#This Row],[TOTAL ]])+V059_20[[#This Row],[FAENA]]</f>
        <v>810.11</v>
      </c>
      <c r="R32" s="245">
        <v>0</v>
      </c>
      <c r="S32" s="246">
        <v>0</v>
      </c>
      <c r="T32" s="246">
        <v>0</v>
      </c>
      <c r="U32" s="246">
        <v>0</v>
      </c>
      <c r="V32" s="246">
        <v>0.5</v>
      </c>
      <c r="W32" s="257">
        <f>SUM(V059_20[[#This Row],[MPAL2]:[GI]])</f>
        <v>0.5</v>
      </c>
      <c r="X32" s="246"/>
      <c r="Y32" s="282">
        <f>(Y31-V059_20[[#This Row],[TOTAL]])+V059_20[[#This Row],[FAENA2]]</f>
        <v>141.5</v>
      </c>
      <c r="Z32" s="245"/>
      <c r="AA32" s="246"/>
      <c r="AB32" s="320">
        <f>(AB31-V059_20[[#This Row],[CYLINDER MP]])+V059_20[[#This Row],[FAENA EN LTS]]</f>
        <v>4580</v>
      </c>
      <c r="AC32" s="246"/>
      <c r="AD32" s="246"/>
      <c r="AE32" s="320">
        <f>(AE31-V059_20[[#This Row],[CARTER MP.]])+V059_20[[#This Row],[FAENA EN LTS2]]</f>
        <v>4300</v>
      </c>
      <c r="AF32" s="246"/>
      <c r="AG32" s="246"/>
      <c r="AH32" s="320">
        <f>(AH31-V059_20[[#This Row],[MOT AUX]])+V059_20[[#This Row],[FAENA EN  LTS]]</f>
        <v>3710</v>
      </c>
      <c r="AI32" s="246"/>
      <c r="AJ32" s="246"/>
      <c r="AK32" s="321">
        <f>(AK31-V059_20[[#This Row],[HIDRAULICO]])+V059_20[[#This Row],[FAENA EN LTS3]]</f>
        <v>2800</v>
      </c>
    </row>
    <row r="33" spans="1:37" x14ac:dyDescent="0.25">
      <c r="A33" s="235" t="s">
        <v>207</v>
      </c>
      <c r="B33" s="382">
        <v>43962</v>
      </c>
      <c r="C33" s="351">
        <v>0.33333333333333331</v>
      </c>
      <c r="D33" s="37">
        <f>IF(V059_20[[#This Row],[FECHA]]-B32=1,((V059_20[[#This Row],[HORA]]-C32)*24)+24,(V059_20[[#This Row],[HORA]]-C32)*24)</f>
        <v>4</v>
      </c>
      <c r="E33" s="239" t="s">
        <v>51</v>
      </c>
      <c r="F33" s="29" t="s">
        <v>51</v>
      </c>
      <c r="G33" s="324"/>
      <c r="H33" s="306"/>
      <c r="I33" s="259">
        <f>IF(ISERROR(V059_20[[#This Row],[DISTANCIA POR CARTA]]/V059_20[[#This Row],[TIEMPO DE NAVEGACION]]),0,V059_20[[#This Row],[DISTANCIA POR CARTA]]/V059_20[[#This Row],[TIEMPO DE NAVEGACION]])</f>
        <v>0</v>
      </c>
      <c r="J33" s="242"/>
      <c r="K33" s="325"/>
      <c r="L33" s="245">
        <v>0</v>
      </c>
      <c r="M33" s="245">
        <v>0.42</v>
      </c>
      <c r="N33" s="245">
        <v>0.33</v>
      </c>
      <c r="O33" s="257">
        <f>SUM(V059_20[[#This Row],[MPAL]:[CALDERA]])</f>
        <v>0.75</v>
      </c>
      <c r="P33" s="319"/>
      <c r="Q33" s="281">
        <f>(Q32-V059_20[[#This Row],[TOTAL ]])+V059_20[[#This Row],[FAENA]]</f>
        <v>809.36</v>
      </c>
      <c r="R33" s="245">
        <v>0</v>
      </c>
      <c r="S33" s="246">
        <v>0</v>
      </c>
      <c r="T33" s="246">
        <v>0</v>
      </c>
      <c r="U33" s="246">
        <v>0</v>
      </c>
      <c r="V33" s="246">
        <v>1</v>
      </c>
      <c r="W33" s="257">
        <f>SUM(V059_20[[#This Row],[MPAL2]:[GI]])</f>
        <v>1</v>
      </c>
      <c r="X33" s="246"/>
      <c r="Y33" s="282">
        <f>(Y32-V059_20[[#This Row],[TOTAL]])+V059_20[[#This Row],[FAENA2]]</f>
        <v>140.5</v>
      </c>
      <c r="Z33" s="245"/>
      <c r="AA33" s="246"/>
      <c r="AB33" s="320">
        <f>(AB32-V059_20[[#This Row],[CYLINDER MP]])+V059_20[[#This Row],[FAENA EN LTS]]</f>
        <v>4580</v>
      </c>
      <c r="AC33" s="246"/>
      <c r="AD33" s="246"/>
      <c r="AE33" s="320">
        <f>(AE32-V059_20[[#This Row],[CARTER MP.]])+V059_20[[#This Row],[FAENA EN LTS2]]</f>
        <v>4300</v>
      </c>
      <c r="AF33" s="246"/>
      <c r="AG33" s="246"/>
      <c r="AH33" s="320">
        <f>(AH32-V059_20[[#This Row],[MOT AUX]])+V059_20[[#This Row],[FAENA EN  LTS]]</f>
        <v>3710</v>
      </c>
      <c r="AI33" s="246"/>
      <c r="AJ33" s="246"/>
      <c r="AK33" s="321">
        <f>(AK32-V059_20[[#This Row],[HIDRAULICO]])+V059_20[[#This Row],[FAENA EN LTS3]]</f>
        <v>2800</v>
      </c>
    </row>
    <row r="34" spans="1:37" x14ac:dyDescent="0.25">
      <c r="A34" s="235" t="s">
        <v>207</v>
      </c>
      <c r="B34" s="382">
        <v>43962</v>
      </c>
      <c r="C34" s="41">
        <v>0.62083333333333335</v>
      </c>
      <c r="D34" s="37">
        <f>IF(V059_20[[#This Row],[FECHA]]-B33=1,((V059_20[[#This Row],[HORA]]-C33)*24)+24,(V059_20[[#This Row],[HORA]]-C33)*24)</f>
        <v>6.9</v>
      </c>
      <c r="E34" s="239" t="s">
        <v>51</v>
      </c>
      <c r="F34" s="29" t="s">
        <v>52</v>
      </c>
      <c r="G34" s="324"/>
      <c r="H34" s="306"/>
      <c r="I34" s="259">
        <f>IF(ISERROR(V059_20[[#This Row],[DISTANCIA POR CARTA]]/V059_20[[#This Row],[TIEMPO DE NAVEGACION]]),0,V059_20[[#This Row],[DISTANCIA POR CARTA]]/V059_20[[#This Row],[TIEMPO DE NAVEGACION]])</f>
        <v>0</v>
      </c>
      <c r="J34" s="242"/>
      <c r="K34" s="325"/>
      <c r="L34" s="245">
        <v>0</v>
      </c>
      <c r="M34" s="245">
        <v>0.72</v>
      </c>
      <c r="N34" s="245">
        <v>0.57999999999999996</v>
      </c>
      <c r="O34" s="257">
        <f>SUM(V059_20[[#This Row],[MPAL]:[CALDERA]])</f>
        <v>1.2999999999999998</v>
      </c>
      <c r="P34" s="319"/>
      <c r="Q34" s="281">
        <f>(Q33-V059_20[[#This Row],[TOTAL ]])+V059_20[[#This Row],[FAENA]]</f>
        <v>808.06000000000006</v>
      </c>
      <c r="R34" s="245">
        <v>0</v>
      </c>
      <c r="S34" s="246">
        <v>0</v>
      </c>
      <c r="T34" s="246">
        <v>0</v>
      </c>
      <c r="U34" s="246">
        <v>0</v>
      </c>
      <c r="V34" s="246">
        <v>1.8</v>
      </c>
      <c r="W34" s="257">
        <f>SUM(V059_20[[#This Row],[MPAL2]:[GI]])</f>
        <v>1.8</v>
      </c>
      <c r="X34" s="246"/>
      <c r="Y34" s="282">
        <f>(Y33-V059_20[[#This Row],[TOTAL]])+V059_20[[#This Row],[FAENA2]]</f>
        <v>138.69999999999999</v>
      </c>
      <c r="Z34" s="245"/>
      <c r="AA34" s="246"/>
      <c r="AB34" s="320">
        <f>(AB33-V059_20[[#This Row],[CYLINDER MP]])+V059_20[[#This Row],[FAENA EN LTS]]</f>
        <v>4580</v>
      </c>
      <c r="AC34" s="246"/>
      <c r="AD34" s="246"/>
      <c r="AE34" s="320">
        <f>(AE33-V059_20[[#This Row],[CARTER MP.]])+V059_20[[#This Row],[FAENA EN LTS2]]</f>
        <v>4300</v>
      </c>
      <c r="AF34" s="246"/>
      <c r="AG34" s="246"/>
      <c r="AH34" s="320">
        <f>(AH33-V059_20[[#This Row],[MOT AUX]])+V059_20[[#This Row],[FAENA EN  LTS]]</f>
        <v>3710</v>
      </c>
      <c r="AI34" s="246"/>
      <c r="AJ34" s="246"/>
      <c r="AK34" s="321">
        <f>(AK33-V059_20[[#This Row],[HIDRAULICO]])+V059_20[[#This Row],[FAENA EN LTS3]]</f>
        <v>2800</v>
      </c>
    </row>
    <row r="35" spans="1:37" x14ac:dyDescent="0.25">
      <c r="A35" s="235" t="s">
        <v>207</v>
      </c>
      <c r="B35" s="382">
        <v>43962</v>
      </c>
      <c r="C35" s="41">
        <v>0.75416666666666676</v>
      </c>
      <c r="D35" s="37">
        <f>IF(V059_20[[#This Row],[FECHA]]-B34=1,((V059_20[[#This Row],[HORA]]-C34)*24)+24,(V059_20[[#This Row],[HORA]]-C34)*24)</f>
        <v>3.200000000000002</v>
      </c>
      <c r="E35" s="239" t="s">
        <v>49</v>
      </c>
      <c r="F35" s="29" t="s">
        <v>46</v>
      </c>
      <c r="G35" s="324"/>
      <c r="H35" s="306"/>
      <c r="I35" s="259">
        <f>IF(ISERROR(V059_20[[#This Row],[DISTANCIA POR CARTA]]/V059_20[[#This Row],[TIEMPO DE NAVEGACION]]),0,V059_20[[#This Row],[DISTANCIA POR CARTA]]/V059_20[[#This Row],[TIEMPO DE NAVEGACION]])</f>
        <v>0</v>
      </c>
      <c r="J35" s="242"/>
      <c r="K35" s="325"/>
      <c r="L35" s="245">
        <v>0</v>
      </c>
      <c r="M35" s="245">
        <v>0.33</v>
      </c>
      <c r="N35" s="245">
        <v>0.27</v>
      </c>
      <c r="O35" s="257">
        <f>SUM(V059_20[[#This Row],[MPAL]:[CALDERA]])</f>
        <v>0.60000000000000009</v>
      </c>
      <c r="P35" s="319"/>
      <c r="Q35" s="281">
        <f>(Q34-V059_20[[#This Row],[TOTAL ]])+V059_20[[#This Row],[FAENA]]</f>
        <v>807.46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SUM(V059_20[[#This Row],[MPAL2]:[GI]])</f>
        <v>0</v>
      </c>
      <c r="X35" s="246"/>
      <c r="Y35" s="282">
        <f>(Y34-V059_20[[#This Row],[TOTAL]])+V059_20[[#This Row],[FAENA2]]</f>
        <v>138.69999999999999</v>
      </c>
      <c r="Z35" s="245"/>
      <c r="AA35" s="246"/>
      <c r="AB35" s="320">
        <f>(AB34-V059_20[[#This Row],[CYLINDER MP]])+V059_20[[#This Row],[FAENA EN LTS]]</f>
        <v>4580</v>
      </c>
      <c r="AC35" s="246"/>
      <c r="AD35" s="246"/>
      <c r="AE35" s="320">
        <f>(AE34-V059_20[[#This Row],[CARTER MP.]])+V059_20[[#This Row],[FAENA EN LTS2]]</f>
        <v>4300</v>
      </c>
      <c r="AF35" s="246"/>
      <c r="AG35" s="246"/>
      <c r="AH35" s="320">
        <f>(AH34-V059_20[[#This Row],[MOT AUX]])+V059_20[[#This Row],[FAENA EN  LTS]]</f>
        <v>3710</v>
      </c>
      <c r="AI35" s="246"/>
      <c r="AJ35" s="246"/>
      <c r="AK35" s="321">
        <f>(AK34-V059_20[[#This Row],[HIDRAULICO]])+V059_20[[#This Row],[FAENA EN LTS3]]</f>
        <v>2800</v>
      </c>
    </row>
    <row r="36" spans="1:37" x14ac:dyDescent="0.25">
      <c r="A36" s="235" t="s">
        <v>207</v>
      </c>
      <c r="B36" s="382">
        <v>43962</v>
      </c>
      <c r="C36" s="41">
        <v>0.77916666666666667</v>
      </c>
      <c r="D36" s="37">
        <f>IF(V059_20[[#This Row],[FECHA]]-B35=1,((V059_20[[#This Row],[HORA]]-C35)*24)+24,(V059_20[[#This Row],[HORA]]-C35)*24)</f>
        <v>0.59999999999999787</v>
      </c>
      <c r="E36" s="239" t="s">
        <v>47</v>
      </c>
      <c r="F36" s="29" t="s">
        <v>213</v>
      </c>
      <c r="G36" s="324"/>
      <c r="H36" s="306"/>
      <c r="I36" s="259">
        <f>IF(ISERROR(V059_20[[#This Row],[DISTANCIA POR CARTA]]/V059_20[[#This Row],[TIEMPO DE NAVEGACION]]),0,V059_20[[#This Row],[DISTANCIA POR CARTA]]/V059_20[[#This Row],[TIEMPO DE NAVEGACION]])</f>
        <v>0</v>
      </c>
      <c r="J36" s="242"/>
      <c r="K36" s="325"/>
      <c r="L36" s="245">
        <v>0.13</v>
      </c>
      <c r="M36" s="245">
        <v>0.06</v>
      </c>
      <c r="N36" s="245">
        <v>0.05</v>
      </c>
      <c r="O36" s="257">
        <f>SUM(V059_20[[#This Row],[MPAL]:[CALDERA]])</f>
        <v>0.24</v>
      </c>
      <c r="P36" s="319"/>
      <c r="Q36" s="281">
        <f>(Q35-V059_20[[#This Row],[TOTAL ]])+V059_20[[#This Row],[FAENA]]</f>
        <v>807.22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SUM(V059_20[[#This Row],[MPAL2]:[GI]])</f>
        <v>0</v>
      </c>
      <c r="X36" s="246"/>
      <c r="Y36" s="282">
        <f>(Y35-V059_20[[#This Row],[TOTAL]])+V059_20[[#This Row],[FAENA2]]</f>
        <v>138.69999999999999</v>
      </c>
      <c r="Z36" s="245"/>
      <c r="AA36" s="246"/>
      <c r="AB36" s="320">
        <f>(AB35-V059_20[[#This Row],[CYLINDER MP]])+V059_20[[#This Row],[FAENA EN LTS]]</f>
        <v>4580</v>
      </c>
      <c r="AC36" s="246"/>
      <c r="AD36" s="246"/>
      <c r="AE36" s="320">
        <f>(AE35-V059_20[[#This Row],[CARTER MP.]])+V059_20[[#This Row],[FAENA EN LTS2]]</f>
        <v>4300</v>
      </c>
      <c r="AF36" s="246"/>
      <c r="AG36" s="246"/>
      <c r="AH36" s="320">
        <f>(AH35-V059_20[[#This Row],[MOT AUX]])+V059_20[[#This Row],[FAENA EN  LTS]]</f>
        <v>3710</v>
      </c>
      <c r="AI36" s="246"/>
      <c r="AJ36" s="246"/>
      <c r="AK36" s="321">
        <f>(AK35-V059_20[[#This Row],[HIDRAULICO]])+V059_20[[#This Row],[FAENA EN LTS3]]</f>
        <v>2800</v>
      </c>
    </row>
    <row r="37" spans="1:37" x14ac:dyDescent="0.25">
      <c r="A37" s="235" t="s">
        <v>207</v>
      </c>
      <c r="B37" s="382">
        <v>43962</v>
      </c>
      <c r="C37" s="41">
        <v>0.9458333333333333</v>
      </c>
      <c r="D37" s="37">
        <f>IF(V059_20[[#This Row],[FECHA]]-B36=1,((V059_20[[#This Row],[HORA]]-C36)*24)+24,(V059_20[[#This Row],[HORA]]-C36)*24)</f>
        <v>3.9999999999999991</v>
      </c>
      <c r="E37" s="239" t="s">
        <v>55</v>
      </c>
      <c r="F37" s="29" t="s">
        <v>216</v>
      </c>
      <c r="G37" s="324">
        <v>50</v>
      </c>
      <c r="H37" s="306">
        <v>4</v>
      </c>
      <c r="I37" s="259">
        <f>IF(ISERROR(V059_20[[#This Row],[DISTANCIA POR CARTA]]/V059_20[[#This Row],[TIEMPO DE NAVEGACION]]),0,V059_20[[#This Row],[DISTANCIA POR CARTA]]/V059_20[[#This Row],[TIEMPO DE NAVEGACION]])</f>
        <v>12.5</v>
      </c>
      <c r="J37" s="380" t="s">
        <v>218</v>
      </c>
      <c r="K37" s="325">
        <v>96</v>
      </c>
      <c r="L37" s="245">
        <v>3.83</v>
      </c>
      <c r="M37" s="245">
        <v>0.42</v>
      </c>
      <c r="N37" s="245">
        <v>0</v>
      </c>
      <c r="O37" s="257">
        <f>SUM(V059_20[[#This Row],[MPAL]:[CALDERA]])</f>
        <v>4.25</v>
      </c>
      <c r="P37" s="319"/>
      <c r="Q37" s="281">
        <f>(Q36-V059_20[[#This Row],[TOTAL ]])+V059_20[[#This Row],[FAENA]]</f>
        <v>802.97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SUM(V059_20[[#This Row],[MPAL2]:[GI]])</f>
        <v>0</v>
      </c>
      <c r="X37" s="246"/>
      <c r="Y37" s="282">
        <f>(Y36-V059_20[[#This Row],[TOTAL]])+V059_20[[#This Row],[FAENA2]]</f>
        <v>138.69999999999999</v>
      </c>
      <c r="Z37" s="245"/>
      <c r="AA37" s="246"/>
      <c r="AB37" s="320">
        <f>(AB36-V059_20[[#This Row],[CYLINDER MP]])+V059_20[[#This Row],[FAENA EN LTS]]</f>
        <v>4580</v>
      </c>
      <c r="AC37" s="246"/>
      <c r="AD37" s="246"/>
      <c r="AE37" s="320">
        <f>(AE36-V059_20[[#This Row],[CARTER MP.]])+V059_20[[#This Row],[FAENA EN LTS2]]</f>
        <v>4300</v>
      </c>
      <c r="AF37" s="246"/>
      <c r="AG37" s="246"/>
      <c r="AH37" s="320">
        <f>(AH36-V059_20[[#This Row],[MOT AUX]])+V059_20[[#This Row],[FAENA EN  LTS]]</f>
        <v>3710</v>
      </c>
      <c r="AI37" s="246"/>
      <c r="AJ37" s="246"/>
      <c r="AK37" s="321">
        <f>(AK36-V059_20[[#This Row],[HIDRAULICO]])+V059_20[[#This Row],[FAENA EN LTS3]]</f>
        <v>2800</v>
      </c>
    </row>
    <row r="38" spans="1:37" x14ac:dyDescent="0.25">
      <c r="A38" s="235" t="s">
        <v>207</v>
      </c>
      <c r="B38" s="382">
        <v>43962</v>
      </c>
      <c r="C38" s="41">
        <v>0.97499999999999998</v>
      </c>
      <c r="D38" s="37">
        <f>IF(V059_20[[#This Row],[FECHA]]-B37=1,((V059_20[[#This Row],[HORA]]-C37)*24)+24,(V059_20[[#This Row],[HORA]]-C37)*24)</f>
        <v>0.70000000000000018</v>
      </c>
      <c r="E38" s="239" t="s">
        <v>47</v>
      </c>
      <c r="F38" s="29" t="s">
        <v>48</v>
      </c>
      <c r="G38" s="324"/>
      <c r="H38" s="306"/>
      <c r="I38" s="259">
        <f>IF(ISERROR(V059_20[[#This Row],[DISTANCIA POR CARTA]]/V059_20[[#This Row],[TIEMPO DE NAVEGACION]]),0,V059_20[[#This Row],[DISTANCIA POR CARTA]]/V059_20[[#This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SUM(V059_20[[#This Row],[MPAL]:[CALDERA]])</f>
        <v>0.28000000000000003</v>
      </c>
      <c r="P38" s="319"/>
      <c r="Q38" s="281">
        <f>(Q37-V059_20[[#This Row],[TOTAL ]])+V059_20[[#This Row],[FAENA]]</f>
        <v>802.69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SUM(V059_20[[#This Row],[MPAL2]:[GI]])</f>
        <v>0</v>
      </c>
      <c r="X38" s="246"/>
      <c r="Y38" s="282">
        <f>(Y37-V059_20[[#This Row],[TOTAL]])+V059_20[[#This Row],[FAENA2]]</f>
        <v>138.69999999999999</v>
      </c>
      <c r="Z38" s="245"/>
      <c r="AA38" s="246"/>
      <c r="AB38" s="320">
        <f>(AB37-V059_20[[#This Row],[CYLINDER MP]])+V059_20[[#This Row],[FAENA EN LTS]]</f>
        <v>4580</v>
      </c>
      <c r="AC38" s="246"/>
      <c r="AD38" s="246"/>
      <c r="AE38" s="320">
        <f>(AE37-V059_20[[#This Row],[CARTER MP.]])+V059_20[[#This Row],[FAENA EN LTS2]]</f>
        <v>4300</v>
      </c>
      <c r="AF38" s="246"/>
      <c r="AG38" s="246"/>
      <c r="AH38" s="320">
        <f>(AH37-V059_20[[#This Row],[MOT AUX]])+V059_20[[#This Row],[FAENA EN  LTS]]</f>
        <v>3710</v>
      </c>
      <c r="AI38" s="246"/>
      <c r="AJ38" s="246"/>
      <c r="AK38" s="321">
        <f>(AK37-V059_20[[#This Row],[HIDRAULICO]])+V059_20[[#This Row],[FAENA EN LTS3]]</f>
        <v>2800</v>
      </c>
    </row>
    <row r="39" spans="1:37" x14ac:dyDescent="0.25">
      <c r="A39" s="235" t="s">
        <v>207</v>
      </c>
      <c r="B39" s="48">
        <v>43963</v>
      </c>
      <c r="C39" s="351">
        <v>0.33333333333333331</v>
      </c>
      <c r="D39" s="37">
        <f>IF(V059_20[[#This Row],[FECHA]]-B38=1,((V059_20[[#This Row],[HORA]]-C38)*24)+24,(V059_20[[#This Row],[HORA]]-C38)*24)</f>
        <v>8.6000000000000014</v>
      </c>
      <c r="E39" s="239" t="s">
        <v>45</v>
      </c>
      <c r="F39" s="29" t="s">
        <v>209</v>
      </c>
      <c r="G39" s="324"/>
      <c r="H39" s="306"/>
      <c r="I39" s="259">
        <f>IF(ISERROR(V059_20[[#This Row],[DISTANCIA POR CARTA]]/V059_20[[#This Row],[TIEMPO DE NAVEGACION]]),0,V059_20[[#This Row],[DISTANCIA POR CARTA]]/V059_20[[#This Row],[TIEMPO DE NAVEGACION]])</f>
        <v>0</v>
      </c>
      <c r="J39" s="242"/>
      <c r="K39" s="325"/>
      <c r="L39" s="245">
        <v>0</v>
      </c>
      <c r="M39" s="245">
        <v>0.9</v>
      </c>
      <c r="N39" s="245">
        <v>0.72</v>
      </c>
      <c r="O39" s="257">
        <f>SUM(V059_20[[#This Row],[MPAL]:[CALDERA]])</f>
        <v>1.62</v>
      </c>
      <c r="P39" s="319"/>
      <c r="Q39" s="281">
        <f>(Q38-V059_20[[#This Row],[TOTAL ]])+V059_20[[#This Row],[FAENA]]</f>
        <v>801.07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SUM(V059_20[[#This Row],[MPAL2]:[GI]])</f>
        <v>0</v>
      </c>
      <c r="X39" s="246"/>
      <c r="Y39" s="282">
        <f>(Y38-V059_20[[#This Row],[TOTAL]])+V059_20[[#This Row],[FAENA2]]</f>
        <v>138.69999999999999</v>
      </c>
      <c r="Z39" s="245"/>
      <c r="AA39" s="246"/>
      <c r="AB39" s="320">
        <f>(AB38-V059_20[[#This Row],[CYLINDER MP]])+V059_20[[#This Row],[FAENA EN LTS]]</f>
        <v>4580</v>
      </c>
      <c r="AC39" s="246"/>
      <c r="AD39" s="246"/>
      <c r="AE39" s="320">
        <f>(AE38-V059_20[[#This Row],[CARTER MP.]])+V059_20[[#This Row],[FAENA EN LTS2]]</f>
        <v>4300</v>
      </c>
      <c r="AF39" s="246"/>
      <c r="AG39" s="246"/>
      <c r="AH39" s="320">
        <f>(AH38-V059_20[[#This Row],[MOT AUX]])+V059_20[[#This Row],[FAENA EN  LTS]]</f>
        <v>3710</v>
      </c>
      <c r="AI39" s="246"/>
      <c r="AJ39" s="246"/>
      <c r="AK39" s="321">
        <f>(AK38-V059_20[[#This Row],[HIDRAULICO]])+V059_20[[#This Row],[FAENA EN LTS3]]</f>
        <v>2800</v>
      </c>
    </row>
    <row r="40" spans="1:37" x14ac:dyDescent="0.25">
      <c r="A40" s="235" t="s">
        <v>207</v>
      </c>
      <c r="B40" s="48">
        <v>43964</v>
      </c>
      <c r="C40" s="362">
        <v>0.33333333333333331</v>
      </c>
      <c r="D40" s="37">
        <f>IF(V059_20[[#This Row],[FECHA]]-B39=1,((V059_20[[#This Row],[HORA]]-C39)*24)+24,(V059_20[[#This Row],[HORA]]-C39)*24)</f>
        <v>24</v>
      </c>
      <c r="E40" s="239" t="s">
        <v>45</v>
      </c>
      <c r="F40" s="29" t="s">
        <v>45</v>
      </c>
      <c r="G40" s="324"/>
      <c r="H40" s="306"/>
      <c r="I40" s="259">
        <f>IF(ISERROR(V059_20[[#This Row],[DISTANCIA POR CARTA]]/V059_20[[#This Row],[TIEMPO DE NAVEGACION]]),0,V059_20[[#This Row],[DISTANCIA POR CARTA]]/V059_20[[#This Row],[TIEMPO DE NAVEGACION]])</f>
        <v>0</v>
      </c>
      <c r="J40" s="242"/>
      <c r="K40" s="325"/>
      <c r="L40" s="245">
        <v>0</v>
      </c>
      <c r="M40" s="245">
        <v>2.5</v>
      </c>
      <c r="N40" s="245">
        <v>6</v>
      </c>
      <c r="O40" s="257">
        <f>SUM(V059_20[[#This Row],[MPAL]:[CALDERA]])</f>
        <v>8.5</v>
      </c>
      <c r="P40" s="319"/>
      <c r="Q40" s="281">
        <f>(Q39-V059_20[[#This Row],[TOTAL ]])+V059_20[[#This Row],[FAENA]]</f>
        <v>792.57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SUM(V059_20[[#This Row],[MPAL2]:[GI]])</f>
        <v>0</v>
      </c>
      <c r="X40" s="246"/>
      <c r="Y40" s="282">
        <f>(Y39-V059_20[[#This Row],[TOTAL]])+V059_20[[#This Row],[FAENA2]]</f>
        <v>138.69999999999999</v>
      </c>
      <c r="Z40" s="245"/>
      <c r="AA40" s="246"/>
      <c r="AB40" s="320">
        <f>(AB39-V059_20[[#This Row],[CYLINDER MP]])+V059_20[[#This Row],[FAENA EN LTS]]</f>
        <v>4580</v>
      </c>
      <c r="AC40" s="246"/>
      <c r="AD40" s="246"/>
      <c r="AE40" s="320">
        <f>(AE39-V059_20[[#This Row],[CARTER MP.]])+V059_20[[#This Row],[FAENA EN LTS2]]</f>
        <v>4300</v>
      </c>
      <c r="AF40" s="246"/>
      <c r="AG40" s="246"/>
      <c r="AH40" s="320">
        <f>(AH39-V059_20[[#This Row],[MOT AUX]])+V059_20[[#This Row],[FAENA EN  LTS]]</f>
        <v>3710</v>
      </c>
      <c r="AI40" s="246"/>
      <c r="AJ40" s="246"/>
      <c r="AK40" s="321">
        <f>(AK39-V059_20[[#This Row],[HIDRAULICO]])+V059_20[[#This Row],[FAENA EN LTS3]]</f>
        <v>2800</v>
      </c>
    </row>
    <row r="41" spans="1:37" x14ac:dyDescent="0.25">
      <c r="A41" s="235" t="s">
        <v>207</v>
      </c>
      <c r="B41" s="48">
        <v>43965</v>
      </c>
      <c r="C41" s="351">
        <v>0.32500000000000001</v>
      </c>
      <c r="D41" s="37">
        <f>IF(V059_20[[#This Row],[FECHA]]-B40=1,((V059_20[[#This Row],[HORA]]-C40)*24)+24,(V059_20[[#This Row],[HORA]]-C40)*24)</f>
        <v>23.8</v>
      </c>
      <c r="E41" s="239" t="s">
        <v>45</v>
      </c>
      <c r="F41" s="29" t="s">
        <v>46</v>
      </c>
      <c r="G41" s="324"/>
      <c r="H41" s="306"/>
      <c r="I41" s="259">
        <f>IF(ISERROR(V059_20[[#This Row],[DISTANCIA POR CARTA]]/V059_20[[#This Row],[TIEMPO DE NAVEGACION]]),0,V059_20[[#This Row],[DISTANCIA POR CARTA]]/V059_20[[#This Row],[TIEMPO DE NAVEGACION]])</f>
        <v>0</v>
      </c>
      <c r="J41" s="242"/>
      <c r="K41" s="325"/>
      <c r="L41" s="245">
        <v>0</v>
      </c>
      <c r="M41" s="245">
        <v>2.5</v>
      </c>
      <c r="N41" s="245">
        <v>6</v>
      </c>
      <c r="O41" s="257">
        <f>SUM(V059_20[[#This Row],[MPAL]:[CALDERA]])</f>
        <v>8.5</v>
      </c>
      <c r="P41" s="319"/>
      <c r="Q41" s="281">
        <f>(Q40-V059_20[[#This Row],[TOTAL ]])+V059_20[[#This Row],[FAENA]]</f>
        <v>784.07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SUM(V059_20[[#This Row],[MPAL2]:[GI]])</f>
        <v>0</v>
      </c>
      <c r="X41" s="246"/>
      <c r="Y41" s="282">
        <f>(Y40-V059_20[[#This Row],[TOTAL]])+V059_20[[#This Row],[FAENA2]]</f>
        <v>138.69999999999999</v>
      </c>
      <c r="Z41" s="245"/>
      <c r="AA41" s="246"/>
      <c r="AB41" s="320">
        <f>(AB40-V059_20[[#This Row],[CYLINDER MP]])+V059_20[[#This Row],[FAENA EN LTS]]</f>
        <v>4580</v>
      </c>
      <c r="AC41" s="246"/>
      <c r="AD41" s="246"/>
      <c r="AE41" s="320">
        <f>(AE40-V059_20[[#This Row],[CARTER MP.]])+V059_20[[#This Row],[FAENA EN LTS2]]</f>
        <v>4300</v>
      </c>
      <c r="AF41" s="246"/>
      <c r="AG41" s="246"/>
      <c r="AH41" s="320">
        <f>(AH40-V059_20[[#This Row],[MOT AUX]])+V059_20[[#This Row],[FAENA EN  LTS]]</f>
        <v>3710</v>
      </c>
      <c r="AI41" s="246"/>
      <c r="AJ41" s="246"/>
      <c r="AK41" s="321">
        <f>(AK40-V059_20[[#This Row],[HIDRAULICO]])+V059_20[[#This Row],[FAENA EN LTS3]]</f>
        <v>2800</v>
      </c>
    </row>
    <row r="42" spans="1:37" x14ac:dyDescent="0.25">
      <c r="A42" s="235" t="s">
        <v>207</v>
      </c>
      <c r="B42" s="382">
        <v>43965</v>
      </c>
      <c r="C42" s="362">
        <v>0.33333333333333331</v>
      </c>
      <c r="D42" s="37">
        <f>IF(V059_20[[#This Row],[FECHA]]-B41=1,((V059_20[[#This Row],[HORA]]-C41)*24)+24,(V059_20[[#This Row],[HORA]]-C41)*24)</f>
        <v>0.19999999999999929</v>
      </c>
      <c r="E42" s="239" t="s">
        <v>47</v>
      </c>
      <c r="F42" s="29" t="s">
        <v>161</v>
      </c>
      <c r="G42" s="324"/>
      <c r="H42" s="306"/>
      <c r="I42" s="259">
        <f>IF(ISERROR(V059_20[[#This Row],[DISTANCIA POR CARTA]]/V059_20[[#This Row],[TIEMPO DE NAVEGACION]]),0,V059_20[[#This Row],[DISTANCIA POR CARTA]]/V059_20[[#This Row],[TIEMPO DE NAVEGACION]])</f>
        <v>0</v>
      </c>
      <c r="J42" s="242"/>
      <c r="K42" s="325"/>
      <c r="L42" s="245">
        <v>0.04</v>
      </c>
      <c r="M42" s="245">
        <v>0.02</v>
      </c>
      <c r="N42" s="245">
        <v>0.25</v>
      </c>
      <c r="O42" s="257">
        <f>SUM(V059_20[[#This Row],[MPAL]:[CALDERA]])</f>
        <v>0.31</v>
      </c>
      <c r="P42" s="319"/>
      <c r="Q42" s="281">
        <f>(Q41-V059_20[[#This Row],[TOTAL ]])+V059_20[[#This Row],[FAENA]]</f>
        <v>783.7600000000001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SUM(V059_20[[#This Row],[MPAL2]:[GI]])</f>
        <v>0</v>
      </c>
      <c r="X42" s="246"/>
      <c r="Y42" s="282">
        <f>(Y41-V059_20[[#This Row],[TOTAL]])+V059_20[[#This Row],[FAENA2]]</f>
        <v>138.69999999999999</v>
      </c>
      <c r="Z42" s="245"/>
      <c r="AA42" s="246"/>
      <c r="AB42" s="320">
        <f>(AB41-V059_20[[#This Row],[CYLINDER MP]])+V059_20[[#This Row],[FAENA EN LTS]]</f>
        <v>4580</v>
      </c>
      <c r="AC42" s="246"/>
      <c r="AD42" s="246"/>
      <c r="AE42" s="320">
        <f>(AE41-V059_20[[#This Row],[CARTER MP.]])+V059_20[[#This Row],[FAENA EN LTS2]]</f>
        <v>4300</v>
      </c>
      <c r="AF42" s="246"/>
      <c r="AG42" s="246"/>
      <c r="AH42" s="320">
        <f>(AH41-V059_20[[#This Row],[MOT AUX]])+V059_20[[#This Row],[FAENA EN  LTS]]</f>
        <v>3710</v>
      </c>
      <c r="AI42" s="246"/>
      <c r="AJ42" s="246"/>
      <c r="AK42" s="321">
        <f>(AK41-V059_20[[#This Row],[HIDRAULICO]])+V059_20[[#This Row],[FAENA EN LTS3]]</f>
        <v>2800</v>
      </c>
    </row>
    <row r="43" spans="1:37" x14ac:dyDescent="0.25">
      <c r="A43" s="235" t="s">
        <v>207</v>
      </c>
      <c r="B43" s="382">
        <v>43965</v>
      </c>
      <c r="C43" s="41">
        <v>0.3833333333333333</v>
      </c>
      <c r="D43" s="37">
        <f>IF(V059_20[[#This Row],[FECHA]]-B42=1,((V059_20[[#This Row],[HORA]]-C42)*24)+24,(V059_20[[#This Row],[HORA]]-C42)*24)</f>
        <v>1.1999999999999997</v>
      </c>
      <c r="E43" s="239" t="s">
        <v>47</v>
      </c>
      <c r="F43" s="29" t="s">
        <v>48</v>
      </c>
      <c r="G43" s="324"/>
      <c r="H43" s="306"/>
      <c r="I43" s="259">
        <f>IF(ISERROR(V059_20[[#This Row],[DISTANCIA POR CARTA]]/V059_20[[#This Row],[TIEMPO DE NAVEGACION]]),0,V059_20[[#This Row],[DISTANCIA POR CARTA]]/V059_20[[#This Row],[TIEMPO DE NAVEGACION]])</f>
        <v>0</v>
      </c>
      <c r="J43" s="242"/>
      <c r="K43" s="325"/>
      <c r="L43" s="245">
        <v>0.25</v>
      </c>
      <c r="M43" s="245">
        <v>0.13</v>
      </c>
      <c r="N43" s="245">
        <v>0.2</v>
      </c>
      <c r="O43" s="257">
        <f>SUM(V059_20[[#This Row],[MPAL]:[CALDERA]])</f>
        <v>0.58000000000000007</v>
      </c>
      <c r="P43" s="319"/>
      <c r="Q43" s="281">
        <f>(Q42-V059_20[[#This Row],[TOTAL ]])+V059_20[[#This Row],[FAENA]]</f>
        <v>783.18000000000006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SUM(V059_20[[#This Row],[MPAL2]:[GI]])</f>
        <v>0</v>
      </c>
      <c r="X43" s="246"/>
      <c r="Y43" s="282">
        <f>(Y42-V059_20[[#This Row],[TOTAL]])+V059_20[[#This Row],[FAENA2]]</f>
        <v>138.69999999999999</v>
      </c>
      <c r="Z43" s="245"/>
      <c r="AA43" s="246"/>
      <c r="AB43" s="320">
        <f>(AB42-V059_20[[#This Row],[CYLINDER MP]])+V059_20[[#This Row],[FAENA EN LTS]]</f>
        <v>4580</v>
      </c>
      <c r="AC43" s="246"/>
      <c r="AD43" s="246"/>
      <c r="AE43" s="320">
        <f>(AE42-V059_20[[#This Row],[CARTER MP.]])+V059_20[[#This Row],[FAENA EN LTS2]]</f>
        <v>4300</v>
      </c>
      <c r="AF43" s="246"/>
      <c r="AG43" s="246"/>
      <c r="AH43" s="320">
        <f>(AH42-V059_20[[#This Row],[MOT AUX]])+V059_20[[#This Row],[FAENA EN  LTS]]</f>
        <v>3710</v>
      </c>
      <c r="AI43" s="246"/>
      <c r="AJ43" s="246"/>
      <c r="AK43" s="321">
        <f>(AK42-V059_20[[#This Row],[HIDRAULICO]])+V059_20[[#This Row],[FAENA EN LTS3]]</f>
        <v>2800</v>
      </c>
    </row>
    <row r="44" spans="1:37" x14ac:dyDescent="0.25">
      <c r="A44" s="235" t="s">
        <v>207</v>
      </c>
      <c r="B44" s="382">
        <v>43965</v>
      </c>
      <c r="C44" s="41">
        <v>0.57916666666666672</v>
      </c>
      <c r="D44" s="37">
        <f>IF(V059_20[[#This Row],[FECHA]]-B43=1,((V059_20[[#This Row],[HORA]]-C43)*24)+24,(V059_20[[#This Row],[HORA]]-C43)*24)</f>
        <v>4.700000000000002</v>
      </c>
      <c r="E44" s="239" t="s">
        <v>49</v>
      </c>
      <c r="F44" s="29" t="s">
        <v>50</v>
      </c>
      <c r="G44" s="324"/>
      <c r="H44" s="306"/>
      <c r="I44" s="259">
        <f>IF(ISERROR(V059_20[[#This Row],[DISTANCIA POR CARTA]]/V059_20[[#This Row],[TIEMPO DE NAVEGACION]]),0,V059_20[[#This Row],[DISTANCIA POR CARTA]]/V059_20[[#This Row],[TIEMPO DE NAVEGACION]])</f>
        <v>0</v>
      </c>
      <c r="J44" s="242"/>
      <c r="K44" s="325"/>
      <c r="L44" s="245">
        <v>0</v>
      </c>
      <c r="M44" s="245">
        <v>0.49</v>
      </c>
      <c r="N44" s="245">
        <v>0.39</v>
      </c>
      <c r="O44" s="257">
        <f>SUM(V059_20[[#This Row],[MPAL]:[CALDERA]])</f>
        <v>0.88</v>
      </c>
      <c r="P44" s="319"/>
      <c r="Q44" s="281">
        <f>(Q43-V059_20[[#This Row],[TOTAL ]])+V059_20[[#This Row],[FAENA]]</f>
        <v>782.30000000000007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SUM(V059_20[[#This Row],[MPAL2]:[GI]])</f>
        <v>0</v>
      </c>
      <c r="X44" s="246"/>
      <c r="Y44" s="282">
        <f>(Y43-V059_20[[#This Row],[TOTAL]])+V059_20[[#This Row],[FAENA2]]</f>
        <v>138.69999999999999</v>
      </c>
      <c r="Z44" s="245"/>
      <c r="AA44" s="246"/>
      <c r="AB44" s="320">
        <f>(AB43-V059_20[[#This Row],[CYLINDER MP]])+V059_20[[#This Row],[FAENA EN LTS]]</f>
        <v>4580</v>
      </c>
      <c r="AC44" s="246"/>
      <c r="AD44" s="246"/>
      <c r="AE44" s="320">
        <f>(AE43-V059_20[[#This Row],[CARTER MP.]])+V059_20[[#This Row],[FAENA EN LTS2]]</f>
        <v>4300</v>
      </c>
      <c r="AF44" s="246"/>
      <c r="AG44" s="246"/>
      <c r="AH44" s="320">
        <f>(AH43-V059_20[[#This Row],[MOT AUX]])+V059_20[[#This Row],[FAENA EN  LTS]]</f>
        <v>3710</v>
      </c>
      <c r="AI44" s="246"/>
      <c r="AJ44" s="246"/>
      <c r="AK44" s="321">
        <f>(AK43-V059_20[[#This Row],[HIDRAULICO]])+V059_20[[#This Row],[FAENA EN LTS3]]</f>
        <v>2800</v>
      </c>
    </row>
    <row r="45" spans="1:37" x14ac:dyDescent="0.25">
      <c r="A45" s="235" t="s">
        <v>207</v>
      </c>
      <c r="B45" s="382">
        <v>43965</v>
      </c>
      <c r="C45" s="41">
        <v>0.6791666666666667</v>
      </c>
      <c r="D45" s="37">
        <f>IF(V059_20[[#This Row],[FECHA]]-B44=1,((V059_20[[#This Row],[HORA]]-C44)*24)+24,(V059_20[[#This Row],[HORA]]-C44)*24)</f>
        <v>2.3999999999999995</v>
      </c>
      <c r="E45" s="239" t="s">
        <v>51</v>
      </c>
      <c r="F45" s="29" t="s">
        <v>52</v>
      </c>
      <c r="G45" s="324"/>
      <c r="H45" s="306"/>
      <c r="I45" s="259">
        <f>IF(ISERROR(V059_20[[#This Row],[DISTANCIA POR CARTA]]/V059_20[[#This Row],[TIEMPO DE NAVEGACION]]),0,V059_20[[#This Row],[DISTANCIA POR CARTA]]/V059_20[[#This Row],[TIEMPO DE NAVEGACION]])</f>
        <v>0</v>
      </c>
      <c r="J45" s="242"/>
      <c r="K45" s="325"/>
      <c r="L45" s="245">
        <v>0</v>
      </c>
      <c r="M45" s="245">
        <v>0.25</v>
      </c>
      <c r="N45" s="245">
        <v>0.2</v>
      </c>
      <c r="O45" s="257">
        <f>SUM(V059_20[[#This Row],[MPAL]:[CALDERA]])</f>
        <v>0.45</v>
      </c>
      <c r="P45" s="319"/>
      <c r="Q45" s="281">
        <f>(Q44-V059_20[[#This Row],[TOTAL ]])+V059_20[[#This Row],[FAENA]]</f>
        <v>781.85</v>
      </c>
      <c r="R45" s="245">
        <v>0</v>
      </c>
      <c r="S45" s="246">
        <v>0</v>
      </c>
      <c r="T45" s="246">
        <v>0</v>
      </c>
      <c r="U45" s="246">
        <v>0</v>
      </c>
      <c r="V45" s="246">
        <v>0.6</v>
      </c>
      <c r="W45" s="257">
        <f>SUM(V059_20[[#This Row],[MPAL2]:[GI]])</f>
        <v>0.6</v>
      </c>
      <c r="X45" s="246"/>
      <c r="Y45" s="282">
        <f>(Y44-V059_20[[#This Row],[TOTAL]])+V059_20[[#This Row],[FAENA2]]</f>
        <v>138.1</v>
      </c>
      <c r="Z45" s="245"/>
      <c r="AA45" s="246"/>
      <c r="AB45" s="320">
        <f>(AB44-V059_20[[#This Row],[CYLINDER MP]])+V059_20[[#This Row],[FAENA EN LTS]]</f>
        <v>4580</v>
      </c>
      <c r="AC45" s="246"/>
      <c r="AD45" s="246"/>
      <c r="AE45" s="320">
        <f>(AE44-V059_20[[#This Row],[CARTER MP.]])+V059_20[[#This Row],[FAENA EN LTS2]]</f>
        <v>4300</v>
      </c>
      <c r="AF45" s="246"/>
      <c r="AG45" s="246"/>
      <c r="AH45" s="320">
        <f>(AH44-V059_20[[#This Row],[MOT AUX]])+V059_20[[#This Row],[FAENA EN  LTS]]</f>
        <v>3710</v>
      </c>
      <c r="AI45" s="246"/>
      <c r="AJ45" s="246"/>
      <c r="AK45" s="321">
        <f>(AK44-V059_20[[#This Row],[HIDRAULICO]])+V059_20[[#This Row],[FAENA EN LTS3]]</f>
        <v>2800</v>
      </c>
    </row>
    <row r="46" spans="1:37" x14ac:dyDescent="0.25">
      <c r="A46" s="235" t="s">
        <v>207</v>
      </c>
      <c r="B46" s="382">
        <v>43965</v>
      </c>
      <c r="C46" s="41">
        <v>0.8125</v>
      </c>
      <c r="D46" s="37">
        <f>IF(V059_20[[#This Row],[FECHA]]-B45=1,((V059_20[[#This Row],[HORA]]-C45)*24)+24,(V059_20[[#This Row],[HORA]]-C45)*24)</f>
        <v>3.1999999999999993</v>
      </c>
      <c r="E46" s="239" t="s">
        <v>49</v>
      </c>
      <c r="F46" s="29" t="s">
        <v>46</v>
      </c>
      <c r="G46" s="324"/>
      <c r="H46" s="306"/>
      <c r="I46" s="259">
        <f>IF(ISERROR(V059_20[[#This Row],[DISTANCIA POR CARTA]]/V059_20[[#This Row],[TIEMPO DE NAVEGACION]]),0,V059_20[[#This Row],[DISTANCIA POR CARTA]]/V059_20[[#This Row],[TIEMPO DE NAVEGACION]])</f>
        <v>0</v>
      </c>
      <c r="J46" s="242"/>
      <c r="K46" s="325"/>
      <c r="L46" s="245">
        <v>0</v>
      </c>
      <c r="M46" s="245">
        <v>0.33</v>
      </c>
      <c r="N46" s="245">
        <v>0.27</v>
      </c>
      <c r="O46" s="257">
        <f>SUM(V059_20[[#This Row],[MPAL]:[CALDERA]])</f>
        <v>0.60000000000000009</v>
      </c>
      <c r="P46" s="319"/>
      <c r="Q46" s="281">
        <f>(Q45-V059_20[[#This Row],[TOTAL ]])+V059_20[[#This Row],[FAENA]]</f>
        <v>781.25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SUM(V059_20[[#This Row],[MPAL2]:[GI]])</f>
        <v>0</v>
      </c>
      <c r="X46" s="246"/>
      <c r="Y46" s="282">
        <f>(Y45-V059_20[[#This Row],[TOTAL]])+V059_20[[#This Row],[FAENA2]]</f>
        <v>138.1</v>
      </c>
      <c r="Z46" s="245"/>
      <c r="AA46" s="246"/>
      <c r="AB46" s="320">
        <f>(AB45-V059_20[[#This Row],[CYLINDER MP]])+V059_20[[#This Row],[FAENA EN LTS]]</f>
        <v>4580</v>
      </c>
      <c r="AC46" s="246"/>
      <c r="AD46" s="246"/>
      <c r="AE46" s="320">
        <f>(AE45-V059_20[[#This Row],[CARTER MP.]])+V059_20[[#This Row],[FAENA EN LTS2]]</f>
        <v>4300</v>
      </c>
      <c r="AF46" s="246"/>
      <c r="AG46" s="246"/>
      <c r="AH46" s="320">
        <f>(AH45-V059_20[[#This Row],[MOT AUX]])+V059_20[[#This Row],[FAENA EN  LTS]]</f>
        <v>3710</v>
      </c>
      <c r="AI46" s="246"/>
      <c r="AJ46" s="246"/>
      <c r="AK46" s="321">
        <f>(AK45-V059_20[[#This Row],[HIDRAULICO]])+V059_20[[#This Row],[FAENA EN LTS3]]</f>
        <v>2800</v>
      </c>
    </row>
    <row r="47" spans="1:37" x14ac:dyDescent="0.25">
      <c r="A47" s="235" t="s">
        <v>207</v>
      </c>
      <c r="B47" s="382">
        <v>43965</v>
      </c>
      <c r="C47" s="41">
        <v>0.83750000000000002</v>
      </c>
      <c r="D47" s="37">
        <f>IF(V059_20[[#This Row],[FECHA]]-B46=1,((V059_20[[#This Row],[HORA]]-C46)*24)+24,(V059_20[[#This Row],[HORA]]-C46)*24)</f>
        <v>0.60000000000000053</v>
      </c>
      <c r="E47" s="239" t="s">
        <v>47</v>
      </c>
      <c r="F47" s="29" t="s">
        <v>217</v>
      </c>
      <c r="G47" s="324"/>
      <c r="H47" s="306"/>
      <c r="I47" s="259">
        <f>IF(ISERROR(V059_20[[#This Row],[DISTANCIA POR CARTA]]/V059_20[[#This Row],[TIEMPO DE NAVEGACION]]),0,V059_20[[#This Row],[DISTANCIA POR CARTA]]/V059_20[[#This Row],[TIEMPO DE NAVEGACION]])</f>
        <v>0</v>
      </c>
      <c r="J47" s="242"/>
      <c r="K47" s="325"/>
      <c r="L47" s="245">
        <v>0.13</v>
      </c>
      <c r="M47" s="245">
        <v>0.06</v>
      </c>
      <c r="N47" s="245">
        <v>0.05</v>
      </c>
      <c r="O47" s="257">
        <f>SUM(V059_20[[#This Row],[MPAL]:[CALDERA]])</f>
        <v>0.24</v>
      </c>
      <c r="P47" s="319"/>
      <c r="Q47" s="281">
        <f>(Q46-V059_20[[#This Row],[TOTAL ]])+V059_20[[#This Row],[FAENA]]</f>
        <v>781.01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SUM(V059_20[[#This Row],[MPAL2]:[GI]])</f>
        <v>0</v>
      </c>
      <c r="X47" s="246"/>
      <c r="Y47" s="282">
        <f>(Y46-V059_20[[#This Row],[TOTAL]])+V059_20[[#This Row],[FAENA2]]</f>
        <v>138.1</v>
      </c>
      <c r="Z47" s="245"/>
      <c r="AA47" s="246"/>
      <c r="AB47" s="320">
        <f>(AB46-V059_20[[#This Row],[CYLINDER MP]])+V059_20[[#This Row],[FAENA EN LTS]]</f>
        <v>4580</v>
      </c>
      <c r="AC47" s="246"/>
      <c r="AD47" s="246"/>
      <c r="AE47" s="320">
        <f>(AE46-V059_20[[#This Row],[CARTER MP.]])+V059_20[[#This Row],[FAENA EN LTS2]]</f>
        <v>4300</v>
      </c>
      <c r="AF47" s="246"/>
      <c r="AG47" s="246"/>
      <c r="AH47" s="320">
        <f>(AH46-V059_20[[#This Row],[MOT AUX]])+V059_20[[#This Row],[FAENA EN  LTS]]</f>
        <v>3710</v>
      </c>
      <c r="AI47" s="246"/>
      <c r="AJ47" s="246"/>
      <c r="AK47" s="321">
        <f>(AK46-V059_20[[#This Row],[HIDRAULICO]])+V059_20[[#This Row],[FAENA EN LTS3]]</f>
        <v>2800</v>
      </c>
    </row>
    <row r="48" spans="1:37" x14ac:dyDescent="0.25">
      <c r="A48" s="235" t="s">
        <v>207</v>
      </c>
      <c r="B48" s="48">
        <v>43966</v>
      </c>
      <c r="C48" s="41">
        <v>2.9166666666666664E-2</v>
      </c>
      <c r="D48" s="37">
        <f>IF(V059_20[[#This Row],[FECHA]]-B47=1,((V059_20[[#This Row],[HORA]]-C47)*24)+24,(V059_20[[#This Row],[HORA]]-C47)*24)</f>
        <v>4.6000000000000014</v>
      </c>
      <c r="E48" s="239" t="s">
        <v>55</v>
      </c>
      <c r="F48" s="29" t="s">
        <v>211</v>
      </c>
      <c r="G48" s="324">
        <v>57</v>
      </c>
      <c r="H48" s="306">
        <v>4.5999999999999996</v>
      </c>
      <c r="I48" s="259">
        <f>IF(ISERROR(V059_20[[#This Row],[DISTANCIA POR CARTA]]/V059_20[[#This Row],[TIEMPO DE NAVEGACION]]),0,V059_20[[#This Row],[DISTANCIA POR CARTA]]/V059_20[[#This Row],[TIEMPO DE NAVEGACION]])</f>
        <v>12.391304347826088</v>
      </c>
      <c r="J48" s="380" t="s">
        <v>218</v>
      </c>
      <c r="K48" s="325">
        <v>96</v>
      </c>
      <c r="L48" s="245">
        <v>4.22</v>
      </c>
      <c r="M48" s="245">
        <v>0.48</v>
      </c>
      <c r="N48" s="245">
        <v>0</v>
      </c>
      <c r="O48" s="257">
        <f>SUM(V059_20[[#This Row],[MPAL]:[CALDERA]])</f>
        <v>4.6999999999999993</v>
      </c>
      <c r="P48" s="319"/>
      <c r="Q48" s="281">
        <f>(Q47-V059_20[[#This Row],[TOTAL ]])+V059_20[[#This Row],[FAENA]]</f>
        <v>776.31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SUM(V059_20[[#This Row],[MPAL2]:[GI]])</f>
        <v>0</v>
      </c>
      <c r="X48" s="246"/>
      <c r="Y48" s="282">
        <f>(Y47-V059_20[[#This Row],[TOTAL]])+V059_20[[#This Row],[FAENA2]]</f>
        <v>138.1</v>
      </c>
      <c r="Z48" s="245"/>
      <c r="AA48" s="246"/>
      <c r="AB48" s="320">
        <f>(AB47-V059_20[[#This Row],[CYLINDER MP]])+V059_20[[#This Row],[FAENA EN LTS]]</f>
        <v>4580</v>
      </c>
      <c r="AC48" s="246"/>
      <c r="AD48" s="246"/>
      <c r="AE48" s="320">
        <f>(AE47-V059_20[[#This Row],[CARTER MP.]])+V059_20[[#This Row],[FAENA EN LTS2]]</f>
        <v>4300</v>
      </c>
      <c r="AF48" s="246"/>
      <c r="AG48" s="246"/>
      <c r="AH48" s="320">
        <f>(AH47-V059_20[[#This Row],[MOT AUX]])+V059_20[[#This Row],[FAENA EN  LTS]]</f>
        <v>3710</v>
      </c>
      <c r="AI48" s="246"/>
      <c r="AJ48" s="246"/>
      <c r="AK48" s="321">
        <f>(AK47-V059_20[[#This Row],[HIDRAULICO]])+V059_20[[#This Row],[FAENA EN LTS3]]</f>
        <v>2800</v>
      </c>
    </row>
    <row r="49" spans="1:37" x14ac:dyDescent="0.25">
      <c r="A49" s="235" t="s">
        <v>207</v>
      </c>
      <c r="B49" s="382">
        <v>43966</v>
      </c>
      <c r="C49" s="41">
        <v>7.0833333333333331E-2</v>
      </c>
      <c r="D49" s="37">
        <f>IF(V059_20[[#This Row],[FECHA]]-B48=1,((V059_20[[#This Row],[HORA]]-C48)*24)+24,(V059_20[[#This Row],[HORA]]-C48)*24)</f>
        <v>1</v>
      </c>
      <c r="E49" s="239" t="s">
        <v>47</v>
      </c>
      <c r="F49" s="29" t="s">
        <v>48</v>
      </c>
      <c r="G49" s="324"/>
      <c r="H49" s="306"/>
      <c r="I49" s="259">
        <f>IF(ISERROR(V059_20[[#This Row],[DISTANCIA POR CARTA]]/V059_20[[#This Row],[TIEMPO DE NAVEGACION]]),0,V059_20[[#This Row],[DISTANCIA POR CARTA]]/V059_20[[#This Row],[TIEMPO DE NAVEGACION]])</f>
        <v>0</v>
      </c>
      <c r="J49" s="242"/>
      <c r="K49" s="325"/>
      <c r="L49" s="245">
        <v>0.21</v>
      </c>
      <c r="M49" s="245">
        <v>0.1</v>
      </c>
      <c r="N49" s="245">
        <v>0.08</v>
      </c>
      <c r="O49" s="257">
        <f>SUM(V059_20[[#This Row],[MPAL]:[CALDERA]])</f>
        <v>0.39</v>
      </c>
      <c r="P49" s="319"/>
      <c r="Q49" s="281">
        <f>(Q48-V059_20[[#This Row],[TOTAL ]])+V059_20[[#This Row],[FAENA]]</f>
        <v>775.92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SUM(V059_20[[#This Row],[MPAL2]:[GI]])</f>
        <v>0</v>
      </c>
      <c r="X49" s="246"/>
      <c r="Y49" s="282">
        <f>(Y48-V059_20[[#This Row],[TOTAL]])+V059_20[[#This Row],[FAENA2]]</f>
        <v>138.1</v>
      </c>
      <c r="Z49" s="245"/>
      <c r="AA49" s="246"/>
      <c r="AB49" s="320">
        <f>(AB48-V059_20[[#This Row],[CYLINDER MP]])+V059_20[[#This Row],[FAENA EN LTS]]</f>
        <v>4580</v>
      </c>
      <c r="AC49" s="246"/>
      <c r="AD49" s="246"/>
      <c r="AE49" s="320">
        <f>(AE48-V059_20[[#This Row],[CARTER MP.]])+V059_20[[#This Row],[FAENA EN LTS2]]</f>
        <v>4300</v>
      </c>
      <c r="AF49" s="246"/>
      <c r="AG49" s="246"/>
      <c r="AH49" s="320">
        <f>(AH48-V059_20[[#This Row],[MOT AUX]])+V059_20[[#This Row],[FAENA EN  LTS]]</f>
        <v>3710</v>
      </c>
      <c r="AI49" s="246"/>
      <c r="AJ49" s="246"/>
      <c r="AK49" s="321">
        <f>(AK48-V059_20[[#This Row],[HIDRAULICO]])+V059_20[[#This Row],[FAENA EN LTS3]]</f>
        <v>2800</v>
      </c>
    </row>
    <row r="50" spans="1:37" x14ac:dyDescent="0.25">
      <c r="A50" s="235" t="s">
        <v>207</v>
      </c>
      <c r="B50" s="382">
        <v>43966</v>
      </c>
      <c r="C50" s="362">
        <v>0.33333333333333331</v>
      </c>
      <c r="D50" s="37">
        <f>IF(V059_20[[#This Row],[FECHA]]-B49=1,((V059_20[[#This Row],[HORA]]-C49)*24)+24,(V059_20[[#This Row],[HORA]]-C49)*24)</f>
        <v>6.2999999999999989</v>
      </c>
      <c r="E50" s="239" t="s">
        <v>45</v>
      </c>
      <c r="F50" s="29" t="s">
        <v>45</v>
      </c>
      <c r="G50" s="324"/>
      <c r="H50" s="306"/>
      <c r="I50" s="259">
        <f>IF(ISERROR(V059_20[[#This Row],[DISTANCIA POR CARTA]]/V059_20[[#This Row],[TIEMPO DE NAVEGACION]]),0,V059_20[[#This Row],[DISTANCIA POR CARTA]]/V059_20[[#This Row],[TIEMPO DE NAVEGACION]])</f>
        <v>0</v>
      </c>
      <c r="J50" s="242"/>
      <c r="K50" s="325"/>
      <c r="L50" s="245">
        <v>0</v>
      </c>
      <c r="M50" s="245">
        <v>0.66</v>
      </c>
      <c r="N50" s="245">
        <v>0.53</v>
      </c>
      <c r="O50" s="257">
        <f>SUM(V059_20[[#This Row],[MPAL]:[CALDERA]])</f>
        <v>1.19</v>
      </c>
      <c r="P50" s="319"/>
      <c r="Q50" s="281">
        <f>(Q49-V059_20[[#This Row],[TOTAL ]])+V059_20[[#This Row],[FAENA]]</f>
        <v>774.7299999999999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SUM(V059_20[[#This Row],[MPAL2]:[GI]])</f>
        <v>0</v>
      </c>
      <c r="X50" s="246"/>
      <c r="Y50" s="282">
        <f>(Y49-V059_20[[#This Row],[TOTAL]])+V059_20[[#This Row],[FAENA2]]</f>
        <v>138.1</v>
      </c>
      <c r="Z50" s="245"/>
      <c r="AA50" s="246"/>
      <c r="AB50" s="320">
        <f>(AB49-V059_20[[#This Row],[CYLINDER MP]])+V059_20[[#This Row],[FAENA EN LTS]]</f>
        <v>4580</v>
      </c>
      <c r="AC50" s="246"/>
      <c r="AD50" s="246"/>
      <c r="AE50" s="320">
        <f>(AE49-V059_20[[#This Row],[CARTER MP.]])+V059_20[[#This Row],[FAENA EN LTS2]]</f>
        <v>4300</v>
      </c>
      <c r="AF50" s="246"/>
      <c r="AG50" s="246"/>
      <c r="AH50" s="320">
        <f>(AH49-V059_20[[#This Row],[MOT AUX]])+V059_20[[#This Row],[FAENA EN  LTS]]</f>
        <v>3710</v>
      </c>
      <c r="AI50" s="246"/>
      <c r="AJ50" s="246"/>
      <c r="AK50" s="321">
        <f>(AK49-V059_20[[#This Row],[HIDRAULICO]])+V059_20[[#This Row],[FAENA EN LTS3]]</f>
        <v>2800</v>
      </c>
    </row>
    <row r="51" spans="1:37" x14ac:dyDescent="0.25">
      <c r="A51" s="235" t="s">
        <v>207</v>
      </c>
      <c r="B51" s="48">
        <v>43967</v>
      </c>
      <c r="C51" s="351">
        <v>0.33333333333333331</v>
      </c>
      <c r="D51" s="37">
        <f>IF(V059_20[[#This Row],[FECHA]]-B50=1,((V059_20[[#This Row],[HORA]]-C50)*24)+24,(V059_20[[#This Row],[HORA]]-C50)*24)</f>
        <v>24</v>
      </c>
      <c r="E51" s="239" t="s">
        <v>45</v>
      </c>
      <c r="F51" s="29" t="s">
        <v>45</v>
      </c>
      <c r="G51" s="324"/>
      <c r="H51" s="306"/>
      <c r="I51" s="259">
        <f>IF(ISERROR(V059_20[[#This Row],[DISTANCIA POR CARTA]]/V059_20[[#This Row],[TIEMPO DE NAVEGACION]]),0,V059_20[[#This Row],[DISTANCIA POR CARTA]]/V059_20[[#This Row],[TIEMPO DE NAVEGACION]])</f>
        <v>0</v>
      </c>
      <c r="J51" s="242"/>
      <c r="K51" s="325"/>
      <c r="L51" s="245">
        <v>0</v>
      </c>
      <c r="M51" s="245">
        <v>2</v>
      </c>
      <c r="N51" s="245">
        <v>1.8</v>
      </c>
      <c r="O51" s="257">
        <f>SUM(V059_20[[#This Row],[MPAL]:[CALDERA]])</f>
        <v>3.8</v>
      </c>
      <c r="P51" s="319"/>
      <c r="Q51" s="281">
        <f>(Q50-V059_20[[#This Row],[TOTAL ]])+V059_20[[#This Row],[FAENA]]</f>
        <v>770.93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SUM(V059_20[[#This Row],[MPAL2]:[GI]])</f>
        <v>0</v>
      </c>
      <c r="X51" s="246"/>
      <c r="Y51" s="282">
        <f>(Y50-V059_20[[#This Row],[TOTAL]])+V059_20[[#This Row],[FAENA2]]</f>
        <v>138.1</v>
      </c>
      <c r="Z51" s="245"/>
      <c r="AA51" s="246"/>
      <c r="AB51" s="320">
        <f>(AB50-V059_20[[#This Row],[CYLINDER MP]])+V059_20[[#This Row],[FAENA EN LTS]]</f>
        <v>4580</v>
      </c>
      <c r="AC51" s="246"/>
      <c r="AD51" s="246"/>
      <c r="AE51" s="320">
        <f>(AE50-V059_20[[#This Row],[CARTER MP.]])+V059_20[[#This Row],[FAENA EN LTS2]]</f>
        <v>4300</v>
      </c>
      <c r="AF51" s="246"/>
      <c r="AG51" s="246"/>
      <c r="AH51" s="320">
        <f>(AH50-V059_20[[#This Row],[MOT AUX]])+V059_20[[#This Row],[FAENA EN  LTS]]</f>
        <v>3710</v>
      </c>
      <c r="AI51" s="246"/>
      <c r="AJ51" s="246"/>
      <c r="AK51" s="321">
        <f>(AK50-V059_20[[#This Row],[HIDRAULICO]])+V059_20[[#This Row],[FAENA EN LTS3]]</f>
        <v>2800</v>
      </c>
    </row>
    <row r="52" spans="1:37" x14ac:dyDescent="0.25">
      <c r="A52" s="235" t="s">
        <v>207</v>
      </c>
      <c r="B52" s="48">
        <v>43968</v>
      </c>
      <c r="C52" s="362">
        <v>0.33333333333333331</v>
      </c>
      <c r="D52" s="37">
        <f>IF(V059_20[[#This Row],[FECHA]]-B51=1,((V059_20[[#This Row],[HORA]]-C51)*24)+24,(V059_20[[#This Row],[HORA]]-C51)*24)</f>
        <v>24</v>
      </c>
      <c r="E52" s="239" t="s">
        <v>45</v>
      </c>
      <c r="F52" s="29" t="s">
        <v>45</v>
      </c>
      <c r="G52" s="324"/>
      <c r="H52" s="306"/>
      <c r="I52" s="259">
        <f>IF(ISERROR(V059_20[[#This Row],[DISTANCIA POR CARTA]]/V059_20[[#This Row],[TIEMPO DE NAVEGACION]]),0,V059_20[[#This Row],[DISTANCIA POR CARTA]]/V059_20[[#This Row],[TIEMPO DE NAVEGACION]])</f>
        <v>0</v>
      </c>
      <c r="J52" s="242"/>
      <c r="K52" s="325"/>
      <c r="L52" s="245">
        <v>0</v>
      </c>
      <c r="M52" s="245">
        <v>2</v>
      </c>
      <c r="N52" s="245">
        <v>1.8</v>
      </c>
      <c r="O52" s="257">
        <f>SUM(V059_20[[#This Row],[MPAL]:[CALDERA]])</f>
        <v>3.8</v>
      </c>
      <c r="P52" s="319"/>
      <c r="Q52" s="281">
        <f>(Q51-V059_20[[#This Row],[TOTAL ]])+V059_20[[#This Row],[FAENA]]</f>
        <v>767.13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SUM(V059_20[[#This Row],[MPAL2]:[GI]])</f>
        <v>0</v>
      </c>
      <c r="X52" s="246"/>
      <c r="Y52" s="282">
        <f>(Y51-V059_20[[#This Row],[TOTAL]])+V059_20[[#This Row],[FAENA2]]</f>
        <v>138.1</v>
      </c>
      <c r="Z52" s="245"/>
      <c r="AA52" s="246"/>
      <c r="AB52" s="320">
        <f>(AB51-V059_20[[#This Row],[CYLINDER MP]])+V059_20[[#This Row],[FAENA EN LTS]]</f>
        <v>4580</v>
      </c>
      <c r="AC52" s="246"/>
      <c r="AD52" s="246"/>
      <c r="AE52" s="320">
        <f>(AE51-V059_20[[#This Row],[CARTER MP.]])+V059_20[[#This Row],[FAENA EN LTS2]]</f>
        <v>4300</v>
      </c>
      <c r="AF52" s="246"/>
      <c r="AG52" s="246"/>
      <c r="AH52" s="320">
        <f>(AH51-V059_20[[#This Row],[MOT AUX]])+V059_20[[#This Row],[FAENA EN  LTS]]</f>
        <v>3710</v>
      </c>
      <c r="AI52" s="246"/>
      <c r="AJ52" s="246"/>
      <c r="AK52" s="321">
        <f>(AK51-V059_20[[#This Row],[HIDRAULICO]])+V059_20[[#This Row],[FAENA EN LTS3]]</f>
        <v>2800</v>
      </c>
    </row>
    <row r="53" spans="1:37" x14ac:dyDescent="0.25">
      <c r="A53" s="235" t="s">
        <v>207</v>
      </c>
      <c r="B53" s="48">
        <v>43969</v>
      </c>
      <c r="C53" s="351">
        <v>0.33333333333333331</v>
      </c>
      <c r="D53" s="37">
        <f>IF(V059_20[[#This Row],[FECHA]]-B52=1,((V059_20[[#This Row],[HORA]]-C52)*24)+24,(V059_20[[#This Row],[HORA]]-C52)*24)</f>
        <v>24</v>
      </c>
      <c r="E53" s="239" t="s">
        <v>45</v>
      </c>
      <c r="F53" s="29" t="s">
        <v>45</v>
      </c>
      <c r="G53" s="324"/>
      <c r="H53" s="306"/>
      <c r="I53" s="259">
        <f>IF(ISERROR(V059_20[[#This Row],[DISTANCIA POR CARTA]]/V059_20[[#This Row],[TIEMPO DE NAVEGACION]]),0,V059_20[[#This Row],[DISTANCIA POR CARTA]]/V059_20[[#This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SUM(V059_20[[#This Row],[MPAL]:[CALDERA]])</f>
        <v>3.8</v>
      </c>
      <c r="P53" s="319"/>
      <c r="Q53" s="281">
        <f>(Q52-V059_20[[#This Row],[TOTAL ]])+V059_20[[#This Row],[FAENA]]</f>
        <v>763.33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SUM(V059_20[[#This Row],[MPAL2]:[GI]])</f>
        <v>0</v>
      </c>
      <c r="X53" s="246"/>
      <c r="Y53" s="282">
        <f>(Y52-V059_20[[#This Row],[TOTAL]])+V059_20[[#This Row],[FAENA2]]</f>
        <v>138.1</v>
      </c>
      <c r="Z53" s="245"/>
      <c r="AA53" s="246"/>
      <c r="AB53" s="320">
        <f>(AB52-V059_20[[#This Row],[CYLINDER MP]])+V059_20[[#This Row],[FAENA EN LTS]]</f>
        <v>4580</v>
      </c>
      <c r="AC53" s="246"/>
      <c r="AD53" s="246"/>
      <c r="AE53" s="320">
        <f>(AE52-V059_20[[#This Row],[CARTER MP.]])+V059_20[[#This Row],[FAENA EN LTS2]]</f>
        <v>4300</v>
      </c>
      <c r="AF53" s="246"/>
      <c r="AG53" s="246"/>
      <c r="AH53" s="320">
        <f>(AH52-V059_20[[#This Row],[MOT AUX]])+V059_20[[#This Row],[FAENA EN  LTS]]</f>
        <v>3710</v>
      </c>
      <c r="AI53" s="246"/>
      <c r="AJ53" s="246"/>
      <c r="AK53" s="321">
        <f>(AK52-V059_20[[#This Row],[HIDRAULICO]])+V059_20[[#This Row],[FAENA EN LTS3]]</f>
        <v>2800</v>
      </c>
    </row>
    <row r="54" spans="1:37" x14ac:dyDescent="0.25">
      <c r="A54" s="235" t="s">
        <v>207</v>
      </c>
      <c r="B54" s="382">
        <v>43969</v>
      </c>
      <c r="C54" s="41">
        <v>0.50416666666666665</v>
      </c>
      <c r="D54" s="37">
        <f>IF(V059_20[[#This Row],[FECHA]]-B53=1,((V059_20[[#This Row],[HORA]]-C53)*24)+24,(V059_20[[#This Row],[HORA]]-C53)*24)</f>
        <v>4.0999999999999996</v>
      </c>
      <c r="E54" s="239" t="s">
        <v>45</v>
      </c>
      <c r="F54" s="29" t="s">
        <v>46</v>
      </c>
      <c r="G54" s="324"/>
      <c r="H54" s="306"/>
      <c r="I54" s="259">
        <f>IF(ISERROR(V059_20[[#This Row],[DISTANCIA POR CARTA]]/V059_20[[#This Row],[TIEMPO DE NAVEGACION]]),0,V059_20[[#This Row],[DISTANCIA POR CARTA]]/V059_20[[#This Row],[TIEMPO DE NAVEGACION]])</f>
        <v>0</v>
      </c>
      <c r="J54" s="242"/>
      <c r="K54" s="325"/>
      <c r="L54" s="245">
        <v>0</v>
      </c>
      <c r="M54" s="245">
        <v>0.34</v>
      </c>
      <c r="N54" s="245">
        <v>0.31</v>
      </c>
      <c r="O54" s="257">
        <f>SUM(V059_20[[#This Row],[MPAL]:[CALDERA]])</f>
        <v>0.65</v>
      </c>
      <c r="P54" s="319"/>
      <c r="Q54" s="281">
        <f>(Q53-V059_20[[#This Row],[TOTAL ]])+V059_20[[#This Row],[FAENA]]</f>
        <v>762.68000000000006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SUM(V059_20[[#This Row],[MPAL2]:[GI]])</f>
        <v>0</v>
      </c>
      <c r="X54" s="246"/>
      <c r="Y54" s="282">
        <f>(Y53-V059_20[[#This Row],[TOTAL]])+V059_20[[#This Row],[FAENA2]]</f>
        <v>138.1</v>
      </c>
      <c r="Z54" s="245"/>
      <c r="AA54" s="246"/>
      <c r="AB54" s="320">
        <f>(AB53-V059_20[[#This Row],[CYLINDER MP]])+V059_20[[#This Row],[FAENA EN LTS]]</f>
        <v>4580</v>
      </c>
      <c r="AC54" s="246"/>
      <c r="AD54" s="246"/>
      <c r="AE54" s="320">
        <f>(AE53-V059_20[[#This Row],[CARTER MP.]])+V059_20[[#This Row],[FAENA EN LTS2]]</f>
        <v>4300</v>
      </c>
      <c r="AF54" s="246"/>
      <c r="AG54" s="246"/>
      <c r="AH54" s="320">
        <f>(AH53-V059_20[[#This Row],[MOT AUX]])+V059_20[[#This Row],[FAENA EN  LTS]]</f>
        <v>3710</v>
      </c>
      <c r="AI54" s="246"/>
      <c r="AJ54" s="246"/>
      <c r="AK54" s="321">
        <f>(AK53-V059_20[[#This Row],[HIDRAULICO]])+V059_20[[#This Row],[FAENA EN LTS3]]</f>
        <v>2800</v>
      </c>
    </row>
    <row r="55" spans="1:37" x14ac:dyDescent="0.25">
      <c r="A55" s="235" t="s">
        <v>207</v>
      </c>
      <c r="B55" s="382">
        <v>43969</v>
      </c>
      <c r="C55" s="41">
        <v>0.59583333333333333</v>
      </c>
      <c r="D55" s="37">
        <f>IF(V059_20[[#This Row],[FECHA]]-B54=1,((V059_20[[#This Row],[HORA]]-C54)*24)+24,(V059_20[[#This Row],[HORA]]-C54)*24)</f>
        <v>2.2000000000000002</v>
      </c>
      <c r="E55" s="239" t="s">
        <v>47</v>
      </c>
      <c r="F55" s="29" t="s">
        <v>48</v>
      </c>
      <c r="G55" s="324"/>
      <c r="H55" s="306"/>
      <c r="I55" s="259">
        <f>IF(ISERROR(V059_20[[#This Row],[DISTANCIA POR CARTA]]/V059_20[[#This Row],[TIEMPO DE NAVEGACION]]),0,V059_20[[#This Row],[DISTANCIA POR CARTA]]/V059_20[[#This Row],[TIEMPO DE NAVEGACION]])</f>
        <v>0</v>
      </c>
      <c r="J55" s="242"/>
      <c r="K55" s="325"/>
      <c r="L55" s="245">
        <v>0.18</v>
      </c>
      <c r="M55" s="245">
        <v>0.23</v>
      </c>
      <c r="N55" s="245">
        <v>0.18</v>
      </c>
      <c r="O55" s="257">
        <f>SUM(V059_20[[#This Row],[MPAL]:[CALDERA]])</f>
        <v>0.59000000000000008</v>
      </c>
      <c r="P55" s="319"/>
      <c r="Q55" s="281">
        <f>(Q54-V059_20[[#This Row],[TOTAL ]])+V059_20[[#This Row],[FAENA]]</f>
        <v>762.09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SUM(V059_20[[#This Row],[MPAL2]:[GI]])</f>
        <v>0</v>
      </c>
      <c r="X55" s="246"/>
      <c r="Y55" s="282">
        <f>(Y54-V059_20[[#This Row],[TOTAL]])+V059_20[[#This Row],[FAENA2]]</f>
        <v>138.1</v>
      </c>
      <c r="Z55" s="245"/>
      <c r="AA55" s="246"/>
      <c r="AB55" s="320">
        <f>(AB54-V059_20[[#This Row],[CYLINDER MP]])+V059_20[[#This Row],[FAENA EN LTS]]</f>
        <v>4580</v>
      </c>
      <c r="AC55" s="246"/>
      <c r="AD55" s="246"/>
      <c r="AE55" s="320">
        <f>(AE54-V059_20[[#This Row],[CARTER MP.]])+V059_20[[#This Row],[FAENA EN LTS2]]</f>
        <v>4300</v>
      </c>
      <c r="AF55" s="246"/>
      <c r="AG55" s="246"/>
      <c r="AH55" s="320">
        <f>(AH54-V059_20[[#This Row],[MOT AUX]])+V059_20[[#This Row],[FAENA EN  LTS]]</f>
        <v>3710</v>
      </c>
      <c r="AI55" s="246"/>
      <c r="AJ55" s="246"/>
      <c r="AK55" s="321">
        <f>(AK54-V059_20[[#This Row],[HIDRAULICO]])+V059_20[[#This Row],[FAENA EN LTS3]]</f>
        <v>2800</v>
      </c>
    </row>
    <row r="56" spans="1:37" x14ac:dyDescent="0.25">
      <c r="A56" s="235" t="s">
        <v>207</v>
      </c>
      <c r="B56" s="382">
        <v>43969</v>
      </c>
      <c r="C56" s="41">
        <v>0.71250000000000002</v>
      </c>
      <c r="D56" s="37">
        <f>IF(V059_20[[#This Row],[FECHA]]-B55=1,((V059_20[[#This Row],[HORA]]-C55)*24)+24,(V059_20[[#This Row],[HORA]]-C55)*24)</f>
        <v>2.8000000000000007</v>
      </c>
      <c r="E56" s="239" t="s">
        <v>49</v>
      </c>
      <c r="F56" s="29" t="s">
        <v>50</v>
      </c>
      <c r="G56" s="324"/>
      <c r="H56" s="306"/>
      <c r="I56" s="259">
        <f>IF(ISERROR(V059_20[[#This Row],[DISTANCIA POR CARTA]]/V059_20[[#This Row],[TIEMPO DE NAVEGACION]]),0,V059_20[[#This Row],[DISTANCIA POR CARTA]]/V059_20[[#This Row],[TIEMPO DE NAVEGACION]])</f>
        <v>0</v>
      </c>
      <c r="J56" s="242"/>
      <c r="K56" s="325"/>
      <c r="L56" s="245">
        <v>0</v>
      </c>
      <c r="M56" s="245">
        <v>0.28999999999999998</v>
      </c>
      <c r="N56" s="245">
        <v>0.23</v>
      </c>
      <c r="O56" s="257">
        <f>SUM(V059_20[[#This Row],[MPAL]:[CALDERA]])</f>
        <v>0.52</v>
      </c>
      <c r="P56" s="319"/>
      <c r="Q56" s="281">
        <f>(Q55-V059_20[[#This Row],[TOTAL ]])+V059_20[[#This Row],[FAENA]]</f>
        <v>761.57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SUM(V059_20[[#This Row],[MPAL2]:[GI]])</f>
        <v>0</v>
      </c>
      <c r="X56" s="246"/>
      <c r="Y56" s="282">
        <f>(Y55-V059_20[[#This Row],[TOTAL]])+V059_20[[#This Row],[FAENA2]]</f>
        <v>138.1</v>
      </c>
      <c r="Z56" s="245"/>
      <c r="AA56" s="246"/>
      <c r="AB56" s="320">
        <f>(AB55-V059_20[[#This Row],[CYLINDER MP]])+V059_20[[#This Row],[FAENA EN LTS]]</f>
        <v>4580</v>
      </c>
      <c r="AC56" s="246"/>
      <c r="AD56" s="246"/>
      <c r="AE56" s="320">
        <f>(AE55-V059_20[[#This Row],[CARTER MP.]])+V059_20[[#This Row],[FAENA EN LTS2]]</f>
        <v>4300</v>
      </c>
      <c r="AF56" s="246"/>
      <c r="AG56" s="246"/>
      <c r="AH56" s="320">
        <f>(AH55-V059_20[[#This Row],[MOT AUX]])+V059_20[[#This Row],[FAENA EN  LTS]]</f>
        <v>3710</v>
      </c>
      <c r="AI56" s="246"/>
      <c r="AJ56" s="246"/>
      <c r="AK56" s="321">
        <f>(AK55-V059_20[[#This Row],[HIDRAULICO]])+V059_20[[#This Row],[FAENA EN LTS3]]</f>
        <v>2800</v>
      </c>
    </row>
    <row r="57" spans="1:37" x14ac:dyDescent="0.25">
      <c r="A57" s="235" t="s">
        <v>207</v>
      </c>
      <c r="B57" s="48">
        <v>43970</v>
      </c>
      <c r="C57" s="41">
        <v>3.3333333333333333E-2</v>
      </c>
      <c r="D57" s="37">
        <f>IF(V059_20[[#This Row],[FECHA]]-B56=1,((V059_20[[#This Row],[HORA]]-C56)*24)+24,(V059_20[[#This Row],[HORA]]-C56)*24)</f>
        <v>7.6999999999999993</v>
      </c>
      <c r="E57" s="239" t="s">
        <v>51</v>
      </c>
      <c r="F57" s="29" t="s">
        <v>86</v>
      </c>
      <c r="G57" s="324"/>
      <c r="H57" s="306"/>
      <c r="I57" s="259">
        <f>IF(ISERROR(V059_20[[#This Row],[DISTANCIA POR CARTA]]/V059_20[[#This Row],[TIEMPO DE NAVEGACION]]),0,V059_20[[#This Row],[DISTANCIA POR CARTA]]/V059_20[[#This Row],[TIEMPO DE NAVEGACION]])</f>
        <v>0</v>
      </c>
      <c r="J57" s="242"/>
      <c r="K57" s="325"/>
      <c r="L57" s="245">
        <v>0</v>
      </c>
      <c r="M57" s="245">
        <v>0.8</v>
      </c>
      <c r="N57" s="245">
        <v>0.64</v>
      </c>
      <c r="O57" s="257">
        <f>SUM(V059_20[[#This Row],[MPAL]:[CALDERA]])</f>
        <v>1.44</v>
      </c>
      <c r="P57" s="319"/>
      <c r="Q57" s="281">
        <f>(Q56-V059_20[[#This Row],[TOTAL ]])+V059_20[[#This Row],[FAENA]]</f>
        <v>760.13</v>
      </c>
      <c r="R57" s="245">
        <v>0</v>
      </c>
      <c r="S57" s="246">
        <v>0</v>
      </c>
      <c r="T57" s="246">
        <v>0</v>
      </c>
      <c r="U57" s="246">
        <v>0</v>
      </c>
      <c r="V57" s="246">
        <v>2</v>
      </c>
      <c r="W57" s="257">
        <f>SUM(V059_20[[#This Row],[MPAL2]:[GI]])</f>
        <v>2</v>
      </c>
      <c r="X57" s="246"/>
      <c r="Y57" s="282">
        <f>(Y56-V059_20[[#This Row],[TOTAL]])+V059_20[[#This Row],[FAENA2]]</f>
        <v>136.1</v>
      </c>
      <c r="Z57" s="245"/>
      <c r="AA57" s="246"/>
      <c r="AB57" s="320">
        <f>(AB56-V059_20[[#This Row],[CYLINDER MP]])+V059_20[[#This Row],[FAENA EN LTS]]</f>
        <v>4580</v>
      </c>
      <c r="AC57" s="246"/>
      <c r="AD57" s="246"/>
      <c r="AE57" s="320">
        <f>(AE56-V059_20[[#This Row],[CARTER MP.]])+V059_20[[#This Row],[FAENA EN LTS2]]</f>
        <v>4300</v>
      </c>
      <c r="AF57" s="246"/>
      <c r="AG57" s="246"/>
      <c r="AH57" s="320">
        <f>(AH56-V059_20[[#This Row],[MOT AUX]])+V059_20[[#This Row],[FAENA EN  LTS]]</f>
        <v>3710</v>
      </c>
      <c r="AI57" s="246"/>
      <c r="AJ57" s="246"/>
      <c r="AK57" s="321">
        <f>(AK56-V059_20[[#This Row],[HIDRAULICO]])+V059_20[[#This Row],[FAENA EN LTS3]]</f>
        <v>2800</v>
      </c>
    </row>
    <row r="58" spans="1:37" x14ac:dyDescent="0.25">
      <c r="A58" s="235" t="s">
        <v>207</v>
      </c>
      <c r="B58" s="382">
        <v>43970</v>
      </c>
      <c r="C58" s="41">
        <v>0.16250000000000001</v>
      </c>
      <c r="D58" s="37">
        <f>IF(V059_20[[#This Row],[FECHA]]-B57=1,((V059_20[[#This Row],[HORA]]-C57)*24)+24,(V059_20[[#This Row],[HORA]]-C57)*24)</f>
        <v>3.1000000000000005</v>
      </c>
      <c r="E58" s="239" t="s">
        <v>49</v>
      </c>
      <c r="F58" s="29" t="s">
        <v>46</v>
      </c>
      <c r="G58" s="324"/>
      <c r="H58" s="306"/>
      <c r="I58" s="259">
        <f>IF(ISERROR(V059_20[[#This Row],[DISTANCIA POR CARTA]]/V059_20[[#This Row],[TIEMPO DE NAVEGACION]]),0,V059_20[[#This Row],[DISTANCIA POR CARTA]]/V059_20[[#This Row],[TIEMPO DE NAVEGACION]])</f>
        <v>0</v>
      </c>
      <c r="J58" s="242"/>
      <c r="K58" s="325"/>
      <c r="L58" s="245">
        <v>0</v>
      </c>
      <c r="M58" s="245">
        <v>0.32</v>
      </c>
      <c r="N58" s="245">
        <v>0.26</v>
      </c>
      <c r="O58" s="257">
        <f>SUM(V059_20[[#This Row],[MPAL]:[CALDERA]])</f>
        <v>0.58000000000000007</v>
      </c>
      <c r="P58" s="319"/>
      <c r="Q58" s="281">
        <f>(Q57-V059_20[[#This Row],[TOTAL ]])+V059_20[[#This Row],[FAENA]]</f>
        <v>759.55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SUM(V059_20[[#This Row],[MPAL2]:[GI]])</f>
        <v>0</v>
      </c>
      <c r="X58" s="246"/>
      <c r="Y58" s="282">
        <f>(Y57-V059_20[[#This Row],[TOTAL]])+V059_20[[#This Row],[FAENA2]]</f>
        <v>136.1</v>
      </c>
      <c r="Z58" s="245"/>
      <c r="AA58" s="246"/>
      <c r="AB58" s="320">
        <f>(AB57-V059_20[[#This Row],[CYLINDER MP]])+V059_20[[#This Row],[FAENA EN LTS]]</f>
        <v>4580</v>
      </c>
      <c r="AC58" s="246"/>
      <c r="AD58" s="246"/>
      <c r="AE58" s="320">
        <f>(AE57-V059_20[[#This Row],[CARTER MP.]])+V059_20[[#This Row],[FAENA EN LTS2]]</f>
        <v>4300</v>
      </c>
      <c r="AF58" s="246"/>
      <c r="AG58" s="246"/>
      <c r="AH58" s="320">
        <f>(AH57-V059_20[[#This Row],[MOT AUX]])+V059_20[[#This Row],[FAENA EN  LTS]]</f>
        <v>3710</v>
      </c>
      <c r="AI58" s="246"/>
      <c r="AJ58" s="246"/>
      <c r="AK58" s="321">
        <f>(AK57-V059_20[[#This Row],[HIDRAULICO]])+V059_20[[#This Row],[FAENA EN LTS3]]</f>
        <v>2800</v>
      </c>
    </row>
    <row r="59" spans="1:37" x14ac:dyDescent="0.25">
      <c r="A59" s="235" t="s">
        <v>207</v>
      </c>
      <c r="B59" s="382">
        <v>43970</v>
      </c>
      <c r="C59" s="41">
        <v>0.1875</v>
      </c>
      <c r="D59" s="37">
        <f>IF(V059_20[[#This Row],[FECHA]]-B58=1,((V059_20[[#This Row],[HORA]]-C58)*24)+24,(V059_20[[#This Row],[HORA]]-C58)*24)</f>
        <v>0.59999999999999987</v>
      </c>
      <c r="E59" s="239" t="s">
        <v>47</v>
      </c>
      <c r="F59" s="29" t="s">
        <v>213</v>
      </c>
      <c r="G59" s="324"/>
      <c r="H59" s="306"/>
      <c r="I59" s="259">
        <f>IF(ISERROR(V059_20[[#This Row],[DISTANCIA POR CARTA]]/V059_20[[#This Row],[TIEMPO DE NAVEGACION]]),0,V059_20[[#This Row],[DISTANCIA POR CARTA]]/V059_20[[#This Row],[TIEMPO DE NAVEGACION]])</f>
        <v>0</v>
      </c>
      <c r="J59" s="242"/>
      <c r="K59" s="325"/>
      <c r="L59" s="245">
        <v>0.13</v>
      </c>
      <c r="M59" s="245">
        <v>0.06</v>
      </c>
      <c r="N59" s="245">
        <v>0.05</v>
      </c>
      <c r="O59" s="257">
        <f>SUM(V059_20[[#This Row],[MPAL]:[CALDERA]])</f>
        <v>0.24</v>
      </c>
      <c r="P59" s="319"/>
      <c r="Q59" s="281">
        <f>(Q58-V059_20[[#This Row],[TOTAL ]])+V059_20[[#This Row],[FAENA]]</f>
        <v>759.31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SUM(V059_20[[#This Row],[MPAL2]:[GI]])</f>
        <v>0</v>
      </c>
      <c r="X59" s="246"/>
      <c r="Y59" s="282">
        <f>(Y58-V059_20[[#This Row],[TOTAL]])+V059_20[[#This Row],[FAENA2]]</f>
        <v>136.1</v>
      </c>
      <c r="Z59" s="245"/>
      <c r="AA59" s="246"/>
      <c r="AB59" s="320">
        <f>(AB58-V059_20[[#This Row],[CYLINDER MP]])+V059_20[[#This Row],[FAENA EN LTS]]</f>
        <v>4580</v>
      </c>
      <c r="AC59" s="246"/>
      <c r="AD59" s="246"/>
      <c r="AE59" s="320">
        <f>(AE58-V059_20[[#This Row],[CARTER MP.]])+V059_20[[#This Row],[FAENA EN LTS2]]</f>
        <v>4300</v>
      </c>
      <c r="AF59" s="246"/>
      <c r="AG59" s="246"/>
      <c r="AH59" s="320">
        <f>(AH58-V059_20[[#This Row],[MOT AUX]])+V059_20[[#This Row],[FAENA EN  LTS]]</f>
        <v>3710</v>
      </c>
      <c r="AI59" s="246"/>
      <c r="AJ59" s="246"/>
      <c r="AK59" s="321">
        <f>(AK58-V059_20[[#This Row],[HIDRAULICO]])+V059_20[[#This Row],[FAENA EN LTS3]]</f>
        <v>2800</v>
      </c>
    </row>
    <row r="60" spans="1:37" x14ac:dyDescent="0.25">
      <c r="A60" s="235" t="s">
        <v>207</v>
      </c>
      <c r="B60" s="382">
        <v>43970</v>
      </c>
      <c r="C60" s="362">
        <v>0.33333333333333331</v>
      </c>
      <c r="D60" s="37">
        <f>IF(V059_20[[#This Row],[FECHA]]-B59=1,((V059_20[[#This Row],[HORA]]-C59)*24)+24,(V059_20[[#This Row],[HORA]]-C59)*24)</f>
        <v>3.4999999999999996</v>
      </c>
      <c r="E60" s="239" t="s">
        <v>55</v>
      </c>
      <c r="F60" s="29" t="s">
        <v>56</v>
      </c>
      <c r="G60" s="324"/>
      <c r="H60" s="306"/>
      <c r="I60" s="259">
        <f>IF(ISERROR(V059_20[[#This Row],[DISTANCIA POR CARTA]]/V059_20[[#This Row],[TIEMPO DE NAVEGACION]]),0,V059_20[[#This Row],[DISTANCIA POR CARTA]]/V059_20[[#This Row],[TIEMPO DE NAVEGACION]])</f>
        <v>0</v>
      </c>
      <c r="J60" s="242"/>
      <c r="K60" s="325">
        <v>96</v>
      </c>
      <c r="L60" s="245">
        <v>3.21</v>
      </c>
      <c r="M60" s="245">
        <v>0.36</v>
      </c>
      <c r="N60" s="245">
        <v>0</v>
      </c>
      <c r="O60" s="257">
        <f>SUM(V059_20[[#This Row],[MPAL]:[CALDERA]])</f>
        <v>3.57</v>
      </c>
      <c r="P60" s="319"/>
      <c r="Q60" s="281">
        <f>(Q59-V059_20[[#This Row],[TOTAL ]])+V059_20[[#This Row],[FAENA]]</f>
        <v>755.7399999999999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SUM(V059_20[[#This Row],[MPAL2]:[GI]])</f>
        <v>0</v>
      </c>
      <c r="X60" s="246"/>
      <c r="Y60" s="282">
        <f>(Y59-V059_20[[#This Row],[TOTAL]])+V059_20[[#This Row],[FAENA2]]</f>
        <v>136.1</v>
      </c>
      <c r="Z60" s="245"/>
      <c r="AA60" s="246"/>
      <c r="AB60" s="320">
        <f>(AB59-V059_20[[#This Row],[CYLINDER MP]])+V059_20[[#This Row],[FAENA EN LTS]]</f>
        <v>4580</v>
      </c>
      <c r="AC60" s="246"/>
      <c r="AD60" s="246"/>
      <c r="AE60" s="320">
        <f>(AE59-V059_20[[#This Row],[CARTER MP.]])+V059_20[[#This Row],[FAENA EN LTS2]]</f>
        <v>4300</v>
      </c>
      <c r="AF60" s="246"/>
      <c r="AG60" s="246"/>
      <c r="AH60" s="320">
        <f>(AH59-V059_20[[#This Row],[MOT AUX]])+V059_20[[#This Row],[FAENA EN  LTS]]</f>
        <v>3710</v>
      </c>
      <c r="AI60" s="246"/>
      <c r="AJ60" s="246"/>
      <c r="AK60" s="321">
        <f>(AK59-V059_20[[#This Row],[HIDRAULICO]])+V059_20[[#This Row],[FAENA EN LTS3]]</f>
        <v>2800</v>
      </c>
    </row>
    <row r="61" spans="1:37" x14ac:dyDescent="0.25">
      <c r="A61" s="235" t="s">
        <v>207</v>
      </c>
      <c r="B61" s="48">
        <v>43971</v>
      </c>
      <c r="C61" s="351">
        <v>0.33333333333333331</v>
      </c>
      <c r="D61" s="37">
        <f>IF(V059_20[[#This Row],[FECHA]]-B60=1,((V059_20[[#This Row],[HORA]]-C60)*24)+24,(V059_20[[#This Row],[HORA]]-C60)*24)</f>
        <v>24</v>
      </c>
      <c r="E61" s="239" t="s">
        <v>55</v>
      </c>
      <c r="F61" s="29" t="s">
        <v>56</v>
      </c>
      <c r="G61" s="324"/>
      <c r="H61" s="306"/>
      <c r="I61" s="259">
        <f>IF(ISERROR(V059_20[[#This Row],[DISTANCIA POR CARTA]]/V059_20[[#This Row],[TIEMPO DE NAVEGACION]]),0,V059_20[[#This Row],[DISTANCIA POR CARTA]]/V059_20[[#This Row],[TIEMPO DE NAVEGACION]])</f>
        <v>0</v>
      </c>
      <c r="J61" s="242"/>
      <c r="K61" s="325">
        <v>96</v>
      </c>
      <c r="L61" s="245">
        <v>23</v>
      </c>
      <c r="M61" s="245">
        <v>2.5</v>
      </c>
      <c r="N61" s="245">
        <v>0</v>
      </c>
      <c r="O61" s="257">
        <f>SUM(V059_20[[#This Row],[MPAL]:[CALDERA]])</f>
        <v>25.5</v>
      </c>
      <c r="P61" s="319"/>
      <c r="Q61" s="281">
        <f>(Q60-V059_20[[#This Row],[TOTAL ]])+V059_20[[#This Row],[FAENA]]</f>
        <v>730.2399999999999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SUM(V059_20[[#This Row],[MPAL2]:[GI]])</f>
        <v>0</v>
      </c>
      <c r="X61" s="246"/>
      <c r="Y61" s="282">
        <f>(Y60-V059_20[[#This Row],[TOTAL]])+V059_20[[#This Row],[FAENA2]]</f>
        <v>136.1</v>
      </c>
      <c r="Z61" s="245"/>
      <c r="AA61" s="246"/>
      <c r="AB61" s="320">
        <f>(AB60-V059_20[[#This Row],[CYLINDER MP]])+V059_20[[#This Row],[FAENA EN LTS]]</f>
        <v>4580</v>
      </c>
      <c r="AC61" s="246"/>
      <c r="AD61" s="246"/>
      <c r="AE61" s="320">
        <f>(AE60-V059_20[[#This Row],[CARTER MP.]])+V059_20[[#This Row],[FAENA EN LTS2]]</f>
        <v>4300</v>
      </c>
      <c r="AF61" s="246"/>
      <c r="AG61" s="246"/>
      <c r="AH61" s="320">
        <f>(AH60-V059_20[[#This Row],[MOT AUX]])+V059_20[[#This Row],[FAENA EN  LTS]]</f>
        <v>3710</v>
      </c>
      <c r="AI61" s="246"/>
      <c r="AJ61" s="246"/>
      <c r="AK61" s="321">
        <f>(AK60-V059_20[[#This Row],[HIDRAULICO]])+V059_20[[#This Row],[FAENA EN LTS3]]</f>
        <v>2800</v>
      </c>
    </row>
    <row r="62" spans="1:37" x14ac:dyDescent="0.25">
      <c r="A62" s="235" t="s">
        <v>207</v>
      </c>
      <c r="B62" s="48">
        <v>43972</v>
      </c>
      <c r="C62" s="362">
        <v>0.33333333333333331</v>
      </c>
      <c r="D62" s="37">
        <f>IF(V059_20[[#This Row],[FECHA]]-B61=1,((V059_20[[#This Row],[HORA]]-C61)*24)+24,(V059_20[[#This Row],[HORA]]-C61)*24)</f>
        <v>24</v>
      </c>
      <c r="E62" s="239" t="s">
        <v>55</v>
      </c>
      <c r="F62" s="29" t="s">
        <v>56</v>
      </c>
      <c r="G62" s="324"/>
      <c r="H62" s="306"/>
      <c r="I62" s="259">
        <f>IF(ISERROR(V059_20[[#This Row],[DISTANCIA POR CARTA]]/V059_20[[#This Row],[TIEMPO DE NAVEGACION]]),0,V059_20[[#This Row],[DISTANCIA POR CARTA]]/V059_20[[#This Row],[TIEMPO DE NAVEGACION]])</f>
        <v>0</v>
      </c>
      <c r="J62" s="242"/>
      <c r="K62" s="325">
        <v>96</v>
      </c>
      <c r="L62" s="245">
        <v>23</v>
      </c>
      <c r="M62" s="245">
        <v>2.5</v>
      </c>
      <c r="N62" s="245">
        <v>0</v>
      </c>
      <c r="O62" s="257">
        <f>SUM(V059_20[[#This Row],[MPAL]:[CALDERA]])</f>
        <v>25.5</v>
      </c>
      <c r="P62" s="319"/>
      <c r="Q62" s="281">
        <f>(Q61-V059_20[[#This Row],[TOTAL ]])+V059_20[[#This Row],[FAENA]]</f>
        <v>704.7399999999999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SUM(V059_20[[#This Row],[MPAL2]:[GI]])</f>
        <v>0</v>
      </c>
      <c r="X62" s="246"/>
      <c r="Y62" s="282">
        <f>(Y61-V059_20[[#This Row],[TOTAL]])+V059_20[[#This Row],[FAENA2]]</f>
        <v>136.1</v>
      </c>
      <c r="Z62" s="245"/>
      <c r="AA62" s="246"/>
      <c r="AB62" s="320">
        <f>(AB61-V059_20[[#This Row],[CYLINDER MP]])+V059_20[[#This Row],[FAENA EN LTS]]</f>
        <v>4580</v>
      </c>
      <c r="AC62" s="246"/>
      <c r="AD62" s="246"/>
      <c r="AE62" s="320">
        <f>(AE61-V059_20[[#This Row],[CARTER MP.]])+V059_20[[#This Row],[FAENA EN LTS2]]</f>
        <v>4300</v>
      </c>
      <c r="AF62" s="246"/>
      <c r="AG62" s="246"/>
      <c r="AH62" s="320">
        <f>(AH61-V059_20[[#This Row],[MOT AUX]])+V059_20[[#This Row],[FAENA EN  LTS]]</f>
        <v>3710</v>
      </c>
      <c r="AI62" s="246"/>
      <c r="AJ62" s="246"/>
      <c r="AK62" s="321">
        <f>(AK61-V059_20[[#This Row],[HIDRAULICO]])+V059_20[[#This Row],[FAENA EN LTS3]]</f>
        <v>2800</v>
      </c>
    </row>
    <row r="63" spans="1:37" x14ac:dyDescent="0.25">
      <c r="A63" s="235" t="s">
        <v>207</v>
      </c>
      <c r="B63" s="382">
        <v>43972</v>
      </c>
      <c r="C63" s="41">
        <v>0.39583333333333331</v>
      </c>
      <c r="D63" s="37">
        <f>IF(V059_20[[#This Row],[FECHA]]-B62=1,((V059_20[[#This Row],[HORA]]-C62)*24)+24,(V059_20[[#This Row],[HORA]]-C62)*24)</f>
        <v>1.5</v>
      </c>
      <c r="E63" s="239" t="s">
        <v>55</v>
      </c>
      <c r="F63" s="29" t="s">
        <v>142</v>
      </c>
      <c r="G63" s="324">
        <v>652</v>
      </c>
      <c r="H63" s="306">
        <v>53</v>
      </c>
      <c r="I63" s="259">
        <f>IF(ISERROR(V059_20[[#This Row],[DISTANCIA POR CARTA]]/V059_20[[#This Row],[TIEMPO DE NAVEGACION]]),0,V059_20[[#This Row],[DISTANCIA POR CARTA]]/V059_20[[#This Row],[TIEMPO DE NAVEGACION]])</f>
        <v>12.30188679245283</v>
      </c>
      <c r="J63" s="380" t="s">
        <v>218</v>
      </c>
      <c r="K63" s="325">
        <v>96</v>
      </c>
      <c r="L63" s="245">
        <v>1.44</v>
      </c>
      <c r="M63" s="245">
        <v>0.16</v>
      </c>
      <c r="N63" s="245">
        <v>0</v>
      </c>
      <c r="O63" s="257">
        <f>SUM(V059_20[[#This Row],[MPAL]:[CALDERA]])</f>
        <v>1.5999999999999999</v>
      </c>
      <c r="P63" s="319"/>
      <c r="Q63" s="281">
        <f>(Q62-V059_20[[#This Row],[TOTAL ]])+V059_20[[#This Row],[FAENA]]</f>
        <v>703.13999999999987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SUM(V059_20[[#This Row],[MPAL2]:[GI]])</f>
        <v>0</v>
      </c>
      <c r="X63" s="246"/>
      <c r="Y63" s="282">
        <f>(Y62-V059_20[[#This Row],[TOTAL]])+V059_20[[#This Row],[FAENA2]]</f>
        <v>136.1</v>
      </c>
      <c r="Z63" s="245"/>
      <c r="AA63" s="246"/>
      <c r="AB63" s="320">
        <f>(AB62-V059_20[[#This Row],[CYLINDER MP]])+V059_20[[#This Row],[FAENA EN LTS]]</f>
        <v>4580</v>
      </c>
      <c r="AC63" s="246"/>
      <c r="AD63" s="246"/>
      <c r="AE63" s="320">
        <f>(AE62-V059_20[[#This Row],[CARTER MP.]])+V059_20[[#This Row],[FAENA EN LTS2]]</f>
        <v>4300</v>
      </c>
      <c r="AF63" s="246"/>
      <c r="AG63" s="246"/>
      <c r="AH63" s="320">
        <f>(AH62-V059_20[[#This Row],[MOT AUX]])+V059_20[[#This Row],[FAENA EN  LTS]]</f>
        <v>3710</v>
      </c>
      <c r="AI63" s="246"/>
      <c r="AJ63" s="246"/>
      <c r="AK63" s="321">
        <f>(AK62-V059_20[[#This Row],[HIDRAULICO]])+V059_20[[#This Row],[FAENA EN LTS3]]</f>
        <v>2800</v>
      </c>
    </row>
    <row r="64" spans="1:37" x14ac:dyDescent="0.25">
      <c r="A64" s="235" t="s">
        <v>207</v>
      </c>
      <c r="B64" s="382">
        <v>43972</v>
      </c>
      <c r="C64" s="41">
        <v>0.4291666666666667</v>
      </c>
      <c r="D64" s="37">
        <f>IF(V059_20[[#This Row],[FECHA]]-B63=1,((V059_20[[#This Row],[HORA]]-C63)*24)+24,(V059_20[[#This Row],[HORA]]-C63)*24)</f>
        <v>0.80000000000000115</v>
      </c>
      <c r="E64" s="239" t="s">
        <v>47</v>
      </c>
      <c r="F64" s="29" t="s">
        <v>48</v>
      </c>
      <c r="G64" s="324"/>
      <c r="H64" s="306"/>
      <c r="I64" s="259">
        <f>IF(ISERROR(V059_20[[#This Row],[DISTANCIA POR CARTA]]/V059_20[[#This Row],[TIEMPO DE NAVEGACION]]),0,V059_20[[#This Row],[DISTANCIA POR CARTA]]/V059_20[[#This Row],[TIEMPO DE NAVEGACION]])</f>
        <v>0</v>
      </c>
      <c r="J64" s="242"/>
      <c r="K64" s="325"/>
      <c r="L64" s="245">
        <v>0.17</v>
      </c>
      <c r="M64" s="245">
        <v>0.08</v>
      </c>
      <c r="N64" s="245">
        <v>7.0000000000000007E-2</v>
      </c>
      <c r="O64" s="257">
        <f>SUM(V059_20[[#This Row],[MPAL]:[CALDERA]])</f>
        <v>0.32</v>
      </c>
      <c r="P64" s="319"/>
      <c r="Q64" s="281">
        <f>(Q63-V059_20[[#This Row],[TOTAL ]])+V059_20[[#This Row],[FAENA]]</f>
        <v>702.81999999999982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SUM(V059_20[[#This Row],[MPAL2]:[GI]])</f>
        <v>0</v>
      </c>
      <c r="X64" s="246"/>
      <c r="Y64" s="282">
        <f>(Y63-V059_20[[#This Row],[TOTAL]])+V059_20[[#This Row],[FAENA2]]</f>
        <v>136.1</v>
      </c>
      <c r="Z64" s="245"/>
      <c r="AA64" s="246"/>
      <c r="AB64" s="320">
        <f>(AB63-V059_20[[#This Row],[CYLINDER MP]])+V059_20[[#This Row],[FAENA EN LTS]]</f>
        <v>4580</v>
      </c>
      <c r="AC64" s="246"/>
      <c r="AD64" s="246"/>
      <c r="AE64" s="320">
        <f>(AE63-V059_20[[#This Row],[CARTER MP.]])+V059_20[[#This Row],[FAENA EN LTS2]]</f>
        <v>4300</v>
      </c>
      <c r="AF64" s="246"/>
      <c r="AG64" s="246"/>
      <c r="AH64" s="320">
        <f>(AH63-V059_20[[#This Row],[MOT AUX]])+V059_20[[#This Row],[FAENA EN  LTS]]</f>
        <v>3710</v>
      </c>
      <c r="AI64" s="246"/>
      <c r="AJ64" s="246"/>
      <c r="AK64" s="321">
        <f>(AK63-V059_20[[#This Row],[HIDRAULICO]])+V059_20[[#This Row],[FAENA EN LTS3]]</f>
        <v>2800</v>
      </c>
    </row>
    <row r="65" spans="1:37" x14ac:dyDescent="0.25">
      <c r="A65" s="235" t="s">
        <v>207</v>
      </c>
      <c r="B65" s="48">
        <v>43973</v>
      </c>
      <c r="C65" s="351">
        <v>0.33333333333333331</v>
      </c>
      <c r="D65" s="37">
        <f>IF(V059_20[[#This Row],[FECHA]]-B64=1,((V059_20[[#This Row],[HORA]]-C64)*24)+24,(V059_20[[#This Row],[HORA]]-C64)*24)</f>
        <v>21.7</v>
      </c>
      <c r="E65" s="239" t="s">
        <v>45</v>
      </c>
      <c r="F65" s="29" t="s">
        <v>45</v>
      </c>
      <c r="G65" s="324"/>
      <c r="H65" s="306"/>
      <c r="I65" s="259">
        <f>IF(ISERROR(V059_20[[#This Row],[DISTANCIA POR CARTA]]/V059_20[[#This Row],[TIEMPO DE NAVEGACION]]),0,V059_20[[#This Row],[DISTANCIA POR CARTA]]/V059_20[[#This Row],[TIEMPO DE NAVEGACION]])</f>
        <v>0</v>
      </c>
      <c r="J65" s="242"/>
      <c r="K65" s="325"/>
      <c r="L65" s="245">
        <v>0</v>
      </c>
      <c r="M65" s="245">
        <v>2.2599999999999998</v>
      </c>
      <c r="N65" s="245">
        <v>1.81</v>
      </c>
      <c r="O65" s="257">
        <f>SUM(V059_20[[#This Row],[MPAL]:[CALDERA]])</f>
        <v>4.07</v>
      </c>
      <c r="P65" s="319"/>
      <c r="Q65" s="281">
        <f>(Q64-V059_20[[#This Row],[TOTAL ]])+V059_20[[#This Row],[FAENA]]</f>
        <v>698.74999999999977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SUM(V059_20[[#This Row],[MPAL2]:[GI]])</f>
        <v>0</v>
      </c>
      <c r="X65" s="246"/>
      <c r="Y65" s="282">
        <f>(Y64-V059_20[[#This Row],[TOTAL]])+V059_20[[#This Row],[FAENA2]]</f>
        <v>136.1</v>
      </c>
      <c r="Z65" s="245"/>
      <c r="AA65" s="246"/>
      <c r="AB65" s="320">
        <f>(AB64-V059_20[[#This Row],[CYLINDER MP]])+V059_20[[#This Row],[FAENA EN LTS]]</f>
        <v>4580</v>
      </c>
      <c r="AC65" s="246"/>
      <c r="AD65" s="246"/>
      <c r="AE65" s="320">
        <f>(AE64-V059_20[[#This Row],[CARTER MP.]])+V059_20[[#This Row],[FAENA EN LTS2]]</f>
        <v>4300</v>
      </c>
      <c r="AF65" s="246"/>
      <c r="AG65" s="246"/>
      <c r="AH65" s="320">
        <f>(AH64-V059_20[[#This Row],[MOT AUX]])+V059_20[[#This Row],[FAENA EN  LTS]]</f>
        <v>3710</v>
      </c>
      <c r="AI65" s="246"/>
      <c r="AJ65" s="246"/>
      <c r="AK65" s="321">
        <f>(AK64-V059_20[[#This Row],[HIDRAULICO]])+V059_20[[#This Row],[FAENA EN LTS3]]</f>
        <v>2800</v>
      </c>
    </row>
    <row r="66" spans="1:37" x14ac:dyDescent="0.25">
      <c r="A66" s="235" t="s">
        <v>207</v>
      </c>
      <c r="B66" s="382">
        <v>43973</v>
      </c>
      <c r="C66" s="41">
        <v>0.40416666666666662</v>
      </c>
      <c r="D66" s="37">
        <f>IF(V059_20[[#This Row],[FECHA]]-B65=1,((V059_20[[#This Row],[HORA]]-C65)*24)+24,(V059_20[[#This Row],[HORA]]-C65)*24)</f>
        <v>1.6999999999999993</v>
      </c>
      <c r="E66" s="239" t="s">
        <v>45</v>
      </c>
      <c r="F66" s="29" t="s">
        <v>46</v>
      </c>
      <c r="G66" s="324"/>
      <c r="H66" s="306"/>
      <c r="I66" s="259">
        <f>IF(ISERROR(V059_20[[#This Row],[DISTANCIA POR CARTA]]/V059_20[[#This Row],[TIEMPO DE NAVEGACION]]),0,V059_20[[#This Row],[DISTANCIA POR CARTA]]/V059_20[[#This Row],[TIEMPO DE NAVEGACION]])</f>
        <v>0</v>
      </c>
      <c r="J66" s="242"/>
      <c r="K66" s="325"/>
      <c r="L66" s="245">
        <v>0</v>
      </c>
      <c r="M66" s="245">
        <v>0.18</v>
      </c>
      <c r="N66" s="245">
        <v>0.14000000000000001</v>
      </c>
      <c r="O66" s="257">
        <f>SUM(V059_20[[#This Row],[MPAL]:[CALDERA]])</f>
        <v>0.32</v>
      </c>
      <c r="P66" s="319"/>
      <c r="Q66" s="281">
        <f>(Q65-V059_20[[#This Row],[TOTAL ]])+V059_20[[#This Row],[FAENA]]</f>
        <v>698.42999999999972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SUM(V059_20[[#This Row],[MPAL2]:[GI]])</f>
        <v>0</v>
      </c>
      <c r="X66" s="246"/>
      <c r="Y66" s="282">
        <f>(Y65-V059_20[[#This Row],[TOTAL]])+V059_20[[#This Row],[FAENA2]]</f>
        <v>136.1</v>
      </c>
      <c r="Z66" s="245"/>
      <c r="AA66" s="246"/>
      <c r="AB66" s="320">
        <f>(AB65-V059_20[[#This Row],[CYLINDER MP]])+V059_20[[#This Row],[FAENA EN LTS]]</f>
        <v>4580</v>
      </c>
      <c r="AC66" s="246"/>
      <c r="AD66" s="246"/>
      <c r="AE66" s="320">
        <f>(AE65-V059_20[[#This Row],[CARTER MP.]])+V059_20[[#This Row],[FAENA EN LTS2]]</f>
        <v>4300</v>
      </c>
      <c r="AF66" s="246"/>
      <c r="AG66" s="246"/>
      <c r="AH66" s="320">
        <f>(AH65-V059_20[[#This Row],[MOT AUX]])+V059_20[[#This Row],[FAENA EN  LTS]]</f>
        <v>3710</v>
      </c>
      <c r="AI66" s="246"/>
      <c r="AJ66" s="246"/>
      <c r="AK66" s="321">
        <f>(AK65-V059_20[[#This Row],[HIDRAULICO]])+V059_20[[#This Row],[FAENA EN LTS3]]</f>
        <v>2800</v>
      </c>
    </row>
    <row r="67" spans="1:37" x14ac:dyDescent="0.25">
      <c r="A67" s="235" t="s">
        <v>207</v>
      </c>
      <c r="B67" s="382">
        <v>43973</v>
      </c>
      <c r="C67" s="41">
        <v>0.45833333333333331</v>
      </c>
      <c r="D67" s="37">
        <f>IF(V059_20[[#This Row],[FECHA]]-B66=1,((V059_20[[#This Row],[HORA]]-C66)*24)+24,(V059_20[[#This Row],[HORA]]-C66)*24)</f>
        <v>1.3000000000000007</v>
      </c>
      <c r="E67" s="239" t="s">
        <v>47</v>
      </c>
      <c r="F67" s="29" t="s">
        <v>48</v>
      </c>
      <c r="G67" s="324"/>
      <c r="H67" s="306"/>
      <c r="I67" s="259">
        <f>IF(ISERROR(V059_20[[#This Row],[DISTANCIA POR CARTA]]/V059_20[[#This Row],[TIEMPO DE NAVEGACION]]),0,V059_20[[#This Row],[DISTANCIA POR CARTA]]/V059_20[[#This Row],[TIEMPO DE NAVEGACION]])</f>
        <v>0</v>
      </c>
      <c r="J67" s="242"/>
      <c r="K67" s="325"/>
      <c r="L67" s="245">
        <v>0.16</v>
      </c>
      <c r="M67" s="245">
        <v>0.14000000000000001</v>
      </c>
      <c r="N67" s="245">
        <v>0.11</v>
      </c>
      <c r="O67" s="257">
        <f>SUM(V059_20[[#This Row],[MPAL]:[CALDERA]])</f>
        <v>0.41000000000000003</v>
      </c>
      <c r="P67" s="319"/>
      <c r="Q67" s="281">
        <f>(Q66-V059_20[[#This Row],[TOTAL ]])+V059_20[[#This Row],[FAENA]]</f>
        <v>698.01999999999975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SUM(V059_20[[#This Row],[MPAL2]:[GI]])</f>
        <v>0</v>
      </c>
      <c r="X67" s="246"/>
      <c r="Y67" s="282">
        <f>(Y66-V059_20[[#This Row],[TOTAL]])+V059_20[[#This Row],[FAENA2]]</f>
        <v>136.1</v>
      </c>
      <c r="Z67" s="245"/>
      <c r="AA67" s="246"/>
      <c r="AB67" s="320">
        <f>(AB66-V059_20[[#This Row],[CYLINDER MP]])+V059_20[[#This Row],[FAENA EN LTS]]</f>
        <v>4580</v>
      </c>
      <c r="AC67" s="246"/>
      <c r="AD67" s="246"/>
      <c r="AE67" s="320">
        <f>(AE66-V059_20[[#This Row],[CARTER MP.]])+V059_20[[#This Row],[FAENA EN LTS2]]</f>
        <v>4300</v>
      </c>
      <c r="AF67" s="246"/>
      <c r="AG67" s="246"/>
      <c r="AH67" s="320">
        <f>(AH66-V059_20[[#This Row],[MOT AUX]])+V059_20[[#This Row],[FAENA EN  LTS]]</f>
        <v>3710</v>
      </c>
      <c r="AI67" s="246"/>
      <c r="AJ67" s="246"/>
      <c r="AK67" s="321">
        <f>(AK66-V059_20[[#This Row],[HIDRAULICO]])+V059_20[[#This Row],[FAENA EN LTS3]]</f>
        <v>2800</v>
      </c>
    </row>
    <row r="68" spans="1:37" x14ac:dyDescent="0.25">
      <c r="A68" s="235" t="s">
        <v>207</v>
      </c>
      <c r="B68" s="382">
        <v>43973</v>
      </c>
      <c r="C68" s="41">
        <v>0.6791666666666667</v>
      </c>
      <c r="D68" s="37">
        <f>IF(V059_20[[#This Row],[FECHA]]-B67=1,((V059_20[[#This Row],[HORA]]-C67)*24)+24,(V059_20[[#This Row],[HORA]]-C67)*24)</f>
        <v>5.3000000000000007</v>
      </c>
      <c r="E68" s="239" t="s">
        <v>49</v>
      </c>
      <c r="F68" s="29" t="s">
        <v>50</v>
      </c>
      <c r="G68" s="324"/>
      <c r="H68" s="306"/>
      <c r="I68" s="259">
        <f>IF(ISERROR(V059_20[[#This Row],[DISTANCIA POR CARTA]]/V059_20[[#This Row],[TIEMPO DE NAVEGACION]]),0,V059_20[[#This Row],[DISTANCIA POR CARTA]]/V059_20[[#This Row],[TIEMPO DE NAVEGACION]])</f>
        <v>0</v>
      </c>
      <c r="J68" s="242"/>
      <c r="K68" s="325"/>
      <c r="L68" s="245">
        <v>0</v>
      </c>
      <c r="M68" s="245">
        <v>0.23</v>
      </c>
      <c r="N68" s="245">
        <v>0.44</v>
      </c>
      <c r="O68" s="257">
        <f>SUM(V059_20[[#This Row],[MPAL]:[CALDERA]])</f>
        <v>0.67</v>
      </c>
      <c r="P68" s="319"/>
      <c r="Q68" s="281">
        <f>(Q67-V059_20[[#This Row],[TOTAL ]])+V059_20[[#This Row],[FAENA]]</f>
        <v>697.3499999999998</v>
      </c>
      <c r="R68" s="245">
        <v>0</v>
      </c>
      <c r="S68" s="246">
        <v>0</v>
      </c>
      <c r="T68" s="246">
        <v>0</v>
      </c>
      <c r="U68" s="246">
        <v>0</v>
      </c>
      <c r="V68" s="246">
        <v>1</v>
      </c>
      <c r="W68" s="257">
        <f>SUM(V059_20[[#This Row],[MPAL2]:[GI]])</f>
        <v>1</v>
      </c>
      <c r="X68" s="246"/>
      <c r="Y68" s="282">
        <f>(Y67-V059_20[[#This Row],[TOTAL]])+V059_20[[#This Row],[FAENA2]]</f>
        <v>135.1</v>
      </c>
      <c r="Z68" s="245"/>
      <c r="AA68" s="246"/>
      <c r="AB68" s="320">
        <f>(AB67-V059_20[[#This Row],[CYLINDER MP]])+V059_20[[#This Row],[FAENA EN LTS]]</f>
        <v>4580</v>
      </c>
      <c r="AC68" s="246"/>
      <c r="AD68" s="246"/>
      <c r="AE68" s="320">
        <f>(AE67-V059_20[[#This Row],[CARTER MP.]])+V059_20[[#This Row],[FAENA EN LTS2]]</f>
        <v>4300</v>
      </c>
      <c r="AF68" s="246"/>
      <c r="AG68" s="246"/>
      <c r="AH68" s="320">
        <f>(AH67-V059_20[[#This Row],[MOT AUX]])+V059_20[[#This Row],[FAENA EN  LTS]]</f>
        <v>3710</v>
      </c>
      <c r="AI68" s="246"/>
      <c r="AJ68" s="246"/>
      <c r="AK68" s="321">
        <f>(AK67-V059_20[[#This Row],[HIDRAULICO]])+V059_20[[#This Row],[FAENA EN LTS3]]</f>
        <v>2800</v>
      </c>
    </row>
    <row r="69" spans="1:37" x14ac:dyDescent="0.25">
      <c r="A69" s="235" t="s">
        <v>207</v>
      </c>
      <c r="B69" s="48">
        <v>43974</v>
      </c>
      <c r="C69" s="351">
        <v>0.32916666666666666</v>
      </c>
      <c r="D69" s="37">
        <f>IF(V059_20[[#This Row],[FECHA]]-B68=1,((V059_20[[#This Row],[HORA]]-C68)*24)+24,(V059_20[[#This Row],[HORA]]-C68)*24)</f>
        <v>15.6</v>
      </c>
      <c r="E69" s="239" t="s">
        <v>51</v>
      </c>
      <c r="F69" s="29" t="s">
        <v>200</v>
      </c>
      <c r="G69" s="324"/>
      <c r="H69" s="306"/>
      <c r="I69" s="259">
        <f>IF(ISERROR(V059_20[[#This Row],[DISTANCIA POR CARTA]]/V059_20[[#This Row],[TIEMPO DE NAVEGACION]]),0,V059_20[[#This Row],[DISTANCIA POR CARTA]]/V059_20[[#This Row],[TIEMPO DE NAVEGACION]])</f>
        <v>0</v>
      </c>
      <c r="J69" s="242"/>
      <c r="K69" s="325"/>
      <c r="L69" s="245">
        <v>0</v>
      </c>
      <c r="M69" s="245">
        <v>1.63</v>
      </c>
      <c r="N69" s="245">
        <v>1.3</v>
      </c>
      <c r="O69" s="257">
        <f>SUM(V059_20[[#This Row],[MPAL]:[CALDERA]])</f>
        <v>2.9299999999999997</v>
      </c>
      <c r="P69" s="319"/>
      <c r="Q69" s="281">
        <f>(Q68-V059_20[[#This Row],[TOTAL ]])+V059_20[[#This Row],[FAENA]]</f>
        <v>694.41999999999985</v>
      </c>
      <c r="R69" s="245">
        <v>0</v>
      </c>
      <c r="S69" s="246">
        <v>0</v>
      </c>
      <c r="T69" s="246">
        <v>0</v>
      </c>
      <c r="U69" s="246">
        <v>0</v>
      </c>
      <c r="V69" s="246">
        <v>3.9</v>
      </c>
      <c r="W69" s="257">
        <f>SUM(V059_20[[#This Row],[MPAL2]:[GI]])</f>
        <v>3.9</v>
      </c>
      <c r="X69" s="246"/>
      <c r="Y69" s="282">
        <f>(Y68-V059_20[[#This Row],[TOTAL]])+V059_20[[#This Row],[FAENA2]]</f>
        <v>131.19999999999999</v>
      </c>
      <c r="Z69" s="245"/>
      <c r="AA69" s="246"/>
      <c r="AB69" s="320">
        <f>(AB68-V059_20[[#This Row],[CYLINDER MP]])+V059_20[[#This Row],[FAENA EN LTS]]</f>
        <v>4580</v>
      </c>
      <c r="AC69" s="246"/>
      <c r="AD69" s="246"/>
      <c r="AE69" s="320">
        <f>(AE68-V059_20[[#This Row],[CARTER MP.]])+V059_20[[#This Row],[FAENA EN LTS2]]</f>
        <v>4300</v>
      </c>
      <c r="AF69" s="246"/>
      <c r="AG69" s="246"/>
      <c r="AH69" s="320">
        <f>(AH68-V059_20[[#This Row],[MOT AUX]])+V059_20[[#This Row],[FAENA EN  LTS]]</f>
        <v>3710</v>
      </c>
      <c r="AI69" s="246"/>
      <c r="AJ69" s="246"/>
      <c r="AK69" s="321">
        <f>(AK68-V059_20[[#This Row],[HIDRAULICO]])+V059_20[[#This Row],[FAENA EN LTS3]]</f>
        <v>2800</v>
      </c>
    </row>
    <row r="70" spans="1:37" x14ac:dyDescent="0.25">
      <c r="A70" s="235" t="s">
        <v>207</v>
      </c>
      <c r="B70" s="382">
        <v>43974</v>
      </c>
      <c r="C70" s="362">
        <v>0.33333333333333331</v>
      </c>
      <c r="D70" s="37">
        <f>IF(V059_20[[#This Row],[FECHA]]-B69=1,((V059_20[[#This Row],[HORA]]-C69)*24)+24,(V059_20[[#This Row],[HORA]]-C69)*24)</f>
        <v>9.9999999999999645E-2</v>
      </c>
      <c r="E70" s="239" t="s">
        <v>49</v>
      </c>
      <c r="F70" s="29" t="s">
        <v>210</v>
      </c>
      <c r="G70" s="324"/>
      <c r="H70" s="306"/>
      <c r="I70" s="259">
        <f>IF(ISERROR(V059_20[[#This Row],[DISTANCIA POR CARTA]]/V059_20[[#This Row],[TIEMPO DE NAVEGACION]]),0,V059_20[[#This Row],[DISTANCIA POR CARTA]]/V059_20[[#This Row],[TIEMPO DE NAVEGACION]])</f>
        <v>0</v>
      </c>
      <c r="J70" s="242"/>
      <c r="K70" s="325"/>
      <c r="L70" s="245">
        <v>0</v>
      </c>
      <c r="M70" s="245">
        <v>0.01</v>
      </c>
      <c r="N70" s="245">
        <v>0.01</v>
      </c>
      <c r="O70" s="257">
        <f>SUM(V059_20[[#This Row],[MPAL]:[CALDERA]])</f>
        <v>0.02</v>
      </c>
      <c r="P70" s="319"/>
      <c r="Q70" s="281">
        <f>(Q69-V059_20[[#This Row],[TOTAL ]])+V059_20[[#This Row],[FAENA]]</f>
        <v>694.39999999999986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SUM(V059_20[[#This Row],[MPAL2]:[GI]])</f>
        <v>0</v>
      </c>
      <c r="X70" s="246"/>
      <c r="Y70" s="282">
        <f>(Y69-V059_20[[#This Row],[TOTAL]])+V059_20[[#This Row],[FAENA2]]</f>
        <v>131.19999999999999</v>
      </c>
      <c r="Z70" s="245"/>
      <c r="AA70" s="246"/>
      <c r="AB70" s="320">
        <f>(AB69-V059_20[[#This Row],[CYLINDER MP]])+V059_20[[#This Row],[FAENA EN LTS]]</f>
        <v>4580</v>
      </c>
      <c r="AC70" s="246"/>
      <c r="AD70" s="246"/>
      <c r="AE70" s="320">
        <f>(AE69-V059_20[[#This Row],[CARTER MP.]])+V059_20[[#This Row],[FAENA EN LTS2]]</f>
        <v>4300</v>
      </c>
      <c r="AF70" s="246"/>
      <c r="AG70" s="246"/>
      <c r="AH70" s="320">
        <f>(AH69-V059_20[[#This Row],[MOT AUX]])+V059_20[[#This Row],[FAENA EN  LTS]]</f>
        <v>3710</v>
      </c>
      <c r="AI70" s="246"/>
      <c r="AJ70" s="246"/>
      <c r="AK70" s="321">
        <f>(AK69-V059_20[[#This Row],[HIDRAULICO]])+V059_20[[#This Row],[FAENA EN LTS3]]</f>
        <v>2800</v>
      </c>
    </row>
    <row r="71" spans="1:37" x14ac:dyDescent="0.25">
      <c r="A71" s="235" t="s">
        <v>207</v>
      </c>
      <c r="B71" s="382">
        <v>43974</v>
      </c>
      <c r="C71" s="237">
        <v>0.47916666666666669</v>
      </c>
      <c r="D71" s="37">
        <f>IF(V059_20[[#This Row],[FECHA]]-B70=1,((V059_20[[#This Row],[HORA]]-C70)*24)+24,(V059_20[[#This Row],[HORA]]-C70)*24)</f>
        <v>3.5000000000000009</v>
      </c>
      <c r="E71" s="239" t="s">
        <v>49</v>
      </c>
      <c r="F71" s="378" t="s">
        <v>46</v>
      </c>
      <c r="G71" s="324"/>
      <c r="H71" s="306"/>
      <c r="I71" s="259">
        <f>IF(ISERROR(V059_20[[#This Row],[DISTANCIA POR CARTA]]/V059_20[[#This Row],[TIEMPO DE NAVEGACION]]),0,V059_20[[#This Row],[DISTANCIA POR CARTA]]/V059_20[[#This Row],[TIEMPO DE NAVEGACION]])</f>
        <v>0</v>
      </c>
      <c r="J71" s="242"/>
      <c r="K71" s="325"/>
      <c r="L71" s="245">
        <v>0</v>
      </c>
      <c r="M71" s="245">
        <v>0.36</v>
      </c>
      <c r="N71" s="245">
        <v>0.28999999999999998</v>
      </c>
      <c r="O71" s="257">
        <f>SUM(V059_20[[#This Row],[MPAL]:[CALDERA]])</f>
        <v>0.64999999999999991</v>
      </c>
      <c r="P71" s="319"/>
      <c r="Q71" s="281">
        <f>(Q70-V059_20[[#This Row],[TOTAL ]])+V059_20[[#This Row],[FAENA]]</f>
        <v>693.74999999999989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SUM(V059_20[[#This Row],[MPAL2]:[GI]])</f>
        <v>0</v>
      </c>
      <c r="X71" s="246"/>
      <c r="Y71" s="282">
        <f>(Y70-V059_20[[#This Row],[TOTAL]])+V059_20[[#This Row],[FAENA2]]</f>
        <v>131.19999999999999</v>
      </c>
      <c r="Z71" s="245"/>
      <c r="AA71" s="246"/>
      <c r="AB71" s="320">
        <f>(AB70-V059_20[[#This Row],[CYLINDER MP]])+V059_20[[#This Row],[FAENA EN LTS]]</f>
        <v>4580</v>
      </c>
      <c r="AC71" s="246"/>
      <c r="AD71" s="246"/>
      <c r="AE71" s="320">
        <f>(AE70-V059_20[[#This Row],[CARTER MP.]])+V059_20[[#This Row],[FAENA EN LTS2]]</f>
        <v>4300</v>
      </c>
      <c r="AF71" s="246"/>
      <c r="AG71" s="246"/>
      <c r="AH71" s="320">
        <f>(AH70-V059_20[[#This Row],[MOT AUX]])+V059_20[[#This Row],[FAENA EN  LTS]]</f>
        <v>3710</v>
      </c>
      <c r="AI71" s="246"/>
      <c r="AJ71" s="246"/>
      <c r="AK71" s="321">
        <f>(AK70-V059_20[[#This Row],[HIDRAULICO]])+V059_20[[#This Row],[FAENA EN LTS3]]</f>
        <v>2800</v>
      </c>
    </row>
    <row r="72" spans="1:37" x14ac:dyDescent="0.25">
      <c r="A72" s="235" t="s">
        <v>207</v>
      </c>
      <c r="B72" s="382">
        <v>43974</v>
      </c>
      <c r="C72" s="237">
        <v>0.52083333333333337</v>
      </c>
      <c r="D72" s="37">
        <f>IF(V059_20[[#This Row],[FECHA]]-B71=1,((V059_20[[#This Row],[HORA]]-C71)*24)+24,(V059_20[[#This Row],[HORA]]-C71)*24)</f>
        <v>1.0000000000000004</v>
      </c>
      <c r="E72" s="239" t="s">
        <v>47</v>
      </c>
      <c r="F72" s="378" t="s">
        <v>151</v>
      </c>
      <c r="G72" s="324"/>
      <c r="H72" s="306"/>
      <c r="I72" s="259">
        <f>IF(ISERROR(V059_20[[#This Row],[DISTANCIA POR CARTA]]/V059_20[[#This Row],[TIEMPO DE NAVEGACION]]),0,V059_20[[#This Row],[DISTANCIA POR CARTA]]/V059_20[[#This Row],[TIEMPO DE NAVEGACION]])</f>
        <v>0</v>
      </c>
      <c r="J72" s="242"/>
      <c r="K72" s="325"/>
      <c r="L72" s="245">
        <v>0.21</v>
      </c>
      <c r="M72" s="245">
        <v>0.1</v>
      </c>
      <c r="N72" s="245">
        <v>0.08</v>
      </c>
      <c r="O72" s="257">
        <f>SUM(V059_20[[#This Row],[MPAL]:[CALDERA]])</f>
        <v>0.39</v>
      </c>
      <c r="P72" s="319"/>
      <c r="Q72" s="281">
        <f>(Q71-V059_20[[#This Row],[TOTAL ]])+V059_20[[#This Row],[FAENA]]</f>
        <v>693.3599999999999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SUM(V059_20[[#This Row],[MPAL2]:[GI]])</f>
        <v>0</v>
      </c>
      <c r="X72" s="246"/>
      <c r="Y72" s="282">
        <f>(Y71-V059_20[[#This Row],[TOTAL]])+V059_20[[#This Row],[FAENA2]]</f>
        <v>131.19999999999999</v>
      </c>
      <c r="Z72" s="245"/>
      <c r="AA72" s="246"/>
      <c r="AB72" s="320">
        <f>(AB71-V059_20[[#This Row],[CYLINDER MP]])+V059_20[[#This Row],[FAENA EN LTS]]</f>
        <v>4580</v>
      </c>
      <c r="AC72" s="246"/>
      <c r="AD72" s="246"/>
      <c r="AE72" s="320">
        <f>(AE71-V059_20[[#This Row],[CARTER MP.]])+V059_20[[#This Row],[FAENA EN LTS2]]</f>
        <v>4300</v>
      </c>
      <c r="AF72" s="246"/>
      <c r="AG72" s="246"/>
      <c r="AH72" s="320">
        <f>(AH71-V059_20[[#This Row],[MOT AUX]])+V059_20[[#This Row],[FAENA EN  LTS]]</f>
        <v>3710</v>
      </c>
      <c r="AI72" s="246"/>
      <c r="AJ72" s="246"/>
      <c r="AK72" s="321">
        <f>(AK71-V059_20[[#This Row],[HIDRAULICO]])+V059_20[[#This Row],[FAENA EN LTS3]]</f>
        <v>2800</v>
      </c>
    </row>
    <row r="73" spans="1:37" x14ac:dyDescent="0.25">
      <c r="A73" s="235" t="s">
        <v>207</v>
      </c>
      <c r="B73" s="236">
        <v>43975</v>
      </c>
      <c r="C73" s="237">
        <v>0.24166666666666667</v>
      </c>
      <c r="D73" s="37">
        <f>IF(V059_20[[#This Row],[FECHA]]-B72=1,((V059_20[[#This Row],[HORA]]-C72)*24)+24,(V059_20[[#This Row],[HORA]]-C72)*24)</f>
        <v>17.3</v>
      </c>
      <c r="E73" s="239" t="s">
        <v>61</v>
      </c>
      <c r="F73" s="378" t="s">
        <v>62</v>
      </c>
      <c r="G73" s="324">
        <v>198</v>
      </c>
      <c r="H73" s="306">
        <v>17.3</v>
      </c>
      <c r="I73" s="259">
        <f>IF(ISERROR(V059_20[[#This Row],[DISTANCIA POR CARTA]]/V059_20[[#This Row],[TIEMPO DE NAVEGACION]]),0,V059_20[[#This Row],[DISTANCIA POR CARTA]]/V059_20[[#This Row],[TIEMPO DE NAVEGACION]])</f>
        <v>11.445086705202312</v>
      </c>
      <c r="J73" s="380" t="s">
        <v>214</v>
      </c>
      <c r="K73" s="325">
        <v>96</v>
      </c>
      <c r="L73" s="245">
        <v>15.86</v>
      </c>
      <c r="M73" s="245">
        <v>1.8</v>
      </c>
      <c r="N73" s="245">
        <v>0</v>
      </c>
      <c r="O73" s="257">
        <f>SUM(V059_20[[#This Row],[MPAL]:[CALDERA]])</f>
        <v>17.66</v>
      </c>
      <c r="P73" s="319"/>
      <c r="Q73" s="281">
        <f>(Q72-V059_20[[#This Row],[TOTAL ]])+V059_20[[#This Row],[FAENA]]</f>
        <v>675.69999999999993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SUM(V059_20[[#This Row],[MPAL2]:[GI]])</f>
        <v>0</v>
      </c>
      <c r="X73" s="246"/>
      <c r="Y73" s="282">
        <f>(Y72-V059_20[[#This Row],[TOTAL]])+V059_20[[#This Row],[FAENA2]]</f>
        <v>131.19999999999999</v>
      </c>
      <c r="Z73" s="245">
        <v>1260</v>
      </c>
      <c r="AA73" s="246"/>
      <c r="AB73" s="320">
        <f>(AB72-V059_20[[#This Row],[CYLINDER MP]])+V059_20[[#This Row],[FAENA EN LTS]]</f>
        <v>3320</v>
      </c>
      <c r="AC73" s="246">
        <v>400</v>
      </c>
      <c r="AD73" s="246"/>
      <c r="AE73" s="320">
        <f>(AE72-V059_20[[#This Row],[CARTER MP.]])+V059_20[[#This Row],[FAENA EN LTS2]]</f>
        <v>3900</v>
      </c>
      <c r="AF73" s="246">
        <v>1820</v>
      </c>
      <c r="AG73" s="246"/>
      <c r="AH73" s="320">
        <f>(AH72-V059_20[[#This Row],[MOT AUX]])+V059_20[[#This Row],[FAENA EN  LTS]]</f>
        <v>1890</v>
      </c>
      <c r="AI73" s="246">
        <v>260</v>
      </c>
      <c r="AJ73" s="246"/>
      <c r="AK73" s="321">
        <f>(AK72-V059_20[[#This Row],[HIDRAULICO]])+V059_20[[#This Row],[FAENA EN LTS3]]</f>
        <v>2540</v>
      </c>
    </row>
    <row r="74" spans="1:37" x14ac:dyDescent="0.25">
      <c r="D74" s="132">
        <f>SUBTOTAL(109,V059_20[TIEMPO Hrs])</f>
        <v>502.80000000000007</v>
      </c>
      <c r="L74" s="68">
        <f>SUBTOTAL(109,V059_20[MPAL])</f>
        <v>117.58</v>
      </c>
      <c r="M74" s="68">
        <f>SUBTOTAL(109,V059_20[AUX.])</f>
        <v>50.449999999999982</v>
      </c>
      <c r="N74" s="68">
        <f>SUBTOTAL(109,V059_20[CALDERA])</f>
        <v>39.669999999999987</v>
      </c>
    </row>
    <row r="75" spans="1:37" x14ac:dyDescent="0.25">
      <c r="O75" s="67">
        <f>SUM(L74:N74)</f>
        <v>207.69999999999996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66</v>
      </c>
      <c r="E79" s="279"/>
      <c r="F79" s="288"/>
      <c r="G79" s="137"/>
      <c r="H79" s="84">
        <f t="shared" ref="H79:H86" si="1">SUMIF($E$6:$E$73,C79,$L$6:$L$73)+SUMIF($E$6:$E$73,C79,$M$6:$M$73)+SUMIF($E$6:$E$73,C79,$N$6:$N$73)</f>
        <v>12.370000000000001</v>
      </c>
      <c r="I79" s="139">
        <f t="shared" ref="I79:I86" si="2">IF(ISERROR(H79*24/D79),0,H79*24/D79)</f>
        <v>4.4981818181818181</v>
      </c>
      <c r="J79" s="137">
        <v>4.5</v>
      </c>
      <c r="K79" s="80"/>
      <c r="L79" s="38">
        <f>D79*J79/24</f>
        <v>12.375</v>
      </c>
      <c r="M79" s="80">
        <f t="shared" ref="M79:M86" si="3">L79-H79</f>
        <v>4.9999999999990052E-3</v>
      </c>
      <c r="N79" s="86"/>
      <c r="Q79" s="82"/>
      <c r="R79" s="83" t="s">
        <v>105</v>
      </c>
      <c r="S79" s="228">
        <f>SUM(V5:V73)</f>
        <v>10.8</v>
      </c>
      <c r="T79" s="84">
        <f>S79*24/($D$80+$D$86)</f>
        <v>3.1494532199270959</v>
      </c>
      <c r="U79" s="84">
        <v>6</v>
      </c>
      <c r="V79" s="85">
        <f>($D$80+$D$86)*U79/24</f>
        <v>20.575000000000003</v>
      </c>
      <c r="W79" s="86">
        <f>V79-S79</f>
        <v>9.7750000000000021</v>
      </c>
    </row>
    <row r="80" spans="1:37" x14ac:dyDescent="0.25">
      <c r="C80" s="87" t="s">
        <v>51</v>
      </c>
      <c r="D80" s="264">
        <f t="shared" si="0"/>
        <v>36.6</v>
      </c>
      <c r="E80" s="264"/>
      <c r="F80" s="289"/>
      <c r="G80" s="139"/>
      <c r="H80" s="88">
        <f t="shared" si="1"/>
        <v>6.8699999999999992</v>
      </c>
      <c r="I80" s="139">
        <f t="shared" si="2"/>
        <v>4.5049180327868852</v>
      </c>
      <c r="J80" s="139">
        <v>4.5</v>
      </c>
      <c r="K80" s="88"/>
      <c r="L80" s="37">
        <f t="shared" ref="L80:L86" si="4">D80*J80/24</f>
        <v>6.8625000000000007</v>
      </c>
      <c r="M80" s="88">
        <f t="shared" si="3"/>
        <v>-7.4999999999985079E-3</v>
      </c>
      <c r="N80" s="121"/>
      <c r="R80" s="90" t="s">
        <v>106</v>
      </c>
      <c r="S80" s="286">
        <f>SUM(S5:S73)</f>
        <v>0</v>
      </c>
      <c r="T80" s="84">
        <f>S80*24/($D$80+$D$86)</f>
        <v>0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17.8</v>
      </c>
      <c r="E81" s="264">
        <f>SUMIF($E$6:$E$73,C81,$G$6:$G$73)</f>
        <v>198</v>
      </c>
      <c r="F81" s="289">
        <f>E81/D81</f>
        <v>11.123595505617978</v>
      </c>
      <c r="G81" s="139">
        <v>12.5</v>
      </c>
      <c r="H81" s="88">
        <f t="shared" si="1"/>
        <v>17.96</v>
      </c>
      <c r="I81" s="139">
        <f t="shared" si="2"/>
        <v>24.215730337078654</v>
      </c>
      <c r="J81" s="139">
        <v>30.5</v>
      </c>
      <c r="K81" s="88">
        <f>E81/G81</f>
        <v>15.84</v>
      </c>
      <c r="L81" s="37">
        <f>K81*J81/24</f>
        <v>20.13</v>
      </c>
      <c r="M81" s="88">
        <f t="shared" si="3"/>
        <v>2.1699999999999982</v>
      </c>
      <c r="N81" s="121">
        <f>K81-D81</f>
        <v>-1.9600000000000009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103</v>
      </c>
      <c r="E82" s="264">
        <f>SUMIF($E$6:$E$73,C82,$G$6:$G$73)</f>
        <v>1217</v>
      </c>
      <c r="F82" s="289">
        <f>E82/D82</f>
        <v>11.815533980582524</v>
      </c>
      <c r="G82" s="139">
        <v>12</v>
      </c>
      <c r="H82" s="88">
        <f t="shared" si="1"/>
        <v>108.79</v>
      </c>
      <c r="I82" s="139">
        <f t="shared" si="2"/>
        <v>25.349126213592232</v>
      </c>
      <c r="J82" s="139">
        <v>30.5</v>
      </c>
      <c r="K82" s="88">
        <f>E82/G82</f>
        <v>101.41666666666667</v>
      </c>
      <c r="L82" s="37">
        <f>K82*J82/24</f>
        <v>128.88368055555557</v>
      </c>
      <c r="M82" s="88">
        <f t="shared" si="3"/>
        <v>20.093680555555565</v>
      </c>
      <c r="N82" s="121">
        <f>K82-D82</f>
        <v>-1.5833333333333286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37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215.29999999999998</v>
      </c>
      <c r="E84" s="264"/>
      <c r="F84" s="289"/>
      <c r="G84" s="139"/>
      <c r="H84" s="88">
        <f t="shared" si="1"/>
        <v>46.209999999999994</v>
      </c>
      <c r="I84" s="139">
        <f t="shared" si="2"/>
        <v>5.1511379470506276</v>
      </c>
      <c r="J84" s="139">
        <v>4.5</v>
      </c>
      <c r="K84" s="88"/>
      <c r="L84" s="37">
        <f t="shared" si="4"/>
        <v>40.368749999999999</v>
      </c>
      <c r="M84" s="88">
        <f t="shared" si="3"/>
        <v>-5.8412499999999952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18.400000000000002</v>
      </c>
      <c r="E85" s="264"/>
      <c r="F85" s="289"/>
      <c r="G85" s="139"/>
      <c r="H85" s="88">
        <f t="shared" si="1"/>
        <v>7.2700000000000005</v>
      </c>
      <c r="I85" s="139">
        <f t="shared" si="2"/>
        <v>9.4826086956521731</v>
      </c>
      <c r="J85" s="139">
        <v>4.5</v>
      </c>
      <c r="K85" s="88"/>
      <c r="L85" s="37">
        <f t="shared" si="4"/>
        <v>3.4500000000000006</v>
      </c>
      <c r="M85" s="88">
        <f t="shared" si="3"/>
        <v>-3.82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45.70000000000001</v>
      </c>
      <c r="E86" s="290"/>
      <c r="F86" s="291"/>
      <c r="G86" s="140"/>
      <c r="H86" s="98">
        <f t="shared" si="1"/>
        <v>8.23</v>
      </c>
      <c r="I86" s="141">
        <f t="shared" si="2"/>
        <v>4.3221006564551416</v>
      </c>
      <c r="J86" s="141">
        <v>4.5</v>
      </c>
      <c r="K86" s="98"/>
      <c r="L86" s="99">
        <f t="shared" si="4"/>
        <v>8.5687500000000014</v>
      </c>
      <c r="M86" s="98">
        <f t="shared" si="3"/>
        <v>0.33875000000000099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502.7999999999999</v>
      </c>
      <c r="E88" s="284">
        <f>SUM(E79:E85)</f>
        <v>1415</v>
      </c>
      <c r="F88" s="284">
        <f>SUM(F79:F85)/2</f>
        <v>11.46956474310025</v>
      </c>
      <c r="H88" s="101">
        <f>SUM(H79:H86)</f>
        <v>207.7</v>
      </c>
      <c r="K88" s="142"/>
      <c r="L88" s="104">
        <f>SUM(L79:L86)</f>
        <v>220.63868055555557</v>
      </c>
      <c r="M88" s="101">
        <f>SUM(M79:M86)</f>
        <v>12.938680555555568</v>
      </c>
      <c r="N88" s="101">
        <f>SUM(N79:N86)</f>
        <v>-3.5433333333333294</v>
      </c>
      <c r="R88" s="100" t="s">
        <v>29</v>
      </c>
      <c r="S88" s="101">
        <f>SUM(S79:S83)</f>
        <v>10.8</v>
      </c>
      <c r="T88" s="101">
        <f>SUM(T79:T83)</f>
        <v>3.1494532199270959</v>
      </c>
      <c r="U88" s="68"/>
      <c r="V88" s="68"/>
      <c r="W88" s="68"/>
    </row>
    <row r="97" spans="9:9" x14ac:dyDescent="0.25">
      <c r="I97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I6:AJ73" name="Rango14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F73:H73 E6:N6 I7:N73 E7:H9 E11:H72 F10:H10" name="Rango2"/>
    <protectedRange sqref="A6:C73" name="Rango1"/>
    <protectedRange sqref="B4:C4" name="Rango16"/>
    <protectedRange sqref="E73 E10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73">
    <cfRule type="cellIs" dxfId="887" priority="2" operator="greaterThan">
      <formula>"S5"</formula>
    </cfRule>
  </conditionalFormatting>
  <conditionalFormatting sqref="I6:I73">
    <cfRule type="cellIs" dxfId="886" priority="1" operator="greaterThan">
      <formula>0</formula>
    </cfRule>
  </conditionalFormatting>
  <dataValidations count="2">
    <dataValidation type="list" allowBlank="1" showInputMessage="1" showErrorMessage="1" sqref="E6:E9 E11:E72">
      <formula1>$C$74:$C$75</formula1>
    </dataValidation>
    <dataValidation type="list" allowBlank="1" showInputMessage="1" showErrorMessage="1" sqref="E73 E10">
      <formula1>$C$53:$C$54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AK82"/>
  <sheetViews>
    <sheetView zoomScale="90" zoomScaleNormal="90" workbookViewId="0">
      <pane xSplit="6" ySplit="5" topLeftCell="L54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59" sqref="D5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43975</v>
      </c>
      <c r="C4" s="341">
        <v>0.24166666666666667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675.7</v>
      </c>
      <c r="R4" s="553" t="s">
        <v>183</v>
      </c>
      <c r="S4" s="554"/>
      <c r="T4" s="554"/>
      <c r="U4" s="554"/>
      <c r="V4" s="554"/>
      <c r="W4" s="554"/>
      <c r="X4" s="555"/>
      <c r="Y4" s="283">
        <v>131.19999999999999</v>
      </c>
      <c r="Z4" s="6"/>
      <c r="AA4" s="7" t="s">
        <v>184</v>
      </c>
      <c r="AB4" s="304">
        <v>3320</v>
      </c>
      <c r="AC4" s="9"/>
      <c r="AD4" s="7" t="s">
        <v>184</v>
      </c>
      <c r="AE4" s="304">
        <v>3900</v>
      </c>
      <c r="AG4" s="7" t="s">
        <v>184</v>
      </c>
      <c r="AH4" s="304">
        <v>1890</v>
      </c>
      <c r="AJ4" s="7" t="s">
        <v>184</v>
      </c>
      <c r="AK4" s="304">
        <v>2540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225</v>
      </c>
      <c r="B6" s="48">
        <v>43975</v>
      </c>
      <c r="C6" s="41">
        <v>0.26250000000000001</v>
      </c>
      <c r="D6" s="37">
        <f>IF(V060_20[[#This Row],[FECHA]]-B4=1,((V060_20[[#This Row],[HORA]]-C4)*24)+24,(V060_20[[#This Row],[HORA]]-C4)*24)</f>
        <v>0.50000000000000022</v>
      </c>
      <c r="E6" s="250" t="s">
        <v>47</v>
      </c>
      <c r="F6" s="29" t="s">
        <v>229</v>
      </c>
      <c r="G6" s="322"/>
      <c r="H6" s="310"/>
      <c r="I6" s="259">
        <f>IF(ISERROR(V060_20[[#This Row],[DISTANCIA POR CARTA]]/V060_20[[#This Row],[TIEMPO DE NAVEGACION]]),0,V060_20[[#This Row],[DISTANCIA POR CARTA]]/V060_20[[#This Row],[TIEMPO DE NAVEGACION]])</f>
        <v>0</v>
      </c>
      <c r="J6" s="253"/>
      <c r="K6" s="323"/>
      <c r="L6" s="256">
        <v>0.06</v>
      </c>
      <c r="M6" s="257">
        <v>0.05</v>
      </c>
      <c r="N6" s="257">
        <v>0.04</v>
      </c>
      <c r="O6" s="257">
        <f>SUM(V060_20[[#This Row],[MPAL]:[CALDERA]])</f>
        <v>0.15</v>
      </c>
      <c r="P6" s="326"/>
      <c r="Q6" s="281">
        <f>(Q4-V060_20[[#This Row],[TOTAL ]])+V060_20[FAENA]</f>
        <v>675.55000000000007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SUM(V060_20[[#This Row],[MPAL2]:[GI]])</f>
        <v>0</v>
      </c>
      <c r="X6" s="257"/>
      <c r="Y6" s="282">
        <f>(Y4-V060_20[[#This Row],[TOTAL]])+V060_20[[#This Row],[FAENA2]]</f>
        <v>131.19999999999999</v>
      </c>
      <c r="Z6" s="256">
        <v>0</v>
      </c>
      <c r="AA6" s="257">
        <v>0</v>
      </c>
      <c r="AB6" s="320">
        <f>(AB4-V060_20[[#This Row],[CYLINDER MP]])+V060_20[[#This Row],[FAENA EN LTS]]</f>
        <v>3320</v>
      </c>
      <c r="AC6" s="257">
        <v>0</v>
      </c>
      <c r="AD6" s="257">
        <v>0</v>
      </c>
      <c r="AE6" s="320">
        <f>(AE4-V060_20[[#This Row],[CARTER MP.]])+V060_20[[#This Row],[FAENA EN LTS2]]</f>
        <v>3900</v>
      </c>
      <c r="AF6" s="257">
        <v>0</v>
      </c>
      <c r="AG6" s="257">
        <v>0</v>
      </c>
      <c r="AH6" s="320">
        <f>(AH4-V060_20[[#This Row],[MOT AUX]])+V060_20[[#This Row],[FAENA EN  LTS]]</f>
        <v>1890</v>
      </c>
      <c r="AI6" s="257">
        <v>0</v>
      </c>
      <c r="AJ6" s="257">
        <v>0</v>
      </c>
      <c r="AK6" s="321">
        <f>(AK4-V060_20[[#This Row],[HIDRAULICO]])+V060_20[[#This Row],[FAENA EN LTS3]]</f>
        <v>2540</v>
      </c>
    </row>
    <row r="7" spans="1:37" x14ac:dyDescent="0.25">
      <c r="A7" s="235" t="s">
        <v>225</v>
      </c>
      <c r="B7" s="48">
        <v>43975</v>
      </c>
      <c r="C7" s="41">
        <v>0.32500000000000001</v>
      </c>
      <c r="D7" s="37">
        <f>IF(V060_20[[#This Row],[FECHA]]-B6=1,((V060_20[[#This Row],[HORA]]-C6)*24)+24,(V060_20[[#This Row],[HORA]]-C6)*24)</f>
        <v>1.5</v>
      </c>
      <c r="E7" s="239" t="s">
        <v>45</v>
      </c>
      <c r="F7" s="29" t="s">
        <v>46</v>
      </c>
      <c r="G7" s="324"/>
      <c r="H7" s="306"/>
      <c r="I7" s="259">
        <f>IF(ISERROR(V060_20[[#This Row],[DISTANCIA POR CARTA]]/V060_20[[#This Row],[TIEMPO DE NAVEGACION]]),0,V060_20[[#This Row],[DISTANCIA POR CARTA]]/V060_20[[#This Row],[TIEMPO DE NAVEGACION]])</f>
        <v>0</v>
      </c>
      <c r="J7" s="242"/>
      <c r="K7" s="325"/>
      <c r="L7" s="245">
        <v>0</v>
      </c>
      <c r="M7" s="246">
        <v>0.16</v>
      </c>
      <c r="N7" s="246">
        <v>0.13</v>
      </c>
      <c r="O7" s="257">
        <f>SUM(V060_20[[#This Row],[MPAL]:[CALDERA]])</f>
        <v>0.29000000000000004</v>
      </c>
      <c r="P7" s="319"/>
      <c r="Q7" s="281">
        <f>(Q6-V060_20[[#This Row],[TOTAL ]])+V060_20[FAENA]</f>
        <v>675.2600000000001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SUM(V060_20[[#This Row],[MPAL2]:[GI]])</f>
        <v>0</v>
      </c>
      <c r="X7" s="246"/>
      <c r="Y7" s="282">
        <f>(Y6-V060_20[[#This Row],[TOTAL]])+V060_20[[#This Row],[FAENA2]]</f>
        <v>131.19999999999999</v>
      </c>
      <c r="Z7" s="245">
        <v>0</v>
      </c>
      <c r="AA7" s="246">
        <v>0</v>
      </c>
      <c r="AB7" s="320">
        <f>(AB6-V060_20[[#This Row],[CYLINDER MP]])+V060_20[[#This Row],[FAENA EN LTS]]</f>
        <v>3320</v>
      </c>
      <c r="AC7" s="246">
        <v>0</v>
      </c>
      <c r="AD7" s="246">
        <v>0</v>
      </c>
      <c r="AE7" s="320">
        <f>(AE6-V060_20[[#This Row],[CARTER MP.]])+V060_20[[#This Row],[FAENA EN LTS2]]</f>
        <v>3900</v>
      </c>
      <c r="AF7" s="246">
        <v>0</v>
      </c>
      <c r="AG7" s="246">
        <v>0</v>
      </c>
      <c r="AH7" s="320">
        <f>(AH6-V060_20[[#This Row],[MOT AUX]])+V060_20[[#This Row],[FAENA EN  LTS]]</f>
        <v>1890</v>
      </c>
      <c r="AI7" s="246">
        <v>0</v>
      </c>
      <c r="AJ7" s="246">
        <v>0</v>
      </c>
      <c r="AK7" s="321">
        <f>(AK6-V060_20[[#This Row],[HIDRAULICO]])+V060_20[[#This Row],[FAENA EN LTS3]]</f>
        <v>2540</v>
      </c>
    </row>
    <row r="8" spans="1:37" x14ac:dyDescent="0.25">
      <c r="A8" s="235" t="s">
        <v>225</v>
      </c>
      <c r="B8" s="48">
        <v>43975</v>
      </c>
      <c r="C8" s="381">
        <v>0.33333333333333331</v>
      </c>
      <c r="D8" s="37">
        <f>IF(V060_20[[#This Row],[FECHA]]-B7=1,((V060_20[[#This Row],[HORA]]-C7)*24)+24,(V060_20[[#This Row],[HORA]]-C7)*24)</f>
        <v>0.19999999999999929</v>
      </c>
      <c r="E8" s="239" t="s">
        <v>47</v>
      </c>
      <c r="F8" s="29" t="s">
        <v>226</v>
      </c>
      <c r="G8" s="324"/>
      <c r="H8" s="306"/>
      <c r="I8" s="259">
        <f>IF(ISERROR(V060_20[[#This Row],[DISTANCIA POR CARTA]]/V060_20[[#This Row],[TIEMPO DE NAVEGACION]]),0,V060_20[[#This Row],[DISTANCIA POR CARTA]]/V060_20[[#This Row],[TIEMPO DE NAVEGACION]])</f>
        <v>0</v>
      </c>
      <c r="J8" s="242"/>
      <c r="K8" s="325"/>
      <c r="L8" s="245">
        <v>0.02</v>
      </c>
      <c r="M8" s="245">
        <v>0.02</v>
      </c>
      <c r="N8" s="245">
        <v>0.02</v>
      </c>
      <c r="O8" s="257">
        <f>SUM(V060_20[[#This Row],[MPAL]:[CALDERA]])</f>
        <v>0.06</v>
      </c>
      <c r="P8" s="319"/>
      <c r="Q8" s="281">
        <f>(Q7-V060_20[[#This Row],[TOTAL ]])+V060_20[FAENA]</f>
        <v>675.20000000000016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SUM(V060_20[[#This Row],[MPAL2]:[GI]])</f>
        <v>0</v>
      </c>
      <c r="X8" s="246"/>
      <c r="Y8" s="282">
        <f>(Y7-V060_20[[#This Row],[TOTAL]])+V060_20[[#This Row],[FAENA2]]</f>
        <v>131.19999999999999</v>
      </c>
      <c r="Z8" s="245">
        <v>200</v>
      </c>
      <c r="AA8" s="246">
        <v>0</v>
      </c>
      <c r="AB8" s="320">
        <f>(AB7-V060_20[[#This Row],[CYLINDER MP]])+V060_20[[#This Row],[FAENA EN LTS]]</f>
        <v>3120</v>
      </c>
      <c r="AC8" s="246">
        <v>0</v>
      </c>
      <c r="AD8" s="246">
        <v>0</v>
      </c>
      <c r="AE8" s="320">
        <f>(AE7-V060_20[[#This Row],[CARTER MP.]])+V060_20[[#This Row],[FAENA EN LTS2]]</f>
        <v>3900</v>
      </c>
      <c r="AF8" s="246">
        <v>10</v>
      </c>
      <c r="AG8" s="246">
        <v>0</v>
      </c>
      <c r="AH8" s="320">
        <f>(AH7-V060_20[[#This Row],[MOT AUX]])+V060_20[[#This Row],[FAENA EN  LTS]]</f>
        <v>1880</v>
      </c>
      <c r="AI8" s="246">
        <v>0</v>
      </c>
      <c r="AJ8" s="246">
        <v>0</v>
      </c>
      <c r="AK8" s="321">
        <f>(AK7-V060_20[[#This Row],[HIDRAULICO]])+V060_20[[#This Row],[FAENA EN LTS3]]</f>
        <v>2540</v>
      </c>
    </row>
    <row r="9" spans="1:37" x14ac:dyDescent="0.25">
      <c r="A9" s="235" t="s">
        <v>225</v>
      </c>
      <c r="B9" s="48">
        <v>43975</v>
      </c>
      <c r="C9" s="41">
        <v>0.44166666666666665</v>
      </c>
      <c r="D9" s="37">
        <f>IF(V060_20[[#This Row],[FECHA]]-B8=1,((V060_20[[#This Row],[HORA]]-C8)*24)+24,(V060_20[[#This Row],[HORA]]-C8)*24)</f>
        <v>2.6</v>
      </c>
      <c r="E9" s="239" t="s">
        <v>47</v>
      </c>
      <c r="F9" s="29" t="s">
        <v>230</v>
      </c>
      <c r="G9" s="324"/>
      <c r="H9" s="306"/>
      <c r="I9" s="259">
        <f>IF(ISERROR(V060_20[[#This Row],[DISTANCIA POR CARTA]]/V060_20[[#This Row],[TIEMPO DE NAVEGACION]]),0,V060_20[[#This Row],[DISTANCIA POR CARTA]]/V060_20[[#This Row],[TIEMPO DE NAVEGACION]])</f>
        <v>0</v>
      </c>
      <c r="J9" s="242"/>
      <c r="K9" s="325"/>
      <c r="L9" s="245">
        <v>0.21</v>
      </c>
      <c r="M9" s="245">
        <v>0.27</v>
      </c>
      <c r="N9" s="245">
        <v>0.22</v>
      </c>
      <c r="O9" s="257">
        <f>SUM(V060_20[[#This Row],[MPAL]:[CALDERA]])</f>
        <v>0.7</v>
      </c>
      <c r="P9" s="319"/>
      <c r="Q9" s="281">
        <f>(Q8-V060_20[[#This Row],[TOTAL ]])+V060_20[FAENA]</f>
        <v>674.50000000000011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SUM(V060_20[[#This Row],[MPAL2]:[GI]])</f>
        <v>0</v>
      </c>
      <c r="X9" s="246"/>
      <c r="Y9" s="282">
        <f>(Y8-V060_20[[#This Row],[TOTAL]])+V060_20[[#This Row],[FAENA2]]</f>
        <v>131.19999999999999</v>
      </c>
      <c r="Z9" s="245">
        <v>0</v>
      </c>
      <c r="AA9" s="246">
        <v>0</v>
      </c>
      <c r="AB9" s="320">
        <f>(AB8-V060_20[[#This Row],[CYLINDER MP]])+V060_20[[#This Row],[FAENA EN LTS]]</f>
        <v>3120</v>
      </c>
      <c r="AC9" s="246">
        <v>0</v>
      </c>
      <c r="AD9" s="246">
        <v>0</v>
      </c>
      <c r="AE9" s="320">
        <f>(AE8-V060_20[[#This Row],[CARTER MP.]])+V060_20[[#This Row],[FAENA EN LTS2]]</f>
        <v>3900</v>
      </c>
      <c r="AF9" s="246">
        <v>0</v>
      </c>
      <c r="AG9" s="246">
        <v>0</v>
      </c>
      <c r="AH9" s="320">
        <f>(AH8-V060_20[[#This Row],[MOT AUX]])+V060_20[[#This Row],[FAENA EN  LTS]]</f>
        <v>1880</v>
      </c>
      <c r="AI9" s="246">
        <v>0</v>
      </c>
      <c r="AJ9" s="246">
        <v>0</v>
      </c>
      <c r="AK9" s="321">
        <f>(AK8-V060_20[[#This Row],[HIDRAULICO]])+V060_20[[#This Row],[FAENA EN LTS3]]</f>
        <v>2540</v>
      </c>
    </row>
    <row r="10" spans="1:37" x14ac:dyDescent="0.25">
      <c r="A10" s="235" t="s">
        <v>225</v>
      </c>
      <c r="B10" s="48">
        <v>43975</v>
      </c>
      <c r="C10" s="41">
        <v>0.6958333333333333</v>
      </c>
      <c r="D10" s="37">
        <f>IF(V060_20[[#This Row],[FECHA]]-B9=1,((V060_20[[#This Row],[HORA]]-C9)*24)+24,(V060_20[[#This Row],[HORA]]-C9)*24)</f>
        <v>6.1</v>
      </c>
      <c r="E10" s="239" t="s">
        <v>49</v>
      </c>
      <c r="F10" s="29" t="s">
        <v>85</v>
      </c>
      <c r="G10" s="324"/>
      <c r="H10" s="306"/>
      <c r="I10" s="259">
        <f>IF(ISERROR(V060_20[[#This Row],[DISTANCIA POR CARTA]]/V060_20[[#This Row],[TIEMPO DE NAVEGACION]]),0,V060_20[[#This Row],[DISTANCIA POR CARTA]]/V060_20[[#This Row],[TIEMPO DE NAVEGACION]])</f>
        <v>0</v>
      </c>
      <c r="J10" s="242"/>
      <c r="K10" s="325"/>
      <c r="L10" s="245">
        <v>0</v>
      </c>
      <c r="M10" s="245">
        <v>0.64</v>
      </c>
      <c r="N10" s="245">
        <v>0.51</v>
      </c>
      <c r="O10" s="257">
        <f>SUM(V060_20[[#This Row],[MPAL]:[CALDERA]])</f>
        <v>1.1499999999999999</v>
      </c>
      <c r="P10" s="319"/>
      <c r="Q10" s="281">
        <f>(Q9-V060_20[[#This Row],[TOTAL ]])+V060_20[FAENA]</f>
        <v>673.35000000000014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SUM(V060_20[[#This Row],[MPAL2]:[GI]])</f>
        <v>0</v>
      </c>
      <c r="X10" s="246"/>
      <c r="Y10" s="282">
        <f>(Y9-V060_20[[#This Row],[TOTAL]])+V060_20[[#This Row],[FAENA2]]</f>
        <v>131.19999999999999</v>
      </c>
      <c r="Z10" s="245">
        <v>0</v>
      </c>
      <c r="AA10" s="246">
        <v>0</v>
      </c>
      <c r="AB10" s="320">
        <f>(AB9-V060_20[[#This Row],[CYLINDER MP]])+V060_20[[#This Row],[FAENA EN LTS]]</f>
        <v>3120</v>
      </c>
      <c r="AC10" s="246">
        <v>0</v>
      </c>
      <c r="AD10" s="246">
        <v>0</v>
      </c>
      <c r="AE10" s="320">
        <f>(AE9-V060_20[[#This Row],[CARTER MP.]])+V060_20[[#This Row],[FAENA EN LTS2]]</f>
        <v>3900</v>
      </c>
      <c r="AF10" s="246">
        <v>0</v>
      </c>
      <c r="AG10" s="246">
        <v>0</v>
      </c>
      <c r="AH10" s="320">
        <f>(AH9-V060_20[[#This Row],[MOT AUX]])+V060_20[[#This Row],[FAENA EN  LTS]]</f>
        <v>1880</v>
      </c>
      <c r="AI10" s="246">
        <v>0</v>
      </c>
      <c r="AJ10" s="246">
        <v>0</v>
      </c>
      <c r="AK10" s="321">
        <f>(AK9-V060_20[[#This Row],[HIDRAULICO]])+V060_20[[#This Row],[FAENA EN LTS3]]</f>
        <v>2540</v>
      </c>
    </row>
    <row r="11" spans="1:37" x14ac:dyDescent="0.25">
      <c r="A11" s="235" t="s">
        <v>225</v>
      </c>
      <c r="B11" s="48">
        <v>43976</v>
      </c>
      <c r="C11" s="41">
        <v>0.33333333333333331</v>
      </c>
      <c r="D11" s="37">
        <f>IF(V060_20[[#This Row],[FECHA]]-B10=1,((V060_20[[#This Row],[HORA]]-C10)*24)+24,(V060_20[[#This Row],[HORA]]-C10)*24)</f>
        <v>15.3</v>
      </c>
      <c r="E11" s="239" t="s">
        <v>71</v>
      </c>
      <c r="F11" s="29" t="s">
        <v>71</v>
      </c>
      <c r="G11" s="324"/>
      <c r="H11" s="306"/>
      <c r="I11" s="259">
        <f>IF(ISERROR(V060_20[[#This Row],[DISTANCIA POR CARTA]]/V060_20[[#This Row],[TIEMPO DE NAVEGACION]]),0,V060_20[[#This Row],[DISTANCIA POR CARTA]]/V060_20[[#This Row],[TIEMPO DE NAVEGACION]])</f>
        <v>0</v>
      </c>
      <c r="J11" s="242"/>
      <c r="K11" s="325"/>
      <c r="L11" s="245">
        <v>0</v>
      </c>
      <c r="M11" s="245">
        <v>1.59</v>
      </c>
      <c r="N11" s="245">
        <v>1.26</v>
      </c>
      <c r="O11" s="257">
        <f>SUM(V060_20[[#This Row],[MPAL]:[CALDERA]])</f>
        <v>2.85</v>
      </c>
      <c r="P11" s="319"/>
      <c r="Q11" s="281">
        <f>(Q10-V060_20[[#This Row],[TOTAL ]])+V060_20[FAENA]</f>
        <v>670.50000000000011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SUM(V060_20[[#This Row],[MPAL2]:[GI]])</f>
        <v>0</v>
      </c>
      <c r="X11" s="246"/>
      <c r="Y11" s="282">
        <f>(Y10-V060_20[[#This Row],[TOTAL]])+V060_20[[#This Row],[FAENA2]]</f>
        <v>131.19999999999999</v>
      </c>
      <c r="Z11" s="245">
        <v>10</v>
      </c>
      <c r="AA11" s="246">
        <v>0</v>
      </c>
      <c r="AB11" s="320">
        <f>(AB10-V060_20[[#This Row],[CYLINDER MP]])+V060_20[[#This Row],[FAENA EN LTS]]</f>
        <v>3110</v>
      </c>
      <c r="AC11" s="246">
        <v>0</v>
      </c>
      <c r="AD11" s="246">
        <v>0</v>
      </c>
      <c r="AE11" s="320">
        <f>(AE10-V060_20[[#This Row],[CARTER MP.]])+V060_20[[#This Row],[FAENA EN LTS2]]</f>
        <v>3900</v>
      </c>
      <c r="AF11" s="246">
        <v>10</v>
      </c>
      <c r="AG11" s="246">
        <v>0</v>
      </c>
      <c r="AH11" s="320">
        <f>(AH10-V060_20[[#This Row],[MOT AUX]])+V060_20[[#This Row],[FAENA EN  LTS]]</f>
        <v>1870</v>
      </c>
      <c r="AI11" s="246">
        <v>20</v>
      </c>
      <c r="AJ11" s="246">
        <v>0</v>
      </c>
      <c r="AK11" s="321">
        <f>(AK10-V060_20[[#This Row],[HIDRAULICO]])+V060_20[[#This Row],[FAENA EN LTS3]]</f>
        <v>2520</v>
      </c>
    </row>
    <row r="12" spans="1:37" x14ac:dyDescent="0.25">
      <c r="A12" s="235" t="s">
        <v>225</v>
      </c>
      <c r="B12" s="48">
        <v>43977</v>
      </c>
      <c r="C12" s="41">
        <v>0.33333333333333331</v>
      </c>
      <c r="D12" s="37">
        <f>IF(V060_20[[#This Row],[FECHA]]-B11=1,((V060_20[[#This Row],[HORA]]-C11)*24)+24,(V060_20[[#This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IF(ISERROR(V060_20[[#This Row],[DISTANCIA POR CARTA]]/V060_20[[#This Row],[TIEMPO DE NAVEGACION]]),0,V060_20[[#This Row],[DISTANCIA POR CARTA]]/V060_20[[#This Row],[TIEMPO DE NAVEGACION]])</f>
        <v>0</v>
      </c>
      <c r="J12" s="242"/>
      <c r="K12" s="325"/>
      <c r="L12" s="245">
        <v>0</v>
      </c>
      <c r="M12" s="245">
        <v>2.5</v>
      </c>
      <c r="N12" s="245">
        <v>2</v>
      </c>
      <c r="O12" s="257">
        <f>SUM(V060_20[[#This Row],[MPAL]:[CALDERA]])</f>
        <v>4.5</v>
      </c>
      <c r="P12" s="319"/>
      <c r="Q12" s="281">
        <f>(Q11-V060_20[[#This Row],[TOTAL ]])+V060_20[FAENA]</f>
        <v>666.00000000000011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SUM(V060_20[[#This Row],[MPAL2]:[GI]])</f>
        <v>0</v>
      </c>
      <c r="X12" s="246"/>
      <c r="Y12" s="282">
        <f>(Y11-V060_20[[#This Row],[TOTAL]])+V060_20[[#This Row],[FAENA2]]</f>
        <v>131.19999999999999</v>
      </c>
      <c r="Z12" s="245">
        <v>0</v>
      </c>
      <c r="AA12" s="246">
        <v>0</v>
      </c>
      <c r="AB12" s="320">
        <f>(AB11-V060_20[[#This Row],[CYLINDER MP]])+V060_20[[#This Row],[FAENA EN LTS]]</f>
        <v>3110</v>
      </c>
      <c r="AC12" s="246">
        <v>0</v>
      </c>
      <c r="AD12" s="246">
        <v>0</v>
      </c>
      <c r="AE12" s="320">
        <f>(AE11-V060_20[[#This Row],[CARTER MP.]])+V060_20[[#This Row],[FAENA EN LTS2]]</f>
        <v>3900</v>
      </c>
      <c r="AF12" s="246">
        <v>10</v>
      </c>
      <c r="AG12" s="246">
        <v>0</v>
      </c>
      <c r="AH12" s="320">
        <f>(AH11-V060_20[[#This Row],[MOT AUX]])+V060_20[[#This Row],[FAENA EN  LTS]]</f>
        <v>1860</v>
      </c>
      <c r="AI12" s="246">
        <v>10</v>
      </c>
      <c r="AJ12" s="246">
        <v>0</v>
      </c>
      <c r="AK12" s="321">
        <f>(AK11-V060_20[[#This Row],[HIDRAULICO]])+V060_20[[#This Row],[FAENA EN LTS3]]</f>
        <v>2510</v>
      </c>
    </row>
    <row r="13" spans="1:37" x14ac:dyDescent="0.25">
      <c r="A13" s="235" t="s">
        <v>225</v>
      </c>
      <c r="B13" s="48">
        <v>43978</v>
      </c>
      <c r="C13" s="351">
        <v>0.33333333333333331</v>
      </c>
      <c r="D13" s="37">
        <f>IF(V060_20[[#This Row],[FECHA]]-B12=1,((V060_20[[#This Row],[HORA]]-C12)*24)+24,(V060_20[[#This Row],[HORA]]-C12)*24)</f>
        <v>24</v>
      </c>
      <c r="E13" s="239" t="s">
        <v>71</v>
      </c>
      <c r="F13" s="29" t="s">
        <v>71</v>
      </c>
      <c r="G13" s="324"/>
      <c r="H13" s="306"/>
      <c r="I13" s="259">
        <f>IF(ISERROR(V060_20[[#This Row],[DISTANCIA POR CARTA]]/V060_20[[#This Row],[TIEMPO DE NAVEGACION]]),0,V060_20[[#This Row],[DISTANCIA POR CARTA]]/V060_20[[#This Row],[TIEMPO DE NAVEGACION]])</f>
        <v>0</v>
      </c>
      <c r="J13" s="242"/>
      <c r="K13" s="325"/>
      <c r="L13" s="245">
        <v>0</v>
      </c>
      <c r="M13" s="245">
        <v>2.5</v>
      </c>
      <c r="N13" s="245">
        <v>2</v>
      </c>
      <c r="O13" s="257">
        <f>SUM(V060_20[[#This Row],[MPAL]:[CALDERA]])</f>
        <v>4.5</v>
      </c>
      <c r="P13" s="319"/>
      <c r="Q13" s="281">
        <f>(Q12-V060_20[[#This Row],[TOTAL ]])+V060_20[FAENA]</f>
        <v>661.50000000000011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SUM(V060_20[[#This Row],[MPAL2]:[GI]])</f>
        <v>0</v>
      </c>
      <c r="X13" s="246"/>
      <c r="Y13" s="282">
        <f>(Y12-V060_20[[#This Row],[TOTAL]])+V060_20[[#This Row],[FAENA2]]</f>
        <v>131.19999999999999</v>
      </c>
      <c r="Z13" s="245">
        <v>0</v>
      </c>
      <c r="AA13" s="246">
        <v>0</v>
      </c>
      <c r="AB13" s="320">
        <f>(AB12-V060_20[[#This Row],[CYLINDER MP]])+V060_20[[#This Row],[FAENA EN LTS]]</f>
        <v>3110</v>
      </c>
      <c r="AC13" s="246">
        <v>0</v>
      </c>
      <c r="AD13" s="246">
        <v>0</v>
      </c>
      <c r="AE13" s="320">
        <f>(AE12-V060_20[[#This Row],[CARTER MP.]])+V060_20[[#This Row],[FAENA EN LTS2]]</f>
        <v>3900</v>
      </c>
      <c r="AF13" s="246">
        <v>10</v>
      </c>
      <c r="AG13" s="246">
        <v>0</v>
      </c>
      <c r="AH13" s="320">
        <f>(AH12-V060_20[[#This Row],[MOT AUX]])+V060_20[[#This Row],[FAENA EN  LTS]]</f>
        <v>1850</v>
      </c>
      <c r="AI13" s="246">
        <v>10</v>
      </c>
      <c r="AJ13" s="246">
        <v>0</v>
      </c>
      <c r="AK13" s="321">
        <f>(AK12-V060_20[[#This Row],[HIDRAULICO]])+V060_20[[#This Row],[FAENA EN LTS3]]</f>
        <v>2500</v>
      </c>
    </row>
    <row r="14" spans="1:37" x14ac:dyDescent="0.25">
      <c r="A14" s="235" t="s">
        <v>225</v>
      </c>
      <c r="B14" s="48">
        <v>43978</v>
      </c>
      <c r="C14" s="41">
        <v>0.62916666666666665</v>
      </c>
      <c r="D14" s="37">
        <f>IF(V060_20[[#This Row],[FECHA]]-B13=1,((V060_20[[#This Row],[HORA]]-C13)*24)+24,(V060_20[[#This Row],[HORA]]-C13)*24)</f>
        <v>7.1</v>
      </c>
      <c r="E14" s="239" t="s">
        <v>71</v>
      </c>
      <c r="F14" s="29" t="s">
        <v>156</v>
      </c>
      <c r="G14" s="324"/>
      <c r="H14" s="306"/>
      <c r="I14" s="259">
        <f>IF(ISERROR(V060_20[[#This Row],[DISTANCIA POR CARTA]]/V060_20[[#This Row],[TIEMPO DE NAVEGACION]]),0,V060_20[[#This Row],[DISTANCIA POR CARTA]]/V060_20[[#This Row],[TIEMPO DE NAVEGACION]])</f>
        <v>0</v>
      </c>
      <c r="J14" s="242"/>
      <c r="K14" s="325"/>
      <c r="L14" s="245">
        <v>0</v>
      </c>
      <c r="M14" s="245">
        <v>0.74</v>
      </c>
      <c r="N14" s="245">
        <v>0.59</v>
      </c>
      <c r="O14" s="257">
        <f>SUM(V060_20[[#This Row],[MPAL]:[CALDERA]])</f>
        <v>1.33</v>
      </c>
      <c r="P14" s="319"/>
      <c r="Q14" s="281">
        <f>(Q13-V060_20[[#This Row],[TOTAL ]])+V060_20[FAENA]</f>
        <v>660.17000000000007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SUM(V060_20[[#This Row],[MPAL2]:[GI]])</f>
        <v>0</v>
      </c>
      <c r="X14" s="246"/>
      <c r="Y14" s="282">
        <f>(Y13-V060_20[[#This Row],[TOTAL]])+V060_20[[#This Row],[FAENA2]]</f>
        <v>131.19999999999999</v>
      </c>
      <c r="Z14" s="245">
        <v>0</v>
      </c>
      <c r="AA14" s="246">
        <v>0</v>
      </c>
      <c r="AB14" s="320">
        <f>(AB13-V060_20[[#This Row],[CYLINDER MP]])+V060_20[[#This Row],[FAENA EN LTS]]</f>
        <v>3110</v>
      </c>
      <c r="AC14" s="246">
        <v>0</v>
      </c>
      <c r="AD14" s="246">
        <v>0</v>
      </c>
      <c r="AE14" s="320">
        <f>(AE13-V060_20[[#This Row],[CARTER MP.]])+V060_20[[#This Row],[FAENA EN LTS2]]</f>
        <v>3900</v>
      </c>
      <c r="AF14" s="246">
        <v>0</v>
      </c>
      <c r="AG14" s="246">
        <v>0</v>
      </c>
      <c r="AH14" s="320">
        <f>(AH13-V060_20[[#This Row],[MOT AUX]])+V060_20[[#This Row],[FAENA EN  LTS]]</f>
        <v>1850</v>
      </c>
      <c r="AI14" s="246">
        <v>0</v>
      </c>
      <c r="AJ14" s="246">
        <v>0</v>
      </c>
      <c r="AK14" s="321">
        <f>(AK13-V060_20[[#This Row],[HIDRAULICO]])+V060_20[[#This Row],[FAENA EN LTS3]]</f>
        <v>2500</v>
      </c>
    </row>
    <row r="15" spans="1:37" x14ac:dyDescent="0.25">
      <c r="A15" s="235" t="s">
        <v>225</v>
      </c>
      <c r="B15" s="48">
        <v>43978</v>
      </c>
      <c r="C15" s="41">
        <v>0.92499999999999993</v>
      </c>
      <c r="D15" s="37">
        <f>IF(V060_20[[#This Row],[FECHA]]-B14=1,((V060_20[[#This Row],[HORA]]-C14)*24)+24,(V060_20[[#This Row],[HORA]]-C14)*24)</f>
        <v>7.0999999999999988</v>
      </c>
      <c r="E15" s="239" t="s">
        <v>49</v>
      </c>
      <c r="F15" s="29" t="s">
        <v>46</v>
      </c>
      <c r="G15" s="324"/>
      <c r="H15" s="306"/>
      <c r="I15" s="259">
        <f>IF(ISERROR(V060_20[[#This Row],[DISTANCIA POR CARTA]]/V060_20[[#This Row],[TIEMPO DE NAVEGACION]]),0,V060_20[[#This Row],[DISTANCIA POR CARTA]]/V060_20[[#This Row],[TIEMPO DE NAVEGACION]])</f>
        <v>0</v>
      </c>
      <c r="J15" s="242"/>
      <c r="K15" s="325"/>
      <c r="L15" s="245">
        <v>0</v>
      </c>
      <c r="M15" s="245">
        <v>0.74</v>
      </c>
      <c r="N15" s="245">
        <v>0.59</v>
      </c>
      <c r="O15" s="257">
        <f>SUM(V060_20[[#This Row],[MPAL]:[CALDERA]])</f>
        <v>1.33</v>
      </c>
      <c r="P15" s="319"/>
      <c r="Q15" s="281">
        <f>(Q14-V060_20[[#This Row],[TOTAL ]])+V060_20[FAENA]</f>
        <v>658.84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SUM(V060_20[[#This Row],[MPAL2]:[GI]])</f>
        <v>0</v>
      </c>
      <c r="X15" s="246"/>
      <c r="Y15" s="282">
        <f>(Y14-V060_20[[#This Row],[TOTAL]])+V060_20[[#This Row],[FAENA2]]</f>
        <v>131.19999999999999</v>
      </c>
      <c r="Z15" s="245">
        <v>0</v>
      </c>
      <c r="AA15" s="246">
        <v>0</v>
      </c>
      <c r="AB15" s="320">
        <f>(AB14-V060_20[[#This Row],[CYLINDER MP]])+V060_20[[#This Row],[FAENA EN LTS]]</f>
        <v>3110</v>
      </c>
      <c r="AC15" s="246">
        <v>0</v>
      </c>
      <c r="AD15" s="246">
        <v>0</v>
      </c>
      <c r="AE15" s="320">
        <f>(AE14-V060_20[[#This Row],[CARTER MP.]])+V060_20[[#This Row],[FAENA EN LTS2]]</f>
        <v>3900</v>
      </c>
      <c r="AF15" s="246">
        <v>0</v>
      </c>
      <c r="AG15" s="246">
        <v>0</v>
      </c>
      <c r="AH15" s="320">
        <f>(AH14-V060_20[[#This Row],[MOT AUX]])+V060_20[[#This Row],[FAENA EN  LTS]]</f>
        <v>1850</v>
      </c>
      <c r="AI15" s="246">
        <v>0</v>
      </c>
      <c r="AJ15" s="246">
        <v>0</v>
      </c>
      <c r="AK15" s="321">
        <f>(AK14-V060_20[[#This Row],[HIDRAULICO]])+V060_20[[#This Row],[FAENA EN LTS3]]</f>
        <v>2500</v>
      </c>
    </row>
    <row r="16" spans="1:37" x14ac:dyDescent="0.25">
      <c r="A16" s="235" t="s">
        <v>225</v>
      </c>
      <c r="B16" s="48">
        <v>43978</v>
      </c>
      <c r="C16" s="41">
        <v>0.95833333333333337</v>
      </c>
      <c r="D16" s="37">
        <f>IF(V060_20[[#This Row],[FECHA]]-B15=1,((V060_20[[#This Row],[HORA]]-C15)*24)+24,(V060_20[[#This Row],[HORA]]-C15)*24)</f>
        <v>0.80000000000000249</v>
      </c>
      <c r="E16" s="239" t="s">
        <v>47</v>
      </c>
      <c r="F16" s="29" t="s">
        <v>212</v>
      </c>
      <c r="G16" s="324"/>
      <c r="H16" s="306"/>
      <c r="I16" s="259">
        <f>IF(ISERROR(V060_20[[#This Row],[DISTANCIA POR CARTA]]/V060_20[[#This Row],[TIEMPO DE NAVEGACION]]),0,V060_20[[#This Row],[DISTANCIA POR CARTA]]/V060_20[[#This Row],[TIEMPO DE NAVEGACION]])</f>
        <v>0</v>
      </c>
      <c r="J16" s="242"/>
      <c r="K16" s="325"/>
      <c r="L16" s="245">
        <v>7.0000000000000007E-2</v>
      </c>
      <c r="M16" s="245">
        <v>0.08</v>
      </c>
      <c r="N16" s="245">
        <v>0.1</v>
      </c>
      <c r="O16" s="257">
        <f>SUM(V060_20[[#This Row],[MPAL]:[CALDERA]])</f>
        <v>0.25</v>
      </c>
      <c r="P16" s="246"/>
      <c r="Q16" s="281">
        <f>(Q15-V060_20[[#This Row],[TOTAL ]])+V060_20[FAENA]</f>
        <v>658.59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SUM(V060_20[[#This Row],[MPAL2]:[GI]])</f>
        <v>0</v>
      </c>
      <c r="X16" s="246"/>
      <c r="Y16" s="282">
        <f>(Y15-V060_20[[#This Row],[TOTAL]])+V060_20[[#This Row],[FAENA2]]</f>
        <v>131.19999999999999</v>
      </c>
      <c r="Z16" s="245">
        <v>0</v>
      </c>
      <c r="AA16" s="246">
        <v>0</v>
      </c>
      <c r="AB16" s="320">
        <f>(AB15-V060_20[[#This Row],[CYLINDER MP]])+V060_20[[#This Row],[FAENA EN LTS]]</f>
        <v>3110</v>
      </c>
      <c r="AC16" s="246">
        <v>0</v>
      </c>
      <c r="AD16" s="246">
        <v>0</v>
      </c>
      <c r="AE16" s="320">
        <f>(AE15-V060_20[[#This Row],[CARTER MP.]])+V060_20[[#This Row],[FAENA EN LTS2]]</f>
        <v>3900</v>
      </c>
      <c r="AF16" s="246">
        <v>0</v>
      </c>
      <c r="AG16" s="246">
        <v>0</v>
      </c>
      <c r="AH16" s="320">
        <f>(AH15-V060_20[[#This Row],[MOT AUX]])+V060_20[[#This Row],[FAENA EN  LTS]]</f>
        <v>1850</v>
      </c>
      <c r="AI16" s="246">
        <v>0</v>
      </c>
      <c r="AJ16" s="246">
        <v>0</v>
      </c>
      <c r="AK16" s="321">
        <f>(AK15-V060_20[[#This Row],[HIDRAULICO]])+V060_20[[#This Row],[FAENA EN LTS3]]</f>
        <v>2500</v>
      </c>
    </row>
    <row r="17" spans="1:37" x14ac:dyDescent="0.25">
      <c r="A17" s="235" t="s">
        <v>225</v>
      </c>
      <c r="B17" s="48">
        <v>43979</v>
      </c>
      <c r="C17" s="351">
        <v>0.33333333333333331</v>
      </c>
      <c r="D17" s="37">
        <f>IF(V060_20[[#This Row],[FECHA]]-B16=1,((V060_20[[#This Row],[HORA]]-C16)*24)+24,(V060_20[[#This Row],[HORA]]-C16)*24)</f>
        <v>9</v>
      </c>
      <c r="E17" s="239" t="s">
        <v>55</v>
      </c>
      <c r="F17" s="29" t="s">
        <v>56</v>
      </c>
      <c r="G17" s="324"/>
      <c r="H17" s="306"/>
      <c r="I17" s="259">
        <f>IF(ISERROR(V060_20[[#This Row],[DISTANCIA POR CARTA]]/V060_20[[#This Row],[TIEMPO DE NAVEGACION]]),0,V060_20[[#This Row],[DISTANCIA POR CARTA]]/V060_20[[#This Row],[TIEMPO DE NAVEGACION]])</f>
        <v>0</v>
      </c>
      <c r="J17" s="242"/>
      <c r="K17" s="325">
        <v>96</v>
      </c>
      <c r="L17" s="245">
        <v>8.25</v>
      </c>
      <c r="M17" s="245">
        <v>0.94</v>
      </c>
      <c r="N17" s="245">
        <v>0</v>
      </c>
      <c r="O17" s="257">
        <f>SUM(V060_20[[#This Row],[MPAL]:[CALDERA]])</f>
        <v>9.19</v>
      </c>
      <c r="P17" s="319"/>
      <c r="Q17" s="281">
        <f>(Q16-V060_20[[#This Row],[TOTAL ]])+V060_20[FAENA]</f>
        <v>649.4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SUM(V060_20[[#This Row],[MPAL2]:[GI]])</f>
        <v>0</v>
      </c>
      <c r="X17" s="246"/>
      <c r="Y17" s="282">
        <f>(Y16-V060_20[[#This Row],[TOTAL]])+V060_20[[#This Row],[FAENA2]]</f>
        <v>131.19999999999999</v>
      </c>
      <c r="Z17" s="245">
        <v>110</v>
      </c>
      <c r="AA17" s="246">
        <v>0</v>
      </c>
      <c r="AB17" s="320">
        <f>(AB16-V060_20[[#This Row],[CYLINDER MP]])+V060_20[[#This Row],[FAENA EN LTS]]</f>
        <v>3000</v>
      </c>
      <c r="AC17" s="246">
        <v>0</v>
      </c>
      <c r="AD17" s="246">
        <v>0</v>
      </c>
      <c r="AE17" s="320">
        <f>(AE16-V060_20[[#This Row],[CARTER MP.]])+V060_20[[#This Row],[FAENA EN LTS2]]</f>
        <v>3900</v>
      </c>
      <c r="AF17" s="246">
        <v>10</v>
      </c>
      <c r="AG17" s="246">
        <v>0</v>
      </c>
      <c r="AH17" s="320">
        <f>(AH16-V060_20[[#This Row],[MOT AUX]])+V060_20[[#This Row],[FAENA EN  LTS]]</f>
        <v>1840</v>
      </c>
      <c r="AI17" s="246">
        <v>0</v>
      </c>
      <c r="AJ17" s="246">
        <v>0</v>
      </c>
      <c r="AK17" s="321">
        <f>(AK16-V060_20[[#This Row],[HIDRAULICO]])+V060_20[[#This Row],[FAENA EN LTS3]]</f>
        <v>2500</v>
      </c>
    </row>
    <row r="18" spans="1:37" x14ac:dyDescent="0.25">
      <c r="A18" s="235" t="s">
        <v>225</v>
      </c>
      <c r="B18" s="48">
        <v>43980</v>
      </c>
      <c r="C18" s="41">
        <v>0.33333333333333331</v>
      </c>
      <c r="D18" s="37">
        <f>IF(V060_20[[#This Row],[FECHA]]-B17=1,((V060_20[[#This Row],[HORA]]-C17)*24)+24,(V060_20[[#This Row],[HORA]]-C17)*24)</f>
        <v>24</v>
      </c>
      <c r="E18" s="239" t="s">
        <v>55</v>
      </c>
      <c r="F18" s="29" t="s">
        <v>56</v>
      </c>
      <c r="G18" s="324"/>
      <c r="H18" s="306"/>
      <c r="I18" s="259">
        <f>IF(ISERROR(V060_20[[#This Row],[DISTANCIA POR CARTA]]/V060_20[[#This Row],[TIEMPO DE NAVEGACION]]),0,V060_20[[#This Row],[DISTANCIA POR CARTA]]/V060_20[[#This Row],[TIEMPO DE NAVEGACION]])</f>
        <v>0</v>
      </c>
      <c r="J18" s="242"/>
      <c r="K18" s="325">
        <v>96</v>
      </c>
      <c r="L18" s="245">
        <v>22</v>
      </c>
      <c r="M18" s="245">
        <v>2.5</v>
      </c>
      <c r="N18" s="245">
        <v>0</v>
      </c>
      <c r="O18" s="257">
        <f>SUM(V060_20[[#This Row],[MPAL]:[CALDERA]])</f>
        <v>24.5</v>
      </c>
      <c r="P18" s="319"/>
      <c r="Q18" s="281">
        <f>(Q17-V060_20[[#This Row],[TOTAL ]])+V060_20[FAENA]</f>
        <v>624.9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SUM(V060_20[[#This Row],[MPAL2]:[GI]])</f>
        <v>0</v>
      </c>
      <c r="X18" s="246"/>
      <c r="Y18" s="282">
        <f>(Y17-V060_20[[#This Row],[TOTAL]])+V060_20[[#This Row],[FAENA2]]</f>
        <v>131.19999999999999</v>
      </c>
      <c r="Z18" s="245">
        <v>280</v>
      </c>
      <c r="AA18" s="246">
        <v>0</v>
      </c>
      <c r="AB18" s="320">
        <f>(AB17-V060_20[[#This Row],[CYLINDER MP]])+V060_20[[#This Row],[FAENA EN LTS]]</f>
        <v>2720</v>
      </c>
      <c r="AC18" s="246">
        <v>0</v>
      </c>
      <c r="AD18" s="246">
        <v>0</v>
      </c>
      <c r="AE18" s="320">
        <f>(AE17-V060_20[[#This Row],[CARTER MP.]])+V060_20[[#This Row],[FAENA EN LTS2]]</f>
        <v>3900</v>
      </c>
      <c r="AF18" s="246">
        <v>10</v>
      </c>
      <c r="AG18" s="246">
        <v>0</v>
      </c>
      <c r="AH18" s="320">
        <f>(AH17-V060_20[[#This Row],[MOT AUX]])+V060_20[[#This Row],[FAENA EN  LTS]]</f>
        <v>1830</v>
      </c>
      <c r="AI18" s="246">
        <v>0</v>
      </c>
      <c r="AJ18" s="246">
        <v>0</v>
      </c>
      <c r="AK18" s="321">
        <f>(AK17-V060_20[[#This Row],[HIDRAULICO]])+V060_20[[#This Row],[FAENA EN LTS3]]</f>
        <v>2500</v>
      </c>
    </row>
    <row r="19" spans="1:37" x14ac:dyDescent="0.25">
      <c r="A19" s="235" t="s">
        <v>225</v>
      </c>
      <c r="B19" s="48">
        <v>43980</v>
      </c>
      <c r="C19" s="41">
        <v>0.59166666666666667</v>
      </c>
      <c r="D19" s="37">
        <f>IF(V060_20[[#This Row],[FECHA]]-B18=1,((V060_20[[#This Row],[HORA]]-C18)*24)+24,(V060_20[[#This Row],[HORA]]-C18)*24)</f>
        <v>6.2000000000000011</v>
      </c>
      <c r="E19" s="239" t="s">
        <v>55</v>
      </c>
      <c r="F19" s="29" t="s">
        <v>227</v>
      </c>
      <c r="G19" s="324">
        <v>459</v>
      </c>
      <c r="H19" s="306">
        <v>39.200000000000003</v>
      </c>
      <c r="I19" s="259">
        <f>IF(ISERROR(V060_20[[#This Row],[DISTANCIA POR CARTA]]/V060_20[[#This Row],[TIEMPO DE NAVEGACION]]),0,V060_20[[#This Row],[DISTANCIA POR CARTA]]/V060_20[[#This Row],[TIEMPO DE NAVEGACION]])</f>
        <v>11.709183673469386</v>
      </c>
      <c r="J19" s="380" t="s">
        <v>214</v>
      </c>
      <c r="K19" s="325">
        <v>96</v>
      </c>
      <c r="L19" s="245">
        <v>5.68</v>
      </c>
      <c r="M19" s="245">
        <v>0.65</v>
      </c>
      <c r="N19" s="245">
        <v>0</v>
      </c>
      <c r="O19" s="257">
        <f>SUM(V060_20[[#This Row],[MPAL]:[CALDERA]])</f>
        <v>6.33</v>
      </c>
      <c r="P19" s="319"/>
      <c r="Q19" s="281">
        <f>(Q18-V060_20[[#This Row],[TOTAL ]])+V060_20[FAENA]</f>
        <v>618.56999999999994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SUM(V060_20[[#This Row],[MPAL2]:[GI]])</f>
        <v>0</v>
      </c>
      <c r="X19" s="246"/>
      <c r="Y19" s="282">
        <f>(Y18-V060_20[[#This Row],[TOTAL]])+V060_20[[#This Row],[FAENA2]]</f>
        <v>131.19999999999999</v>
      </c>
      <c r="Z19" s="245">
        <v>70</v>
      </c>
      <c r="AA19" s="246">
        <v>0</v>
      </c>
      <c r="AB19" s="320">
        <f>(AB18-V060_20[[#This Row],[CYLINDER MP]])+V060_20[[#This Row],[FAENA EN LTS]]</f>
        <v>2650</v>
      </c>
      <c r="AC19" s="246">
        <v>0</v>
      </c>
      <c r="AD19" s="246">
        <v>0</v>
      </c>
      <c r="AE19" s="320">
        <f>(AE18-V060_20[[#This Row],[CARTER MP.]])+V060_20[[#This Row],[FAENA EN LTS2]]</f>
        <v>3900</v>
      </c>
      <c r="AF19" s="246">
        <v>0</v>
      </c>
      <c r="AG19" s="246">
        <v>0</v>
      </c>
      <c r="AH19" s="320">
        <f>(AH18-V060_20[[#This Row],[MOT AUX]])+V060_20[[#This Row],[FAENA EN  LTS]]</f>
        <v>1830</v>
      </c>
      <c r="AI19" s="246">
        <v>0</v>
      </c>
      <c r="AJ19" s="246">
        <v>0</v>
      </c>
      <c r="AK19" s="321">
        <f>(AK18-V060_20[[#This Row],[HIDRAULICO]])+V060_20[[#This Row],[FAENA EN LTS3]]</f>
        <v>2500</v>
      </c>
    </row>
    <row r="20" spans="1:37" x14ac:dyDescent="0.25">
      <c r="A20" s="235" t="s">
        <v>225</v>
      </c>
      <c r="B20" s="48">
        <v>43980</v>
      </c>
      <c r="C20" s="41">
        <v>0.625</v>
      </c>
      <c r="D20" s="37">
        <f>IF(V060_20[[#This Row],[FECHA]]-B19=1,((V060_20[[#This Row],[HORA]]-C19)*24)+24,(V060_20[[#This Row],[HORA]]-C19)*24)</f>
        <v>0.79999999999999982</v>
      </c>
      <c r="E20" s="239" t="s">
        <v>47</v>
      </c>
      <c r="F20" s="29" t="s">
        <v>48</v>
      </c>
      <c r="G20" s="324"/>
      <c r="H20" s="306"/>
      <c r="I20" s="259">
        <f>IF(ISERROR(V060_20[[#This Row],[DISTANCIA POR CARTA]]/V060_20[[#This Row],[TIEMPO DE NAVEGACION]]),0,V060_20[[#This Row],[DISTANCIA POR CARTA]]/V060_20[[#This Row],[TIEMPO DE NAVEGACION]])</f>
        <v>0</v>
      </c>
      <c r="J20" s="242"/>
      <c r="K20" s="325"/>
      <c r="L20" s="245">
        <v>0.05</v>
      </c>
      <c r="M20" s="245">
        <v>0.06</v>
      </c>
      <c r="N20" s="245">
        <v>0.06</v>
      </c>
      <c r="O20" s="257">
        <f>SUM(V060_20[[#This Row],[MPAL]:[CALDERA]])</f>
        <v>0.16999999999999998</v>
      </c>
      <c r="P20" s="319"/>
      <c r="Q20" s="281">
        <f>(Q19-V060_20[[#This Row],[TOTAL ]])+V060_20[FAENA]</f>
        <v>618.4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SUM(V060_20[[#This Row],[MPAL2]:[GI]])</f>
        <v>0</v>
      </c>
      <c r="X20" s="246"/>
      <c r="Y20" s="282">
        <f>(Y19-V060_20[[#This Row],[TOTAL]])+V060_20[[#This Row],[FAENA2]]</f>
        <v>131.19999999999999</v>
      </c>
      <c r="Z20" s="245">
        <v>0</v>
      </c>
      <c r="AA20" s="246">
        <v>0</v>
      </c>
      <c r="AB20" s="320">
        <f>(AB19-V060_20[[#This Row],[CYLINDER MP]])+V060_20[[#This Row],[FAENA EN LTS]]</f>
        <v>2650</v>
      </c>
      <c r="AC20" s="246">
        <v>0</v>
      </c>
      <c r="AD20" s="246">
        <v>0</v>
      </c>
      <c r="AE20" s="320">
        <f>(AE19-V060_20[[#This Row],[CARTER MP.]])+V060_20[[#This Row],[FAENA EN LTS2]]</f>
        <v>3900</v>
      </c>
      <c r="AF20" s="246">
        <v>0</v>
      </c>
      <c r="AG20" s="246">
        <v>0</v>
      </c>
      <c r="AH20" s="320">
        <f>(AH19-V060_20[[#This Row],[MOT AUX]])+V060_20[[#This Row],[FAENA EN  LTS]]</f>
        <v>1830</v>
      </c>
      <c r="AI20" s="246">
        <v>0</v>
      </c>
      <c r="AJ20" s="246">
        <v>0</v>
      </c>
      <c r="AK20" s="321">
        <f>(AK19-V060_20[[#This Row],[HIDRAULICO]])+V060_20[[#This Row],[FAENA EN LTS3]]</f>
        <v>2500</v>
      </c>
    </row>
    <row r="21" spans="1:37" x14ac:dyDescent="0.25">
      <c r="A21" s="235" t="s">
        <v>225</v>
      </c>
      <c r="B21" s="48">
        <v>43981</v>
      </c>
      <c r="C21" s="41">
        <v>0.33333333333333331</v>
      </c>
      <c r="D21" s="37">
        <f>IF(V060_20[[#This Row],[FECHA]]-B20=1,((V060_20[[#This Row],[HORA]]-C20)*24)+24,(V060_20[[#This Row],[HORA]]-C20)*24)</f>
        <v>17</v>
      </c>
      <c r="E21" s="239" t="s">
        <v>45</v>
      </c>
      <c r="F21" s="29" t="s">
        <v>228</v>
      </c>
      <c r="G21" s="324"/>
      <c r="H21" s="306"/>
      <c r="I21" s="259">
        <f>IF(ISERROR(V060_20[[#This Row],[DISTANCIA POR CARTA]]/V060_20[[#This Row],[TIEMPO DE NAVEGACION]]),0,V060_20[[#This Row],[DISTANCIA POR CARTA]]/V060_20[[#This Row],[TIEMPO DE NAVEGACION]])</f>
        <v>0</v>
      </c>
      <c r="J21" s="242"/>
      <c r="K21" s="325"/>
      <c r="L21" s="245">
        <v>0</v>
      </c>
      <c r="M21" s="245">
        <v>1.52</v>
      </c>
      <c r="N21" s="245">
        <v>1.38</v>
      </c>
      <c r="O21" s="257">
        <f>SUM(V060_20[[#This Row],[MPAL]:[CALDERA]])</f>
        <v>2.9</v>
      </c>
      <c r="P21" s="319"/>
      <c r="Q21" s="281">
        <f>(Q20-V060_20[[#This Row],[TOTAL ]])+V060_20[FAENA]</f>
        <v>615.5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SUM(V060_20[[#This Row],[MPAL2]:[GI]])</f>
        <v>0</v>
      </c>
      <c r="X21" s="246"/>
      <c r="Y21" s="282">
        <f>(Y20-V060_20[[#This Row],[TOTAL]])+V060_20[[#This Row],[FAENA2]]</f>
        <v>131.19999999999999</v>
      </c>
      <c r="Z21" s="245">
        <v>0</v>
      </c>
      <c r="AA21" s="246">
        <v>0</v>
      </c>
      <c r="AB21" s="320">
        <f>(AB20-V060_20[[#This Row],[CYLINDER MP]])+V060_20[[#This Row],[FAENA EN LTS]]</f>
        <v>2650</v>
      </c>
      <c r="AC21" s="246">
        <v>0</v>
      </c>
      <c r="AD21" s="246">
        <v>0</v>
      </c>
      <c r="AE21" s="320">
        <f>(AE20-V060_20[[#This Row],[CARTER MP.]])+V060_20[[#This Row],[FAENA EN LTS2]]</f>
        <v>3900</v>
      </c>
      <c r="AF21" s="246">
        <v>10</v>
      </c>
      <c r="AG21" s="246">
        <v>0</v>
      </c>
      <c r="AH21" s="320">
        <f>(AH20-V060_20[[#This Row],[MOT AUX]])+V060_20[[#This Row],[FAENA EN  LTS]]</f>
        <v>1820</v>
      </c>
      <c r="AI21" s="246">
        <v>0</v>
      </c>
      <c r="AJ21" s="246">
        <v>0</v>
      </c>
      <c r="AK21" s="321">
        <f>(AK20-V060_20[[#This Row],[HIDRAULICO]])+V060_20[[#This Row],[FAENA EN LTS3]]</f>
        <v>2500</v>
      </c>
    </row>
    <row r="22" spans="1:37" x14ac:dyDescent="0.25">
      <c r="A22" s="235" t="s">
        <v>225</v>
      </c>
      <c r="B22" s="48">
        <v>43982</v>
      </c>
      <c r="C22" s="362">
        <v>0.33333333333333331</v>
      </c>
      <c r="D22" s="37">
        <f>IF(V060_20[[#This Row],[FECHA]]-B21=1,((V060_20[[#This Row],[HORA]]-C21)*24)+24,(V060_20[[#This Row],[HORA]]-C21)*24)</f>
        <v>24</v>
      </c>
      <c r="E22" s="239" t="s">
        <v>45</v>
      </c>
      <c r="F22" s="29" t="s">
        <v>228</v>
      </c>
      <c r="G22" s="324"/>
      <c r="H22" s="306"/>
      <c r="I22" s="259">
        <f>IF(ISERROR(V060_20[[#This Row],[DISTANCIA POR CARTA]]/V060_20[[#This Row],[TIEMPO DE NAVEGACION]]),0,V060_20[[#This Row],[DISTANCIA POR CARTA]]/V060_20[[#This Row],[TIEMPO DE NAVEGACION]])</f>
        <v>0</v>
      </c>
      <c r="J22" s="242"/>
      <c r="K22" s="325"/>
      <c r="L22" s="245">
        <v>0</v>
      </c>
      <c r="M22" s="245">
        <v>2</v>
      </c>
      <c r="N22" s="245">
        <v>1.8</v>
      </c>
      <c r="O22" s="257">
        <f>SUM(V060_20[[#This Row],[MPAL]:[CALDERA]])</f>
        <v>3.8</v>
      </c>
      <c r="P22" s="319"/>
      <c r="Q22" s="281">
        <f>(Q21-V060_20[[#This Row],[TOTAL ]])+V060_20[FAENA]</f>
        <v>611.70000000000005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SUM(V060_20[[#This Row],[MPAL2]:[GI]])</f>
        <v>0</v>
      </c>
      <c r="X22" s="246"/>
      <c r="Y22" s="282">
        <f>(Y21-V060_20[[#This Row],[TOTAL]])+V060_20[[#This Row],[FAENA2]]</f>
        <v>131.19999999999999</v>
      </c>
      <c r="Z22" s="245">
        <v>0</v>
      </c>
      <c r="AA22" s="246">
        <v>0</v>
      </c>
      <c r="AB22" s="320">
        <f>(AB21-V060_20[[#This Row],[CYLINDER MP]])+V060_20[[#This Row],[FAENA EN LTS]]</f>
        <v>2650</v>
      </c>
      <c r="AC22" s="246">
        <v>0</v>
      </c>
      <c r="AD22" s="246">
        <v>0</v>
      </c>
      <c r="AE22" s="320">
        <f>(AE21-V060_20[[#This Row],[CARTER MP.]])+V060_20[[#This Row],[FAENA EN LTS2]]</f>
        <v>3900</v>
      </c>
      <c r="AF22" s="246">
        <v>10</v>
      </c>
      <c r="AG22" s="246">
        <v>0</v>
      </c>
      <c r="AH22" s="320">
        <f>(AH21-V060_20[[#This Row],[MOT AUX]])+V060_20[[#This Row],[FAENA EN  LTS]]</f>
        <v>1810</v>
      </c>
      <c r="AI22" s="246">
        <v>0</v>
      </c>
      <c r="AJ22" s="246">
        <v>0</v>
      </c>
      <c r="AK22" s="321">
        <f>(AK21-V060_20[[#This Row],[HIDRAULICO]])+V060_20[[#This Row],[FAENA EN LTS3]]</f>
        <v>2500</v>
      </c>
    </row>
    <row r="23" spans="1:37" x14ac:dyDescent="0.25">
      <c r="A23" s="235" t="s">
        <v>225</v>
      </c>
      <c r="B23" s="48">
        <v>43983</v>
      </c>
      <c r="C23" s="351">
        <v>0.33333333333333331</v>
      </c>
      <c r="D23" s="37">
        <f>IF(V060_20[[#This Row],[FECHA]]-B22=1,((V060_20[[#This Row],[HORA]]-C22)*24)+24,(V060_20[[#This Row],[HORA]]-C22)*24)</f>
        <v>24</v>
      </c>
      <c r="E23" s="239" t="s">
        <v>45</v>
      </c>
      <c r="F23" s="29" t="s">
        <v>228</v>
      </c>
      <c r="G23" s="324"/>
      <c r="H23" s="306"/>
      <c r="I23" s="259">
        <f>IF(ISERROR(V060_20[[#This Row],[DISTANCIA POR CARTA]]/V060_20[[#This Row],[TIEMPO DE NAVEGACION]]),0,V060_20[[#This Row],[DISTANCIA POR CARTA]]/V060_20[[#This Row],[TIEMPO DE NAVEGACION]])</f>
        <v>0</v>
      </c>
      <c r="J23" s="242"/>
      <c r="K23" s="325"/>
      <c r="L23" s="245">
        <v>0</v>
      </c>
      <c r="M23" s="245">
        <v>2</v>
      </c>
      <c r="N23" s="245">
        <v>1.8</v>
      </c>
      <c r="O23" s="257">
        <f>SUM(V060_20[[#This Row],[MPAL]:[CALDERA]])</f>
        <v>3.8</v>
      </c>
      <c r="P23" s="319"/>
      <c r="Q23" s="281">
        <f>(Q22-V060_20[[#This Row],[TOTAL ]])+V060_20[FAENA]</f>
        <v>607.90000000000009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SUM(V060_20[[#This Row],[MPAL2]:[GI]])</f>
        <v>0</v>
      </c>
      <c r="X23" s="246"/>
      <c r="Y23" s="282">
        <f>(Y22-V060_20[[#This Row],[TOTAL]])+V060_20[[#This Row],[FAENA2]]</f>
        <v>131.19999999999999</v>
      </c>
      <c r="Z23" s="245">
        <v>0</v>
      </c>
      <c r="AA23" s="246">
        <v>0</v>
      </c>
      <c r="AB23" s="320">
        <f>(AB22-V060_20[[#This Row],[CYLINDER MP]])+V060_20[[#This Row],[FAENA EN LTS]]</f>
        <v>2650</v>
      </c>
      <c r="AC23" s="246">
        <v>0</v>
      </c>
      <c r="AD23" s="246">
        <v>0</v>
      </c>
      <c r="AE23" s="320">
        <f>(AE22-V060_20[[#This Row],[CARTER MP.]])+V060_20[[#This Row],[FAENA EN LTS2]]</f>
        <v>3900</v>
      </c>
      <c r="AF23" s="246">
        <v>10</v>
      </c>
      <c r="AG23" s="246">
        <v>0</v>
      </c>
      <c r="AH23" s="320">
        <f>(AH22-V060_20[[#This Row],[MOT AUX]])+V060_20[[#This Row],[FAENA EN  LTS]]</f>
        <v>1800</v>
      </c>
      <c r="AI23" s="246">
        <v>0</v>
      </c>
      <c r="AJ23" s="246">
        <v>0</v>
      </c>
      <c r="AK23" s="321">
        <f>(AK22-V060_20[[#This Row],[HIDRAULICO]])+V060_20[[#This Row],[FAENA EN LTS3]]</f>
        <v>2500</v>
      </c>
    </row>
    <row r="24" spans="1:37" x14ac:dyDescent="0.25">
      <c r="A24" s="235" t="s">
        <v>225</v>
      </c>
      <c r="B24" s="48">
        <v>43984</v>
      </c>
      <c r="C24" s="41">
        <v>0.33333333333333331</v>
      </c>
      <c r="D24" s="37">
        <f>IF(V060_20[[#This Row],[FECHA]]-B23=1,((V060_20[[#This Row],[HORA]]-C23)*24)+24,(V060_20[[#This Row],[HORA]]-C23)*24)</f>
        <v>24</v>
      </c>
      <c r="E24" s="239" t="s">
        <v>45</v>
      </c>
      <c r="F24" s="29" t="s">
        <v>228</v>
      </c>
      <c r="G24" s="324"/>
      <c r="H24" s="306"/>
      <c r="I24" s="259">
        <f>IF(ISERROR(V060_20[[#This Row],[DISTANCIA POR CARTA]]/V060_20[[#This Row],[TIEMPO DE NAVEGACION]]),0,V060_20[[#This Row],[DISTANCIA POR CARTA]]/V060_20[[#This Row],[TIEMPO DE NAVEGACION]])</f>
        <v>0</v>
      </c>
      <c r="J24" s="242"/>
      <c r="K24" s="325"/>
      <c r="L24" s="245">
        <v>0</v>
      </c>
      <c r="M24" s="245">
        <v>2</v>
      </c>
      <c r="N24" s="245">
        <v>1.8</v>
      </c>
      <c r="O24" s="257">
        <f>SUM(V060_20[[#This Row],[MPAL]:[CALDERA]])</f>
        <v>3.8</v>
      </c>
      <c r="P24" s="319"/>
      <c r="Q24" s="281">
        <f>(Q23-V060_20[[#This Row],[TOTAL ]])+V060_20[FAENA]</f>
        <v>604.10000000000014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SUM(V060_20[[#This Row],[MPAL2]:[GI]])</f>
        <v>0</v>
      </c>
      <c r="X24" s="246"/>
      <c r="Y24" s="282">
        <f>(Y23-V060_20[[#This Row],[TOTAL]])+V060_20[[#This Row],[FAENA2]]</f>
        <v>131.19999999999999</v>
      </c>
      <c r="Z24" s="245">
        <v>0</v>
      </c>
      <c r="AA24" s="246">
        <v>0</v>
      </c>
      <c r="AB24" s="320">
        <f>(AB23-V060_20[[#This Row],[CYLINDER MP]])+V060_20[[#This Row],[FAENA EN LTS]]</f>
        <v>2650</v>
      </c>
      <c r="AC24" s="246">
        <v>0</v>
      </c>
      <c r="AD24" s="246">
        <v>0</v>
      </c>
      <c r="AE24" s="320">
        <f>(AE23-V060_20[[#This Row],[CARTER MP.]])+V060_20[[#This Row],[FAENA EN LTS2]]</f>
        <v>3900</v>
      </c>
      <c r="AF24" s="246">
        <v>10</v>
      </c>
      <c r="AG24" s="246">
        <v>0</v>
      </c>
      <c r="AH24" s="320">
        <f>(AH23-V060_20[[#This Row],[MOT AUX]])+V060_20[[#This Row],[FAENA EN  LTS]]</f>
        <v>1790</v>
      </c>
      <c r="AI24" s="246">
        <v>0</v>
      </c>
      <c r="AJ24" s="246">
        <v>0</v>
      </c>
      <c r="AK24" s="321">
        <f>(AK23-V060_20[[#This Row],[HIDRAULICO]])+V060_20[[#This Row],[FAENA EN LTS3]]</f>
        <v>2500</v>
      </c>
    </row>
    <row r="25" spans="1:37" x14ac:dyDescent="0.25">
      <c r="A25" s="235" t="s">
        <v>225</v>
      </c>
      <c r="B25" s="48">
        <v>43985</v>
      </c>
      <c r="C25" s="41">
        <v>0.33333333333333331</v>
      </c>
      <c r="D25" s="37">
        <f>IF(V060_20[[#This Row],[FECHA]]-B24=1,((V060_20[[#This Row],[HORA]]-C24)*24)+24,(V060_20[[#This Row],[HORA]]-C24)*24)</f>
        <v>24</v>
      </c>
      <c r="E25" s="239" t="s">
        <v>45</v>
      </c>
      <c r="F25" s="29" t="s">
        <v>228</v>
      </c>
      <c r="G25" s="324"/>
      <c r="H25" s="306"/>
      <c r="I25" s="259">
        <f>IF(ISERROR(V060_20[[#This Row],[DISTANCIA POR CARTA]]/V060_20[[#This Row],[TIEMPO DE NAVEGACION]]),0,V060_20[[#This Row],[DISTANCIA POR CARTA]]/V060_20[[#This Row],[TIEMPO DE NAVEGACION]])</f>
        <v>0</v>
      </c>
      <c r="J25" s="242"/>
      <c r="K25" s="325"/>
      <c r="L25" s="245">
        <v>0</v>
      </c>
      <c r="M25" s="245">
        <v>2</v>
      </c>
      <c r="N25" s="245">
        <v>1.8</v>
      </c>
      <c r="O25" s="257">
        <f>SUM(V060_20[[#This Row],[MPAL]:[CALDERA]])</f>
        <v>3.8</v>
      </c>
      <c r="P25" s="319"/>
      <c r="Q25" s="281">
        <f>(Q24-V060_20[[#This Row],[TOTAL ]])+V060_20[FAENA]</f>
        <v>600.30000000000018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SUM(V060_20[[#This Row],[MPAL2]:[GI]])</f>
        <v>0</v>
      </c>
      <c r="X25" s="246"/>
      <c r="Y25" s="282">
        <f>(Y24-V060_20[[#This Row],[TOTAL]])+V060_20[[#This Row],[FAENA2]]</f>
        <v>131.19999999999999</v>
      </c>
      <c r="Z25" s="245">
        <v>0</v>
      </c>
      <c r="AA25" s="246">
        <v>0</v>
      </c>
      <c r="AB25" s="320">
        <f>(AB24-V060_20[[#This Row],[CYLINDER MP]])+V060_20[[#This Row],[FAENA EN LTS]]</f>
        <v>2650</v>
      </c>
      <c r="AC25" s="246">
        <v>0</v>
      </c>
      <c r="AD25" s="246">
        <v>0</v>
      </c>
      <c r="AE25" s="320">
        <f>(AE24-V060_20[[#This Row],[CARTER MP.]])+V060_20[[#This Row],[FAENA EN LTS2]]</f>
        <v>3900</v>
      </c>
      <c r="AF25" s="246">
        <v>10</v>
      </c>
      <c r="AG25" s="246">
        <v>0</v>
      </c>
      <c r="AH25" s="320">
        <f>(AH24-V060_20[[#This Row],[MOT AUX]])+V060_20[[#This Row],[FAENA EN  LTS]]</f>
        <v>1780</v>
      </c>
      <c r="AI25" s="246">
        <v>0</v>
      </c>
      <c r="AJ25" s="246">
        <v>0</v>
      </c>
      <c r="AK25" s="321">
        <f>(AK24-V060_20[[#This Row],[HIDRAULICO]])+V060_20[[#This Row],[FAENA EN LTS3]]</f>
        <v>2500</v>
      </c>
    </row>
    <row r="26" spans="1:37" x14ac:dyDescent="0.25">
      <c r="A26" s="235" t="s">
        <v>225</v>
      </c>
      <c r="B26" s="48">
        <v>43986</v>
      </c>
      <c r="C26" s="362">
        <v>0.33333333333333331</v>
      </c>
      <c r="D26" s="37">
        <f>IF(V060_20[[#This Row],[FECHA]]-B25=1,((V060_20[[#This Row],[HORA]]-C25)*24)+24,(V060_20[[#This Row],[HORA]]-C25)*24)</f>
        <v>24</v>
      </c>
      <c r="E26" s="239" t="s">
        <v>45</v>
      </c>
      <c r="F26" s="29" t="s">
        <v>228</v>
      </c>
      <c r="G26" s="324"/>
      <c r="H26" s="306"/>
      <c r="I26" s="259">
        <f>IF(ISERROR(V060_20[[#This Row],[DISTANCIA POR CARTA]]/V060_20[[#This Row],[TIEMPO DE NAVEGACION]]),0,V060_20[[#This Row],[DISTANCIA POR CARTA]]/V060_20[[#This Row],[TIEMPO DE NAVEGACION]])</f>
        <v>0</v>
      </c>
      <c r="J26" s="242"/>
      <c r="K26" s="325"/>
      <c r="L26" s="245">
        <v>0</v>
      </c>
      <c r="M26" s="245">
        <v>2</v>
      </c>
      <c r="N26" s="245">
        <v>1.8</v>
      </c>
      <c r="O26" s="257">
        <f>SUM(V060_20[[#This Row],[MPAL]:[CALDERA]])</f>
        <v>3.8</v>
      </c>
      <c r="P26" s="319"/>
      <c r="Q26" s="281">
        <f>(Q25-V060_20[[#This Row],[TOTAL ]])+V060_20[FAENA]</f>
        <v>596.50000000000023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SUM(V060_20[[#This Row],[MPAL2]:[GI]])</f>
        <v>0</v>
      </c>
      <c r="X26" s="246"/>
      <c r="Y26" s="282">
        <f>(Y25-V060_20[[#This Row],[TOTAL]])+V060_20[[#This Row],[FAENA2]]</f>
        <v>131.19999999999999</v>
      </c>
      <c r="Z26" s="245">
        <v>0</v>
      </c>
      <c r="AA26" s="246">
        <v>0</v>
      </c>
      <c r="AB26" s="320">
        <f>(AB25-V060_20[[#This Row],[CYLINDER MP]])+V060_20[[#This Row],[FAENA EN LTS]]</f>
        <v>2650</v>
      </c>
      <c r="AC26" s="246">
        <v>0</v>
      </c>
      <c r="AD26" s="246">
        <v>0</v>
      </c>
      <c r="AE26" s="320">
        <f>(AE25-V060_20[[#This Row],[CARTER MP.]])+V060_20[[#This Row],[FAENA EN LTS2]]</f>
        <v>3900</v>
      </c>
      <c r="AF26" s="246">
        <v>10</v>
      </c>
      <c r="AG26" s="246">
        <v>0</v>
      </c>
      <c r="AH26" s="320">
        <f>(AH25-V060_20[[#This Row],[MOT AUX]])+V060_20[[#This Row],[FAENA EN  LTS]]</f>
        <v>1770</v>
      </c>
      <c r="AI26" s="246">
        <v>0</v>
      </c>
      <c r="AJ26" s="246">
        <v>0</v>
      </c>
      <c r="AK26" s="321">
        <f>(AK25-V060_20[[#This Row],[HIDRAULICO]])+V060_20[[#This Row],[FAENA EN LTS3]]</f>
        <v>2500</v>
      </c>
    </row>
    <row r="27" spans="1:37" x14ac:dyDescent="0.25">
      <c r="A27" s="235" t="s">
        <v>225</v>
      </c>
      <c r="B27" s="48">
        <v>43987</v>
      </c>
      <c r="C27" s="351">
        <v>0.33333333333333331</v>
      </c>
      <c r="D27" s="37">
        <f>IF(V060_20[[#This Row],[FECHA]]-B26=1,((V060_20[[#This Row],[HORA]]-C26)*24)+24,(V060_20[[#This Row],[HORA]]-C26)*24)</f>
        <v>24</v>
      </c>
      <c r="E27" s="239" t="s">
        <v>45</v>
      </c>
      <c r="F27" s="29" t="s">
        <v>228</v>
      </c>
      <c r="G27" s="324"/>
      <c r="H27" s="306"/>
      <c r="I27" s="259">
        <f>IF(ISERROR(V060_20[[#This Row],[DISTANCIA POR CARTA]]/V060_20[[#This Row],[TIEMPO DE NAVEGACION]]),0,V060_20[[#This Row],[DISTANCIA POR CARTA]]/V060_20[[#This Row],[TIEMPO DE NAVEGACION]])</f>
        <v>0</v>
      </c>
      <c r="J27" s="242"/>
      <c r="K27" s="325"/>
      <c r="L27" s="245">
        <v>0</v>
      </c>
      <c r="M27" s="245">
        <v>2</v>
      </c>
      <c r="N27" s="245">
        <v>1.8</v>
      </c>
      <c r="O27" s="257">
        <f>SUM(V060_20[[#This Row],[MPAL]:[CALDERA]])</f>
        <v>3.8</v>
      </c>
      <c r="P27" s="319"/>
      <c r="Q27" s="281">
        <f>(Q26-V060_20[[#This Row],[TOTAL ]])+V060_20[FAENA]</f>
        <v>592.70000000000027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SUM(V060_20[[#This Row],[MPAL2]:[GI]])</f>
        <v>0</v>
      </c>
      <c r="X27" s="246"/>
      <c r="Y27" s="282">
        <f>(Y26-V060_20[[#This Row],[TOTAL]])+V060_20[[#This Row],[FAENA2]]</f>
        <v>131.19999999999999</v>
      </c>
      <c r="Z27" s="245">
        <v>0</v>
      </c>
      <c r="AA27" s="246">
        <v>0</v>
      </c>
      <c r="AB27" s="320">
        <f>(AB26-V060_20[[#This Row],[CYLINDER MP]])+V060_20[[#This Row],[FAENA EN LTS]]</f>
        <v>2650</v>
      </c>
      <c r="AC27" s="246">
        <v>0</v>
      </c>
      <c r="AD27" s="246">
        <v>0</v>
      </c>
      <c r="AE27" s="320">
        <f>(AE26-V060_20[[#This Row],[CARTER MP.]])+V060_20[[#This Row],[FAENA EN LTS2]]</f>
        <v>3900</v>
      </c>
      <c r="AF27" s="246">
        <v>10</v>
      </c>
      <c r="AG27" s="246">
        <v>0</v>
      </c>
      <c r="AH27" s="320">
        <f>(AH26-V060_20[[#This Row],[MOT AUX]])+V060_20[[#This Row],[FAENA EN  LTS]]</f>
        <v>1760</v>
      </c>
      <c r="AI27" s="246">
        <v>0</v>
      </c>
      <c r="AJ27" s="246">
        <v>0</v>
      </c>
      <c r="AK27" s="321">
        <f>(AK26-V060_20[[#This Row],[HIDRAULICO]])+V060_20[[#This Row],[FAENA EN LTS3]]</f>
        <v>2500</v>
      </c>
    </row>
    <row r="28" spans="1:37" x14ac:dyDescent="0.25">
      <c r="A28" s="235" t="s">
        <v>225</v>
      </c>
      <c r="B28" s="48">
        <v>43988</v>
      </c>
      <c r="C28" s="41">
        <v>0.33333333333333331</v>
      </c>
      <c r="D28" s="37">
        <f>IF(V060_20[[#This Row],[FECHA]]-B27=1,((V060_20[[#This Row],[HORA]]-C27)*24)+24,(V060_20[[#This Row],[HORA]]-C27)*24)</f>
        <v>24</v>
      </c>
      <c r="E28" s="239" t="s">
        <v>45</v>
      </c>
      <c r="F28" s="29" t="s">
        <v>228</v>
      </c>
      <c r="G28" s="324"/>
      <c r="H28" s="306"/>
      <c r="I28" s="259">
        <f>IF(ISERROR(V060_20[[#This Row],[DISTANCIA POR CARTA]]/V060_20[[#This Row],[TIEMPO DE NAVEGACION]]),0,V060_20[[#This Row],[DISTANCIA POR CARTA]]/V060_20[[#This Row],[TIEMPO DE NAVEGACION]])</f>
        <v>0</v>
      </c>
      <c r="J28" s="380"/>
      <c r="K28" s="325"/>
      <c r="L28" s="245">
        <v>0</v>
      </c>
      <c r="M28" s="245">
        <v>2</v>
      </c>
      <c r="N28" s="245">
        <v>0.5</v>
      </c>
      <c r="O28" s="257">
        <f>SUM(V060_20[[#This Row],[MPAL]:[CALDERA]])</f>
        <v>2.5</v>
      </c>
      <c r="P28" s="319"/>
      <c r="Q28" s="281">
        <f>(Q27-V060_20[[#This Row],[TOTAL ]])+V060_20[FAENA]</f>
        <v>590.20000000000027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SUM(V060_20[[#This Row],[MPAL2]:[GI]])</f>
        <v>0</v>
      </c>
      <c r="X28" s="246"/>
      <c r="Y28" s="282">
        <f>(Y27-V060_20[[#This Row],[TOTAL]])+V060_20[[#This Row],[FAENA2]]</f>
        <v>131.19999999999999</v>
      </c>
      <c r="Z28" s="245">
        <v>0</v>
      </c>
      <c r="AA28" s="246">
        <v>0</v>
      </c>
      <c r="AB28" s="320">
        <f>(AB27-V060_20[[#This Row],[CYLINDER MP]])+V060_20[[#This Row],[FAENA EN LTS]]</f>
        <v>2650</v>
      </c>
      <c r="AC28" s="246">
        <v>0</v>
      </c>
      <c r="AD28" s="246">
        <v>0</v>
      </c>
      <c r="AE28" s="320">
        <f>(AE27-V060_20[[#This Row],[CARTER MP.]])+V060_20[[#This Row],[FAENA EN LTS2]]</f>
        <v>3900</v>
      </c>
      <c r="AF28" s="246">
        <v>10</v>
      </c>
      <c r="AG28" s="246">
        <v>0</v>
      </c>
      <c r="AH28" s="320">
        <f>(AH27-V060_20[[#This Row],[MOT AUX]])+V060_20[[#This Row],[FAENA EN  LTS]]</f>
        <v>1750</v>
      </c>
      <c r="AI28" s="246">
        <v>0</v>
      </c>
      <c r="AJ28" s="246">
        <v>0</v>
      </c>
      <c r="AK28" s="321">
        <f>(AK27-V060_20[[#This Row],[HIDRAULICO]])+V060_20[[#This Row],[FAENA EN LTS3]]</f>
        <v>2500</v>
      </c>
    </row>
    <row r="29" spans="1:37" x14ac:dyDescent="0.25">
      <c r="A29" s="235" t="s">
        <v>225</v>
      </c>
      <c r="B29" s="48">
        <v>43989</v>
      </c>
      <c r="C29" s="41">
        <v>0.33333333333333331</v>
      </c>
      <c r="D29" s="37">
        <f>IF(V060_20[[#This Row],[FECHA]]-B28=1,((V060_20[[#This Row],[HORA]]-C28)*24)+24,(V060_20[[#This Row],[HORA]]-C28)*24)</f>
        <v>24</v>
      </c>
      <c r="E29" s="239" t="s">
        <v>45</v>
      </c>
      <c r="F29" s="29" t="s">
        <v>228</v>
      </c>
      <c r="G29" s="324"/>
      <c r="H29" s="306"/>
      <c r="I29" s="259">
        <f>IF(ISERROR(V060_20[[#This Row],[DISTANCIA POR CARTA]]/V060_20[[#This Row],[TIEMPO DE NAVEGACION]]),0,V060_20[[#This Row],[DISTANCIA POR CARTA]]/V060_20[[#This Row],[TIEMPO DE NAVEGACION]])</f>
        <v>0</v>
      </c>
      <c r="J29" s="242"/>
      <c r="K29" s="325"/>
      <c r="L29" s="245">
        <v>0</v>
      </c>
      <c r="M29" s="245">
        <v>2</v>
      </c>
      <c r="N29" s="245">
        <v>1.2</v>
      </c>
      <c r="O29" s="257">
        <f>SUM(V060_20[[#This Row],[MPAL]:[CALDERA]])</f>
        <v>3.2</v>
      </c>
      <c r="P29" s="319"/>
      <c r="Q29" s="281">
        <f>(Q28-V060_20[[#This Row],[TOTAL ]])+V060_20[FAENA]</f>
        <v>587.00000000000023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SUM(V060_20[[#This Row],[MPAL2]:[GI]])</f>
        <v>0</v>
      </c>
      <c r="X29" s="246"/>
      <c r="Y29" s="282">
        <f>(Y28-V060_20[[#This Row],[TOTAL]])+V060_20[[#This Row],[FAENA2]]</f>
        <v>131.19999999999999</v>
      </c>
      <c r="Z29" s="245">
        <v>0</v>
      </c>
      <c r="AA29" s="246">
        <v>0</v>
      </c>
      <c r="AB29" s="320">
        <f>(AB28-V060_20[[#This Row],[CYLINDER MP]])+V060_20[[#This Row],[FAENA EN LTS]]</f>
        <v>2650</v>
      </c>
      <c r="AC29" s="246">
        <v>0</v>
      </c>
      <c r="AD29" s="246">
        <v>0</v>
      </c>
      <c r="AE29" s="320">
        <f>(AE28-V060_20[[#This Row],[CARTER MP.]])+V060_20[[#This Row],[FAENA EN LTS2]]</f>
        <v>3900</v>
      </c>
      <c r="AF29" s="246">
        <v>10</v>
      </c>
      <c r="AG29" s="246">
        <v>0</v>
      </c>
      <c r="AH29" s="320">
        <f>(AH28-V060_20[[#This Row],[MOT AUX]])+V060_20[[#This Row],[FAENA EN  LTS]]</f>
        <v>1740</v>
      </c>
      <c r="AI29" s="246">
        <v>0</v>
      </c>
      <c r="AJ29" s="246">
        <v>0</v>
      </c>
      <c r="AK29" s="321">
        <f>(AK28-V060_20[[#This Row],[HIDRAULICO]])+V060_20[[#This Row],[FAENA EN LTS3]]</f>
        <v>2500</v>
      </c>
    </row>
    <row r="30" spans="1:37" x14ac:dyDescent="0.25">
      <c r="A30" s="235" t="s">
        <v>225</v>
      </c>
      <c r="B30" s="48">
        <v>43990</v>
      </c>
      <c r="C30" s="41">
        <v>0.33333333333333331</v>
      </c>
      <c r="D30" s="37">
        <f>IF(V060_20[[#This Row],[FECHA]]-B29=1,((V060_20[[#This Row],[HORA]]-C29)*24)+24,(V060_20[[#This Row],[HORA]]-C29)*24)</f>
        <v>24</v>
      </c>
      <c r="E30" s="239" t="s">
        <v>45</v>
      </c>
      <c r="F30" s="29" t="s">
        <v>228</v>
      </c>
      <c r="G30" s="324"/>
      <c r="H30" s="306"/>
      <c r="I30" s="259">
        <f>IF(ISERROR(V060_20[[#This Row],[DISTANCIA POR CARTA]]/V060_20[[#This Row],[TIEMPO DE NAVEGACION]]),0,V060_20[[#This Row],[DISTANCIA POR CARTA]]/V060_20[[#This Row],[TIEMPO DE NAVEGACION]])</f>
        <v>0</v>
      </c>
      <c r="J30" s="242"/>
      <c r="K30" s="325"/>
      <c r="L30" s="245">
        <v>0</v>
      </c>
      <c r="M30" s="245">
        <v>2</v>
      </c>
      <c r="N30" s="245">
        <v>1.2</v>
      </c>
      <c r="O30" s="257">
        <f>SUM(V060_20[[#This Row],[MPAL]:[CALDERA]])</f>
        <v>3.2</v>
      </c>
      <c r="P30" s="319"/>
      <c r="Q30" s="281">
        <f>(Q29-V060_20[[#This Row],[TOTAL ]])+V060_20[FAENA]</f>
        <v>583.80000000000018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SUM(V060_20[[#This Row],[MPAL2]:[GI]])</f>
        <v>0</v>
      </c>
      <c r="X30" s="246"/>
      <c r="Y30" s="282">
        <f>(Y29-V060_20[[#This Row],[TOTAL]])+V060_20[[#This Row],[FAENA2]]</f>
        <v>131.19999999999999</v>
      </c>
      <c r="Z30" s="245">
        <v>0</v>
      </c>
      <c r="AA30" s="246">
        <v>0</v>
      </c>
      <c r="AB30" s="320">
        <f>(AB29-V060_20[[#This Row],[CYLINDER MP]])+V060_20[[#This Row],[FAENA EN LTS]]</f>
        <v>2650</v>
      </c>
      <c r="AC30" s="246">
        <v>0</v>
      </c>
      <c r="AD30" s="246">
        <v>0</v>
      </c>
      <c r="AE30" s="320">
        <f>(AE29-V060_20[[#This Row],[CARTER MP.]])+V060_20[[#This Row],[FAENA EN LTS2]]</f>
        <v>3900</v>
      </c>
      <c r="AF30" s="246">
        <v>10</v>
      </c>
      <c r="AG30" s="246">
        <v>0</v>
      </c>
      <c r="AH30" s="320">
        <f>(AH29-V060_20[[#This Row],[MOT AUX]])+V060_20[[#This Row],[FAENA EN  LTS]]</f>
        <v>1730</v>
      </c>
      <c r="AI30" s="246">
        <v>0</v>
      </c>
      <c r="AJ30" s="246">
        <v>0</v>
      </c>
      <c r="AK30" s="321">
        <f>(AK29-V060_20[[#This Row],[HIDRAULICO]])+V060_20[[#This Row],[FAENA EN LTS3]]</f>
        <v>2500</v>
      </c>
    </row>
    <row r="31" spans="1:37" x14ac:dyDescent="0.25">
      <c r="A31" s="235" t="s">
        <v>225</v>
      </c>
      <c r="B31" s="48">
        <v>43991</v>
      </c>
      <c r="C31" s="41">
        <v>0.33333333333333331</v>
      </c>
      <c r="D31" s="37">
        <f>IF(V060_20[[#This Row],[FECHA]]-B30=1,((V060_20[[#This Row],[HORA]]-C30)*24)+24,(V060_20[[#This Row],[HORA]]-C30)*24)</f>
        <v>24</v>
      </c>
      <c r="E31" s="239" t="s">
        <v>45</v>
      </c>
      <c r="F31" s="29" t="s">
        <v>228</v>
      </c>
      <c r="G31" s="324"/>
      <c r="H31" s="306"/>
      <c r="I31" s="259">
        <f>IF(ISERROR(V060_20[[#This Row],[DISTANCIA POR CARTA]]/V060_20[[#This Row],[TIEMPO DE NAVEGACION]]),0,V060_20[[#This Row],[DISTANCIA POR CARTA]]/V060_20[[#This Row],[TIEMPO DE NAVEGACION]])</f>
        <v>0</v>
      </c>
      <c r="J31" s="242"/>
      <c r="K31" s="325"/>
      <c r="L31" s="245">
        <v>0</v>
      </c>
      <c r="M31" s="245">
        <v>2</v>
      </c>
      <c r="N31" s="245">
        <v>1.5</v>
      </c>
      <c r="O31" s="257">
        <f>SUM(V060_20[[#This Row],[MPAL]:[CALDERA]])</f>
        <v>3.5</v>
      </c>
      <c r="P31" s="319"/>
      <c r="Q31" s="281">
        <f>(Q30-V060_20[[#This Row],[TOTAL ]])+V060_20[FAENA]</f>
        <v>580.30000000000018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SUM(V060_20[[#This Row],[MPAL2]:[GI]])</f>
        <v>0</v>
      </c>
      <c r="X31" s="246"/>
      <c r="Y31" s="282">
        <f>(Y30-V060_20[[#This Row],[TOTAL]])+V060_20[[#This Row],[FAENA2]]</f>
        <v>131.19999999999999</v>
      </c>
      <c r="Z31" s="245">
        <v>0</v>
      </c>
      <c r="AA31" s="246">
        <v>0</v>
      </c>
      <c r="AB31" s="320">
        <f>(AB30-V060_20[[#This Row],[CYLINDER MP]])+V060_20[[#This Row],[FAENA EN LTS]]</f>
        <v>2650</v>
      </c>
      <c r="AC31" s="246">
        <v>0</v>
      </c>
      <c r="AD31" s="246">
        <v>0</v>
      </c>
      <c r="AE31" s="320">
        <f>(AE30-V060_20[[#This Row],[CARTER MP.]])+V060_20[[#This Row],[FAENA EN LTS2]]</f>
        <v>3900</v>
      </c>
      <c r="AF31" s="246">
        <v>10</v>
      </c>
      <c r="AG31" s="246">
        <v>0</v>
      </c>
      <c r="AH31" s="320">
        <f>(AH30-V060_20[[#This Row],[MOT AUX]])+V060_20[[#This Row],[FAENA EN  LTS]]</f>
        <v>1720</v>
      </c>
      <c r="AI31" s="246">
        <v>0</v>
      </c>
      <c r="AJ31" s="246">
        <v>0</v>
      </c>
      <c r="AK31" s="321">
        <f>(AK30-V060_20[[#This Row],[HIDRAULICO]])+V060_20[[#This Row],[FAENA EN LTS3]]</f>
        <v>2500</v>
      </c>
    </row>
    <row r="32" spans="1:37" x14ac:dyDescent="0.25">
      <c r="A32" s="235" t="s">
        <v>225</v>
      </c>
      <c r="B32" s="48">
        <v>43992</v>
      </c>
      <c r="C32" s="41">
        <v>0.33333333333333331</v>
      </c>
      <c r="D32" s="37">
        <f>IF(V060_20[[#This Row],[FECHA]]-B31=1,((V060_20[[#This Row],[HORA]]-C31)*24)+24,(V060_20[[#This Row],[HORA]]-C31)*24)</f>
        <v>24</v>
      </c>
      <c r="E32" s="239" t="s">
        <v>45</v>
      </c>
      <c r="F32" s="29" t="s">
        <v>228</v>
      </c>
      <c r="G32" s="324"/>
      <c r="H32" s="306"/>
      <c r="I32" s="259">
        <f>IF(ISERROR(V060_20[[#This Row],[DISTANCIA POR CARTA]]/V060_20[[#This Row],[TIEMPO DE NAVEGACION]]),0,V060_20[[#This Row],[DISTANCIA POR CARTA]]/V060_20[[#This Row],[TIEMPO DE NAVEGACION]])</f>
        <v>0</v>
      </c>
      <c r="J32" s="242"/>
      <c r="K32" s="325"/>
      <c r="L32" s="245">
        <v>0</v>
      </c>
      <c r="M32" s="245">
        <v>2</v>
      </c>
      <c r="N32" s="245">
        <v>1.5</v>
      </c>
      <c r="O32" s="257">
        <f>SUM(V060_20[[#This Row],[MPAL]:[CALDERA]])</f>
        <v>3.5</v>
      </c>
      <c r="P32" s="319"/>
      <c r="Q32" s="281">
        <f>(Q31-V060_20[[#This Row],[TOTAL ]])+V060_20[FAENA]</f>
        <v>576.80000000000018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SUM(V060_20[[#This Row],[MPAL2]:[GI]])</f>
        <v>0</v>
      </c>
      <c r="X32" s="246"/>
      <c r="Y32" s="282">
        <f>(Y31-V060_20[[#This Row],[TOTAL]])+V060_20[[#This Row],[FAENA2]]</f>
        <v>131.19999999999999</v>
      </c>
      <c r="Z32" s="245">
        <v>0</v>
      </c>
      <c r="AA32" s="246">
        <v>0</v>
      </c>
      <c r="AB32" s="320">
        <f>(AB31-V060_20[[#This Row],[CYLINDER MP]])+V060_20[[#This Row],[FAENA EN LTS]]</f>
        <v>2650</v>
      </c>
      <c r="AC32" s="246">
        <v>0</v>
      </c>
      <c r="AD32" s="246">
        <v>0</v>
      </c>
      <c r="AE32" s="320">
        <f>(AE31-V060_20[[#This Row],[CARTER MP.]])+V060_20[[#This Row],[FAENA EN LTS2]]</f>
        <v>3900</v>
      </c>
      <c r="AF32" s="246">
        <v>10</v>
      </c>
      <c r="AG32" s="246">
        <v>0</v>
      </c>
      <c r="AH32" s="320">
        <f>(AH31-V060_20[[#This Row],[MOT AUX]])+V060_20[[#This Row],[FAENA EN  LTS]]</f>
        <v>1710</v>
      </c>
      <c r="AI32" s="246">
        <v>0</v>
      </c>
      <c r="AJ32" s="246">
        <v>0</v>
      </c>
      <c r="AK32" s="321">
        <f>(AK31-V060_20[[#This Row],[HIDRAULICO]])+V060_20[[#This Row],[FAENA EN LTS3]]</f>
        <v>2500</v>
      </c>
    </row>
    <row r="33" spans="1:37" x14ac:dyDescent="0.25">
      <c r="A33" s="235" t="s">
        <v>225</v>
      </c>
      <c r="B33" s="48">
        <v>43993</v>
      </c>
      <c r="C33" s="351">
        <v>0.33333333333333331</v>
      </c>
      <c r="D33" s="37">
        <f>IF(V060_20[[#This Row],[FECHA]]-B32=1,((V060_20[[#This Row],[HORA]]-C32)*24)+24,(V060_20[[#This Row],[HORA]]-C32)*24)</f>
        <v>24</v>
      </c>
      <c r="E33" s="239" t="s">
        <v>45</v>
      </c>
      <c r="F33" s="29" t="s">
        <v>228</v>
      </c>
      <c r="G33" s="324"/>
      <c r="H33" s="306"/>
      <c r="I33" s="259">
        <f>IF(ISERROR(V060_20[[#This Row],[DISTANCIA POR CARTA]]/V060_20[[#This Row],[TIEMPO DE NAVEGACION]]),0,V060_20[[#This Row],[DISTANCIA POR CARTA]]/V060_20[[#This Row],[TIEMPO DE NAVEGACION]])</f>
        <v>0</v>
      </c>
      <c r="J33" s="242"/>
      <c r="K33" s="325"/>
      <c r="L33" s="245">
        <v>0</v>
      </c>
      <c r="M33" s="245">
        <v>2.5</v>
      </c>
      <c r="N33" s="245">
        <v>0</v>
      </c>
      <c r="O33" s="257">
        <f>SUM(V060_20[[#This Row],[MPAL]:[CALDERA]])</f>
        <v>2.5</v>
      </c>
      <c r="P33" s="319"/>
      <c r="Q33" s="281">
        <f>(Q32-V060_20[[#This Row],[TOTAL ]])+V060_20[FAENA]</f>
        <v>574.30000000000018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SUM(V060_20[[#This Row],[MPAL2]:[GI]])</f>
        <v>0</v>
      </c>
      <c r="X33" s="246"/>
      <c r="Y33" s="282">
        <f>(Y32-V060_20[[#This Row],[TOTAL]])+V060_20[[#This Row],[FAENA2]]</f>
        <v>131.19999999999999</v>
      </c>
      <c r="Z33" s="245">
        <v>0</v>
      </c>
      <c r="AA33" s="246">
        <v>0</v>
      </c>
      <c r="AB33" s="320">
        <f>(AB32-V060_20[[#This Row],[CYLINDER MP]])+V060_20[[#This Row],[FAENA EN LTS]]</f>
        <v>2650</v>
      </c>
      <c r="AC33" s="246">
        <v>0</v>
      </c>
      <c r="AD33" s="246">
        <v>0</v>
      </c>
      <c r="AE33" s="320">
        <f>(AE32-V060_20[[#This Row],[CARTER MP.]])+V060_20[[#This Row],[FAENA EN LTS2]]</f>
        <v>3900</v>
      </c>
      <c r="AF33" s="246">
        <v>10</v>
      </c>
      <c r="AG33" s="246">
        <v>0</v>
      </c>
      <c r="AH33" s="320">
        <f>(AH32-V060_20[[#This Row],[MOT AUX]])+V060_20[[#This Row],[FAENA EN  LTS]]</f>
        <v>1700</v>
      </c>
      <c r="AI33" s="246">
        <v>0</v>
      </c>
      <c r="AJ33" s="246">
        <v>0</v>
      </c>
      <c r="AK33" s="321">
        <f>(AK32-V060_20[[#This Row],[HIDRAULICO]])+V060_20[[#This Row],[FAENA EN LTS3]]</f>
        <v>2500</v>
      </c>
    </row>
    <row r="34" spans="1:37" x14ac:dyDescent="0.25">
      <c r="A34" s="235" t="s">
        <v>225</v>
      </c>
      <c r="B34" s="48">
        <v>43994</v>
      </c>
      <c r="C34" s="41">
        <v>0.33333333333333331</v>
      </c>
      <c r="D34" s="37">
        <f>IF(V060_20[[#This Row],[FECHA]]-B33=1,((V060_20[[#This Row],[HORA]]-C33)*24)+24,(V060_20[[#This Row],[HORA]]-C33)*24)</f>
        <v>24</v>
      </c>
      <c r="E34" s="239" t="s">
        <v>45</v>
      </c>
      <c r="F34" s="29" t="s">
        <v>228</v>
      </c>
      <c r="G34" s="324"/>
      <c r="H34" s="306"/>
      <c r="I34" s="259">
        <f>IF(ISERROR(V060_20[[#This Row],[DISTANCIA POR CARTA]]/V060_20[[#This Row],[TIEMPO DE NAVEGACION]]),0,V060_20[[#This Row],[DISTANCIA POR CARTA]]/V060_20[[#This Row],[TIEMPO DE NAVEGACION]])</f>
        <v>0</v>
      </c>
      <c r="J34" s="242"/>
      <c r="K34" s="325"/>
      <c r="L34" s="245">
        <v>0</v>
      </c>
      <c r="M34" s="245">
        <v>2.5</v>
      </c>
      <c r="N34" s="245">
        <v>0</v>
      </c>
      <c r="O34" s="257">
        <f>SUM(V060_20[[#This Row],[MPAL]:[CALDERA]])</f>
        <v>2.5</v>
      </c>
      <c r="P34" s="319"/>
      <c r="Q34" s="281">
        <f>(Q33-V060_20[[#This Row],[TOTAL ]])+V060_20[FAENA]</f>
        <v>571.80000000000018</v>
      </c>
      <c r="R34" s="245">
        <v>0</v>
      </c>
      <c r="S34" s="246">
        <v>0</v>
      </c>
      <c r="T34" s="246">
        <v>0.8</v>
      </c>
      <c r="U34" s="246">
        <v>0</v>
      </c>
      <c r="V34" s="246">
        <v>0</v>
      </c>
      <c r="W34" s="257">
        <f>SUM(V060_20[[#This Row],[MPAL2]:[GI]])</f>
        <v>0.8</v>
      </c>
      <c r="X34" s="246"/>
      <c r="Y34" s="282">
        <f>(Y33-V060_20[[#This Row],[TOTAL]])+V060_20[[#This Row],[FAENA2]]</f>
        <v>130.39999999999998</v>
      </c>
      <c r="Z34" s="245">
        <v>0</v>
      </c>
      <c r="AA34" s="246">
        <v>0</v>
      </c>
      <c r="AB34" s="320">
        <f>(AB33-V060_20[[#This Row],[CYLINDER MP]])+V060_20[[#This Row],[FAENA EN LTS]]</f>
        <v>2650</v>
      </c>
      <c r="AC34" s="246">
        <v>0</v>
      </c>
      <c r="AD34" s="246">
        <v>0</v>
      </c>
      <c r="AE34" s="320">
        <f>(AE33-V060_20[[#This Row],[CARTER MP.]])+V060_20[[#This Row],[FAENA EN LTS2]]</f>
        <v>3900</v>
      </c>
      <c r="AF34" s="246">
        <v>10</v>
      </c>
      <c r="AG34" s="246">
        <v>0</v>
      </c>
      <c r="AH34" s="320">
        <f>(AH33-V060_20[[#This Row],[MOT AUX]])+V060_20[[#This Row],[FAENA EN  LTS]]</f>
        <v>1690</v>
      </c>
      <c r="AI34" s="246">
        <v>0</v>
      </c>
      <c r="AJ34" s="246">
        <v>0</v>
      </c>
      <c r="AK34" s="321">
        <f>(AK33-V060_20[[#This Row],[HIDRAULICO]])+V060_20[[#This Row],[FAENA EN LTS3]]</f>
        <v>2500</v>
      </c>
    </row>
    <row r="35" spans="1:37" x14ac:dyDescent="0.25">
      <c r="A35" s="235" t="s">
        <v>225</v>
      </c>
      <c r="B35" s="48">
        <v>43995</v>
      </c>
      <c r="C35" s="41">
        <v>0.33333333333333331</v>
      </c>
      <c r="D35" s="37">
        <f>IF(V060_20[[#This Row],[FECHA]]-B34=1,((V060_20[[#This Row],[HORA]]-C34)*24)+24,(V060_20[[#This Row],[HORA]]-C34)*24)</f>
        <v>24</v>
      </c>
      <c r="E35" s="413" t="s">
        <v>45</v>
      </c>
      <c r="F35" s="414" t="s">
        <v>228</v>
      </c>
      <c r="G35" s="324"/>
      <c r="H35" s="306"/>
      <c r="I35" s="259">
        <f>IF(ISERROR(V060_20[[#This Row],[DISTANCIA POR CARTA]]/V060_20[[#This Row],[TIEMPO DE NAVEGACION]]),0,V060_20[[#This Row],[DISTANCIA POR CARTA]]/V060_20[[#This Row],[TIEMPO DE NAVEGACION]])</f>
        <v>0</v>
      </c>
      <c r="J35" s="242"/>
      <c r="K35" s="325"/>
      <c r="L35" s="245">
        <v>0</v>
      </c>
      <c r="M35" s="245">
        <v>2.5</v>
      </c>
      <c r="N35" s="245">
        <v>0</v>
      </c>
      <c r="O35" s="257">
        <f>SUM(V060_20[[#This Row],[MPAL]:[CALDERA]])</f>
        <v>2.5</v>
      </c>
      <c r="P35" s="319"/>
      <c r="Q35" s="281">
        <f>(Q34-V060_20[[#This Row],[TOTAL ]])+V060_20[FAENA]</f>
        <v>569.30000000000018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SUM(V060_20[[#This Row],[MPAL2]:[GI]])</f>
        <v>0</v>
      </c>
      <c r="X35" s="246"/>
      <c r="Y35" s="282">
        <f>(Y34-V060_20[[#This Row],[TOTAL]])+V060_20[[#This Row],[FAENA2]]</f>
        <v>130.39999999999998</v>
      </c>
      <c r="Z35" s="245">
        <v>0</v>
      </c>
      <c r="AA35" s="246">
        <v>0</v>
      </c>
      <c r="AB35" s="320">
        <f>(AB34-V060_20[[#This Row],[CYLINDER MP]])+V060_20[[#This Row],[FAENA EN LTS]]</f>
        <v>2650</v>
      </c>
      <c r="AC35" s="246">
        <v>0</v>
      </c>
      <c r="AD35" s="246">
        <v>0</v>
      </c>
      <c r="AE35" s="320">
        <f>(AE34-V060_20[[#This Row],[CARTER MP.]])+V060_20[[#This Row],[FAENA EN LTS2]]</f>
        <v>3900</v>
      </c>
      <c r="AF35" s="246">
        <v>10</v>
      </c>
      <c r="AG35" s="246">
        <v>0</v>
      </c>
      <c r="AH35" s="320">
        <f>(AH34-V060_20[[#This Row],[MOT AUX]])+V060_20[[#This Row],[FAENA EN  LTS]]</f>
        <v>1680</v>
      </c>
      <c r="AI35" s="246">
        <v>0</v>
      </c>
      <c r="AJ35" s="246">
        <v>0</v>
      </c>
      <c r="AK35" s="321">
        <f>(AK34-V060_20[[#This Row],[HIDRAULICO]])+V060_20[[#This Row],[FAENA EN LTS3]]</f>
        <v>2500</v>
      </c>
    </row>
    <row r="36" spans="1:37" x14ac:dyDescent="0.25">
      <c r="A36" s="235" t="s">
        <v>225</v>
      </c>
      <c r="B36" s="48">
        <v>43996</v>
      </c>
      <c r="C36" s="41">
        <v>0.33333333333333331</v>
      </c>
      <c r="D36" s="37">
        <f>IF(V060_20[[#This Row],[FECHA]]-B35=1,((V060_20[[#This Row],[HORA]]-C35)*24)+24,(V060_20[[#This Row],[HORA]]-C35)*24)</f>
        <v>24</v>
      </c>
      <c r="E36" s="413" t="s">
        <v>45</v>
      </c>
      <c r="F36" s="414" t="s">
        <v>228</v>
      </c>
      <c r="G36" s="324"/>
      <c r="H36" s="306"/>
      <c r="I36" s="259">
        <f>IF(ISERROR(V060_20[[#This Row],[DISTANCIA POR CARTA]]/V060_20[[#This Row],[TIEMPO DE NAVEGACION]]),0,V060_20[[#This Row],[DISTANCIA POR CARTA]]/V060_20[[#This Row],[TIEMPO DE NAVEGACION]])</f>
        <v>0</v>
      </c>
      <c r="J36" s="242"/>
      <c r="K36" s="325"/>
      <c r="L36" s="245">
        <v>0</v>
      </c>
      <c r="M36" s="245">
        <v>2</v>
      </c>
      <c r="N36" s="245">
        <v>1.5</v>
      </c>
      <c r="O36" s="257">
        <f>SUM(V060_20[[#This Row],[MPAL]:[CALDERA]])</f>
        <v>3.5</v>
      </c>
      <c r="P36" s="319"/>
      <c r="Q36" s="281">
        <f>(Q35-V060_20[[#This Row],[TOTAL ]])+V060_20[FAENA]</f>
        <v>565.80000000000018</v>
      </c>
      <c r="R36" s="245">
        <v>0</v>
      </c>
      <c r="S36" s="246">
        <v>0</v>
      </c>
      <c r="T36" s="246">
        <v>0.8</v>
      </c>
      <c r="U36" s="246">
        <v>0</v>
      </c>
      <c r="V36" s="246">
        <v>0</v>
      </c>
      <c r="W36" s="257">
        <f>SUM(V060_20[[#This Row],[MPAL2]:[GI]])</f>
        <v>0.8</v>
      </c>
      <c r="X36" s="246"/>
      <c r="Y36" s="282">
        <f>(Y35-V060_20[[#This Row],[TOTAL]])+V060_20[[#This Row],[FAENA2]]</f>
        <v>129.59999999999997</v>
      </c>
      <c r="Z36" s="245">
        <v>0</v>
      </c>
      <c r="AA36" s="246">
        <v>0</v>
      </c>
      <c r="AB36" s="320">
        <f>(AB35-V060_20[[#This Row],[CYLINDER MP]])+V060_20[[#This Row],[FAENA EN LTS]]</f>
        <v>2650</v>
      </c>
      <c r="AC36" s="246">
        <v>0</v>
      </c>
      <c r="AD36" s="246">
        <v>0</v>
      </c>
      <c r="AE36" s="320">
        <f>(AE35-V060_20[[#This Row],[CARTER MP.]])+V060_20[[#This Row],[FAENA EN LTS2]]</f>
        <v>3900</v>
      </c>
      <c r="AF36" s="246">
        <v>10</v>
      </c>
      <c r="AG36" s="246">
        <v>0</v>
      </c>
      <c r="AH36" s="320">
        <f>(AH35-V060_20[[#This Row],[MOT AUX]])+V060_20[[#This Row],[FAENA EN  LTS]]</f>
        <v>1670</v>
      </c>
      <c r="AI36" s="246">
        <v>0</v>
      </c>
      <c r="AJ36" s="246">
        <v>0</v>
      </c>
      <c r="AK36" s="321">
        <f>(AK35-V060_20[[#This Row],[HIDRAULICO]])+V060_20[[#This Row],[FAENA EN LTS3]]</f>
        <v>2500</v>
      </c>
    </row>
    <row r="37" spans="1:37" x14ac:dyDescent="0.25">
      <c r="A37" s="235" t="s">
        <v>225</v>
      </c>
      <c r="B37" s="48">
        <v>43997</v>
      </c>
      <c r="C37" s="41">
        <v>0.33333333333333331</v>
      </c>
      <c r="D37" s="37">
        <f>IF(V060_20[[#This Row],[FECHA]]-B36=1,((V060_20[[#This Row],[HORA]]-C36)*24)+24,(V060_20[[#This Row],[HORA]]-C36)*24)</f>
        <v>24</v>
      </c>
      <c r="E37" s="413" t="s">
        <v>45</v>
      </c>
      <c r="F37" s="414" t="s">
        <v>228</v>
      </c>
      <c r="G37" s="324"/>
      <c r="H37" s="306"/>
      <c r="I37" s="259">
        <f>IF(ISERROR(V060_20[[#This Row],[DISTANCIA POR CARTA]]/V060_20[[#This Row],[TIEMPO DE NAVEGACION]]),0,V060_20[[#This Row],[DISTANCIA POR CARTA]]/V060_20[[#This Row],[TIEMPO DE NAVEGACION]])</f>
        <v>0</v>
      </c>
      <c r="J37" s="380"/>
      <c r="K37" s="325"/>
      <c r="L37" s="245">
        <v>0</v>
      </c>
      <c r="M37" s="245">
        <v>2</v>
      </c>
      <c r="N37" s="245">
        <v>1.5</v>
      </c>
      <c r="O37" s="257">
        <f>SUM(V060_20[[#This Row],[MPAL]:[CALDERA]])</f>
        <v>3.5</v>
      </c>
      <c r="P37" s="319"/>
      <c r="Q37" s="281">
        <f>(Q36-V060_20[[#This Row],[TOTAL ]])+V060_20[FAENA]</f>
        <v>562.30000000000018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SUM(V060_20[[#This Row],[MPAL2]:[GI]])</f>
        <v>0</v>
      </c>
      <c r="X37" s="246"/>
      <c r="Y37" s="282">
        <f>(Y36-V060_20[[#This Row],[TOTAL]])+V060_20[[#This Row],[FAENA2]]</f>
        <v>129.59999999999997</v>
      </c>
      <c r="Z37" s="245">
        <v>0</v>
      </c>
      <c r="AA37" s="246">
        <v>0</v>
      </c>
      <c r="AB37" s="320">
        <f>(AB36-V060_20[[#This Row],[CYLINDER MP]])+V060_20[[#This Row],[FAENA EN LTS]]</f>
        <v>2650</v>
      </c>
      <c r="AC37" s="246">
        <v>0</v>
      </c>
      <c r="AD37" s="246">
        <v>0</v>
      </c>
      <c r="AE37" s="320">
        <f>(AE36-V060_20[[#This Row],[CARTER MP.]])+V060_20[[#This Row],[FAENA EN LTS2]]</f>
        <v>3900</v>
      </c>
      <c r="AF37" s="246">
        <v>10</v>
      </c>
      <c r="AG37" s="246">
        <v>0</v>
      </c>
      <c r="AH37" s="320">
        <f>(AH36-V060_20[[#This Row],[MOT AUX]])+V060_20[[#This Row],[FAENA EN  LTS]]</f>
        <v>1660</v>
      </c>
      <c r="AI37" s="246">
        <v>0</v>
      </c>
      <c r="AJ37" s="246">
        <v>0</v>
      </c>
      <c r="AK37" s="321">
        <f>(AK36-V060_20[[#This Row],[HIDRAULICO]])+V060_20[[#This Row],[FAENA EN LTS3]]</f>
        <v>2500</v>
      </c>
    </row>
    <row r="38" spans="1:37" x14ac:dyDescent="0.25">
      <c r="A38" s="235" t="s">
        <v>225</v>
      </c>
      <c r="B38" s="48">
        <v>43997</v>
      </c>
      <c r="C38" s="41">
        <v>0.6</v>
      </c>
      <c r="D38" s="37">
        <f>IF(V060_20[[#This Row],[FECHA]]-B37=1,((V060_20[[#This Row],[HORA]]-C37)*24)+24,(V060_20[[#This Row],[HORA]]-C37)*24)</f>
        <v>6.4</v>
      </c>
      <c r="E38" s="413" t="s">
        <v>45</v>
      </c>
      <c r="F38" s="29" t="s">
        <v>46</v>
      </c>
      <c r="G38" s="324"/>
      <c r="H38" s="306"/>
      <c r="I38" s="259">
        <f>IF(ISERROR(V060_20[[#This Row],[DISTANCIA POR CARTA]]/V060_20[[#This Row],[TIEMPO DE NAVEGACION]]),0,V060_20[[#This Row],[DISTANCIA POR CARTA]]/V060_20[[#This Row],[TIEMPO DE NAVEGACION]])</f>
        <v>0</v>
      </c>
      <c r="J38" s="242"/>
      <c r="K38" s="325"/>
      <c r="L38" s="245">
        <v>0</v>
      </c>
      <c r="M38" s="245">
        <v>0.53</v>
      </c>
      <c r="N38" s="245">
        <v>0.45</v>
      </c>
      <c r="O38" s="257">
        <f>SUM(V060_20[[#This Row],[MPAL]:[CALDERA]])</f>
        <v>0.98</v>
      </c>
      <c r="P38" s="319"/>
      <c r="Q38" s="281">
        <f>(Q37-V060_20[[#This Row],[TOTAL ]])+V060_20[FAENA]</f>
        <v>561.32000000000016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SUM(V060_20[[#This Row],[MPAL2]:[GI]])</f>
        <v>0</v>
      </c>
      <c r="X38" s="246"/>
      <c r="Y38" s="282">
        <f>(Y37-V060_20[[#This Row],[TOTAL]])+V060_20[[#This Row],[FAENA2]]</f>
        <v>129.59999999999997</v>
      </c>
      <c r="Z38" s="245">
        <v>0</v>
      </c>
      <c r="AA38" s="246">
        <v>0</v>
      </c>
      <c r="AB38" s="320">
        <f>(AB37-V060_20[[#This Row],[CYLINDER MP]])+V060_20[[#This Row],[FAENA EN LTS]]</f>
        <v>2650</v>
      </c>
      <c r="AC38" s="246">
        <v>0</v>
      </c>
      <c r="AD38" s="246">
        <v>0</v>
      </c>
      <c r="AE38" s="320">
        <f>(AE37-V060_20[[#This Row],[CARTER MP.]])+V060_20[[#This Row],[FAENA EN LTS2]]</f>
        <v>3900</v>
      </c>
      <c r="AF38" s="246">
        <v>0</v>
      </c>
      <c r="AG38" s="246">
        <v>0</v>
      </c>
      <c r="AH38" s="320">
        <f>(AH37-V060_20[[#This Row],[MOT AUX]])+V060_20[[#This Row],[FAENA EN  LTS]]</f>
        <v>1660</v>
      </c>
      <c r="AI38" s="246">
        <v>0</v>
      </c>
      <c r="AJ38" s="246">
        <v>0</v>
      </c>
      <c r="AK38" s="321">
        <f>(AK37-V060_20[[#This Row],[HIDRAULICO]])+V060_20[[#This Row],[FAENA EN LTS3]]</f>
        <v>2500</v>
      </c>
    </row>
    <row r="39" spans="1:37" x14ac:dyDescent="0.25">
      <c r="A39" s="235" t="s">
        <v>225</v>
      </c>
      <c r="B39" s="48">
        <v>43997</v>
      </c>
      <c r="C39" s="351">
        <v>0.71666666666666667</v>
      </c>
      <c r="D39" s="37">
        <f>IF(V060_20[[#This Row],[FECHA]]-B38=1,((V060_20[[#This Row],[HORA]]-C38)*24)+24,(V060_20[[#This Row],[HORA]]-C38)*24)</f>
        <v>2.8000000000000007</v>
      </c>
      <c r="E39" s="239" t="s">
        <v>47</v>
      </c>
      <c r="F39" s="29" t="s">
        <v>48</v>
      </c>
      <c r="G39" s="324"/>
      <c r="H39" s="306"/>
      <c r="I39" s="259">
        <f>IF(ISERROR(V060_20[[#This Row],[DISTANCIA POR CARTA]]/V060_20[[#This Row],[TIEMPO DE NAVEGACION]]),0,V060_20[[#This Row],[DISTANCIA POR CARTA]]/V060_20[[#This Row],[TIEMPO DE NAVEGACION]])</f>
        <v>0</v>
      </c>
      <c r="J39" s="242"/>
      <c r="K39" s="325"/>
      <c r="L39" s="245">
        <v>0.23</v>
      </c>
      <c r="M39" s="245">
        <v>0.28999999999999998</v>
      </c>
      <c r="N39" s="245">
        <v>0.18</v>
      </c>
      <c r="O39" s="257">
        <f>SUM(V060_20[[#This Row],[MPAL]:[CALDERA]])</f>
        <v>0.7</v>
      </c>
      <c r="P39" s="319"/>
      <c r="Q39" s="281">
        <f>(Q38-V060_20[[#This Row],[TOTAL ]])+V060_20[FAENA]</f>
        <v>560.62000000000012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SUM(V060_20[[#This Row],[MPAL2]:[GI]])</f>
        <v>0</v>
      </c>
      <c r="X39" s="246"/>
      <c r="Y39" s="282">
        <f>(Y38-V060_20[[#This Row],[TOTAL]])+V060_20[[#This Row],[FAENA2]]</f>
        <v>129.59999999999997</v>
      </c>
      <c r="Z39" s="245">
        <v>0</v>
      </c>
      <c r="AA39" s="246">
        <v>0</v>
      </c>
      <c r="AB39" s="320">
        <f>(AB38-V060_20[[#This Row],[CYLINDER MP]])+V060_20[[#This Row],[FAENA EN LTS]]</f>
        <v>2650</v>
      </c>
      <c r="AC39" s="246">
        <v>0</v>
      </c>
      <c r="AD39" s="246">
        <v>0</v>
      </c>
      <c r="AE39" s="320">
        <f>(AE38-V060_20[[#This Row],[CARTER MP.]])+V060_20[[#This Row],[FAENA EN LTS2]]</f>
        <v>3900</v>
      </c>
      <c r="AF39" s="246">
        <v>0</v>
      </c>
      <c r="AG39" s="246">
        <v>0</v>
      </c>
      <c r="AH39" s="320">
        <f>(AH38-V060_20[[#This Row],[MOT AUX]])+V060_20[[#This Row],[FAENA EN  LTS]]</f>
        <v>1660</v>
      </c>
      <c r="AI39" s="246">
        <v>0</v>
      </c>
      <c r="AJ39" s="246">
        <v>0</v>
      </c>
      <c r="AK39" s="321">
        <f>(AK38-V060_20[[#This Row],[HIDRAULICO]])+V060_20[[#This Row],[FAENA EN LTS3]]</f>
        <v>2500</v>
      </c>
    </row>
    <row r="40" spans="1:37" x14ac:dyDescent="0.25">
      <c r="A40" s="235" t="s">
        <v>225</v>
      </c>
      <c r="B40" s="48">
        <v>43997</v>
      </c>
      <c r="C40" s="362">
        <v>0.87083333333333324</v>
      </c>
      <c r="D40" s="37">
        <f>IF(V060_20[[#This Row],[FECHA]]-B39=1,((V060_20[[#This Row],[HORA]]-C39)*24)+24,(V060_20[[#This Row],[HORA]]-C39)*24)</f>
        <v>3.6999999999999975</v>
      </c>
      <c r="E40" s="239" t="s">
        <v>49</v>
      </c>
      <c r="F40" s="29" t="s">
        <v>50</v>
      </c>
      <c r="G40" s="324"/>
      <c r="H40" s="306"/>
      <c r="I40" s="259">
        <f>IF(ISERROR(V060_20[[#This Row],[DISTANCIA POR CARTA]]/V060_20[[#This Row],[TIEMPO DE NAVEGACION]]),0,V060_20[[#This Row],[DISTANCIA POR CARTA]]/V060_20[[#This Row],[TIEMPO DE NAVEGACION]])</f>
        <v>0</v>
      </c>
      <c r="J40" s="242"/>
      <c r="K40" s="325"/>
      <c r="L40" s="245">
        <v>0</v>
      </c>
      <c r="M40" s="245">
        <v>0.39</v>
      </c>
      <c r="N40" s="245">
        <v>0.24</v>
      </c>
      <c r="O40" s="257">
        <f>SUM(V060_20[[#This Row],[MPAL]:[CALDERA]])</f>
        <v>0.63</v>
      </c>
      <c r="P40" s="319"/>
      <c r="Q40" s="281">
        <f>(Q39-V060_20[[#This Row],[TOTAL ]])+V060_20[FAENA]</f>
        <v>559.99000000000012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0.7</v>
      </c>
      <c r="W40" s="257">
        <f>SUM(V060_20[[#This Row],[MPAL2]:[GI]])</f>
        <v>0.7</v>
      </c>
      <c r="X40" s="246"/>
      <c r="Y40" s="282">
        <f>(Y39-V060_20[[#This Row],[TOTAL]])+V060_20[[#This Row],[FAENA2]]</f>
        <v>128.89999999999998</v>
      </c>
      <c r="Z40" s="245">
        <v>0</v>
      </c>
      <c r="AA40" s="246">
        <v>0</v>
      </c>
      <c r="AB40" s="320">
        <f>(AB39-V060_20[[#This Row],[CYLINDER MP]])+V060_20[[#This Row],[FAENA EN LTS]]</f>
        <v>2650</v>
      </c>
      <c r="AC40" s="246">
        <v>0</v>
      </c>
      <c r="AD40" s="246">
        <v>0</v>
      </c>
      <c r="AE40" s="320">
        <f>(AE39-V060_20[[#This Row],[CARTER MP.]])+V060_20[[#This Row],[FAENA EN LTS2]]</f>
        <v>3900</v>
      </c>
      <c r="AF40" s="246">
        <v>0</v>
      </c>
      <c r="AG40" s="246">
        <v>0</v>
      </c>
      <c r="AH40" s="320">
        <f>(AH39-V060_20[[#This Row],[MOT AUX]])+V060_20[[#This Row],[FAENA EN  LTS]]</f>
        <v>1660</v>
      </c>
      <c r="AI40" s="246">
        <v>0</v>
      </c>
      <c r="AJ40" s="246">
        <v>0</v>
      </c>
      <c r="AK40" s="321">
        <f>(AK39-V060_20[[#This Row],[HIDRAULICO]])+V060_20[[#This Row],[FAENA EN LTS3]]</f>
        <v>2500</v>
      </c>
    </row>
    <row r="41" spans="1:37" x14ac:dyDescent="0.25">
      <c r="A41" s="235" t="s">
        <v>225</v>
      </c>
      <c r="B41" s="48">
        <v>43998</v>
      </c>
      <c r="C41" s="351">
        <v>0.33333333333333331</v>
      </c>
      <c r="D41" s="37">
        <f>IF(V060_20[[#This Row],[FECHA]]-B40=1,((V060_20[[#This Row],[HORA]]-C40)*24)+24,(V060_20[[#This Row],[HORA]]-C40)*24)</f>
        <v>11.100000000000003</v>
      </c>
      <c r="E41" s="239" t="s">
        <v>51</v>
      </c>
      <c r="F41" s="29" t="s">
        <v>51</v>
      </c>
      <c r="G41" s="324"/>
      <c r="H41" s="306"/>
      <c r="I41" s="259">
        <f>IF(ISERROR(V060_20[[#This Row],[DISTANCIA POR CARTA]]/V060_20[[#This Row],[TIEMPO DE NAVEGACION]]),0,V060_20[[#This Row],[DISTANCIA POR CARTA]]/V060_20[[#This Row],[TIEMPO DE NAVEGACION]])</f>
        <v>0</v>
      </c>
      <c r="J41" s="242"/>
      <c r="K41" s="325"/>
      <c r="L41" s="245">
        <v>0</v>
      </c>
      <c r="M41" s="245">
        <v>1.1599999999999999</v>
      </c>
      <c r="N41" s="245">
        <v>0.93</v>
      </c>
      <c r="O41" s="257">
        <f>SUM(V060_20[[#This Row],[MPAL]:[CALDERA]])</f>
        <v>2.09</v>
      </c>
      <c r="P41" s="319"/>
      <c r="Q41" s="281">
        <f>(Q40-V060_20[[#This Row],[TOTAL ]])+V060_20[FAENA]</f>
        <v>557.90000000000009</v>
      </c>
      <c r="R41" s="245">
        <v>0</v>
      </c>
      <c r="S41" s="246">
        <v>0</v>
      </c>
      <c r="T41" s="246">
        <v>0</v>
      </c>
      <c r="U41" s="246">
        <v>0</v>
      </c>
      <c r="V41" s="246">
        <v>2.7</v>
      </c>
      <c r="W41" s="257">
        <f>SUM(V060_20[[#This Row],[MPAL2]:[GI]])</f>
        <v>2.7</v>
      </c>
      <c r="X41" s="246"/>
      <c r="Y41" s="282">
        <f>(Y40-V060_20[[#This Row],[TOTAL]])+V060_20[[#This Row],[FAENA2]]</f>
        <v>126.19999999999997</v>
      </c>
      <c r="Z41" s="245">
        <v>0</v>
      </c>
      <c r="AA41" s="246">
        <v>0</v>
      </c>
      <c r="AB41" s="320">
        <f>(AB40-V060_20[[#This Row],[CYLINDER MP]])+V060_20[[#This Row],[FAENA EN LTS]]</f>
        <v>2650</v>
      </c>
      <c r="AC41" s="246">
        <v>0</v>
      </c>
      <c r="AD41" s="246">
        <v>0</v>
      </c>
      <c r="AE41" s="320">
        <f>(AE40-V060_20[[#This Row],[CARTER MP.]])+V060_20[[#This Row],[FAENA EN LTS2]]</f>
        <v>3900</v>
      </c>
      <c r="AF41" s="246">
        <v>20</v>
      </c>
      <c r="AG41" s="246">
        <v>0</v>
      </c>
      <c r="AH41" s="320">
        <f>(AH40-V060_20[[#This Row],[MOT AUX]])+V060_20[[#This Row],[FAENA EN  LTS]]</f>
        <v>1640</v>
      </c>
      <c r="AI41" s="246">
        <v>50</v>
      </c>
      <c r="AJ41" s="246">
        <v>0</v>
      </c>
      <c r="AK41" s="321">
        <f>(AK40-V060_20[[#This Row],[HIDRAULICO]])+V060_20[[#This Row],[FAENA EN LTS3]]</f>
        <v>2450</v>
      </c>
    </row>
    <row r="42" spans="1:37" x14ac:dyDescent="0.25">
      <c r="A42" s="235" t="s">
        <v>225</v>
      </c>
      <c r="B42" s="48">
        <v>43999</v>
      </c>
      <c r="C42" s="362">
        <v>0.33333333333333331</v>
      </c>
      <c r="D42" s="37">
        <f>IF(V060_20[[#This Row],[FECHA]]-B41=1,((V060_20[[#This Row],[HORA]]-C41)*24)+24,(V060_20[[#This Row],[HORA]]-C41)*24)</f>
        <v>24</v>
      </c>
      <c r="E42" s="239" t="s">
        <v>51</v>
      </c>
      <c r="F42" s="29" t="s">
        <v>51</v>
      </c>
      <c r="G42" s="324"/>
      <c r="H42" s="306"/>
      <c r="I42" s="259">
        <f>IF(ISERROR(V060_20[[#This Row],[DISTANCIA POR CARTA]]/V060_20[[#This Row],[TIEMPO DE NAVEGACION]]),0,V060_20[[#This Row],[DISTANCIA POR CARTA]]/V060_20[[#This Row],[TIEMPO DE NAVEGACION]])</f>
        <v>0</v>
      </c>
      <c r="J42" s="242"/>
      <c r="K42" s="325"/>
      <c r="L42" s="245">
        <v>0</v>
      </c>
      <c r="M42" s="245">
        <v>2.5</v>
      </c>
      <c r="N42" s="245">
        <v>2</v>
      </c>
      <c r="O42" s="257">
        <f>SUM(V060_20[[#This Row],[MPAL]:[CALDERA]])</f>
        <v>4.5</v>
      </c>
      <c r="P42" s="319"/>
      <c r="Q42" s="281">
        <f>(Q41-V060_20[[#This Row],[TOTAL ]])+V060_20[FAENA]</f>
        <v>553.40000000000009</v>
      </c>
      <c r="R42" s="245">
        <v>0</v>
      </c>
      <c r="S42" s="246">
        <v>0</v>
      </c>
      <c r="T42" s="246">
        <v>0</v>
      </c>
      <c r="U42" s="246">
        <v>0</v>
      </c>
      <c r="V42" s="246">
        <v>6</v>
      </c>
      <c r="W42" s="257">
        <f>SUM(V060_20[[#This Row],[MPAL2]:[GI]])</f>
        <v>6</v>
      </c>
      <c r="X42" s="246"/>
      <c r="Y42" s="282">
        <f>(Y41-V060_20[[#This Row],[TOTAL]])+V060_20[[#This Row],[FAENA2]]</f>
        <v>120.19999999999997</v>
      </c>
      <c r="Z42" s="245">
        <v>0</v>
      </c>
      <c r="AA42" s="246">
        <v>0</v>
      </c>
      <c r="AB42" s="320">
        <f>(AB41-V060_20[[#This Row],[CYLINDER MP]])+V060_20[[#This Row],[FAENA EN LTS]]</f>
        <v>2650</v>
      </c>
      <c r="AC42" s="246">
        <v>0</v>
      </c>
      <c r="AD42" s="246">
        <v>0</v>
      </c>
      <c r="AE42" s="320">
        <f>(AE41-V060_20[[#This Row],[CARTER MP.]])+V060_20[[#This Row],[FAENA EN LTS2]]</f>
        <v>3900</v>
      </c>
      <c r="AF42" s="246">
        <v>20</v>
      </c>
      <c r="AG42" s="246">
        <v>0</v>
      </c>
      <c r="AH42" s="320">
        <f>(AH41-V060_20[[#This Row],[MOT AUX]])+V060_20[[#This Row],[FAENA EN  LTS]]</f>
        <v>1620</v>
      </c>
      <c r="AI42" s="246">
        <v>50</v>
      </c>
      <c r="AJ42" s="246">
        <v>0</v>
      </c>
      <c r="AK42" s="321">
        <f>(AK41-V060_20[[#This Row],[HIDRAULICO]])+V060_20[[#This Row],[FAENA EN LTS3]]</f>
        <v>2400</v>
      </c>
    </row>
    <row r="43" spans="1:37" x14ac:dyDescent="0.25">
      <c r="A43" s="235" t="s">
        <v>225</v>
      </c>
      <c r="B43" s="48">
        <v>43999</v>
      </c>
      <c r="C43" s="41">
        <v>0.37083333333333335</v>
      </c>
      <c r="D43" s="37">
        <f>IF(V060_20[[#This Row],[FECHA]]-B42=1,((V060_20[[#This Row],[HORA]]-C42)*24)+24,(V060_20[[#This Row],[HORA]]-C42)*24)</f>
        <v>0.9000000000000008</v>
      </c>
      <c r="E43" s="239" t="s">
        <v>51</v>
      </c>
      <c r="F43" s="29" t="s">
        <v>52</v>
      </c>
      <c r="G43" s="324"/>
      <c r="H43" s="306"/>
      <c r="I43" s="259">
        <f>IF(ISERROR(V060_20[[#This Row],[DISTANCIA POR CARTA]]/V060_20[[#This Row],[TIEMPO DE NAVEGACION]]),0,V060_20[[#This Row],[DISTANCIA POR CARTA]]/V060_20[[#This Row],[TIEMPO DE NAVEGACION]])</f>
        <v>0</v>
      </c>
      <c r="J43" s="242"/>
      <c r="K43" s="325"/>
      <c r="L43" s="245">
        <v>0</v>
      </c>
      <c r="M43" s="245">
        <v>0.09</v>
      </c>
      <c r="N43" s="245">
        <v>0.08</v>
      </c>
      <c r="O43" s="257">
        <f>SUM(V060_20[[#This Row],[MPAL]:[CALDERA]])</f>
        <v>0.16999999999999998</v>
      </c>
      <c r="P43" s="319"/>
      <c r="Q43" s="281">
        <f>(Q42-V060_20[[#This Row],[TOTAL ]])+V060_20[FAENA]</f>
        <v>553.23000000000013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v>0.2</v>
      </c>
      <c r="X43" s="246"/>
      <c r="Y43" s="282">
        <f>(Y42-V060_20[[#This Row],[TOTAL]])+V060_20[[#This Row],[FAENA2]]</f>
        <v>119.99999999999997</v>
      </c>
      <c r="Z43" s="245">
        <v>0</v>
      </c>
      <c r="AA43" s="246">
        <v>0</v>
      </c>
      <c r="AB43" s="320">
        <f>(AB42-V060_20[[#This Row],[CYLINDER MP]])+V060_20[[#This Row],[FAENA EN LTS]]</f>
        <v>2650</v>
      </c>
      <c r="AC43" s="246">
        <v>0</v>
      </c>
      <c r="AD43" s="246">
        <v>0</v>
      </c>
      <c r="AE43" s="320">
        <f>(AE42-V060_20[[#This Row],[CARTER MP.]])+V060_20[[#This Row],[FAENA EN LTS2]]</f>
        <v>3900</v>
      </c>
      <c r="AF43" s="246">
        <v>0</v>
      </c>
      <c r="AG43" s="246">
        <v>0</v>
      </c>
      <c r="AH43" s="320">
        <f>(AH42-V060_20[[#This Row],[MOT AUX]])+V060_20[[#This Row],[FAENA EN  LTS]]</f>
        <v>1620</v>
      </c>
      <c r="AI43" s="246">
        <v>0</v>
      </c>
      <c r="AJ43" s="246">
        <v>0</v>
      </c>
      <c r="AK43" s="321">
        <f>(AK42-V060_20[[#This Row],[HIDRAULICO]])+V060_20[[#This Row],[FAENA EN LTS3]]</f>
        <v>2400</v>
      </c>
    </row>
    <row r="44" spans="1:37" x14ac:dyDescent="0.25">
      <c r="A44" s="235" t="s">
        <v>225</v>
      </c>
      <c r="B44" s="48">
        <v>43999</v>
      </c>
      <c r="C44" s="41">
        <v>0.52500000000000002</v>
      </c>
      <c r="D44" s="37">
        <f>IF(V060_20[[#This Row],[FECHA]]-B43=1,((V060_20[[#This Row],[HORA]]-C43)*24)+24,(V060_20[[#This Row],[HORA]]-C43)*24)</f>
        <v>3.7</v>
      </c>
      <c r="E44" s="239" t="s">
        <v>49</v>
      </c>
      <c r="F44" s="29" t="s">
        <v>46</v>
      </c>
      <c r="G44" s="324"/>
      <c r="H44" s="306"/>
      <c r="I44" s="259">
        <f>IF(ISERROR(V060_20[[#This Row],[DISTANCIA POR CARTA]]/V060_20[[#This Row],[TIEMPO DE NAVEGACION]]),0,V060_20[[#This Row],[DISTANCIA POR CARTA]]/V060_20[[#This Row],[TIEMPO DE NAVEGACION]])</f>
        <v>0</v>
      </c>
      <c r="J44" s="242"/>
      <c r="K44" s="325"/>
      <c r="L44" s="245">
        <v>0</v>
      </c>
      <c r="M44" s="245">
        <v>0.39</v>
      </c>
      <c r="N44" s="245">
        <v>0.3</v>
      </c>
      <c r="O44" s="257">
        <f>SUM(V060_20[[#This Row],[MPAL]:[CALDERA]])</f>
        <v>0.69</v>
      </c>
      <c r="P44" s="319"/>
      <c r="Q44" s="281">
        <f>(Q43-V060_20[[#This Row],[TOTAL ]])+V060_20[FAENA]</f>
        <v>552.54000000000008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SUM(V060_20[[#This Row],[MPAL2]:[GI]])</f>
        <v>0</v>
      </c>
      <c r="X44" s="246"/>
      <c r="Y44" s="282">
        <f>(Y43-V060_20[[#This Row],[TOTAL]])+V060_20[[#This Row],[FAENA2]]</f>
        <v>119.99999999999997</v>
      </c>
      <c r="Z44" s="245">
        <v>0</v>
      </c>
      <c r="AA44" s="246">
        <v>0</v>
      </c>
      <c r="AB44" s="320">
        <f>(AB43-V060_20[[#This Row],[CYLINDER MP]])+V060_20[[#This Row],[FAENA EN LTS]]</f>
        <v>2650</v>
      </c>
      <c r="AC44" s="246">
        <v>0</v>
      </c>
      <c r="AD44" s="246">
        <v>0</v>
      </c>
      <c r="AE44" s="320">
        <f>(AE43-V060_20[[#This Row],[CARTER MP.]])+V060_20[[#This Row],[FAENA EN LTS2]]</f>
        <v>3900</v>
      </c>
      <c r="AF44" s="246">
        <v>0</v>
      </c>
      <c r="AG44" s="246">
        <v>0</v>
      </c>
      <c r="AH44" s="320">
        <f>(AH43-V060_20[[#This Row],[MOT AUX]])+V060_20[[#This Row],[FAENA EN  LTS]]</f>
        <v>1620</v>
      </c>
      <c r="AI44" s="246">
        <v>0</v>
      </c>
      <c r="AJ44" s="246">
        <v>0</v>
      </c>
      <c r="AK44" s="321">
        <f>(AK43-V060_20[[#This Row],[HIDRAULICO]])+V060_20[[#This Row],[FAENA EN LTS3]]</f>
        <v>2400</v>
      </c>
    </row>
    <row r="45" spans="1:37" x14ac:dyDescent="0.25">
      <c r="A45" s="235" t="s">
        <v>225</v>
      </c>
      <c r="B45" s="48">
        <v>43999</v>
      </c>
      <c r="C45" s="41">
        <v>0.5541666666666667</v>
      </c>
      <c r="D45" s="37">
        <f>IF(V060_20[[#This Row],[FECHA]]-B44=1,((V060_20[[#This Row],[HORA]]-C44)*24)+24,(V060_20[[#This Row],[HORA]]-C44)*24)</f>
        <v>0.70000000000000018</v>
      </c>
      <c r="E45" s="239" t="s">
        <v>47</v>
      </c>
      <c r="F45" s="29" t="s">
        <v>213</v>
      </c>
      <c r="G45" s="324"/>
      <c r="H45" s="306"/>
      <c r="I45" s="259">
        <f>IF(ISERROR(V060_20[[#This Row],[DISTANCIA POR CARTA]]/V060_20[[#This Row],[TIEMPO DE NAVEGACION]]),0,V060_20[[#This Row],[DISTANCIA POR CARTA]]/V060_20[[#This Row],[TIEMPO DE NAVEGACION]])</f>
        <v>0</v>
      </c>
      <c r="J45" s="242"/>
      <c r="K45" s="325"/>
      <c r="L45" s="245">
        <v>0.06</v>
      </c>
      <c r="M45" s="245">
        <v>7.0000000000000007E-2</v>
      </c>
      <c r="N45" s="245">
        <v>0.06</v>
      </c>
      <c r="O45" s="257">
        <f>SUM(V060_20[[#This Row],[MPAL]:[CALDERA]])</f>
        <v>0.19</v>
      </c>
      <c r="P45" s="319"/>
      <c r="Q45" s="281">
        <f>(Q44-V060_20[[#This Row],[TOTAL ]])+V060_20[FAENA]</f>
        <v>552.35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SUM(V060_20[[#This Row],[MPAL2]:[GI]])</f>
        <v>0</v>
      </c>
      <c r="X45" s="246"/>
      <c r="Y45" s="282">
        <f>(Y44-V060_20[[#This Row],[TOTAL]])+V060_20[[#This Row],[FAENA2]]</f>
        <v>119.99999999999997</v>
      </c>
      <c r="Z45" s="245">
        <v>10</v>
      </c>
      <c r="AA45" s="246">
        <v>0</v>
      </c>
      <c r="AB45" s="320">
        <f>(AB44-V060_20[[#This Row],[CYLINDER MP]])+V060_20[[#This Row],[FAENA EN LTS]]</f>
        <v>2640</v>
      </c>
      <c r="AC45" s="246">
        <v>0</v>
      </c>
      <c r="AD45" s="246">
        <v>0</v>
      </c>
      <c r="AE45" s="320">
        <f>(AE44-V060_20[[#This Row],[CARTER MP.]])+V060_20[[#This Row],[FAENA EN LTS2]]</f>
        <v>3900</v>
      </c>
      <c r="AF45" s="246">
        <v>0</v>
      </c>
      <c r="AG45" s="246">
        <v>0</v>
      </c>
      <c r="AH45" s="320">
        <f>(AH44-V060_20[[#This Row],[MOT AUX]])+V060_20[[#This Row],[FAENA EN  LTS]]</f>
        <v>1620</v>
      </c>
      <c r="AI45" s="246">
        <v>0</v>
      </c>
      <c r="AJ45" s="246">
        <v>0</v>
      </c>
      <c r="AK45" s="321">
        <f>(AK44-V060_20[[#This Row],[HIDRAULICO]])+V060_20[[#This Row],[FAENA EN LTS3]]</f>
        <v>2400</v>
      </c>
    </row>
    <row r="46" spans="1:37" x14ac:dyDescent="0.25">
      <c r="A46" s="235" t="s">
        <v>225</v>
      </c>
      <c r="B46" s="48">
        <v>44000</v>
      </c>
      <c r="C46" s="41">
        <v>0.33333333333333331</v>
      </c>
      <c r="D46" s="37">
        <f>IF(V060_20[[#This Row],[FECHA]]-B45=1,((V060_20[[#This Row],[HORA]]-C45)*24)+24,(V060_20[[#This Row],[HORA]]-C45)*24)</f>
        <v>18.7</v>
      </c>
      <c r="E46" s="239" t="s">
        <v>55</v>
      </c>
      <c r="F46" s="29" t="s">
        <v>56</v>
      </c>
      <c r="G46" s="324"/>
      <c r="H46" s="306"/>
      <c r="I46" s="259">
        <f>IF(ISERROR(V060_20[[#This Row],[DISTANCIA POR CARTA]]/V060_20[[#This Row],[TIEMPO DE NAVEGACION]]),0,V060_20[[#This Row],[DISTANCIA POR CARTA]]/V060_20[[#This Row],[TIEMPO DE NAVEGACION]])</f>
        <v>0</v>
      </c>
      <c r="J46" s="242"/>
      <c r="K46" s="325">
        <v>96</v>
      </c>
      <c r="L46" s="245">
        <v>17.100000000000001</v>
      </c>
      <c r="M46" s="245">
        <v>1.95</v>
      </c>
      <c r="N46" s="245">
        <v>0</v>
      </c>
      <c r="O46" s="257">
        <f>SUM(V060_20[[#This Row],[MPAL]:[CALDERA]])</f>
        <v>19.05</v>
      </c>
      <c r="P46" s="319"/>
      <c r="Q46" s="281">
        <f>(Q45-V060_20[[#This Row],[TOTAL ]])+V060_20[FAENA]</f>
        <v>533.30000000000007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SUM(V060_20[[#This Row],[MPAL2]:[GI]])</f>
        <v>0</v>
      </c>
      <c r="X46" s="246"/>
      <c r="Y46" s="282">
        <f>(Y45-V060_20[[#This Row],[TOTAL]])+V060_20[[#This Row],[FAENA2]]</f>
        <v>119.99999999999997</v>
      </c>
      <c r="Z46" s="245">
        <v>220</v>
      </c>
      <c r="AA46" s="246">
        <v>0</v>
      </c>
      <c r="AB46" s="320">
        <f>(AB45-V060_20[[#This Row],[CYLINDER MP]])+V060_20[[#This Row],[FAENA EN LTS]]</f>
        <v>2420</v>
      </c>
      <c r="AC46" s="246">
        <v>0</v>
      </c>
      <c r="AD46" s="246">
        <v>0</v>
      </c>
      <c r="AE46" s="320">
        <f>(AE45-V060_20[[#This Row],[CARTER MP.]])+V060_20[[#This Row],[FAENA EN LTS2]]</f>
        <v>3900</v>
      </c>
      <c r="AF46" s="246">
        <v>20</v>
      </c>
      <c r="AG46" s="246">
        <v>0</v>
      </c>
      <c r="AH46" s="320">
        <f>(AH45-V060_20[[#This Row],[MOT AUX]])+V060_20[[#This Row],[FAENA EN  LTS]]</f>
        <v>1600</v>
      </c>
      <c r="AI46" s="246">
        <v>0</v>
      </c>
      <c r="AJ46" s="246">
        <v>0</v>
      </c>
      <c r="AK46" s="321">
        <f>(AK45-V060_20[[#This Row],[HIDRAULICO]])+V060_20[[#This Row],[FAENA EN LTS3]]</f>
        <v>2400</v>
      </c>
    </row>
    <row r="47" spans="1:37" x14ac:dyDescent="0.25">
      <c r="A47" s="235" t="s">
        <v>225</v>
      </c>
      <c r="B47" s="48">
        <v>44001</v>
      </c>
      <c r="C47" s="41">
        <v>0.33333333333333331</v>
      </c>
      <c r="D47" s="37">
        <f>IF(V060_20[[#This Row],[FECHA]]-B46=1,((V060_20[[#This Row],[HORA]]-C46)*24)+24,(V060_20[[#This Row],[HORA]]-C46)*24)</f>
        <v>24</v>
      </c>
      <c r="E47" s="239" t="s">
        <v>55</v>
      </c>
      <c r="F47" s="29" t="s">
        <v>56</v>
      </c>
      <c r="G47" s="324"/>
      <c r="H47" s="306"/>
      <c r="I47" s="259">
        <f>IF(ISERROR(V060_20[[#This Row],[DISTANCIA POR CARTA]]/V060_20[[#This Row],[TIEMPO DE NAVEGACION]]),0,V060_20[[#This Row],[DISTANCIA POR CARTA]]/V060_20[[#This Row],[TIEMPO DE NAVEGACION]])</f>
        <v>0</v>
      </c>
      <c r="J47" s="242"/>
      <c r="K47" s="325">
        <v>96</v>
      </c>
      <c r="L47" s="245">
        <v>22</v>
      </c>
      <c r="M47" s="245">
        <v>2.5</v>
      </c>
      <c r="N47" s="245">
        <v>0</v>
      </c>
      <c r="O47" s="257">
        <f>SUM(V060_20[[#This Row],[MPAL]:[CALDERA]])</f>
        <v>24.5</v>
      </c>
      <c r="P47" s="319"/>
      <c r="Q47" s="281">
        <f>(Q46-V060_20[[#This Row],[TOTAL ]])+V060_20[FAENA]</f>
        <v>508.80000000000007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SUM(V060_20[[#This Row],[MPAL2]:[GI]])</f>
        <v>0</v>
      </c>
      <c r="X47" s="246"/>
      <c r="Y47" s="282">
        <f>(Y46-V060_20[[#This Row],[TOTAL]])+V060_20[[#This Row],[FAENA2]]</f>
        <v>119.99999999999997</v>
      </c>
      <c r="Z47" s="245">
        <v>280</v>
      </c>
      <c r="AA47" s="246">
        <v>0</v>
      </c>
      <c r="AB47" s="320">
        <f>(AB46-V060_20[[#This Row],[CYLINDER MP]])+V060_20[[#This Row],[FAENA EN LTS]]</f>
        <v>2140</v>
      </c>
      <c r="AC47" s="246">
        <v>0</v>
      </c>
      <c r="AD47" s="246">
        <v>0</v>
      </c>
      <c r="AE47" s="320">
        <f>(AE46-V060_20[[#This Row],[CARTER MP.]])+V060_20[[#This Row],[FAENA EN LTS2]]</f>
        <v>3900</v>
      </c>
      <c r="AF47" s="246">
        <v>20</v>
      </c>
      <c r="AG47" s="246">
        <v>0</v>
      </c>
      <c r="AH47" s="320">
        <f>(AH46-V060_20[[#This Row],[MOT AUX]])+V060_20[[#This Row],[FAENA EN  LTS]]</f>
        <v>1580</v>
      </c>
      <c r="AI47" s="246">
        <v>0</v>
      </c>
      <c r="AJ47" s="246">
        <v>0</v>
      </c>
      <c r="AK47" s="321">
        <f>(AK46-V060_20[[#This Row],[HIDRAULICO]])+V060_20[[#This Row],[FAENA EN LTS3]]</f>
        <v>2400</v>
      </c>
    </row>
    <row r="48" spans="1:37" x14ac:dyDescent="0.25">
      <c r="A48" s="235" t="s">
        <v>225</v>
      </c>
      <c r="B48" s="48">
        <v>44001</v>
      </c>
      <c r="C48" s="41">
        <v>0.82500000000000007</v>
      </c>
      <c r="D48" s="37">
        <f>IF(V060_20[[#This Row],[FECHA]]-B47=1,((V060_20[[#This Row],[HORA]]-C47)*24)+24,(V060_20[[#This Row],[HORA]]-C47)*24)</f>
        <v>11.800000000000002</v>
      </c>
      <c r="E48" s="239" t="s">
        <v>55</v>
      </c>
      <c r="F48" s="29" t="s">
        <v>142</v>
      </c>
      <c r="G48" s="324">
        <v>654</v>
      </c>
      <c r="H48" s="306">
        <v>54.5</v>
      </c>
      <c r="I48" s="259">
        <f>IF(ISERROR(V060_20[[#This Row],[DISTANCIA POR CARTA]]/V060_20[[#This Row],[TIEMPO DE NAVEGACION]]),0,V060_20[[#This Row],[DISTANCIA POR CARTA]]/V060_20[[#This Row],[TIEMPO DE NAVEGACION]])</f>
        <v>12</v>
      </c>
      <c r="J48" s="380" t="s">
        <v>218</v>
      </c>
      <c r="K48" s="325">
        <v>96</v>
      </c>
      <c r="L48" s="245">
        <v>10.82</v>
      </c>
      <c r="M48" s="245">
        <v>1.23</v>
      </c>
      <c r="N48" s="245">
        <v>0</v>
      </c>
      <c r="O48" s="257">
        <f>SUM(V060_20[[#This Row],[MPAL]:[CALDERA]])</f>
        <v>12.05</v>
      </c>
      <c r="P48" s="319"/>
      <c r="Q48" s="281">
        <f>(Q47-V060_20[[#This Row],[TOTAL ]])+V060_20[FAENA]</f>
        <v>496.75000000000006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SUM(V060_20[[#This Row],[MPAL2]:[GI]])</f>
        <v>0</v>
      </c>
      <c r="X48" s="246"/>
      <c r="Y48" s="282">
        <f>(Y47-V060_20[[#This Row],[TOTAL]])+V060_20[[#This Row],[FAENA2]]</f>
        <v>119.99999999999997</v>
      </c>
      <c r="Z48" s="245">
        <v>140</v>
      </c>
      <c r="AA48" s="246">
        <v>0</v>
      </c>
      <c r="AB48" s="320">
        <f>(AB47-V060_20[[#This Row],[CYLINDER MP]])+V060_20[[#This Row],[FAENA EN LTS]]</f>
        <v>2000</v>
      </c>
      <c r="AC48" s="246">
        <v>0</v>
      </c>
      <c r="AD48" s="246">
        <v>0</v>
      </c>
      <c r="AE48" s="320">
        <f>(AE47-V060_20[[#This Row],[CARTER MP.]])+V060_20[[#This Row],[FAENA EN LTS2]]</f>
        <v>3900</v>
      </c>
      <c r="AF48" s="246">
        <v>0</v>
      </c>
      <c r="AG48" s="246">
        <v>0</v>
      </c>
      <c r="AH48" s="320">
        <f>(AH47-V060_20[[#This Row],[MOT AUX]])+V060_20[[#This Row],[FAENA EN  LTS]]</f>
        <v>1580</v>
      </c>
      <c r="AI48" s="246">
        <v>0</v>
      </c>
      <c r="AJ48" s="246">
        <v>0</v>
      </c>
      <c r="AK48" s="321">
        <f>(AK47-V060_20[[#This Row],[HIDRAULICO]])+V060_20[[#This Row],[FAENA EN LTS3]]</f>
        <v>2400</v>
      </c>
    </row>
    <row r="49" spans="1:37" x14ac:dyDescent="0.25">
      <c r="A49" s="235" t="s">
        <v>225</v>
      </c>
      <c r="B49" s="48">
        <v>44001</v>
      </c>
      <c r="C49" s="41">
        <v>0.86249999999999993</v>
      </c>
      <c r="D49" s="37">
        <f>IF(V060_20[[#This Row],[FECHA]]-B48=1,((V060_20[[#This Row],[HORA]]-C48)*24)+24,(V060_20[[#This Row],[HORA]]-C48)*24)</f>
        <v>0.8999999999999968</v>
      </c>
      <c r="E49" s="239" t="s">
        <v>47</v>
      </c>
      <c r="F49" s="29" t="s">
        <v>242</v>
      </c>
      <c r="G49" s="324"/>
      <c r="H49" s="306"/>
      <c r="I49" s="259">
        <f>IF(ISERROR(V060_20[[#This Row],[DISTANCIA POR CARTA]]/V060_20[[#This Row],[TIEMPO DE NAVEGACION]]),0,V060_20[[#This Row],[DISTANCIA POR CARTA]]/V060_20[[#This Row],[TIEMPO DE NAVEGACION]])</f>
        <v>0</v>
      </c>
      <c r="J49" s="242"/>
      <c r="K49" s="325"/>
      <c r="L49" s="245">
        <v>7.0000000000000007E-2</v>
      </c>
      <c r="M49" s="245">
        <v>0.09</v>
      </c>
      <c r="N49" s="245">
        <v>7.0000000000000007E-2</v>
      </c>
      <c r="O49" s="257">
        <f>SUM(V060_20[[#This Row],[MPAL]:[CALDERA]])</f>
        <v>0.23</v>
      </c>
      <c r="P49" s="319"/>
      <c r="Q49" s="281">
        <f>(Q48-V060_20[[#This Row],[TOTAL ]])+V060_20[FAENA]</f>
        <v>496.52000000000004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SUM(V060_20[[#This Row],[MPAL2]:[GI]])</f>
        <v>0</v>
      </c>
      <c r="X49" s="246"/>
      <c r="Y49" s="282">
        <f>(Y48-V060_20[[#This Row],[TOTAL]])+V060_20[[#This Row],[FAENA2]]</f>
        <v>119.99999999999997</v>
      </c>
      <c r="Z49" s="245">
        <v>10</v>
      </c>
      <c r="AA49" s="246">
        <v>0</v>
      </c>
      <c r="AB49" s="320">
        <f>(AB48-V060_20[[#This Row],[CYLINDER MP]])+V060_20[[#This Row],[FAENA EN LTS]]</f>
        <v>1990</v>
      </c>
      <c r="AC49" s="246">
        <v>0</v>
      </c>
      <c r="AD49" s="246">
        <v>0</v>
      </c>
      <c r="AE49" s="320">
        <f>(AE48-V060_20[[#This Row],[CARTER MP.]])+V060_20[[#This Row],[FAENA EN LTS2]]</f>
        <v>3900</v>
      </c>
      <c r="AF49" s="246">
        <v>0</v>
      </c>
      <c r="AG49" s="246">
        <v>0</v>
      </c>
      <c r="AH49" s="320">
        <f>(AH48-V060_20[[#This Row],[MOT AUX]])+V060_20[[#This Row],[FAENA EN  LTS]]</f>
        <v>1580</v>
      </c>
      <c r="AI49" s="246">
        <v>0</v>
      </c>
      <c r="AJ49" s="246">
        <v>0</v>
      </c>
      <c r="AK49" s="321">
        <f>(AK48-V060_20[[#This Row],[HIDRAULICO]])+V060_20[[#This Row],[FAENA EN LTS3]]</f>
        <v>2400</v>
      </c>
    </row>
    <row r="50" spans="1:37" x14ac:dyDescent="0.25">
      <c r="A50" s="235" t="s">
        <v>225</v>
      </c>
      <c r="B50" s="48">
        <v>44001</v>
      </c>
      <c r="C50" s="41">
        <v>0.96250000000000002</v>
      </c>
      <c r="D50" s="37">
        <f>IF(V060_20[[#This Row],[FECHA]]-B49=1,((V060_20[[#This Row],[HORA]]-C49)*24)+24,(V060_20[[#This Row],[HORA]]-C49)*24)</f>
        <v>2.4000000000000021</v>
      </c>
      <c r="E50" s="239" t="s">
        <v>49</v>
      </c>
      <c r="F50" s="29" t="s">
        <v>46</v>
      </c>
      <c r="G50" s="324"/>
      <c r="H50" s="306"/>
      <c r="I50" s="259">
        <f>IF(ISERROR(V060_20[[#This Row],[DISTANCIA POR CARTA]]/V060_20[[#This Row],[TIEMPO DE NAVEGACION]]),0,V060_20[[#This Row],[DISTANCIA POR CARTA]]/V060_20[[#This Row],[TIEMPO DE NAVEGACION]])</f>
        <v>0</v>
      </c>
      <c r="J50" s="242"/>
      <c r="K50" s="325"/>
      <c r="L50" s="245">
        <v>0</v>
      </c>
      <c r="M50" s="245">
        <v>0.25</v>
      </c>
      <c r="N50" s="245">
        <v>0.2</v>
      </c>
      <c r="O50" s="257">
        <f>SUM(V060_20[[#This Row],[MPAL]:[CALDERA]])</f>
        <v>0.45</v>
      </c>
      <c r="P50" s="319"/>
      <c r="Q50" s="281">
        <f>(Q49-V060_20[[#This Row],[TOTAL ]])+V060_20[FAENA]</f>
        <v>496.07000000000005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SUM(V060_20[[#This Row],[MPAL2]:[GI]])</f>
        <v>0</v>
      </c>
      <c r="X50" s="246"/>
      <c r="Y50" s="282">
        <f>(Y49-V060_20[[#This Row],[TOTAL]])+V060_20[[#This Row],[FAENA2]]</f>
        <v>119.99999999999997</v>
      </c>
      <c r="Z50" s="245">
        <v>0</v>
      </c>
      <c r="AA50" s="246">
        <v>0</v>
      </c>
      <c r="AB50" s="320">
        <f>(AB49-V060_20[[#This Row],[CYLINDER MP]])+V060_20[[#This Row],[FAENA EN LTS]]</f>
        <v>1990</v>
      </c>
      <c r="AC50" s="246">
        <v>0</v>
      </c>
      <c r="AD50" s="246">
        <v>0</v>
      </c>
      <c r="AE50" s="320">
        <f>(AE49-V060_20[[#This Row],[CARTER MP.]])+V060_20[[#This Row],[FAENA EN LTS2]]</f>
        <v>3900</v>
      </c>
      <c r="AF50" s="246">
        <v>0</v>
      </c>
      <c r="AG50" s="246">
        <v>0</v>
      </c>
      <c r="AH50" s="320">
        <f>(AH49-V060_20[[#This Row],[MOT AUX]])+V060_20[[#This Row],[FAENA EN  LTS]]</f>
        <v>1580</v>
      </c>
      <c r="AI50" s="246">
        <v>0</v>
      </c>
      <c r="AJ50" s="246">
        <v>0</v>
      </c>
      <c r="AK50" s="321">
        <f>(AK49-V060_20[[#This Row],[HIDRAULICO]])+V060_20[[#This Row],[FAENA EN LTS3]]</f>
        <v>2400</v>
      </c>
    </row>
    <row r="51" spans="1:37" x14ac:dyDescent="0.25">
      <c r="A51" s="235" t="s">
        <v>225</v>
      </c>
      <c r="B51" s="48">
        <v>44002</v>
      </c>
      <c r="C51" s="41">
        <v>3.3333333333333333E-2</v>
      </c>
      <c r="D51" s="37">
        <f>IF(V060_20[[#This Row],[FECHA]]-B50=1,((V060_20[[#This Row],[HORA]]-C50)*24)+24,(V060_20[[#This Row],[HORA]]-C50)*24)</f>
        <v>1.6999999999999993</v>
      </c>
      <c r="E51" s="239" t="s">
        <v>47</v>
      </c>
      <c r="F51" s="29" t="s">
        <v>241</v>
      </c>
      <c r="G51" s="324"/>
      <c r="H51" s="306"/>
      <c r="I51" s="259">
        <f>IF(ISERROR(V060_20[[#This Row],[DISTANCIA POR CARTA]]/V060_20[[#This Row],[TIEMPO DE NAVEGACION]]),0,V060_20[[#This Row],[DISTANCIA POR CARTA]]/V060_20[[#This Row],[TIEMPO DE NAVEGACION]])</f>
        <v>0</v>
      </c>
      <c r="J51" s="242"/>
      <c r="K51" s="325"/>
      <c r="L51" s="245">
        <v>0.14000000000000001</v>
      </c>
      <c r="M51" s="245">
        <v>0.18</v>
      </c>
      <c r="N51" s="245">
        <v>0.14000000000000001</v>
      </c>
      <c r="O51" s="257">
        <f>SUM(V060_20[[#This Row],[MPAL]:[CALDERA]])</f>
        <v>0.46</v>
      </c>
      <c r="P51" s="319"/>
      <c r="Q51" s="281">
        <f>(Q50-V060_20[[#This Row],[TOTAL ]])+V060_20[FAENA]</f>
        <v>495.61000000000007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SUM(V060_20[[#This Row],[MPAL2]:[GI]])</f>
        <v>0</v>
      </c>
      <c r="X51" s="246"/>
      <c r="Y51" s="282">
        <f>(Y50-V060_20[[#This Row],[TOTAL]])+V060_20[[#This Row],[FAENA2]]</f>
        <v>119.99999999999997</v>
      </c>
      <c r="Z51" s="245">
        <v>10</v>
      </c>
      <c r="AA51" s="246">
        <v>0</v>
      </c>
      <c r="AB51" s="320">
        <f>(AB50-V060_20[[#This Row],[CYLINDER MP]])+V060_20[[#This Row],[FAENA EN LTS]]</f>
        <v>1980</v>
      </c>
      <c r="AC51" s="246">
        <v>0</v>
      </c>
      <c r="AD51" s="246">
        <v>0</v>
      </c>
      <c r="AE51" s="320">
        <f>(AE50-V060_20[[#This Row],[CARTER MP.]])+V060_20[[#This Row],[FAENA EN LTS2]]</f>
        <v>3900</v>
      </c>
      <c r="AF51" s="246">
        <v>0</v>
      </c>
      <c r="AG51" s="246">
        <v>0</v>
      </c>
      <c r="AH51" s="320">
        <f>(AH50-V060_20[[#This Row],[MOT AUX]])+V060_20[[#This Row],[FAENA EN  LTS]]</f>
        <v>1580</v>
      </c>
      <c r="AI51" s="246">
        <v>0</v>
      </c>
      <c r="AJ51" s="246">
        <v>0</v>
      </c>
      <c r="AK51" s="321">
        <f>(AK50-V060_20[[#This Row],[HIDRAULICO]])+V060_20[[#This Row],[FAENA EN LTS3]]</f>
        <v>2400</v>
      </c>
    </row>
    <row r="52" spans="1:37" x14ac:dyDescent="0.25">
      <c r="A52" s="235" t="s">
        <v>225</v>
      </c>
      <c r="B52" s="48">
        <v>44002</v>
      </c>
      <c r="C52" s="41">
        <v>0.25416666666666665</v>
      </c>
      <c r="D52" s="37">
        <f>IF(V060_20[[#This Row],[FECHA]]-B51=1,((V060_20[[#This Row],[HORA]]-C51)*24)+24,(V060_20[[#This Row],[HORA]]-C51)*24)</f>
        <v>5.3</v>
      </c>
      <c r="E52" s="239" t="s">
        <v>49</v>
      </c>
      <c r="F52" s="29" t="s">
        <v>50</v>
      </c>
      <c r="G52" s="324"/>
      <c r="H52" s="306"/>
      <c r="I52" s="259">
        <f>IF(ISERROR(V060_20[[#This Row],[DISTANCIA POR CARTA]]/V060_20[[#This Row],[TIEMPO DE NAVEGACION]]),0,V060_20[[#This Row],[DISTANCIA POR CARTA]]/V060_20[[#This Row],[TIEMPO DE NAVEGACION]])</f>
        <v>0</v>
      </c>
      <c r="J52" s="242"/>
      <c r="K52" s="325"/>
      <c r="L52" s="245">
        <v>0</v>
      </c>
      <c r="M52" s="245">
        <v>0.55000000000000004</v>
      </c>
      <c r="N52" s="245">
        <v>0.44</v>
      </c>
      <c r="O52" s="257">
        <f>SUM(V060_20[[#This Row],[MPAL]:[CALDERA]])</f>
        <v>0.99</v>
      </c>
      <c r="P52" s="319"/>
      <c r="Q52" s="281">
        <f>(Q51-V060_20[[#This Row],[TOTAL ]])+V060_20[FAENA]</f>
        <v>494.62000000000006</v>
      </c>
      <c r="R52" s="245">
        <v>0</v>
      </c>
      <c r="S52" s="246">
        <v>0</v>
      </c>
      <c r="T52" s="246">
        <v>0</v>
      </c>
      <c r="U52" s="246">
        <v>0</v>
      </c>
      <c r="V52" s="246">
        <v>0.5</v>
      </c>
      <c r="W52" s="257">
        <f>SUM(V060_20[[#This Row],[MPAL2]:[GI]])</f>
        <v>0.5</v>
      </c>
      <c r="X52" s="246"/>
      <c r="Y52" s="282">
        <f>(Y51-V060_20[[#This Row],[TOTAL]])+V060_20[[#This Row],[FAENA2]]</f>
        <v>119.49999999999997</v>
      </c>
      <c r="Z52" s="245">
        <v>0</v>
      </c>
      <c r="AA52" s="246">
        <v>0</v>
      </c>
      <c r="AB52" s="320">
        <f>(AB51-V060_20[[#This Row],[CYLINDER MP]])+V060_20[[#This Row],[FAENA EN LTS]]</f>
        <v>1980</v>
      </c>
      <c r="AC52" s="246">
        <v>0</v>
      </c>
      <c r="AD52" s="246">
        <v>0</v>
      </c>
      <c r="AE52" s="320">
        <f>(AE51-V060_20[[#This Row],[CARTER MP.]])+V060_20[[#This Row],[FAENA EN LTS2]]</f>
        <v>3900</v>
      </c>
      <c r="AF52" s="246">
        <v>0</v>
      </c>
      <c r="AG52" s="246">
        <v>0</v>
      </c>
      <c r="AH52" s="320">
        <f>(AH51-V060_20[[#This Row],[MOT AUX]])+V060_20[[#This Row],[FAENA EN  LTS]]</f>
        <v>1580</v>
      </c>
      <c r="AI52" s="246">
        <v>0</v>
      </c>
      <c r="AJ52" s="246">
        <v>0</v>
      </c>
      <c r="AK52" s="321">
        <f>(AK51-V060_20[[#This Row],[HIDRAULICO]])+V060_20[[#This Row],[FAENA EN LTS3]]</f>
        <v>2400</v>
      </c>
    </row>
    <row r="53" spans="1:37" x14ac:dyDescent="0.25">
      <c r="A53" s="235" t="s">
        <v>225</v>
      </c>
      <c r="B53" s="48">
        <v>44002</v>
      </c>
      <c r="C53" s="351">
        <v>0.33333333333333331</v>
      </c>
      <c r="D53" s="37">
        <f>IF(V060_20[[#This Row],[FECHA]]-B52=1,((V060_20[[#This Row],[HORA]]-C52)*24)+24,(V060_20[[#This Row],[HORA]]-C52)*24)</f>
        <v>1.9</v>
      </c>
      <c r="E53" s="239" t="s">
        <v>51</v>
      </c>
      <c r="F53" s="29" t="s">
        <v>51</v>
      </c>
      <c r="G53" s="324"/>
      <c r="H53" s="306"/>
      <c r="I53" s="259">
        <f>IF(ISERROR(V060_20[[#This Row],[DISTANCIA POR CARTA]]/V060_20[[#This Row],[TIEMPO DE NAVEGACION]]),0,V060_20[[#This Row],[DISTANCIA POR CARTA]]/V060_20[[#This Row],[TIEMPO DE NAVEGACION]])</f>
        <v>0</v>
      </c>
      <c r="J53" s="242"/>
      <c r="K53" s="325"/>
      <c r="L53" s="245">
        <v>0</v>
      </c>
      <c r="M53" s="245">
        <v>0.2</v>
      </c>
      <c r="N53" s="245">
        <v>0.16</v>
      </c>
      <c r="O53" s="257">
        <f>SUM(V060_20[[#This Row],[MPAL]:[CALDERA]])</f>
        <v>0.36</v>
      </c>
      <c r="P53" s="319"/>
      <c r="Q53" s="281">
        <f>(Q52-V060_20[[#This Row],[TOTAL ]])+V060_20[FAENA]</f>
        <v>494.26000000000005</v>
      </c>
      <c r="R53" s="245">
        <v>0</v>
      </c>
      <c r="S53" s="246">
        <v>0</v>
      </c>
      <c r="T53" s="246">
        <v>0</v>
      </c>
      <c r="U53" s="246">
        <v>0</v>
      </c>
      <c r="V53" s="246">
        <v>0.4</v>
      </c>
      <c r="W53" s="257">
        <f>SUM(V060_20[[#This Row],[MPAL2]:[GI]])</f>
        <v>0.4</v>
      </c>
      <c r="X53" s="246"/>
      <c r="Y53" s="282">
        <f>(Y52-V060_20[[#This Row],[TOTAL]])+V060_20[[#This Row],[FAENA2]]</f>
        <v>119.09999999999997</v>
      </c>
      <c r="Z53" s="245">
        <v>0</v>
      </c>
      <c r="AA53" s="246">
        <v>0</v>
      </c>
      <c r="AB53" s="320">
        <f>(AB52-V060_20[[#This Row],[CYLINDER MP]])+V060_20[[#This Row],[FAENA EN LTS]]</f>
        <v>1980</v>
      </c>
      <c r="AC53" s="246">
        <v>0</v>
      </c>
      <c r="AD53" s="246">
        <v>0</v>
      </c>
      <c r="AE53" s="320">
        <f>(AE52-V060_20[[#This Row],[CARTER MP.]])+V060_20[[#This Row],[FAENA EN LTS2]]</f>
        <v>3900</v>
      </c>
      <c r="AF53" s="246">
        <v>20</v>
      </c>
      <c r="AG53" s="246">
        <v>0</v>
      </c>
      <c r="AH53" s="320">
        <f>(AH52-V060_20[[#This Row],[MOT AUX]])+V060_20[[#This Row],[FAENA EN  LTS]]</f>
        <v>1560</v>
      </c>
      <c r="AI53" s="246">
        <v>30</v>
      </c>
      <c r="AJ53" s="246">
        <v>0</v>
      </c>
      <c r="AK53" s="321">
        <f>(AK52-V060_20[[#This Row],[HIDRAULICO]])+V060_20[[#This Row],[FAENA EN LTS3]]</f>
        <v>2370</v>
      </c>
    </row>
    <row r="54" spans="1:37" x14ac:dyDescent="0.25">
      <c r="A54" s="235" t="s">
        <v>225</v>
      </c>
      <c r="B54" s="48">
        <v>44002</v>
      </c>
      <c r="C54" s="41">
        <v>0.85833333333333339</v>
      </c>
      <c r="D54" s="37">
        <f>IF(V060_20[[#This Row],[FECHA]]-B53=1,((V060_20[[#This Row],[HORA]]-C53)*24)+24,(V060_20[[#This Row],[HORA]]-C53)*24)</f>
        <v>12.600000000000003</v>
      </c>
      <c r="E54" s="239" t="s">
        <v>51</v>
      </c>
      <c r="F54" s="29" t="s">
        <v>52</v>
      </c>
      <c r="G54" s="324"/>
      <c r="H54" s="306"/>
      <c r="I54" s="259">
        <f>IF(ISERROR(V060_20[[#This Row],[DISTANCIA POR CARTA]]/V060_20[[#This Row],[TIEMPO DE NAVEGACION]]),0,V060_20[[#This Row],[DISTANCIA POR CARTA]]/V060_20[[#This Row],[TIEMPO DE NAVEGACION]])</f>
        <v>0</v>
      </c>
      <c r="J54" s="242"/>
      <c r="K54" s="325"/>
      <c r="L54" s="245">
        <v>0</v>
      </c>
      <c r="M54" s="245">
        <v>1.31</v>
      </c>
      <c r="N54" s="245">
        <v>1.05</v>
      </c>
      <c r="O54" s="257">
        <f>SUM(V060_20[[#This Row],[MPAL]:[CALDERA]])</f>
        <v>2.3600000000000003</v>
      </c>
      <c r="P54" s="319"/>
      <c r="Q54" s="281">
        <f>(Q53-V060_20[[#This Row],[TOTAL ]])+V060_20[FAENA]</f>
        <v>491.90000000000003</v>
      </c>
      <c r="R54" s="245">
        <v>0</v>
      </c>
      <c r="S54" s="246">
        <v>0</v>
      </c>
      <c r="T54" s="246">
        <v>0</v>
      </c>
      <c r="U54" s="246">
        <v>0</v>
      </c>
      <c r="V54" s="246">
        <v>3.1</v>
      </c>
      <c r="W54" s="257">
        <f>SUM(V060_20[[#This Row],[MPAL2]:[GI]])</f>
        <v>3.1</v>
      </c>
      <c r="X54" s="246"/>
      <c r="Y54" s="282">
        <f>(Y53-V060_20[[#This Row],[TOTAL]])+V060_20[[#This Row],[FAENA2]]</f>
        <v>115.99999999999997</v>
      </c>
      <c r="Z54" s="245">
        <v>0</v>
      </c>
      <c r="AA54" s="246">
        <v>0</v>
      </c>
      <c r="AB54" s="320">
        <f>(AB53-V060_20[[#This Row],[CYLINDER MP]])+V060_20[[#This Row],[FAENA EN LTS]]</f>
        <v>1980</v>
      </c>
      <c r="AC54" s="246">
        <v>0</v>
      </c>
      <c r="AD54" s="246">
        <v>0</v>
      </c>
      <c r="AE54" s="320">
        <f>(AE53-V060_20[[#This Row],[CARTER MP.]])+V060_20[[#This Row],[FAENA EN LTS2]]</f>
        <v>3900</v>
      </c>
      <c r="AF54" s="246">
        <v>0</v>
      </c>
      <c r="AG54" s="246">
        <v>0</v>
      </c>
      <c r="AH54" s="320">
        <f>(AH53-V060_20[[#This Row],[MOT AUX]])+V060_20[[#This Row],[FAENA EN  LTS]]</f>
        <v>1560</v>
      </c>
      <c r="AI54" s="246">
        <v>0</v>
      </c>
      <c r="AJ54" s="246">
        <v>0</v>
      </c>
      <c r="AK54" s="321">
        <f>(AK53-V060_20[[#This Row],[HIDRAULICO]])+V060_20[[#This Row],[FAENA EN LTS3]]</f>
        <v>2370</v>
      </c>
    </row>
    <row r="55" spans="1:37" x14ac:dyDescent="0.25">
      <c r="A55" s="235" t="s">
        <v>225</v>
      </c>
      <c r="B55" s="48">
        <v>44002</v>
      </c>
      <c r="C55" s="41">
        <v>0.9916666666666667</v>
      </c>
      <c r="D55" s="37">
        <f>IF(V060_20[[#This Row],[FECHA]]-B54=1,((V060_20[[#This Row],[HORA]]-C54)*24)+24,(V060_20[[#This Row],[HORA]]-C54)*24)</f>
        <v>3.1999999999999993</v>
      </c>
      <c r="E55" s="239" t="s">
        <v>49</v>
      </c>
      <c r="F55" s="29" t="s">
        <v>46</v>
      </c>
      <c r="G55" s="324"/>
      <c r="H55" s="306"/>
      <c r="I55" s="259">
        <f>IF(ISERROR(V060_20[[#This Row],[DISTANCIA POR CARTA]]/V060_20[[#This Row],[TIEMPO DE NAVEGACION]]),0,V060_20[[#This Row],[DISTANCIA POR CARTA]]/V060_20[[#This Row],[TIEMPO DE NAVEGACION]])</f>
        <v>0</v>
      </c>
      <c r="J55" s="242"/>
      <c r="K55" s="325"/>
      <c r="L55" s="245">
        <v>0</v>
      </c>
      <c r="M55" s="245">
        <v>0.33</v>
      </c>
      <c r="N55" s="245">
        <v>0.24</v>
      </c>
      <c r="O55" s="257">
        <f>SUM(V060_20[[#This Row],[MPAL]:[CALDERA]])</f>
        <v>0.57000000000000006</v>
      </c>
      <c r="P55" s="319"/>
      <c r="Q55" s="281">
        <f>(Q54-V060_20[[#This Row],[TOTAL ]])+V060_20[FAENA]</f>
        <v>491.33000000000004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SUM(V060_20[[#This Row],[MPAL2]:[GI]])</f>
        <v>0</v>
      </c>
      <c r="X55" s="246"/>
      <c r="Y55" s="282">
        <f>(Y54-V060_20[[#This Row],[TOTAL]])+V060_20[[#This Row],[FAENA2]]</f>
        <v>115.99999999999997</v>
      </c>
      <c r="Z55" s="245">
        <v>0</v>
      </c>
      <c r="AA55" s="246">
        <v>0</v>
      </c>
      <c r="AB55" s="320">
        <f>(AB54-V060_20[[#This Row],[CYLINDER MP]])+V060_20[[#This Row],[FAENA EN LTS]]</f>
        <v>1980</v>
      </c>
      <c r="AC55" s="246">
        <v>0</v>
      </c>
      <c r="AD55" s="246">
        <v>0</v>
      </c>
      <c r="AE55" s="320">
        <f>(AE54-V060_20[[#This Row],[CARTER MP.]])+V060_20[[#This Row],[FAENA EN LTS2]]</f>
        <v>3900</v>
      </c>
      <c r="AF55" s="246">
        <v>0</v>
      </c>
      <c r="AG55" s="246">
        <v>0</v>
      </c>
      <c r="AH55" s="320">
        <f>(AH54-V060_20[[#This Row],[MOT AUX]])+V060_20[[#This Row],[FAENA EN  LTS]]</f>
        <v>1560</v>
      </c>
      <c r="AI55" s="246">
        <v>0</v>
      </c>
      <c r="AJ55" s="246">
        <v>0</v>
      </c>
      <c r="AK55" s="321">
        <f>(AK54-V060_20[[#This Row],[HIDRAULICO]])+V060_20[[#This Row],[FAENA EN LTS3]]</f>
        <v>2370</v>
      </c>
    </row>
    <row r="56" spans="1:37" x14ac:dyDescent="0.25">
      <c r="A56" s="235" t="s">
        <v>225</v>
      </c>
      <c r="B56" s="48">
        <v>44003</v>
      </c>
      <c r="C56" s="41">
        <v>4.1666666666666664E-2</v>
      </c>
      <c r="D56" s="37">
        <f>IF(V060_20[[#This Row],[FECHA]]-B55=1,((V060_20[[#This Row],[HORA]]-C55)*24)+24,(V060_20[[#This Row],[HORA]]-C55)*24)</f>
        <v>1.1999999999999993</v>
      </c>
      <c r="E56" s="239" t="s">
        <v>47</v>
      </c>
      <c r="F56" s="29" t="s">
        <v>151</v>
      </c>
      <c r="G56" s="324"/>
      <c r="H56" s="306"/>
      <c r="I56" s="259">
        <f>IF(ISERROR(V060_20[[#This Row],[DISTANCIA POR CARTA]]/V060_20[[#This Row],[TIEMPO DE NAVEGACION]]),0,V060_20[[#This Row],[DISTANCIA POR CARTA]]/V060_20[[#This Row],[TIEMPO DE NAVEGACION]])</f>
        <v>0</v>
      </c>
      <c r="J56" s="242"/>
      <c r="K56" s="325"/>
      <c r="L56" s="245">
        <v>0.25</v>
      </c>
      <c r="M56" s="245">
        <v>0.13</v>
      </c>
      <c r="N56" s="245">
        <v>0</v>
      </c>
      <c r="O56" s="257">
        <f>SUM(V060_20[[#This Row],[MPAL]:[CALDERA]])</f>
        <v>0.38</v>
      </c>
      <c r="P56" s="319"/>
      <c r="Q56" s="281">
        <f>(Q55-V060_20[[#This Row],[TOTAL ]])+V060_20[FAENA]</f>
        <v>490.95000000000005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SUM(V060_20[[#This Row],[MPAL2]:[GI]])</f>
        <v>0</v>
      </c>
      <c r="X56" s="246"/>
      <c r="Y56" s="282">
        <f>(Y55-V060_20[[#This Row],[TOTAL]])+V060_20[[#This Row],[FAENA2]]</f>
        <v>115.99999999999997</v>
      </c>
      <c r="Z56" s="245">
        <v>0</v>
      </c>
      <c r="AA56" s="246">
        <v>0</v>
      </c>
      <c r="AB56" s="320">
        <f>(AB55-V060_20[[#This Row],[CYLINDER MP]])+V060_20[[#This Row],[FAENA EN LTS]]</f>
        <v>1980</v>
      </c>
      <c r="AC56" s="246">
        <v>0</v>
      </c>
      <c r="AD56" s="246">
        <v>0</v>
      </c>
      <c r="AE56" s="320">
        <f>(AE55-V060_20[[#This Row],[CARTER MP.]])+V060_20[[#This Row],[FAENA EN LTS2]]</f>
        <v>3900</v>
      </c>
      <c r="AF56" s="246">
        <v>0</v>
      </c>
      <c r="AG56" s="246">
        <v>0</v>
      </c>
      <c r="AH56" s="320">
        <f>(AH55-V060_20[[#This Row],[MOT AUX]])+V060_20[[#This Row],[FAENA EN  LTS]]</f>
        <v>1560</v>
      </c>
      <c r="AI56" s="246">
        <v>0</v>
      </c>
      <c r="AJ56" s="246">
        <v>0</v>
      </c>
      <c r="AK56" s="321">
        <f>(AK55-V060_20[[#This Row],[HIDRAULICO]])+V060_20[[#This Row],[FAENA EN LTS3]]</f>
        <v>2370</v>
      </c>
    </row>
    <row r="57" spans="1:37" x14ac:dyDescent="0.25">
      <c r="A57" s="235" t="s">
        <v>225</v>
      </c>
      <c r="B57" s="48">
        <v>44003</v>
      </c>
      <c r="C57" s="41">
        <v>0.33333333333333331</v>
      </c>
      <c r="D57" s="37">
        <f>IF(V060_20[[#This Row],[FECHA]]-B56=1,((V060_20[[#This Row],[HORA]]-C56)*24)+24,(V060_20[[#This Row],[HORA]]-C56)*24)</f>
        <v>6.9999999999999991</v>
      </c>
      <c r="E57" s="239" t="s">
        <v>61</v>
      </c>
      <c r="F57" s="29" t="s">
        <v>56</v>
      </c>
      <c r="G57" s="324">
        <v>198</v>
      </c>
      <c r="H57" s="306">
        <v>16.8</v>
      </c>
      <c r="I57" s="259">
        <f>IF(ISERROR(V060_20[[#This Row],[DISTANCIA POR CARTA]]/V060_20[[#This Row],[TIEMPO DE NAVEGACION]]),0,V060_20[[#This Row],[DISTANCIA POR CARTA]]/V060_20[[#This Row],[TIEMPO DE NAVEGACION]])</f>
        <v>11.785714285714285</v>
      </c>
      <c r="J57" s="429" t="s">
        <v>214</v>
      </c>
      <c r="K57" s="325">
        <v>96</v>
      </c>
      <c r="L57" s="245">
        <v>6.42</v>
      </c>
      <c r="M57" s="245">
        <v>0.73</v>
      </c>
      <c r="N57" s="245">
        <v>0</v>
      </c>
      <c r="O57" s="257">
        <f>SUM(V060_20[[#This Row],[MPAL]:[CALDERA]])</f>
        <v>7.15</v>
      </c>
      <c r="P57" s="319"/>
      <c r="Q57" s="281">
        <f>(Q56-V060_20[[#This Row],[TOTAL ]])+V060_20[FAENA]</f>
        <v>483.80000000000007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SUM(V060_20[[#This Row],[MPAL2]:[GI]])</f>
        <v>0</v>
      </c>
      <c r="X57" s="246"/>
      <c r="Y57" s="282">
        <f>(Y56-V060_20[[#This Row],[TOTAL]])+V060_20[[#This Row],[FAENA2]]</f>
        <v>115.99999999999997</v>
      </c>
      <c r="Z57" s="245">
        <v>80</v>
      </c>
      <c r="AA57" s="246">
        <v>0</v>
      </c>
      <c r="AB57" s="320">
        <f>(AB56-V060_20[[#This Row],[CYLINDER MP]])+V060_20[[#This Row],[FAENA EN LTS]]</f>
        <v>1900</v>
      </c>
      <c r="AC57" s="246">
        <v>0</v>
      </c>
      <c r="AD57" s="246">
        <v>0</v>
      </c>
      <c r="AE57" s="320">
        <f>(AE56-V060_20[[#This Row],[CARTER MP.]])+V060_20[[#This Row],[FAENA EN LTS2]]</f>
        <v>3900</v>
      </c>
      <c r="AF57" s="246">
        <v>20</v>
      </c>
      <c r="AG57" s="246">
        <v>0</v>
      </c>
      <c r="AH57" s="320">
        <f>(AH56-V060_20[[#This Row],[MOT AUX]])+V060_20[[#This Row],[FAENA EN  LTS]]</f>
        <v>1540</v>
      </c>
      <c r="AI57" s="246">
        <v>30</v>
      </c>
      <c r="AJ57" s="246">
        <v>0</v>
      </c>
      <c r="AK57" s="321">
        <f>(AK56-V060_20[[#This Row],[HIDRAULICO]])+V060_20[[#This Row],[FAENA EN LTS3]]</f>
        <v>2340</v>
      </c>
    </row>
    <row r="58" spans="1:37" x14ac:dyDescent="0.25">
      <c r="A58" s="235" t="s">
        <v>225</v>
      </c>
      <c r="B58" s="48">
        <v>44003</v>
      </c>
      <c r="C58" s="41">
        <v>0.7416666666666667</v>
      </c>
      <c r="D58" s="37">
        <f>IF(V060_20[[#This Row],[FECHA]]-B57=1,((V060_20[[#This Row],[HORA]]-C57)*24)+24,(V060_20[[#This Row],[HORA]]-C57)*24)</f>
        <v>9.8000000000000007</v>
      </c>
      <c r="E58" s="239" t="s">
        <v>61</v>
      </c>
      <c r="F58" s="29" t="s">
        <v>201</v>
      </c>
      <c r="G58" s="324"/>
      <c r="H58" s="306"/>
      <c r="I58" s="259">
        <f>IF(ISERROR(V060_20[[#This Row],[DISTANCIA POR CARTA]]/V060_20[[#This Row],[TIEMPO DE NAVEGACION]]),0,V060_20[[#This Row],[DISTANCIA POR CARTA]]/V060_20[[#This Row],[TIEMPO DE NAVEGACION]])</f>
        <v>0</v>
      </c>
      <c r="J58" s="242"/>
      <c r="K58" s="325">
        <v>96</v>
      </c>
      <c r="L58" s="245">
        <v>8.98</v>
      </c>
      <c r="M58" s="245">
        <v>1.02</v>
      </c>
      <c r="N58" s="245">
        <v>0</v>
      </c>
      <c r="O58" s="257">
        <f>SUM(V060_20[[#This Row],[MPAL]:[CALDERA]])</f>
        <v>10</v>
      </c>
      <c r="P58" s="319"/>
      <c r="Q58" s="281">
        <f>(Q57-V060_20[[#This Row],[TOTAL ]])+V060_20[FAENA]</f>
        <v>473.80000000000007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SUM(V060_20[[#This Row],[MPAL2]:[GI]])</f>
        <v>0</v>
      </c>
      <c r="X58" s="246"/>
      <c r="Y58" s="282">
        <f>(Y57-V060_20[[#This Row],[TOTAL]])+V060_20[[#This Row],[FAENA2]]</f>
        <v>115.99999999999997</v>
      </c>
      <c r="Z58" s="245">
        <v>120</v>
      </c>
      <c r="AA58" s="246">
        <v>0</v>
      </c>
      <c r="AB58" s="320">
        <f>(AB57-V060_20[[#This Row],[CYLINDER MP]])+V060_20[[#This Row],[FAENA EN LTS]]</f>
        <v>1780</v>
      </c>
      <c r="AC58" s="246">
        <v>0</v>
      </c>
      <c r="AD58" s="246">
        <v>0</v>
      </c>
      <c r="AE58" s="320">
        <f>(AE57-V060_20[[#This Row],[CARTER MP.]])+V060_20[[#This Row],[FAENA EN LTS2]]</f>
        <v>3900</v>
      </c>
      <c r="AF58" s="246">
        <v>0</v>
      </c>
      <c r="AG58" s="246">
        <v>0</v>
      </c>
      <c r="AH58" s="320">
        <f>(AH57-V060_20[[#This Row],[MOT AUX]])+V060_20[[#This Row],[FAENA EN  LTS]]</f>
        <v>1540</v>
      </c>
      <c r="AI58" s="246">
        <v>0</v>
      </c>
      <c r="AJ58" s="246">
        <v>0</v>
      </c>
      <c r="AK58" s="321">
        <f>(AK57-V060_20[[#This Row],[HIDRAULICO]])+V060_20[[#This Row],[FAENA EN LTS3]]</f>
        <v>2340</v>
      </c>
    </row>
    <row r="59" spans="1:37" x14ac:dyDescent="0.25">
      <c r="D59" s="132">
        <f>SUBTOTAL(109,V060_20[TIEMPO Hrs])</f>
        <v>684.00000000000011</v>
      </c>
      <c r="L59" s="68">
        <f>SUBTOTAL(109,V060_20[MPAL])</f>
        <v>102.40999999999998</v>
      </c>
      <c r="M59" s="68">
        <f>SUBTOTAL(109,V060_20[AUX.])</f>
        <v>64.350000000000009</v>
      </c>
      <c r="N59" s="68">
        <f>SUBTOTAL(109,V060_20[CALDERA])</f>
        <v>35.139999999999993</v>
      </c>
    </row>
    <row r="60" spans="1:37" x14ac:dyDescent="0.25">
      <c r="O60" s="67">
        <f>SUM(L59:N59)</f>
        <v>201.89999999999998</v>
      </c>
    </row>
    <row r="61" spans="1:37" ht="19.5" thickBot="1" x14ac:dyDescent="0.35">
      <c r="C61" s="69" t="s">
        <v>187</v>
      </c>
      <c r="D61" s="69"/>
      <c r="E61" s="69"/>
      <c r="F61" s="69"/>
      <c r="G61" s="69"/>
      <c r="N61" s="69"/>
      <c r="O61" s="69"/>
      <c r="S61" s="70" t="s">
        <v>188</v>
      </c>
    </row>
    <row r="62" spans="1:37" ht="19.5" thickBot="1" x14ac:dyDescent="0.35">
      <c r="C62" s="69"/>
      <c r="D62" s="69"/>
      <c r="E62" s="69"/>
      <c r="F62" s="69"/>
      <c r="G62" s="69"/>
      <c r="N62" s="69"/>
      <c r="O62" s="69"/>
      <c r="S62" s="70"/>
    </row>
    <row r="63" spans="1:37" ht="45.75" thickBot="1" x14ac:dyDescent="0.3">
      <c r="C63" s="71" t="s">
        <v>11</v>
      </c>
      <c r="D63" s="71" t="s">
        <v>90</v>
      </c>
      <c r="E63" s="72" t="s">
        <v>91</v>
      </c>
      <c r="F63" s="72" t="s">
        <v>92</v>
      </c>
      <c r="G63" s="72" t="s">
        <v>93</v>
      </c>
      <c r="H63" s="71" t="s">
        <v>94</v>
      </c>
      <c r="I63" s="71" t="s">
        <v>95</v>
      </c>
      <c r="J63" s="71" t="s">
        <v>96</v>
      </c>
      <c r="K63" s="71" t="s">
        <v>97</v>
      </c>
      <c r="L63" s="71" t="s">
        <v>98</v>
      </c>
      <c r="M63" s="377" t="s">
        <v>99</v>
      </c>
      <c r="N63" s="75" t="s">
        <v>100</v>
      </c>
      <c r="R63" s="111" t="s">
        <v>101</v>
      </c>
      <c r="S63" s="111" t="s">
        <v>94</v>
      </c>
      <c r="T63" s="111" t="s">
        <v>102</v>
      </c>
      <c r="U63" s="111" t="s">
        <v>96</v>
      </c>
      <c r="V63" s="111" t="s">
        <v>103</v>
      </c>
      <c r="W63" s="111" t="s">
        <v>104</v>
      </c>
    </row>
    <row r="64" spans="1:37" x14ac:dyDescent="0.25">
      <c r="C64" s="77" t="s">
        <v>71</v>
      </c>
      <c r="D64" s="376">
        <f t="shared" ref="D64:D71" si="0">SUMIF($E$6:$E$58,C64,$D$6:$D$58)</f>
        <v>70.399999999999991</v>
      </c>
      <c r="E64" s="279"/>
      <c r="F64" s="288"/>
      <c r="G64" s="137"/>
      <c r="H64" s="84">
        <f t="shared" ref="H64:H71" si="1">SUMIF($E$6:$E$58,C64,$L$6:$L$58)+SUMIF($E$6:$E$58,C64,$M$6:$M$58)+SUMIF($E$6:$E$58,C64,$N$6:$N$58)</f>
        <v>13.18</v>
      </c>
      <c r="I64" s="139">
        <f t="shared" ref="I64:I71" si="2">IF(ISERROR(H64*24/D64),0,H64*24/D64)</f>
        <v>4.4931818181818191</v>
      </c>
      <c r="J64" s="137">
        <v>4.5</v>
      </c>
      <c r="K64" s="80"/>
      <c r="L64" s="38">
        <f>D64*J64/24</f>
        <v>13.199999999999998</v>
      </c>
      <c r="M64" s="80">
        <f t="shared" ref="M64:M71" si="3">L64-H64</f>
        <v>1.9999999999997797E-2</v>
      </c>
      <c r="N64" s="86"/>
      <c r="Q64" s="82"/>
      <c r="R64" s="83" t="s">
        <v>105</v>
      </c>
      <c r="S64" s="228">
        <f>SUM(V5:V58)</f>
        <v>13.4</v>
      </c>
      <c r="T64" s="84">
        <f>S64*24/($D$65+$D$71)</f>
        <v>3.9219512195121955</v>
      </c>
      <c r="U64" s="84">
        <v>6</v>
      </c>
      <c r="V64" s="85">
        <f>($D$65+$D$71)*U64/24</f>
        <v>20.5</v>
      </c>
      <c r="W64" s="86">
        <f>V64-S64</f>
        <v>7.1</v>
      </c>
    </row>
    <row r="65" spans="3:23" x14ac:dyDescent="0.25">
      <c r="C65" s="87" t="s">
        <v>51</v>
      </c>
      <c r="D65" s="264">
        <f t="shared" si="0"/>
        <v>50.5</v>
      </c>
      <c r="E65" s="264"/>
      <c r="F65" s="289"/>
      <c r="G65" s="139"/>
      <c r="H65" s="88">
        <f t="shared" si="1"/>
        <v>9.48</v>
      </c>
      <c r="I65" s="139">
        <f t="shared" si="2"/>
        <v>4.5053465346534658</v>
      </c>
      <c r="J65" s="139">
        <v>4.5</v>
      </c>
      <c r="K65" s="88"/>
      <c r="L65" s="37">
        <f t="shared" ref="L65:L71" si="4">D65*J65/24</f>
        <v>9.46875</v>
      </c>
      <c r="M65" s="88">
        <f t="shared" si="3"/>
        <v>-1.1250000000000426E-2</v>
      </c>
      <c r="N65" s="121"/>
      <c r="R65" s="90" t="s">
        <v>106</v>
      </c>
      <c r="S65" s="286">
        <f>SUM(S5:S58)</f>
        <v>0</v>
      </c>
      <c r="T65" s="84">
        <f>S65*24/($D$65+$D$71)</f>
        <v>0</v>
      </c>
      <c r="U65" s="88"/>
      <c r="V65" s="88"/>
      <c r="W65" s="121"/>
    </row>
    <row r="66" spans="3:23" x14ac:dyDescent="0.25">
      <c r="C66" s="87" t="s">
        <v>61</v>
      </c>
      <c r="D66" s="264">
        <f t="shared" si="0"/>
        <v>16.8</v>
      </c>
      <c r="E66" s="264">
        <f>SUMIF($E$6:$E$58,C66,$G$6:$G$58)</f>
        <v>198</v>
      </c>
      <c r="F66" s="289">
        <f>E66/D66</f>
        <v>11.785714285714285</v>
      </c>
      <c r="G66" s="139">
        <v>12.5</v>
      </c>
      <c r="H66" s="88">
        <f t="shared" si="1"/>
        <v>17.149999999999999</v>
      </c>
      <c r="I66" s="139">
        <f t="shared" si="2"/>
        <v>24.499999999999996</v>
      </c>
      <c r="J66" s="139">
        <v>30.5</v>
      </c>
      <c r="K66" s="88">
        <f>E66/G66</f>
        <v>15.84</v>
      </c>
      <c r="L66" s="37">
        <f>K66*J66/24</f>
        <v>20.13</v>
      </c>
      <c r="M66" s="88">
        <f t="shared" si="3"/>
        <v>2.9800000000000004</v>
      </c>
      <c r="N66" s="121">
        <f>K66-D66</f>
        <v>-0.96000000000000085</v>
      </c>
      <c r="R66" s="90" t="s">
        <v>20</v>
      </c>
      <c r="S66" s="286">
        <f>SUM(T5:T58)</f>
        <v>1.6</v>
      </c>
      <c r="T66" s="84">
        <f>S66*24/($D$65+$D$71)</f>
        <v>0.46829268292682935</v>
      </c>
      <c r="U66" s="88"/>
      <c r="V66" s="88"/>
      <c r="W66" s="121"/>
    </row>
    <row r="67" spans="3:23" x14ac:dyDescent="0.25">
      <c r="C67" s="87" t="s">
        <v>55</v>
      </c>
      <c r="D67" s="264">
        <f t="shared" si="0"/>
        <v>93.7</v>
      </c>
      <c r="E67" s="264">
        <f>SUMIF($E$6:$E$58,C67,$G$6:$G$58)</f>
        <v>1113</v>
      </c>
      <c r="F67" s="289">
        <f>E67/D67</f>
        <v>11.878335112059764</v>
      </c>
      <c r="G67" s="139">
        <v>12</v>
      </c>
      <c r="H67" s="88">
        <f t="shared" si="1"/>
        <v>95.61999999999999</v>
      </c>
      <c r="I67" s="139">
        <f t="shared" si="2"/>
        <v>24.491782283884735</v>
      </c>
      <c r="J67" s="139">
        <v>30.5</v>
      </c>
      <c r="K67" s="88">
        <f>E67/G67</f>
        <v>92.75</v>
      </c>
      <c r="L67" s="37">
        <f>K67*J67/24</f>
        <v>117.86979166666667</v>
      </c>
      <c r="M67" s="88">
        <f t="shared" si="3"/>
        <v>22.249791666666681</v>
      </c>
      <c r="N67" s="121">
        <f>K67-D67</f>
        <v>-0.95000000000000284</v>
      </c>
      <c r="R67" s="90" t="s">
        <v>107</v>
      </c>
      <c r="S67" s="286">
        <f>SUM(U5:U58)</f>
        <v>0</v>
      </c>
      <c r="T67" s="84">
        <f>S67*24/($D$65+$D$71)</f>
        <v>0</v>
      </c>
      <c r="U67" s="88"/>
      <c r="V67" s="88"/>
      <c r="W67" s="121"/>
    </row>
    <row r="68" spans="3:23" ht="15.75" thickBot="1" x14ac:dyDescent="0.3">
      <c r="C68" s="87" t="s">
        <v>108</v>
      </c>
      <c r="D68" s="264">
        <f t="shared" si="0"/>
        <v>0</v>
      </c>
      <c r="E68" s="264">
        <f>SUMIF($E$6:$E$58,C68,$G$6:$G$58)</f>
        <v>0</v>
      </c>
      <c r="F68" s="289">
        <f>IF(ISERROR(E68/D68),0,E68/D68)</f>
        <v>0</v>
      </c>
      <c r="G68" s="139">
        <v>12</v>
      </c>
      <c r="H68" s="88">
        <f t="shared" si="1"/>
        <v>0</v>
      </c>
      <c r="I68" s="139">
        <f>IF(ISERROR(H68*24/D68),0,H68*24/D68)</f>
        <v>0</v>
      </c>
      <c r="J68" s="139">
        <v>31.5</v>
      </c>
      <c r="K68" s="88">
        <f>E68/G68</f>
        <v>0</v>
      </c>
      <c r="L68" s="37">
        <f>K68*J68/24</f>
        <v>0</v>
      </c>
      <c r="M68" s="88">
        <f t="shared" si="3"/>
        <v>0</v>
      </c>
      <c r="N68" s="121">
        <f>K68-D68</f>
        <v>0</v>
      </c>
      <c r="R68" s="92" t="s">
        <v>24</v>
      </c>
      <c r="S68" s="287">
        <f>SUM(R5:R58)</f>
        <v>0</v>
      </c>
      <c r="T68" s="84">
        <f>S68*24/($D$65+$D$71)</f>
        <v>0</v>
      </c>
      <c r="U68" s="98"/>
      <c r="V68" s="98"/>
      <c r="W68" s="122"/>
    </row>
    <row r="69" spans="3:23" x14ac:dyDescent="0.25">
      <c r="C69" s="87" t="s">
        <v>45</v>
      </c>
      <c r="D69" s="264">
        <f t="shared" si="0"/>
        <v>408.9</v>
      </c>
      <c r="E69" s="264"/>
      <c r="F69" s="289"/>
      <c r="G69" s="139"/>
      <c r="H69" s="88">
        <f t="shared" si="1"/>
        <v>57.370000000000005</v>
      </c>
      <c r="I69" s="139">
        <f t="shared" si="2"/>
        <v>3.3672780630961121</v>
      </c>
      <c r="J69" s="139">
        <v>4.5</v>
      </c>
      <c r="K69" s="88"/>
      <c r="L69" s="37">
        <f t="shared" si="4"/>
        <v>76.668750000000003</v>
      </c>
      <c r="M69" s="88">
        <f t="shared" si="3"/>
        <v>19.298749999999998</v>
      </c>
      <c r="N69" s="121"/>
      <c r="S69" s="68"/>
      <c r="T69" s="143"/>
      <c r="U69" s="68"/>
      <c r="V69" s="68"/>
      <c r="W69" s="68"/>
    </row>
    <row r="70" spans="3:23" x14ac:dyDescent="0.25">
      <c r="C70" s="87" t="s">
        <v>47</v>
      </c>
      <c r="D70" s="264">
        <f t="shared" si="0"/>
        <v>12.199999999999998</v>
      </c>
      <c r="E70" s="264"/>
      <c r="F70" s="289"/>
      <c r="G70" s="139"/>
      <c r="H70" s="88">
        <f t="shared" si="1"/>
        <v>3.2900000000000005</v>
      </c>
      <c r="I70" s="139">
        <f t="shared" si="2"/>
        <v>6.4721311475409857</v>
      </c>
      <c r="J70" s="139">
        <v>4.5</v>
      </c>
      <c r="K70" s="88"/>
      <c r="L70" s="37">
        <f t="shared" si="4"/>
        <v>2.2874999999999996</v>
      </c>
      <c r="M70" s="88">
        <f t="shared" si="3"/>
        <v>-1.0025000000000008</v>
      </c>
      <c r="N70" s="121"/>
      <c r="S70" s="68"/>
      <c r="T70" s="68"/>
      <c r="U70" s="68"/>
      <c r="V70" s="68"/>
      <c r="W70" s="68"/>
    </row>
    <row r="71" spans="3:23" ht="15.75" thickBot="1" x14ac:dyDescent="0.3">
      <c r="C71" s="97" t="s">
        <v>49</v>
      </c>
      <c r="D71" s="290">
        <f t="shared" si="0"/>
        <v>31.5</v>
      </c>
      <c r="E71" s="290"/>
      <c r="F71" s="291"/>
      <c r="G71" s="140"/>
      <c r="H71" s="98">
        <f t="shared" si="1"/>
        <v>5.8100000000000005</v>
      </c>
      <c r="I71" s="141">
        <f t="shared" si="2"/>
        <v>4.4266666666666667</v>
      </c>
      <c r="J71" s="141">
        <v>4.5</v>
      </c>
      <c r="K71" s="98"/>
      <c r="L71" s="99">
        <f t="shared" si="4"/>
        <v>5.90625</v>
      </c>
      <c r="M71" s="98">
        <f t="shared" si="3"/>
        <v>9.6249999999999503E-2</v>
      </c>
      <c r="N71" s="122"/>
      <c r="O71" s="68"/>
      <c r="S71" s="68"/>
      <c r="T71" s="68"/>
      <c r="U71" s="68"/>
      <c r="V71" s="68"/>
      <c r="W71" s="68"/>
    </row>
    <row r="72" spans="3:23" ht="15.75" thickBot="1" x14ac:dyDescent="0.3">
      <c r="C72" s="124"/>
      <c r="D72" s="327"/>
      <c r="E72" s="292"/>
      <c r="F72" s="293"/>
      <c r="G72" s="134"/>
      <c r="H72" s="328"/>
      <c r="I72" s="144"/>
      <c r="J72" s="144"/>
      <c r="K72" s="68"/>
      <c r="L72" s="102"/>
      <c r="M72" s="68"/>
      <c r="N72" s="145"/>
      <c r="O72" s="68"/>
      <c r="S72" s="68"/>
      <c r="T72" s="68"/>
      <c r="U72" s="68"/>
      <c r="V72" s="68"/>
      <c r="W72" s="68"/>
    </row>
    <row r="73" spans="3:23" ht="15.75" thickBot="1" x14ac:dyDescent="0.3">
      <c r="C73" s="103" t="s">
        <v>29</v>
      </c>
      <c r="D73" s="284">
        <f>SUM(D64:D71)</f>
        <v>684</v>
      </c>
      <c r="E73" s="284">
        <f>SUM(E64:E70)</f>
        <v>1311</v>
      </c>
      <c r="F73" s="284">
        <f>SUM(F64:F70)/2</f>
        <v>11.832024698887025</v>
      </c>
      <c r="H73" s="101">
        <f>SUM(H64:H71)</f>
        <v>201.9</v>
      </c>
      <c r="K73" s="142"/>
      <c r="L73" s="104">
        <f>SUM(L64:L71)</f>
        <v>245.53104166666665</v>
      </c>
      <c r="M73" s="101">
        <f>SUM(M64:M71)</f>
        <v>43.631041666666675</v>
      </c>
      <c r="N73" s="101">
        <f>SUM(N64:N71)</f>
        <v>-1.9100000000000037</v>
      </c>
      <c r="R73" s="100" t="s">
        <v>29</v>
      </c>
      <c r="S73" s="101">
        <f>SUM(S64:S68)</f>
        <v>15</v>
      </c>
      <c r="T73" s="101">
        <f>SUM(T64:T68)</f>
        <v>4.3902439024390247</v>
      </c>
      <c r="U73" s="68"/>
      <c r="V73" s="68"/>
      <c r="W73" s="68"/>
    </row>
    <row r="82" spans="9:9" x14ac:dyDescent="0.25">
      <c r="I82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58" name="Rango12"/>
    <protectedRange sqref="AC6:AD58" name="Rango10"/>
    <protectedRange sqref="Z6:AA58" name="Rango8"/>
    <protectedRange sqref="X6:X58" name="Rango6"/>
    <protectedRange sqref="R6:V58" name="Rango5"/>
    <protectedRange sqref="P6:P58" name="Rango3"/>
    <protectedRange sqref="J7:N58 E6:N6 F57:H58 E7:H56" name="Rango2"/>
    <protectedRange sqref="A6:C58" name="Rango1"/>
    <protectedRange sqref="B4:C4" name="Rango16"/>
    <protectedRange sqref="E57:E58" name="Rango2_1"/>
  </protectedRanges>
  <mergeCells count="6">
    <mergeCell ref="G3:K4"/>
    <mergeCell ref="L3:Q3"/>
    <mergeCell ref="R3:Y3"/>
    <mergeCell ref="Z3:AK3"/>
    <mergeCell ref="L4:P4"/>
    <mergeCell ref="R4:X4"/>
  </mergeCells>
  <conditionalFormatting sqref="J6:J56 J58">
    <cfRule type="cellIs" dxfId="844" priority="3" operator="greaterThan">
      <formula>"S5"</formula>
    </cfRule>
  </conditionalFormatting>
  <conditionalFormatting sqref="I6:I58">
    <cfRule type="cellIs" dxfId="843" priority="2" operator="greaterThan">
      <formula>0</formula>
    </cfRule>
  </conditionalFormatting>
  <conditionalFormatting sqref="J57">
    <cfRule type="cellIs" dxfId="842" priority="1" operator="greaterThan">
      <formula>0</formula>
    </cfRule>
  </conditionalFormatting>
  <dataValidations count="2">
    <dataValidation type="list" allowBlank="1" showInputMessage="1" showErrorMessage="1" sqref="E57:E58">
      <formula1>$C$53:$C$54</formula1>
    </dataValidation>
    <dataValidation type="list" allowBlank="1" showInputMessage="1" showErrorMessage="1" sqref="E6:E56">
      <formula1>$C$59:$C$60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/>
  <dimension ref="A1:AK64"/>
  <sheetViews>
    <sheetView zoomScale="80" zoomScaleNormal="80" workbookViewId="0">
      <pane xSplit="6" ySplit="5" topLeftCell="M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41" sqref="D41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44003</v>
      </c>
      <c r="C4" s="341">
        <v>0.7416666666666667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473.8</v>
      </c>
      <c r="R4" s="553" t="s">
        <v>183</v>
      </c>
      <c r="S4" s="554"/>
      <c r="T4" s="554"/>
      <c r="U4" s="554"/>
      <c r="V4" s="554"/>
      <c r="W4" s="554"/>
      <c r="X4" s="555"/>
      <c r="Y4" s="283">
        <v>116</v>
      </c>
      <c r="Z4" s="6"/>
      <c r="AA4" s="7" t="s">
        <v>184</v>
      </c>
      <c r="AB4" s="304">
        <v>1780</v>
      </c>
      <c r="AC4" s="9"/>
      <c r="AD4" s="7" t="s">
        <v>184</v>
      </c>
      <c r="AE4" s="304">
        <v>3900</v>
      </c>
      <c r="AG4" s="7" t="s">
        <v>184</v>
      </c>
      <c r="AH4" s="304">
        <v>1540</v>
      </c>
      <c r="AJ4" s="7" t="s">
        <v>184</v>
      </c>
      <c r="AK4" s="304">
        <v>2340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243</v>
      </c>
      <c r="B6" s="48">
        <v>44003</v>
      </c>
      <c r="C6" s="41">
        <v>0.78333333333333333</v>
      </c>
      <c r="D6" s="37">
        <f>IF(V061_20[[#This Row],[FECHA]]-B4=1,((V061_20[[#This Row],[HORA]]-C4)*24)+24,(V061_20[[#This Row],[HORA]]-C4)*24)</f>
        <v>0.99999999999999911</v>
      </c>
      <c r="E6" s="239" t="s">
        <v>47</v>
      </c>
      <c r="F6" s="29" t="s">
        <v>48</v>
      </c>
      <c r="G6" s="322"/>
      <c r="H6" s="310"/>
      <c r="I6" s="259">
        <f>IF(ISERROR(V061_20[[#This Row],[DISTANCIA POR CARTA]]/V061_20[[#This Row],[TIEMPO DE NAVEGACION]]),0,V061_20[[#This Row],[DISTANCIA POR CARTA]]/V061_20[[#This Row],[TIEMPO DE NAVEGACION]])</f>
        <v>0</v>
      </c>
      <c r="J6" s="253"/>
      <c r="K6" s="323"/>
      <c r="L6" s="256">
        <v>0.08</v>
      </c>
      <c r="M6" s="257">
        <v>0.1</v>
      </c>
      <c r="N6" s="257">
        <v>0.08</v>
      </c>
      <c r="O6" s="257">
        <f>SUM(V061_20[[#This Row],[MPAL]:[CALDERA]])</f>
        <v>0.26</v>
      </c>
      <c r="P6" s="326"/>
      <c r="Q6" s="281">
        <f>(Q4-V061_20[[#This Row],[TOTAL ]])+V061_20[[#This Row],[FAENA]]</f>
        <v>473.54</v>
      </c>
      <c r="R6" s="256">
        <v>0</v>
      </c>
      <c r="S6" s="257">
        <v>0</v>
      </c>
      <c r="T6" s="257">
        <v>0</v>
      </c>
      <c r="U6" s="257">
        <v>0</v>
      </c>
      <c r="V6" s="257">
        <v>0</v>
      </c>
      <c r="W6" s="257">
        <f>SUM(V061_20[[#This Row],[MPAL2]:[GI]])</f>
        <v>0</v>
      </c>
      <c r="X6" s="257"/>
      <c r="Y6" s="282">
        <f>(Y4-V061_20[[#This Row],[TOTAL]])+V061_20[[#This Row],[FAENA2]]</f>
        <v>116</v>
      </c>
      <c r="Z6" s="256">
        <v>0</v>
      </c>
      <c r="AA6" s="257">
        <v>0</v>
      </c>
      <c r="AB6" s="320">
        <f>(AB4-V061_20[[#This Row],[CYLINDER MP]])+V061_20[[#This Row],[FAENA EN LTS]]</f>
        <v>1780</v>
      </c>
      <c r="AC6" s="257">
        <v>0</v>
      </c>
      <c r="AD6" s="257">
        <v>0</v>
      </c>
      <c r="AE6" s="320">
        <f>(AE4-V061_20[[#This Row],[CARTER MP.]])+V061_20[[#This Row],[FAENA EN LTS2]]</f>
        <v>3900</v>
      </c>
      <c r="AF6" s="257">
        <v>0</v>
      </c>
      <c r="AG6" s="257">
        <v>0</v>
      </c>
      <c r="AH6" s="320">
        <f>(AH4-V061_20[[#This Row],[MOT AUX]])+V061_20[[#This Row],[FAENA EN  LTS]]</f>
        <v>1540</v>
      </c>
      <c r="AI6" s="257">
        <v>0</v>
      </c>
      <c r="AJ6" s="257">
        <v>0</v>
      </c>
      <c r="AK6" s="321">
        <f>(AK4-V061_20[[#This Row],[HIDRAULICO]])+V061_20[[#This Row],[FAENA EN LTS3]]</f>
        <v>2340</v>
      </c>
    </row>
    <row r="7" spans="1:37" x14ac:dyDescent="0.25">
      <c r="A7" s="235" t="s">
        <v>243</v>
      </c>
      <c r="B7" s="48">
        <v>44004</v>
      </c>
      <c r="C7" s="41">
        <v>0.25833333333333336</v>
      </c>
      <c r="D7" s="37">
        <f>IF(V061_20[[#This Row],[FECHA]]-B6=1,((V061_20[[#This Row],[HORA]]-C6)*24)+24,(V061_20[[#This Row],[HORA]]-C6)*24)</f>
        <v>11.400000000000002</v>
      </c>
      <c r="E7" s="239" t="s">
        <v>49</v>
      </c>
      <c r="F7" s="29" t="s">
        <v>46</v>
      </c>
      <c r="G7" s="324"/>
      <c r="H7" s="306"/>
      <c r="I7" s="259">
        <f>IF(ISERROR(V061_20[[#This Row],[DISTANCIA POR CARTA]]/V061_20[[#This Row],[TIEMPO DE NAVEGACION]]),0,V061_20[[#This Row],[DISTANCIA POR CARTA]]/V061_20[[#This Row],[TIEMPO DE NAVEGACION]])</f>
        <v>0</v>
      </c>
      <c r="J7" s="242"/>
      <c r="K7" s="325"/>
      <c r="L7" s="245">
        <v>0</v>
      </c>
      <c r="M7" s="246">
        <v>1.19</v>
      </c>
      <c r="N7" s="246">
        <v>0.95</v>
      </c>
      <c r="O7" s="257">
        <f>SUM(V061_20[[#This Row],[MPAL]:[CALDERA]])</f>
        <v>2.1399999999999997</v>
      </c>
      <c r="P7" s="319"/>
      <c r="Q7" s="281">
        <f>(Q6-V061_20[[#This Row],[TOTAL ]])+V061_20[[#This Row],[FAENA]]</f>
        <v>471.40000000000003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SUM(V061_20[[#This Row],[MPAL2]:[GI]])</f>
        <v>0</v>
      </c>
      <c r="X7" s="246"/>
      <c r="Y7" s="282">
        <f>(Y6-V061_20[[#This Row],[TOTAL]])+V061_20[[#This Row],[FAENA2]]</f>
        <v>116</v>
      </c>
      <c r="Z7" s="245">
        <v>0</v>
      </c>
      <c r="AA7" s="246">
        <v>0</v>
      </c>
      <c r="AB7" s="320">
        <f>(AB6-V061_20[[#This Row],[CYLINDER MP]])+V061_20[[#This Row],[FAENA EN LTS]]</f>
        <v>1780</v>
      </c>
      <c r="AC7" s="246">
        <v>0</v>
      </c>
      <c r="AD7" s="246">
        <v>0</v>
      </c>
      <c r="AE7" s="320">
        <f>(AE6-V061_20[[#This Row],[CARTER MP.]])+V061_20[[#This Row],[FAENA EN LTS2]]</f>
        <v>3900</v>
      </c>
      <c r="AF7" s="246">
        <v>0</v>
      </c>
      <c r="AG7" s="246">
        <v>0</v>
      </c>
      <c r="AH7" s="320">
        <f>(AH6-V061_20[[#This Row],[MOT AUX]])+V061_20[[#This Row],[FAENA EN  LTS]]</f>
        <v>1540</v>
      </c>
      <c r="AI7" s="246">
        <v>0</v>
      </c>
      <c r="AJ7" s="246">
        <v>0</v>
      </c>
      <c r="AK7" s="321">
        <f>(AK6-V061_20[[#This Row],[HIDRAULICO]])+V061_20[[#This Row],[FAENA EN LTS3]]</f>
        <v>2340</v>
      </c>
    </row>
    <row r="8" spans="1:37" x14ac:dyDescent="0.25">
      <c r="A8" s="235" t="s">
        <v>243</v>
      </c>
      <c r="B8" s="48">
        <v>44004</v>
      </c>
      <c r="C8" s="381">
        <v>0.33333333333333331</v>
      </c>
      <c r="D8" s="37">
        <f>IF(V061_20[[#This Row],[FECHA]]-B7=1,((V061_20[[#This Row],[HORA]]-C7)*24)+24,(V061_20[[#This Row],[HORA]]-C7)*24)</f>
        <v>1.7999999999999989</v>
      </c>
      <c r="E8" s="239" t="s">
        <v>47</v>
      </c>
      <c r="F8" s="29" t="s">
        <v>245</v>
      </c>
      <c r="G8" s="324"/>
      <c r="H8" s="306"/>
      <c r="I8" s="259">
        <f>IF(ISERROR(V061_20[[#This Row],[DISTANCIA POR CARTA]]/V061_20[[#This Row],[TIEMPO DE NAVEGACION]]),0,V061_20[[#This Row],[DISTANCIA POR CARTA]]/V061_20[[#This Row],[TIEMPO DE NAVEGACION]])</f>
        <v>0</v>
      </c>
      <c r="J8" s="242"/>
      <c r="K8" s="325"/>
      <c r="L8" s="245">
        <v>0.15</v>
      </c>
      <c r="M8" s="245">
        <v>0.19</v>
      </c>
      <c r="N8" s="245">
        <v>0.15</v>
      </c>
      <c r="O8" s="257">
        <f>SUM(V061_20[[#This Row],[MPAL]:[CALDERA]])</f>
        <v>0.49</v>
      </c>
      <c r="P8" s="319"/>
      <c r="Q8" s="281">
        <f>(Q7-V061_20[[#This Row],[TOTAL ]])+V061_20[[#This Row],[FAENA]]</f>
        <v>470.91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SUM(V061_20[[#This Row],[MPAL2]:[GI]])</f>
        <v>0</v>
      </c>
      <c r="X8" s="246"/>
      <c r="Y8" s="282">
        <f>(Y7-V061_20[[#This Row],[TOTAL]])+V061_20[[#This Row],[FAENA2]]</f>
        <v>116</v>
      </c>
      <c r="Z8" s="245">
        <v>20</v>
      </c>
      <c r="AA8" s="246">
        <v>0</v>
      </c>
      <c r="AB8" s="320">
        <f>(AB7-V061_20[[#This Row],[CYLINDER MP]])+V061_20[[#This Row],[FAENA EN LTS]]</f>
        <v>1760</v>
      </c>
      <c r="AC8" s="246">
        <v>0</v>
      </c>
      <c r="AD8" s="246">
        <v>0</v>
      </c>
      <c r="AE8" s="320">
        <f>(AE7-V061_20[[#This Row],[CARTER MP.]])+V061_20[[#This Row],[FAENA EN LTS2]]</f>
        <v>3900</v>
      </c>
      <c r="AF8" s="246">
        <v>20</v>
      </c>
      <c r="AG8" s="246">
        <v>0</v>
      </c>
      <c r="AH8" s="320">
        <f>(AH7-V061_20[[#This Row],[MOT AUX]])+V061_20[[#This Row],[FAENA EN  LTS]]</f>
        <v>1520</v>
      </c>
      <c r="AI8" s="246">
        <v>0</v>
      </c>
      <c r="AJ8" s="246">
        <v>0</v>
      </c>
      <c r="AK8" s="321">
        <f>(AK7-V061_20[[#This Row],[HIDRAULICO]])+V061_20[[#This Row],[FAENA EN LTS3]]</f>
        <v>2340</v>
      </c>
    </row>
    <row r="9" spans="1:37" x14ac:dyDescent="0.25">
      <c r="A9" s="235" t="s">
        <v>243</v>
      </c>
      <c r="B9" s="48">
        <v>44004</v>
      </c>
      <c r="C9" s="41">
        <v>0.35833333333333334</v>
      </c>
      <c r="D9" s="37">
        <f>IF(V061_20[[#This Row],[FECHA]]-B8=1,((V061_20[[#This Row],[HORA]]-C8)*24)+24,(V061_20[[#This Row],[HORA]]-C8)*24)</f>
        <v>0.60000000000000053</v>
      </c>
      <c r="E9" s="239" t="s">
        <v>47</v>
      </c>
      <c r="F9" s="29" t="s">
        <v>241</v>
      </c>
      <c r="G9" s="324"/>
      <c r="H9" s="306"/>
      <c r="I9" s="259">
        <f>IF(ISERROR(V061_20[[#This Row],[DISTANCIA POR CARTA]]/V061_20[[#This Row],[TIEMPO DE NAVEGACION]]),0,V061_20[[#This Row],[DISTANCIA POR CARTA]]/V061_20[[#This Row],[TIEMPO DE NAVEGACION]])</f>
        <v>0</v>
      </c>
      <c r="J9" s="242"/>
      <c r="K9" s="325"/>
      <c r="L9" s="245">
        <v>0.03</v>
      </c>
      <c r="M9" s="245">
        <v>0.04</v>
      </c>
      <c r="N9" s="245">
        <v>0.04</v>
      </c>
      <c r="O9" s="257">
        <f>SUM(V061_20[[#This Row],[MPAL]:[CALDERA]])</f>
        <v>0.11000000000000001</v>
      </c>
      <c r="P9" s="319"/>
      <c r="Q9" s="281">
        <f>(Q8-V061_20[[#This Row],[TOTAL ]])+V061_20[[#This Row],[FAENA]]</f>
        <v>470.8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SUM(V061_20[[#This Row],[MPAL2]:[GI]])</f>
        <v>0</v>
      </c>
      <c r="X9" s="246"/>
      <c r="Y9" s="282">
        <f>(Y8-V061_20[[#This Row],[TOTAL]])+V061_20[[#This Row],[FAENA2]]</f>
        <v>116</v>
      </c>
      <c r="Z9" s="245">
        <v>0</v>
      </c>
      <c r="AA9" s="246">
        <v>0</v>
      </c>
      <c r="AB9" s="320">
        <f>(AB8-V061_20[[#This Row],[CYLINDER MP]])+V061_20[[#This Row],[FAENA EN LTS]]</f>
        <v>1760</v>
      </c>
      <c r="AC9" s="246">
        <v>0</v>
      </c>
      <c r="AD9" s="246">
        <v>0</v>
      </c>
      <c r="AE9" s="320">
        <f>(AE8-V061_20[[#This Row],[CARTER MP.]])+V061_20[[#This Row],[FAENA EN LTS2]]</f>
        <v>3900</v>
      </c>
      <c r="AF9" s="246">
        <v>0</v>
      </c>
      <c r="AG9" s="246">
        <v>0</v>
      </c>
      <c r="AH9" s="320">
        <f>(AH8-V061_20[[#This Row],[MOT AUX]])+V061_20[[#This Row],[FAENA EN  LTS]]</f>
        <v>1520</v>
      </c>
      <c r="AI9" s="246">
        <v>0</v>
      </c>
      <c r="AJ9" s="246">
        <v>0</v>
      </c>
      <c r="AK9" s="321">
        <f>(AK8-V061_20[[#This Row],[HIDRAULICO]])+V061_20[[#This Row],[FAENA EN LTS3]]</f>
        <v>2340</v>
      </c>
    </row>
    <row r="10" spans="1:37" x14ac:dyDescent="0.25">
      <c r="A10" s="430" t="s">
        <v>243</v>
      </c>
      <c r="B10" s="48">
        <v>44004</v>
      </c>
      <c r="C10" s="41">
        <v>0.6166666666666667</v>
      </c>
      <c r="D10" s="37">
        <f>IF(V061_20[[#This Row],[FECHA]]-B9=1,((V061_20[[#This Row],[HORA]]-C9)*24)+24,(V061_20[[#This Row],[HORA]]-C9)*24)</f>
        <v>6.2000000000000011</v>
      </c>
      <c r="E10" s="239" t="s">
        <v>49</v>
      </c>
      <c r="F10" s="29" t="s">
        <v>85</v>
      </c>
      <c r="G10" s="324"/>
      <c r="H10" s="306"/>
      <c r="I10" s="259">
        <f>IF(ISERROR(V061_20[[#This Row],[DISTANCIA POR CARTA]]/V061_20[[#This Row],[TIEMPO DE NAVEGACION]]),0,V061_20[[#This Row],[DISTANCIA POR CARTA]]/V061_20[[#This Row],[TIEMPO DE NAVEGACION]])</f>
        <v>0</v>
      </c>
      <c r="J10" s="242"/>
      <c r="K10" s="325"/>
      <c r="L10" s="245">
        <v>0</v>
      </c>
      <c r="M10" s="245">
        <v>0.56999999999999995</v>
      </c>
      <c r="N10" s="245">
        <v>0.23</v>
      </c>
      <c r="O10" s="257">
        <f>SUM(V061_20[[#This Row],[MPAL]:[CALDERA]])</f>
        <v>0.79999999999999993</v>
      </c>
      <c r="P10" s="319"/>
      <c r="Q10" s="281">
        <f>(Q9-V061_20[[#This Row],[TOTAL ]])+V061_20[[#This Row],[FAENA]]</f>
        <v>470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SUM(V061_20[[#This Row],[MPAL2]:[GI]])</f>
        <v>0</v>
      </c>
      <c r="X10" s="246"/>
      <c r="Y10" s="282">
        <f>(Y9-V061_20[[#This Row],[TOTAL]])+V061_20[[#This Row],[FAENA2]]</f>
        <v>116</v>
      </c>
      <c r="Z10" s="245">
        <v>0</v>
      </c>
      <c r="AA10" s="246">
        <v>0</v>
      </c>
      <c r="AB10" s="320">
        <f>(AB9-V061_20[[#This Row],[CYLINDER MP]])+V061_20[[#This Row],[FAENA EN LTS]]</f>
        <v>1760</v>
      </c>
      <c r="AC10" s="246">
        <v>0</v>
      </c>
      <c r="AD10" s="246">
        <v>0</v>
      </c>
      <c r="AE10" s="320">
        <f>(AE9-V061_20[[#This Row],[CARTER MP.]])+V061_20[[#This Row],[FAENA EN LTS2]]</f>
        <v>3900</v>
      </c>
      <c r="AF10" s="246">
        <v>0</v>
      </c>
      <c r="AG10" s="246">
        <v>0</v>
      </c>
      <c r="AH10" s="320">
        <f>(AH9-V061_20[[#This Row],[MOT AUX]])+V061_20[[#This Row],[FAENA EN  LTS]]</f>
        <v>1520</v>
      </c>
      <c r="AI10" s="246">
        <v>0</v>
      </c>
      <c r="AJ10" s="246">
        <v>0</v>
      </c>
      <c r="AK10" s="321">
        <f>(AK9-V061_20[[#This Row],[HIDRAULICO]])+V061_20[[#This Row],[FAENA EN LTS3]]</f>
        <v>2340</v>
      </c>
    </row>
    <row r="11" spans="1:37" x14ac:dyDescent="0.25">
      <c r="A11" s="430" t="s">
        <v>243</v>
      </c>
      <c r="B11" s="48">
        <v>44005</v>
      </c>
      <c r="C11" s="41">
        <v>0.33333333333333331</v>
      </c>
      <c r="D11" s="37">
        <f>IF(V061_20[[#This Row],[FECHA]]-B10=1,((V061_20[[#This Row],[HORA]]-C10)*24)+24,(V061_20[[#This Row],[HORA]]-C10)*24)</f>
        <v>17.2</v>
      </c>
      <c r="E11" s="239" t="s">
        <v>71</v>
      </c>
      <c r="F11" s="29" t="s">
        <v>71</v>
      </c>
      <c r="G11" s="324"/>
      <c r="H11" s="306"/>
      <c r="I11" s="259">
        <f>IF(ISERROR(V061_20[[#This Row],[DISTANCIA POR CARTA]]/V061_20[[#This Row],[TIEMPO DE NAVEGACION]]),0,V061_20[[#This Row],[DISTANCIA POR CARTA]]/V061_20[[#This Row],[TIEMPO DE NAVEGACION]])</f>
        <v>0</v>
      </c>
      <c r="J11" s="242"/>
      <c r="K11" s="325"/>
      <c r="L11" s="245">
        <v>0</v>
      </c>
      <c r="M11" s="245">
        <v>1.58</v>
      </c>
      <c r="N11" s="245">
        <v>0.72</v>
      </c>
      <c r="O11" s="257">
        <f>SUM(V061_20[[#This Row],[MPAL]:[CALDERA]])</f>
        <v>2.2999999999999998</v>
      </c>
      <c r="P11" s="319"/>
      <c r="Q11" s="281">
        <f>(Q10-V061_20[[#This Row],[TOTAL ]])+V061_20[[#This Row],[FAENA]]</f>
        <v>467.7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SUM(V061_20[[#This Row],[MPAL2]:[GI]])</f>
        <v>0</v>
      </c>
      <c r="X11" s="246"/>
      <c r="Y11" s="282">
        <f>(Y10-V061_20[[#This Row],[TOTAL]])+V061_20[[#This Row],[FAENA2]]</f>
        <v>116</v>
      </c>
      <c r="Z11" s="245">
        <v>0</v>
      </c>
      <c r="AA11" s="246">
        <v>0</v>
      </c>
      <c r="AB11" s="320">
        <f>(AB10-V061_20[[#This Row],[CYLINDER MP]])+V061_20[[#This Row],[FAENA EN LTS]]</f>
        <v>1760</v>
      </c>
      <c r="AC11" s="246">
        <v>0</v>
      </c>
      <c r="AD11" s="246">
        <v>0</v>
      </c>
      <c r="AE11" s="320">
        <f>(AE10-V061_20[[#This Row],[CARTER MP.]])+V061_20[[#This Row],[FAENA EN LTS2]]</f>
        <v>3900</v>
      </c>
      <c r="AF11" s="246">
        <v>20</v>
      </c>
      <c r="AG11" s="246">
        <v>0</v>
      </c>
      <c r="AH11" s="320">
        <f>(AH10-V061_20[[#This Row],[MOT AUX]])+V061_20[[#This Row],[FAENA EN  LTS]]</f>
        <v>1500</v>
      </c>
      <c r="AI11" s="246">
        <v>30</v>
      </c>
      <c r="AJ11" s="246">
        <v>0</v>
      </c>
      <c r="AK11" s="321">
        <f>(AK10-V061_20[[#This Row],[HIDRAULICO]])+V061_20[[#This Row],[FAENA EN LTS3]]</f>
        <v>2310</v>
      </c>
    </row>
    <row r="12" spans="1:37" x14ac:dyDescent="0.25">
      <c r="A12" s="430" t="s">
        <v>243</v>
      </c>
      <c r="B12" s="48">
        <v>44006</v>
      </c>
      <c r="C12" s="41">
        <v>0.33333333333333331</v>
      </c>
      <c r="D12" s="37">
        <f>IF(V061_20[[#This Row],[FECHA]]-B11=1,((V061_20[[#This Row],[HORA]]-C11)*24)+24,(V061_20[[#This Row],[HORA]]-C11)*24)</f>
        <v>24</v>
      </c>
      <c r="E12" s="239" t="s">
        <v>71</v>
      </c>
      <c r="F12" s="29" t="s">
        <v>71</v>
      </c>
      <c r="G12" s="324"/>
      <c r="H12" s="306"/>
      <c r="I12" s="259">
        <f>IF(ISERROR(V061_20[[#This Row],[DISTANCIA POR CARTA]]/V061_20[[#This Row],[TIEMPO DE NAVEGACION]]),0,V061_20[[#This Row],[DISTANCIA POR CARTA]]/V061_20[[#This Row],[TIEMPO DE NAVEGACION]])</f>
        <v>0</v>
      </c>
      <c r="J12" s="242"/>
      <c r="K12" s="325"/>
      <c r="L12" s="245">
        <v>0</v>
      </c>
      <c r="M12" s="245">
        <v>2.2000000000000002</v>
      </c>
      <c r="N12" s="245">
        <v>1.2</v>
      </c>
      <c r="O12" s="257">
        <f>SUM(V061_20[[#This Row],[MPAL]:[CALDERA]])</f>
        <v>3.4000000000000004</v>
      </c>
      <c r="P12" s="319"/>
      <c r="Q12" s="281">
        <f>(Q11-V061_20[[#This Row],[TOTAL ]])+V061_20[[#This Row],[FAENA]]</f>
        <v>464.3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SUM(V061_20[[#This Row],[MPAL2]:[GI]])</f>
        <v>0</v>
      </c>
      <c r="X12" s="246"/>
      <c r="Y12" s="282">
        <f>(Y11-V061_20[[#This Row],[TOTAL]])+V061_20[[#This Row],[FAENA2]]</f>
        <v>116</v>
      </c>
      <c r="Z12" s="245">
        <v>0</v>
      </c>
      <c r="AA12" s="246">
        <v>0</v>
      </c>
      <c r="AB12" s="320">
        <f>(AB11-V061_20[[#This Row],[CYLINDER MP]])+V061_20[[#This Row],[FAENA EN LTS]]</f>
        <v>1760</v>
      </c>
      <c r="AC12" s="246">
        <v>0</v>
      </c>
      <c r="AD12" s="246">
        <v>0</v>
      </c>
      <c r="AE12" s="320">
        <f>(AE11-V061_20[[#This Row],[CARTER MP.]])+V061_20[[#This Row],[FAENA EN LTS2]]</f>
        <v>3900</v>
      </c>
      <c r="AF12" s="246">
        <v>20</v>
      </c>
      <c r="AG12" s="246">
        <v>0</v>
      </c>
      <c r="AH12" s="320">
        <f>(AH11-V061_20[[#This Row],[MOT AUX]])+V061_20[[#This Row],[FAENA EN  LTS]]</f>
        <v>1480</v>
      </c>
      <c r="AI12" s="246">
        <v>20</v>
      </c>
      <c r="AJ12" s="246">
        <v>0</v>
      </c>
      <c r="AK12" s="321">
        <f>(AK11-V061_20[[#This Row],[HIDRAULICO]])+V061_20[[#This Row],[FAENA EN LTS3]]</f>
        <v>2290</v>
      </c>
    </row>
    <row r="13" spans="1:37" x14ac:dyDescent="0.25">
      <c r="A13" s="430" t="s">
        <v>243</v>
      </c>
      <c r="B13" s="48">
        <v>44006</v>
      </c>
      <c r="C13" s="351">
        <v>0.65416666666666667</v>
      </c>
      <c r="D13" s="37">
        <f>IF(V061_20[[#This Row],[FECHA]]-B12=1,((V061_20[[#This Row],[HORA]]-C12)*24)+24,(V061_20[[#This Row],[HORA]]-C12)*24)</f>
        <v>7.7000000000000011</v>
      </c>
      <c r="E13" s="239" t="s">
        <v>71</v>
      </c>
      <c r="F13" s="29" t="s">
        <v>246</v>
      </c>
      <c r="G13" s="324"/>
      <c r="H13" s="306"/>
      <c r="I13" s="259">
        <f>IF(ISERROR(V061_20[[#This Row],[DISTANCIA POR CARTA]]/V061_20[[#This Row],[TIEMPO DE NAVEGACION]]),0,V061_20[[#This Row],[DISTANCIA POR CARTA]]/V061_20[[#This Row],[TIEMPO DE NAVEGACION]])</f>
        <v>0</v>
      </c>
      <c r="J13" s="242"/>
      <c r="K13" s="325"/>
      <c r="L13" s="245">
        <v>0</v>
      </c>
      <c r="M13" s="245">
        <v>0.71</v>
      </c>
      <c r="N13" s="245">
        <v>0.48</v>
      </c>
      <c r="O13" s="257">
        <f>SUM(V061_20[[#This Row],[MPAL]:[CALDERA]])</f>
        <v>1.19</v>
      </c>
      <c r="P13" s="319"/>
      <c r="Q13" s="281">
        <f>(Q12-V061_20[[#This Row],[TOTAL ]])+V061_20[[#This Row],[FAENA]]</f>
        <v>463.11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SUM(V061_20[[#This Row],[MPAL2]:[GI]])</f>
        <v>0</v>
      </c>
      <c r="X13" s="246"/>
      <c r="Y13" s="282">
        <f>(Y12-V061_20[[#This Row],[TOTAL]])+V061_20[[#This Row],[FAENA2]]</f>
        <v>116</v>
      </c>
      <c r="Z13" s="245">
        <v>0</v>
      </c>
      <c r="AA13" s="246">
        <v>0</v>
      </c>
      <c r="AB13" s="320">
        <f>(AB12-V061_20[[#This Row],[CYLINDER MP]])+V061_20[[#This Row],[FAENA EN LTS]]</f>
        <v>1760</v>
      </c>
      <c r="AC13" s="246">
        <v>0</v>
      </c>
      <c r="AD13" s="246">
        <v>0</v>
      </c>
      <c r="AE13" s="320">
        <f>(AE12-V061_20[[#This Row],[CARTER MP.]])+V061_20[[#This Row],[FAENA EN LTS2]]</f>
        <v>3900</v>
      </c>
      <c r="AF13" s="246">
        <v>0</v>
      </c>
      <c r="AG13" s="246">
        <v>0</v>
      </c>
      <c r="AH13" s="320">
        <f>(AH12-V061_20[[#This Row],[MOT AUX]])+V061_20[[#This Row],[FAENA EN  LTS]]</f>
        <v>1480</v>
      </c>
      <c r="AI13" s="246">
        <v>0</v>
      </c>
      <c r="AJ13" s="246">
        <v>0</v>
      </c>
      <c r="AK13" s="321">
        <f>(AK12-V061_20[[#This Row],[HIDRAULICO]])+V061_20[[#This Row],[FAENA EN LTS3]]</f>
        <v>2290</v>
      </c>
    </row>
    <row r="14" spans="1:37" x14ac:dyDescent="0.25">
      <c r="A14" s="430" t="s">
        <v>243</v>
      </c>
      <c r="B14" s="382">
        <v>44006</v>
      </c>
      <c r="C14" s="41">
        <v>0.92499999999999993</v>
      </c>
      <c r="D14" s="37">
        <f>IF(V061_20[[#This Row],[FECHA]]-B13=1,((V061_20[[#This Row],[HORA]]-C13)*24)+24,(V061_20[[#This Row],[HORA]]-C13)*24)</f>
        <v>6.4999999999999982</v>
      </c>
      <c r="E14" s="239" t="s">
        <v>49</v>
      </c>
      <c r="F14" s="29" t="s">
        <v>46</v>
      </c>
      <c r="G14" s="324"/>
      <c r="H14" s="306"/>
      <c r="I14" s="259">
        <f>IF(ISERROR(V061_20[[#This Row],[DISTANCIA POR CARTA]]/V061_20[[#This Row],[TIEMPO DE NAVEGACION]]),0,V061_20[[#This Row],[DISTANCIA POR CARTA]]/V061_20[[#This Row],[TIEMPO DE NAVEGACION]])</f>
        <v>0</v>
      </c>
      <c r="J14" s="242"/>
      <c r="K14" s="325"/>
      <c r="L14" s="245">
        <v>0</v>
      </c>
      <c r="M14" s="245">
        <v>0.68</v>
      </c>
      <c r="N14" s="245">
        <v>0.54</v>
      </c>
      <c r="O14" s="257">
        <f>SUM(V061_20[[#This Row],[MPAL]:[CALDERA]])</f>
        <v>1.2200000000000002</v>
      </c>
      <c r="P14" s="319"/>
      <c r="Q14" s="281">
        <f>(Q13-V061_20[[#This Row],[TOTAL ]])+V061_20[[#This Row],[FAENA]]</f>
        <v>461.89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SUM(V061_20[[#This Row],[MPAL2]:[GI]])</f>
        <v>0</v>
      </c>
      <c r="X14" s="246"/>
      <c r="Y14" s="282">
        <f>(Y13-V061_20[[#This Row],[TOTAL]])+V061_20[[#This Row],[FAENA2]]</f>
        <v>116</v>
      </c>
      <c r="Z14" s="245">
        <v>0</v>
      </c>
      <c r="AA14" s="246">
        <v>0</v>
      </c>
      <c r="AB14" s="320">
        <f>(AB13-V061_20[[#This Row],[CYLINDER MP]])+V061_20[[#This Row],[FAENA EN LTS]]</f>
        <v>1760</v>
      </c>
      <c r="AC14" s="246">
        <v>0</v>
      </c>
      <c r="AD14" s="246">
        <v>0</v>
      </c>
      <c r="AE14" s="320">
        <f>(AE13-V061_20[[#This Row],[CARTER MP.]])+V061_20[[#This Row],[FAENA EN LTS2]]</f>
        <v>3900</v>
      </c>
      <c r="AF14" s="246">
        <v>0</v>
      </c>
      <c r="AG14" s="246">
        <v>0</v>
      </c>
      <c r="AH14" s="320">
        <f>(AH13-V061_20[[#This Row],[MOT AUX]])+V061_20[[#This Row],[FAENA EN  LTS]]</f>
        <v>1480</v>
      </c>
      <c r="AI14" s="246">
        <v>0</v>
      </c>
      <c r="AJ14" s="246">
        <v>0</v>
      </c>
      <c r="AK14" s="321">
        <f>(AK13-V061_20[[#This Row],[HIDRAULICO]])+V061_20[[#This Row],[FAENA EN LTS3]]</f>
        <v>2290</v>
      </c>
    </row>
    <row r="15" spans="1:37" x14ac:dyDescent="0.25">
      <c r="A15" s="430" t="s">
        <v>243</v>
      </c>
      <c r="B15" s="382">
        <v>44006</v>
      </c>
      <c r="C15" s="41">
        <v>0.98333333333333339</v>
      </c>
      <c r="D15" s="37">
        <f>IF(V061_20[[#This Row],[FECHA]]-B14=1,((V061_20[[#This Row],[HORA]]-C14)*24)+24,(V061_20[[#This Row],[HORA]]-C14)*24)</f>
        <v>1.400000000000003</v>
      </c>
      <c r="E15" s="239" t="s">
        <v>47</v>
      </c>
      <c r="F15" s="29" t="s">
        <v>242</v>
      </c>
      <c r="G15" s="324"/>
      <c r="H15" s="306"/>
      <c r="I15" s="259">
        <f>IF(ISERROR(V061_20[[#This Row],[DISTANCIA POR CARTA]]/V061_20[[#This Row],[TIEMPO DE NAVEGACION]]),0,V061_20[[#This Row],[DISTANCIA POR CARTA]]/V061_20[[#This Row],[TIEMPO DE NAVEGACION]])</f>
        <v>0</v>
      </c>
      <c r="J15" s="242"/>
      <c r="K15" s="325"/>
      <c r="L15" s="245">
        <v>0.12</v>
      </c>
      <c r="M15" s="245">
        <v>0.15</v>
      </c>
      <c r="N15" s="245">
        <v>0.12</v>
      </c>
      <c r="O15" s="257">
        <f>SUM(V061_20[[#This Row],[MPAL]:[CALDERA]])</f>
        <v>0.39</v>
      </c>
      <c r="P15" s="319"/>
      <c r="Q15" s="281">
        <f>(Q14-V061_20[[#This Row],[TOTAL ]])+V061_20[[#This Row],[FAENA]]</f>
        <v>461.5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SUM(V061_20[[#This Row],[MPAL2]:[GI]])</f>
        <v>0</v>
      </c>
      <c r="X15" s="246"/>
      <c r="Y15" s="282">
        <f>(Y14-V061_20[[#This Row],[TOTAL]])+V061_20[[#This Row],[FAENA2]]</f>
        <v>116</v>
      </c>
      <c r="Z15" s="245">
        <v>10</v>
      </c>
      <c r="AA15" s="246">
        <v>0</v>
      </c>
      <c r="AB15" s="320">
        <f>(AB14-V061_20[[#This Row],[CYLINDER MP]])+V061_20[[#This Row],[FAENA EN LTS]]</f>
        <v>1750</v>
      </c>
      <c r="AC15" s="246">
        <v>0</v>
      </c>
      <c r="AD15" s="246">
        <v>0</v>
      </c>
      <c r="AE15" s="320">
        <f>(AE14-V061_20[[#This Row],[CARTER MP.]])+V061_20[[#This Row],[FAENA EN LTS2]]</f>
        <v>3900</v>
      </c>
      <c r="AF15" s="246">
        <v>0</v>
      </c>
      <c r="AG15" s="246">
        <v>0</v>
      </c>
      <c r="AH15" s="320">
        <f>(AH14-V061_20[[#This Row],[MOT AUX]])+V061_20[[#This Row],[FAENA EN  LTS]]</f>
        <v>1480</v>
      </c>
      <c r="AI15" s="246">
        <v>0</v>
      </c>
      <c r="AJ15" s="246">
        <v>0</v>
      </c>
      <c r="AK15" s="321">
        <f>(AK14-V061_20[[#This Row],[HIDRAULICO]])+V061_20[[#This Row],[FAENA EN LTS3]]</f>
        <v>2290</v>
      </c>
    </row>
    <row r="16" spans="1:37" x14ac:dyDescent="0.25">
      <c r="A16" s="430" t="s">
        <v>243</v>
      </c>
      <c r="B16" s="48">
        <v>44007</v>
      </c>
      <c r="C16" s="41">
        <v>0.25</v>
      </c>
      <c r="D16" s="37">
        <f>IF(V061_20[[#This Row],[FECHA]]-B15=1,((V061_20[[#This Row],[HORA]]-C15)*24)+24,(V061_20[[#This Row],[HORA]]-C15)*24)</f>
        <v>6.3999999999999986</v>
      </c>
      <c r="E16" s="239" t="s">
        <v>49</v>
      </c>
      <c r="F16" s="29" t="s">
        <v>46</v>
      </c>
      <c r="G16" s="324"/>
      <c r="H16" s="306"/>
      <c r="I16" s="259">
        <f>IF(ISERROR(V061_20[[#This Row],[DISTANCIA POR CARTA]]/V061_20[[#This Row],[TIEMPO DE NAVEGACION]]),0,V061_20[[#This Row],[DISTANCIA POR CARTA]]/V061_20[[#This Row],[TIEMPO DE NAVEGACION]])</f>
        <v>0</v>
      </c>
      <c r="J16" s="242"/>
      <c r="K16" s="325"/>
      <c r="L16" s="245">
        <v>0</v>
      </c>
      <c r="M16" s="245">
        <v>0.67</v>
      </c>
      <c r="N16" s="245">
        <v>0.53</v>
      </c>
      <c r="O16" s="257">
        <f>SUM(V061_20[[#This Row],[MPAL]:[CALDERA]])</f>
        <v>1.2000000000000002</v>
      </c>
      <c r="P16" s="246"/>
      <c r="Q16" s="281">
        <f>(Q15-V061_20[[#This Row],[TOTAL ]])+V061_20[[#This Row],[FAENA]]</f>
        <v>460.3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SUM(V061_20[[#This Row],[MPAL2]:[GI]])</f>
        <v>0</v>
      </c>
      <c r="X16" s="246"/>
      <c r="Y16" s="282">
        <f>(Y15-V061_20[[#This Row],[TOTAL]])+V061_20[[#This Row],[FAENA2]]</f>
        <v>116</v>
      </c>
      <c r="Z16" s="245">
        <v>0</v>
      </c>
      <c r="AA16" s="246">
        <v>0</v>
      </c>
      <c r="AB16" s="320">
        <f>(AB15-V061_20[[#This Row],[CYLINDER MP]])+V061_20[[#This Row],[FAENA EN LTS]]</f>
        <v>1750</v>
      </c>
      <c r="AC16" s="246">
        <v>0</v>
      </c>
      <c r="AD16" s="246">
        <v>0</v>
      </c>
      <c r="AE16" s="320">
        <f>(AE15-V061_20[[#This Row],[CARTER MP.]])+V061_20[[#This Row],[FAENA EN LTS2]]</f>
        <v>3900</v>
      </c>
      <c r="AF16" s="246">
        <v>0</v>
      </c>
      <c r="AG16" s="246">
        <v>0</v>
      </c>
      <c r="AH16" s="320">
        <f>(AH15-V061_20[[#This Row],[MOT AUX]])+V061_20[[#This Row],[FAENA EN  LTS]]</f>
        <v>1480</v>
      </c>
      <c r="AI16" s="246">
        <v>0</v>
      </c>
      <c r="AJ16" s="246">
        <v>0</v>
      </c>
      <c r="AK16" s="321">
        <f>(AK15-V061_20[[#This Row],[HIDRAULICO]])+V061_20[[#This Row],[FAENA EN LTS3]]</f>
        <v>2290</v>
      </c>
    </row>
    <row r="17" spans="1:37" x14ac:dyDescent="0.25">
      <c r="A17" s="430" t="s">
        <v>243</v>
      </c>
      <c r="B17" s="48">
        <v>44007</v>
      </c>
      <c r="C17" s="351">
        <v>0.27083333333333331</v>
      </c>
      <c r="D17" s="37">
        <f>IF(V061_20[[#This Row],[FECHA]]-B16=1,((V061_20[[#This Row],[HORA]]-C16)*24)+24,(V061_20[[#This Row],[HORA]]-C16)*24)</f>
        <v>0.49999999999999956</v>
      </c>
      <c r="E17" s="239" t="s">
        <v>47</v>
      </c>
      <c r="F17" s="29" t="s">
        <v>212</v>
      </c>
      <c r="G17" s="324"/>
      <c r="H17" s="306"/>
      <c r="I17" s="259">
        <f>IF(ISERROR(V061_20[[#This Row],[DISTANCIA POR CARTA]]/V061_20[[#This Row],[TIEMPO DE NAVEGACION]]),0,V061_20[[#This Row],[DISTANCIA POR CARTA]]/V061_20[[#This Row],[TIEMPO DE NAVEGACION]])</f>
        <v>0</v>
      </c>
      <c r="J17" s="242"/>
      <c r="K17" s="325"/>
      <c r="L17" s="245">
        <v>0.04</v>
      </c>
      <c r="M17" s="245">
        <v>0.05</v>
      </c>
      <c r="N17" s="245">
        <v>0.04</v>
      </c>
      <c r="O17" s="257">
        <f>SUM(V061_20[[#This Row],[MPAL]:[CALDERA]])</f>
        <v>0.13</v>
      </c>
      <c r="P17" s="319"/>
      <c r="Q17" s="281">
        <f>(Q16-V061_20[[#This Row],[TOTAL ]])+V061_20[[#This Row],[FAENA]]</f>
        <v>460.17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SUM(V061_20[[#This Row],[MPAL2]:[GI]])</f>
        <v>0</v>
      </c>
      <c r="X17" s="246"/>
      <c r="Y17" s="282">
        <f>(Y16-V061_20[[#This Row],[TOTAL]])+V061_20[[#This Row],[FAENA2]]</f>
        <v>116</v>
      </c>
      <c r="Z17" s="245">
        <v>10</v>
      </c>
      <c r="AA17" s="246">
        <v>800</v>
      </c>
      <c r="AB17" s="320">
        <f>(AB16-V061_20[[#This Row],[CYLINDER MP]])+V061_20[[#This Row],[FAENA EN LTS]]</f>
        <v>2540</v>
      </c>
      <c r="AC17" s="246">
        <v>0</v>
      </c>
      <c r="AD17" s="246">
        <v>0</v>
      </c>
      <c r="AE17" s="320">
        <f>(AE16-V061_20[[#This Row],[CARTER MP.]])+V061_20[[#This Row],[FAENA EN LTS2]]</f>
        <v>3900</v>
      </c>
      <c r="AF17" s="246">
        <v>0</v>
      </c>
      <c r="AG17" s="246">
        <v>0</v>
      </c>
      <c r="AH17" s="320">
        <f>(AH16-V061_20[[#This Row],[MOT AUX]])+V061_20[[#This Row],[FAENA EN  LTS]]</f>
        <v>1480</v>
      </c>
      <c r="AI17" s="246">
        <v>0</v>
      </c>
      <c r="AJ17" s="246">
        <v>0</v>
      </c>
      <c r="AK17" s="321">
        <f>(AK16-V061_20[[#This Row],[HIDRAULICO]])+V061_20[[#This Row],[FAENA EN LTS3]]</f>
        <v>2290</v>
      </c>
    </row>
    <row r="18" spans="1:37" x14ac:dyDescent="0.25">
      <c r="A18" s="430" t="s">
        <v>243</v>
      </c>
      <c r="B18" s="48">
        <v>44007</v>
      </c>
      <c r="C18" s="41">
        <v>0.33333333333333331</v>
      </c>
      <c r="D18" s="37">
        <f>IF(V061_20[[#This Row],[FECHA]]-B17=1,((V061_20[[#This Row],[HORA]]-C17)*24)+24,(V061_20[[#This Row],[HORA]]-C17)*24)</f>
        <v>1.5</v>
      </c>
      <c r="E18" s="239" t="s">
        <v>55</v>
      </c>
      <c r="F18" s="29" t="s">
        <v>56</v>
      </c>
      <c r="G18" s="324"/>
      <c r="H18" s="306"/>
      <c r="I18" s="259">
        <f>IF(ISERROR(V061_20[[#This Row],[DISTANCIA POR CARTA]]/V061_20[[#This Row],[TIEMPO DE NAVEGACION]]),0,V061_20[[#This Row],[DISTANCIA POR CARTA]]/V061_20[[#This Row],[TIEMPO DE NAVEGACION]])</f>
        <v>0</v>
      </c>
      <c r="J18" s="242"/>
      <c r="K18" s="325">
        <v>96</v>
      </c>
      <c r="L18" s="245">
        <v>1.38</v>
      </c>
      <c r="M18" s="245">
        <v>0.16</v>
      </c>
      <c r="N18" s="245">
        <v>0</v>
      </c>
      <c r="O18" s="257">
        <f>SUM(V061_20[[#This Row],[MPAL]:[CALDERA]])</f>
        <v>1.5399999999999998</v>
      </c>
      <c r="P18" s="319"/>
      <c r="Q18" s="281">
        <f>(Q17-V061_20[[#This Row],[TOTAL ]])+V061_20[[#This Row],[FAENA]]</f>
        <v>458.63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SUM(V061_20[[#This Row],[MPAL2]:[GI]])</f>
        <v>0</v>
      </c>
      <c r="X18" s="246"/>
      <c r="Y18" s="282">
        <f>(Y17-V061_20[[#This Row],[TOTAL]])+V061_20[[#This Row],[FAENA2]]</f>
        <v>116</v>
      </c>
      <c r="Z18" s="245">
        <v>20</v>
      </c>
      <c r="AA18" s="246">
        <v>0</v>
      </c>
      <c r="AB18" s="320">
        <f>(AB17-V061_20[[#This Row],[CYLINDER MP]])+V061_20[[#This Row],[FAENA EN LTS]]</f>
        <v>2520</v>
      </c>
      <c r="AC18" s="246">
        <v>0</v>
      </c>
      <c r="AD18" s="246">
        <v>0</v>
      </c>
      <c r="AE18" s="320">
        <f>(AE17-V061_20[[#This Row],[CARTER MP.]])+V061_20[[#This Row],[FAENA EN LTS2]]</f>
        <v>3900</v>
      </c>
      <c r="AF18" s="246">
        <v>20</v>
      </c>
      <c r="AG18" s="246">
        <v>0</v>
      </c>
      <c r="AH18" s="320">
        <f>(AH17-V061_20[[#This Row],[MOT AUX]])+V061_20[[#This Row],[FAENA EN  LTS]]</f>
        <v>1460</v>
      </c>
      <c r="AI18" s="246">
        <v>10</v>
      </c>
      <c r="AJ18" s="246">
        <v>0</v>
      </c>
      <c r="AK18" s="321">
        <f>(AK17-V061_20[[#This Row],[HIDRAULICO]])+V061_20[[#This Row],[FAENA EN LTS3]]</f>
        <v>2280</v>
      </c>
    </row>
    <row r="19" spans="1:37" x14ac:dyDescent="0.25">
      <c r="A19" s="430" t="s">
        <v>243</v>
      </c>
      <c r="B19" s="48">
        <v>44007</v>
      </c>
      <c r="C19" s="41">
        <v>0.95000000000000007</v>
      </c>
      <c r="D19" s="37">
        <f>IF(V061_20[[#This Row],[FECHA]]-B18=1,((V061_20[[#This Row],[HORA]]-C18)*24)+24,(V061_20[[#This Row],[HORA]]-C18)*24)</f>
        <v>14.8</v>
      </c>
      <c r="E19" s="239" t="s">
        <v>55</v>
      </c>
      <c r="F19" s="29" t="s">
        <v>142</v>
      </c>
      <c r="G19" s="324">
        <v>198</v>
      </c>
      <c r="H19" s="306">
        <v>16.3</v>
      </c>
      <c r="I19" s="259">
        <f>IF(ISERROR(V061_20[[#This Row],[DISTANCIA POR CARTA]]/V061_20[[#This Row],[TIEMPO DE NAVEGACION]]),0,V061_20[[#This Row],[DISTANCIA POR CARTA]]/V061_20[[#This Row],[TIEMPO DE NAVEGACION]])</f>
        <v>12.14723926380368</v>
      </c>
      <c r="J19" s="380" t="s">
        <v>218</v>
      </c>
      <c r="K19" s="325">
        <v>96</v>
      </c>
      <c r="L19" s="245">
        <v>13.57</v>
      </c>
      <c r="M19" s="245">
        <v>1.54</v>
      </c>
      <c r="N19" s="245">
        <v>1.23</v>
      </c>
      <c r="O19" s="257">
        <f>SUM(V061_20[[#This Row],[MPAL]:[CALDERA]])</f>
        <v>16.34</v>
      </c>
      <c r="P19" s="319"/>
      <c r="Q19" s="281">
        <f>(Q18-V061_20[[#This Row],[TOTAL ]])+V061_20[[#This Row],[FAENA]]</f>
        <v>442.29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SUM(V061_20[[#This Row],[MPAL2]:[GI]])</f>
        <v>0</v>
      </c>
      <c r="X19" s="246"/>
      <c r="Y19" s="282">
        <f>(Y18-V061_20[[#This Row],[TOTAL]])+V061_20[[#This Row],[FAENA2]]</f>
        <v>116</v>
      </c>
      <c r="Z19" s="245">
        <v>180</v>
      </c>
      <c r="AA19" s="246">
        <v>0</v>
      </c>
      <c r="AB19" s="320">
        <f>(AB18-V061_20[[#This Row],[CYLINDER MP]])+V061_20[[#This Row],[FAENA EN LTS]]</f>
        <v>2340</v>
      </c>
      <c r="AC19" s="246">
        <v>0</v>
      </c>
      <c r="AD19" s="246">
        <v>0</v>
      </c>
      <c r="AE19" s="320">
        <f>(AE18-V061_20[[#This Row],[CARTER MP.]])+V061_20[[#This Row],[FAENA EN LTS2]]</f>
        <v>3900</v>
      </c>
      <c r="AF19" s="246">
        <v>0</v>
      </c>
      <c r="AG19" s="246">
        <v>0</v>
      </c>
      <c r="AH19" s="320">
        <f>(AH18-V061_20[[#This Row],[MOT AUX]])+V061_20[[#This Row],[FAENA EN  LTS]]</f>
        <v>1460</v>
      </c>
      <c r="AI19" s="246">
        <v>0</v>
      </c>
      <c r="AJ19" s="246">
        <v>0</v>
      </c>
      <c r="AK19" s="321">
        <f>(AK18-V061_20[[#This Row],[HIDRAULICO]])+V061_20[[#This Row],[FAENA EN LTS3]]</f>
        <v>2280</v>
      </c>
    </row>
    <row r="20" spans="1:37" x14ac:dyDescent="0.25">
      <c r="A20" s="430" t="s">
        <v>243</v>
      </c>
      <c r="B20" s="48">
        <v>44007</v>
      </c>
      <c r="C20" s="41">
        <v>0.98749999999999993</v>
      </c>
      <c r="D20" s="37">
        <f>IF(V061_20[[#This Row],[FECHA]]-B19=1,((V061_20[[#This Row],[HORA]]-C19)*24)+24,(V061_20[[#This Row],[HORA]]-C19)*24)</f>
        <v>0.8999999999999968</v>
      </c>
      <c r="E20" s="239" t="s">
        <v>47</v>
      </c>
      <c r="F20" s="29" t="s">
        <v>242</v>
      </c>
      <c r="G20" s="324"/>
      <c r="H20" s="306"/>
      <c r="I20" s="259">
        <f>IF(ISERROR(V061_20[[#This Row],[DISTANCIA POR CARTA]]/V061_20[[#This Row],[TIEMPO DE NAVEGACION]]),0,V061_20[[#This Row],[DISTANCIA POR CARTA]]/V061_20[[#This Row],[TIEMPO DE NAVEGACION]])</f>
        <v>0</v>
      </c>
      <c r="J20" s="242"/>
      <c r="K20" s="325"/>
      <c r="L20" s="245">
        <v>7.0000000000000007E-2</v>
      </c>
      <c r="M20" s="245">
        <v>0.09</v>
      </c>
      <c r="N20" s="245">
        <v>7.0000000000000007E-2</v>
      </c>
      <c r="O20" s="257">
        <f>SUM(V061_20[[#This Row],[MPAL]:[CALDERA]])</f>
        <v>0.23</v>
      </c>
      <c r="P20" s="319"/>
      <c r="Q20" s="281">
        <f>(Q19-V061_20[[#This Row],[TOTAL ]])+V061_20[[#This Row],[FAENA]]</f>
        <v>442.06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SUM(V061_20[[#This Row],[MPAL2]:[GI]])</f>
        <v>0</v>
      </c>
      <c r="X20" s="246"/>
      <c r="Y20" s="282">
        <f>(Y19-V061_20[[#This Row],[TOTAL]])+V061_20[[#This Row],[FAENA2]]</f>
        <v>116</v>
      </c>
      <c r="Z20" s="245">
        <v>10</v>
      </c>
      <c r="AA20" s="246">
        <v>0</v>
      </c>
      <c r="AB20" s="320">
        <f>(AB19-V061_20[[#This Row],[CYLINDER MP]])+V061_20[[#This Row],[FAENA EN LTS]]</f>
        <v>2330</v>
      </c>
      <c r="AC20" s="246">
        <v>0</v>
      </c>
      <c r="AD20" s="246">
        <v>0</v>
      </c>
      <c r="AE20" s="320">
        <f>(AE19-V061_20[[#This Row],[CARTER MP.]])+V061_20[[#This Row],[FAENA EN LTS2]]</f>
        <v>3900</v>
      </c>
      <c r="AF20" s="246">
        <v>0</v>
      </c>
      <c r="AG20" s="246">
        <v>0</v>
      </c>
      <c r="AH20" s="320">
        <f>(AH19-V061_20[[#This Row],[MOT AUX]])+V061_20[[#This Row],[FAENA EN  LTS]]</f>
        <v>1460</v>
      </c>
      <c r="AI20" s="246">
        <v>0</v>
      </c>
      <c r="AJ20" s="246">
        <v>0</v>
      </c>
      <c r="AK20" s="321">
        <f>(AK19-V061_20[[#This Row],[HIDRAULICO]])+V061_20[[#This Row],[FAENA EN LTS3]]</f>
        <v>2280</v>
      </c>
    </row>
    <row r="21" spans="1:37" x14ac:dyDescent="0.25">
      <c r="A21" s="430" t="s">
        <v>243</v>
      </c>
      <c r="B21" s="48">
        <v>44008</v>
      </c>
      <c r="C21" s="41">
        <v>0.33333333333333331</v>
      </c>
      <c r="D21" s="37">
        <f>IF(V061_20[[#This Row],[FECHA]]-B20=1,((V061_20[[#This Row],[HORA]]-C20)*24)+24,(V061_20[[#This Row],[HORA]]-C20)*24)</f>
        <v>8.3000000000000025</v>
      </c>
      <c r="E21" s="239" t="s">
        <v>49</v>
      </c>
      <c r="F21" s="29" t="s">
        <v>45</v>
      </c>
      <c r="G21" s="324"/>
      <c r="H21" s="306"/>
      <c r="I21" s="259">
        <f>IF(ISERROR(V061_20[[#This Row],[DISTANCIA POR CARTA]]/V061_20[[#This Row],[TIEMPO DE NAVEGACION]]),0,V061_20[[#This Row],[DISTANCIA POR CARTA]]/V061_20[[#This Row],[TIEMPO DE NAVEGACION]])</f>
        <v>0</v>
      </c>
      <c r="J21" s="242"/>
      <c r="K21" s="325"/>
      <c r="L21" s="245">
        <v>0</v>
      </c>
      <c r="M21" s="245">
        <v>0.86</v>
      </c>
      <c r="N21" s="245">
        <v>0.69</v>
      </c>
      <c r="O21" s="257">
        <f>SUM(V061_20[[#This Row],[MPAL]:[CALDERA]])</f>
        <v>1.5499999999999998</v>
      </c>
      <c r="P21" s="319"/>
      <c r="Q21" s="281">
        <f>(Q20-V061_20[[#This Row],[TOTAL ]])+V061_20[[#This Row],[FAENA]]</f>
        <v>440.51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SUM(V061_20[[#This Row],[MPAL2]:[GI]])</f>
        <v>0</v>
      </c>
      <c r="X21" s="246"/>
      <c r="Y21" s="282">
        <f>(Y20-V061_20[[#This Row],[TOTAL]])+V061_20[[#This Row],[FAENA2]]</f>
        <v>116</v>
      </c>
      <c r="Z21" s="245">
        <v>0</v>
      </c>
      <c r="AA21" s="246">
        <v>0</v>
      </c>
      <c r="AB21" s="320">
        <f>(AB20-V061_20[[#This Row],[CYLINDER MP]])+V061_20[[#This Row],[FAENA EN LTS]]</f>
        <v>2330</v>
      </c>
      <c r="AC21" s="246">
        <v>0</v>
      </c>
      <c r="AD21" s="246">
        <v>0</v>
      </c>
      <c r="AE21" s="320">
        <f>(AE20-V061_20[[#This Row],[CARTER MP.]])+V061_20[[#This Row],[FAENA EN LTS2]]</f>
        <v>3900</v>
      </c>
      <c r="AF21" s="246">
        <v>20</v>
      </c>
      <c r="AG21" s="246">
        <v>0</v>
      </c>
      <c r="AH21" s="320">
        <f>(AH20-V061_20[[#This Row],[MOT AUX]])+V061_20[[#This Row],[FAENA EN  LTS]]</f>
        <v>1440</v>
      </c>
      <c r="AI21" s="246">
        <v>0</v>
      </c>
      <c r="AJ21" s="246">
        <v>0</v>
      </c>
      <c r="AK21" s="321">
        <f>(AK20-V061_20[[#This Row],[HIDRAULICO]])+V061_20[[#This Row],[FAENA EN LTS3]]</f>
        <v>2280</v>
      </c>
    </row>
    <row r="22" spans="1:37" x14ac:dyDescent="0.25">
      <c r="A22" s="430" t="s">
        <v>243</v>
      </c>
      <c r="B22" s="382">
        <v>44008</v>
      </c>
      <c r="C22" s="362">
        <v>0.56666666666666665</v>
      </c>
      <c r="D22" s="37">
        <f>IF(V061_20[[#This Row],[FECHA]]-B21=1,((V061_20[[#This Row],[HORA]]-C21)*24)+24,(V061_20[[#This Row],[HORA]]-C21)*24)</f>
        <v>5.6</v>
      </c>
      <c r="E22" s="239" t="s">
        <v>49</v>
      </c>
      <c r="F22" s="29" t="s">
        <v>46</v>
      </c>
      <c r="G22" s="324"/>
      <c r="H22" s="306"/>
      <c r="I22" s="259">
        <f>IF(ISERROR(V061_20[[#This Row],[DISTANCIA POR CARTA]]/V061_20[[#This Row],[TIEMPO DE NAVEGACION]]),0,V061_20[[#This Row],[DISTANCIA POR CARTA]]/V061_20[[#This Row],[TIEMPO DE NAVEGACION]])</f>
        <v>0</v>
      </c>
      <c r="J22" s="242"/>
      <c r="K22" s="325"/>
      <c r="L22" s="245">
        <v>0</v>
      </c>
      <c r="M22" s="245">
        <v>0.57999999999999996</v>
      </c>
      <c r="N22" s="245">
        <v>0.47</v>
      </c>
      <c r="O22" s="257">
        <f>SUM(V061_20[[#This Row],[MPAL]:[CALDERA]])</f>
        <v>1.0499999999999998</v>
      </c>
      <c r="P22" s="319"/>
      <c r="Q22" s="281">
        <f>(Q21-V061_20[[#This Row],[TOTAL ]])+V061_20[[#This Row],[FAENA]]</f>
        <v>439.46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SUM(V061_20[[#This Row],[MPAL2]:[GI]])</f>
        <v>0</v>
      </c>
      <c r="X22" s="246"/>
      <c r="Y22" s="282">
        <f>(Y21-V061_20[[#This Row],[TOTAL]])+V061_20[[#This Row],[FAENA2]]</f>
        <v>116</v>
      </c>
      <c r="Z22" s="245">
        <v>0</v>
      </c>
      <c r="AA22" s="246">
        <v>0</v>
      </c>
      <c r="AB22" s="320">
        <f>(AB21-V061_20[[#This Row],[CYLINDER MP]])+V061_20[[#This Row],[FAENA EN LTS]]</f>
        <v>2330</v>
      </c>
      <c r="AC22" s="246">
        <v>0</v>
      </c>
      <c r="AD22" s="246">
        <v>0</v>
      </c>
      <c r="AE22" s="320">
        <f>(AE21-V061_20[[#This Row],[CARTER MP.]])+V061_20[[#This Row],[FAENA EN LTS2]]</f>
        <v>3900</v>
      </c>
      <c r="AF22" s="246">
        <v>0</v>
      </c>
      <c r="AG22" s="246">
        <v>0</v>
      </c>
      <c r="AH22" s="320">
        <f>(AH21-V061_20[[#This Row],[MOT AUX]])+V061_20[[#This Row],[FAENA EN  LTS]]</f>
        <v>1440</v>
      </c>
      <c r="AI22" s="246">
        <v>0</v>
      </c>
      <c r="AJ22" s="246">
        <v>0</v>
      </c>
      <c r="AK22" s="321">
        <f>(AK21-V061_20[[#This Row],[HIDRAULICO]])+V061_20[[#This Row],[FAENA EN LTS3]]</f>
        <v>2280</v>
      </c>
    </row>
    <row r="23" spans="1:37" x14ac:dyDescent="0.25">
      <c r="A23" s="430" t="s">
        <v>243</v>
      </c>
      <c r="B23" s="382">
        <v>44008</v>
      </c>
      <c r="C23" s="351">
        <v>0.625</v>
      </c>
      <c r="D23" s="37">
        <f>IF(V061_20[[#This Row],[FECHA]]-B22=1,((V061_20[[#This Row],[HORA]]-C22)*24)+24,(V061_20[[#This Row],[HORA]]-C22)*24)</f>
        <v>1.4000000000000004</v>
      </c>
      <c r="E23" s="239" t="s">
        <v>47</v>
      </c>
      <c r="F23" s="29" t="s">
        <v>48</v>
      </c>
      <c r="G23" s="324"/>
      <c r="H23" s="306"/>
      <c r="I23" s="259">
        <f>IF(ISERROR(V061_20[[#This Row],[DISTANCIA POR CARTA]]/V061_20[[#This Row],[TIEMPO DE NAVEGACION]]),0,V061_20[[#This Row],[DISTANCIA POR CARTA]]/V061_20[[#This Row],[TIEMPO DE NAVEGACION]])</f>
        <v>0</v>
      </c>
      <c r="J23" s="242"/>
      <c r="K23" s="325"/>
      <c r="L23" s="245">
        <v>0.12</v>
      </c>
      <c r="M23" s="245">
        <v>0.15</v>
      </c>
      <c r="N23" s="245">
        <v>0.12</v>
      </c>
      <c r="O23" s="257">
        <f>SUM(V061_20[[#This Row],[MPAL]:[CALDERA]])</f>
        <v>0.39</v>
      </c>
      <c r="P23" s="319"/>
      <c r="Q23" s="281">
        <f>(Q22-V061_20[[#This Row],[TOTAL ]])+V061_20[[#This Row],[FAENA]]</f>
        <v>439.07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SUM(V061_20[[#This Row],[MPAL2]:[GI]])</f>
        <v>0</v>
      </c>
      <c r="X23" s="246"/>
      <c r="Y23" s="282">
        <f>(Y22-V061_20[[#This Row],[TOTAL]])+V061_20[[#This Row],[FAENA2]]</f>
        <v>116</v>
      </c>
      <c r="Z23" s="245">
        <v>10</v>
      </c>
      <c r="AA23" s="246">
        <v>0</v>
      </c>
      <c r="AB23" s="320">
        <f>(AB22-V061_20[[#This Row],[CYLINDER MP]])+V061_20[[#This Row],[FAENA EN LTS]]</f>
        <v>2320</v>
      </c>
      <c r="AC23" s="246">
        <v>0</v>
      </c>
      <c r="AD23" s="246">
        <v>0</v>
      </c>
      <c r="AE23" s="320">
        <f>(AE22-V061_20[[#This Row],[CARTER MP.]])+V061_20[[#This Row],[FAENA EN LTS2]]</f>
        <v>3900</v>
      </c>
      <c r="AF23" s="246">
        <v>0</v>
      </c>
      <c r="AG23" s="246">
        <v>0</v>
      </c>
      <c r="AH23" s="320">
        <f>(AH22-V061_20[[#This Row],[MOT AUX]])+V061_20[[#This Row],[FAENA EN  LTS]]</f>
        <v>1440</v>
      </c>
      <c r="AI23" s="246">
        <v>0</v>
      </c>
      <c r="AJ23" s="246">
        <v>0</v>
      </c>
      <c r="AK23" s="321">
        <f>(AK22-V061_20[[#This Row],[HIDRAULICO]])+V061_20[[#This Row],[FAENA EN LTS3]]</f>
        <v>2280</v>
      </c>
    </row>
    <row r="24" spans="1:37" x14ac:dyDescent="0.25">
      <c r="A24" s="430" t="s">
        <v>243</v>
      </c>
      <c r="B24" s="382">
        <v>44008</v>
      </c>
      <c r="C24" s="41">
        <v>0.76250000000000007</v>
      </c>
      <c r="D24" s="37">
        <f>IF(V061_20[[#This Row],[FECHA]]-B23=1,((V061_20[[#This Row],[HORA]]-C23)*24)+24,(V061_20[[#This Row],[HORA]]-C23)*24)</f>
        <v>3.3000000000000016</v>
      </c>
      <c r="E24" s="239" t="s">
        <v>49</v>
      </c>
      <c r="F24" s="29" t="s">
        <v>50</v>
      </c>
      <c r="G24" s="324"/>
      <c r="H24" s="306"/>
      <c r="I24" s="259">
        <f>IF(ISERROR(V061_20[[#This Row],[DISTANCIA POR CARTA]]/V061_20[[#This Row],[TIEMPO DE NAVEGACION]]),0,V061_20[[#This Row],[DISTANCIA POR CARTA]]/V061_20[[#This Row],[TIEMPO DE NAVEGACION]])</f>
        <v>0</v>
      </c>
      <c r="J24" s="242"/>
      <c r="K24" s="325"/>
      <c r="L24" s="245">
        <v>0</v>
      </c>
      <c r="M24" s="245">
        <v>0.34</v>
      </c>
      <c r="N24" s="245">
        <v>0.28000000000000003</v>
      </c>
      <c r="O24" s="257">
        <f>SUM(V061_20[[#This Row],[MPAL]:[CALDERA]])</f>
        <v>0.62000000000000011</v>
      </c>
      <c r="P24" s="319"/>
      <c r="Q24" s="281">
        <f>(Q23-V061_20[[#This Row],[TOTAL ]])+V061_20[[#This Row],[FAENA]]</f>
        <v>438.45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SUM(V061_20[[#This Row],[MPAL2]:[GI]])</f>
        <v>0</v>
      </c>
      <c r="X24" s="246"/>
      <c r="Y24" s="282">
        <f>(Y23-V061_20[[#This Row],[TOTAL]])+V061_20[[#This Row],[FAENA2]]</f>
        <v>116</v>
      </c>
      <c r="Z24" s="245">
        <v>0</v>
      </c>
      <c r="AA24" s="246">
        <v>0</v>
      </c>
      <c r="AB24" s="320">
        <f>(AB23-V061_20[[#This Row],[CYLINDER MP]])+V061_20[[#This Row],[FAENA EN LTS]]</f>
        <v>2320</v>
      </c>
      <c r="AC24" s="246">
        <v>0</v>
      </c>
      <c r="AD24" s="246">
        <v>0</v>
      </c>
      <c r="AE24" s="320">
        <f>(AE23-V061_20[[#This Row],[CARTER MP.]])+V061_20[[#This Row],[FAENA EN LTS2]]</f>
        <v>3900</v>
      </c>
      <c r="AF24" s="246">
        <v>0</v>
      </c>
      <c r="AG24" s="246">
        <v>0</v>
      </c>
      <c r="AH24" s="320">
        <f>(AH23-V061_20[[#This Row],[MOT AUX]])+V061_20[[#This Row],[FAENA EN  LTS]]</f>
        <v>1440</v>
      </c>
      <c r="AI24" s="246">
        <v>0</v>
      </c>
      <c r="AJ24" s="246">
        <v>0</v>
      </c>
      <c r="AK24" s="321">
        <f>(AK23-V061_20[[#This Row],[HIDRAULICO]])+V061_20[[#This Row],[FAENA EN LTS3]]</f>
        <v>2280</v>
      </c>
    </row>
    <row r="25" spans="1:37" x14ac:dyDescent="0.25">
      <c r="A25" s="430" t="s">
        <v>243</v>
      </c>
      <c r="B25" s="382">
        <v>44009</v>
      </c>
      <c r="C25" s="41">
        <v>0.33333333333333331</v>
      </c>
      <c r="D25" s="37">
        <f>IF(V061_20[[#This Row],[FECHA]]-B24=1,((V061_20[[#This Row],[HORA]]-C24)*24)+24,(V061_20[[#This Row],[HORA]]-C24)*24)</f>
        <v>13.699999999999998</v>
      </c>
      <c r="E25" s="239" t="s">
        <v>51</v>
      </c>
      <c r="F25" s="29" t="s">
        <v>51</v>
      </c>
      <c r="G25" s="324"/>
      <c r="H25" s="306"/>
      <c r="I25" s="259">
        <f>IF(ISERROR(V061_20[[#This Row],[DISTANCIA POR CARTA]]/V061_20[[#This Row],[TIEMPO DE NAVEGACION]]),0,V061_20[[#This Row],[DISTANCIA POR CARTA]]/V061_20[[#This Row],[TIEMPO DE NAVEGACION]])</f>
        <v>0</v>
      </c>
      <c r="J25" s="242"/>
      <c r="K25" s="325"/>
      <c r="L25" s="245">
        <v>0</v>
      </c>
      <c r="M25" s="245">
        <v>1.43</v>
      </c>
      <c r="N25" s="245">
        <v>1.1399999999999999</v>
      </c>
      <c r="O25" s="257">
        <f>SUM(V061_20[[#This Row],[MPAL]:[CALDERA]])</f>
        <v>2.57</v>
      </c>
      <c r="P25" s="319"/>
      <c r="Q25" s="281">
        <f>(Q24-V061_20[[#This Row],[TOTAL ]])+V061_20[[#This Row],[FAENA]]</f>
        <v>435.88</v>
      </c>
      <c r="R25" s="245">
        <v>0</v>
      </c>
      <c r="S25" s="246">
        <v>0</v>
      </c>
      <c r="T25" s="246">
        <v>0</v>
      </c>
      <c r="U25" s="246">
        <v>0</v>
      </c>
      <c r="V25" s="246">
        <v>3.4</v>
      </c>
      <c r="W25" s="257">
        <f>SUM(V061_20[[#This Row],[MPAL2]:[GI]])</f>
        <v>3.4</v>
      </c>
      <c r="X25" s="246"/>
      <c r="Y25" s="282">
        <f>(Y24-V061_20[[#This Row],[TOTAL]])+V061_20[[#This Row],[FAENA2]]</f>
        <v>112.6</v>
      </c>
      <c r="Z25" s="245">
        <v>0</v>
      </c>
      <c r="AA25" s="246">
        <v>0</v>
      </c>
      <c r="AB25" s="320">
        <f>(AB24-V061_20[[#This Row],[CYLINDER MP]])+V061_20[[#This Row],[FAENA EN LTS]]</f>
        <v>2320</v>
      </c>
      <c r="AC25" s="246">
        <v>0</v>
      </c>
      <c r="AD25" s="246">
        <v>0</v>
      </c>
      <c r="AE25" s="320">
        <f>(AE24-V061_20[[#This Row],[CARTER MP.]])+V061_20[[#This Row],[FAENA EN LTS2]]</f>
        <v>3900</v>
      </c>
      <c r="AF25" s="246">
        <v>40</v>
      </c>
      <c r="AG25" s="246">
        <v>0</v>
      </c>
      <c r="AH25" s="320">
        <f>(AH24-V061_20[[#This Row],[MOT AUX]])+V061_20[[#This Row],[FAENA EN  LTS]]</f>
        <v>1400</v>
      </c>
      <c r="AI25" s="246">
        <v>0</v>
      </c>
      <c r="AJ25" s="246">
        <v>0</v>
      </c>
      <c r="AK25" s="321">
        <f>(AK24-V061_20[[#This Row],[HIDRAULICO]])+V061_20[[#This Row],[FAENA EN LTS3]]</f>
        <v>2280</v>
      </c>
    </row>
    <row r="26" spans="1:37" x14ac:dyDescent="0.25">
      <c r="A26" s="430" t="s">
        <v>243</v>
      </c>
      <c r="B26" s="382">
        <v>44009</v>
      </c>
      <c r="C26" s="362">
        <v>0.77916666666666667</v>
      </c>
      <c r="D26" s="37">
        <f>IF(V061_20[[#This Row],[FECHA]]-B25=1,((V061_20[[#This Row],[HORA]]-C25)*24)+24,(V061_20[[#This Row],[HORA]]-C25)*24)</f>
        <v>10.700000000000001</v>
      </c>
      <c r="E26" s="239" t="s">
        <v>51</v>
      </c>
      <c r="F26" s="29" t="s">
        <v>52</v>
      </c>
      <c r="G26" s="324"/>
      <c r="H26" s="306"/>
      <c r="I26" s="259">
        <f>IF(ISERROR(V061_20[[#This Row],[DISTANCIA POR CARTA]]/V061_20[[#This Row],[TIEMPO DE NAVEGACION]]),0,V061_20[[#This Row],[DISTANCIA POR CARTA]]/V061_20[[#This Row],[TIEMPO DE NAVEGACION]])</f>
        <v>0</v>
      </c>
      <c r="J26" s="242"/>
      <c r="K26" s="325"/>
      <c r="L26" s="245">
        <v>0</v>
      </c>
      <c r="M26" s="245">
        <v>1.1100000000000001</v>
      </c>
      <c r="N26" s="245">
        <v>0.89</v>
      </c>
      <c r="O26" s="257">
        <f>SUM(V061_20[[#This Row],[MPAL]:[CALDERA]])</f>
        <v>2</v>
      </c>
      <c r="P26" s="319"/>
      <c r="Q26" s="281">
        <f>(Q25-V061_20[[#This Row],[TOTAL ]])+V061_20[[#This Row],[FAENA]]</f>
        <v>433.88</v>
      </c>
      <c r="R26" s="245">
        <v>0</v>
      </c>
      <c r="S26" s="246">
        <v>0</v>
      </c>
      <c r="T26" s="246">
        <v>0</v>
      </c>
      <c r="U26" s="246">
        <v>0</v>
      </c>
      <c r="V26" s="246">
        <v>2.7</v>
      </c>
      <c r="W26" s="257">
        <f>SUM(V061_20[[#This Row],[MPAL2]:[GI]])</f>
        <v>2.7</v>
      </c>
      <c r="X26" s="246"/>
      <c r="Y26" s="282">
        <f>(Y25-V061_20[[#This Row],[TOTAL]])+V061_20[[#This Row],[FAENA2]]</f>
        <v>109.89999999999999</v>
      </c>
      <c r="Z26" s="245">
        <v>0</v>
      </c>
      <c r="AA26" s="246">
        <v>0</v>
      </c>
      <c r="AB26" s="320">
        <f>(AB25-V061_20[[#This Row],[CYLINDER MP]])+V061_20[[#This Row],[FAENA EN LTS]]</f>
        <v>2320</v>
      </c>
      <c r="AC26" s="246">
        <v>0</v>
      </c>
      <c r="AD26" s="246">
        <v>0</v>
      </c>
      <c r="AE26" s="320">
        <f>(AE25-V061_20[[#This Row],[CARTER MP.]])+V061_20[[#This Row],[FAENA EN LTS2]]</f>
        <v>3900</v>
      </c>
      <c r="AF26" s="246">
        <v>0</v>
      </c>
      <c r="AG26" s="246">
        <v>0</v>
      </c>
      <c r="AH26" s="320">
        <f>(AH25-V061_20[[#This Row],[MOT AUX]])+V061_20[[#This Row],[FAENA EN  LTS]]</f>
        <v>1400</v>
      </c>
      <c r="AI26" s="246">
        <v>0</v>
      </c>
      <c r="AJ26" s="246">
        <v>0</v>
      </c>
      <c r="AK26" s="321">
        <f>(AK25-V061_20[[#This Row],[HIDRAULICO]])+V061_20[[#This Row],[FAENA EN LTS3]]</f>
        <v>2280</v>
      </c>
    </row>
    <row r="27" spans="1:37" x14ac:dyDescent="0.25">
      <c r="A27" s="430" t="s">
        <v>243</v>
      </c>
      <c r="B27" s="382">
        <v>44009</v>
      </c>
      <c r="C27" s="351">
        <v>0.93333333333333324</v>
      </c>
      <c r="D27" s="37">
        <f>IF(V061_20[[#This Row],[FECHA]]-B26=1,((V061_20[[#This Row],[HORA]]-C26)*24)+24,(V061_20[[#This Row],[HORA]]-C26)*24)</f>
        <v>3.6999999999999975</v>
      </c>
      <c r="E27" s="239" t="s">
        <v>49</v>
      </c>
      <c r="F27" s="29" t="s">
        <v>46</v>
      </c>
      <c r="G27" s="324"/>
      <c r="H27" s="306"/>
      <c r="I27" s="259">
        <f>IF(ISERROR(V061_20[[#This Row],[DISTANCIA POR CARTA]]/V061_20[[#This Row],[TIEMPO DE NAVEGACION]]),0,V061_20[[#This Row],[DISTANCIA POR CARTA]]/V061_20[[#This Row],[TIEMPO DE NAVEGACION]])</f>
        <v>0</v>
      </c>
      <c r="J27" s="242"/>
      <c r="K27" s="325"/>
      <c r="L27" s="245">
        <v>0</v>
      </c>
      <c r="M27" s="245">
        <v>0.39</v>
      </c>
      <c r="N27" s="245">
        <v>0.31</v>
      </c>
      <c r="O27" s="257">
        <f>SUM(V061_20[[#This Row],[MPAL]:[CALDERA]])</f>
        <v>0.7</v>
      </c>
      <c r="P27" s="319"/>
      <c r="Q27" s="281">
        <f>(Q26-V061_20[[#This Row],[TOTAL ]])+V061_20[[#This Row],[FAENA]]</f>
        <v>433.18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SUM(V061_20[[#This Row],[MPAL2]:[GI]])</f>
        <v>0</v>
      </c>
      <c r="X27" s="246"/>
      <c r="Y27" s="282">
        <f>(Y26-V061_20[[#This Row],[TOTAL]])+V061_20[[#This Row],[FAENA2]]</f>
        <v>109.89999999999999</v>
      </c>
      <c r="Z27" s="245">
        <v>0</v>
      </c>
      <c r="AA27" s="246">
        <v>0</v>
      </c>
      <c r="AB27" s="320">
        <f>(AB26-V061_20[[#This Row],[CYLINDER MP]])+V061_20[[#This Row],[FAENA EN LTS]]</f>
        <v>2320</v>
      </c>
      <c r="AC27" s="246">
        <v>0</v>
      </c>
      <c r="AD27" s="246">
        <v>0</v>
      </c>
      <c r="AE27" s="320">
        <f>(AE26-V061_20[[#This Row],[CARTER MP.]])+V061_20[[#This Row],[FAENA EN LTS2]]</f>
        <v>3900</v>
      </c>
      <c r="AF27" s="246">
        <v>20</v>
      </c>
      <c r="AG27" s="246">
        <v>0</v>
      </c>
      <c r="AH27" s="320">
        <f>(AH26-V061_20[[#This Row],[MOT AUX]])+V061_20[[#This Row],[FAENA EN  LTS]]</f>
        <v>1380</v>
      </c>
      <c r="AI27" s="246">
        <v>0</v>
      </c>
      <c r="AJ27" s="246">
        <v>0</v>
      </c>
      <c r="AK27" s="321">
        <f>(AK26-V061_20[[#This Row],[HIDRAULICO]])+V061_20[[#This Row],[FAENA EN LTS3]]</f>
        <v>2280</v>
      </c>
    </row>
    <row r="28" spans="1:37" x14ac:dyDescent="0.25">
      <c r="A28" s="430" t="s">
        <v>243</v>
      </c>
      <c r="B28" s="382">
        <v>44009</v>
      </c>
      <c r="C28" s="41">
        <v>0.97083333333333333</v>
      </c>
      <c r="D28" s="37">
        <f>IF(V061_20[[#This Row],[FECHA]]-B27=1,((V061_20[[#This Row],[HORA]]-C27)*24)+24,(V061_20[[#This Row],[HORA]]-C27)*24)</f>
        <v>0.90000000000000213</v>
      </c>
      <c r="E28" s="239" t="s">
        <v>47</v>
      </c>
      <c r="F28" s="29" t="s">
        <v>151</v>
      </c>
      <c r="G28" s="324"/>
      <c r="H28" s="306"/>
      <c r="I28" s="259">
        <f>IF(ISERROR(V061_20[[#This Row],[DISTANCIA POR CARTA]]/V061_20[[#This Row],[TIEMPO DE NAVEGACION]]),0,V061_20[[#This Row],[DISTANCIA POR CARTA]]/V061_20[[#This Row],[TIEMPO DE NAVEGACION]])</f>
        <v>0</v>
      </c>
      <c r="J28" s="380"/>
      <c r="K28" s="325"/>
      <c r="L28" s="245">
        <v>0.19</v>
      </c>
      <c r="M28" s="245">
        <v>0.09</v>
      </c>
      <c r="N28" s="245">
        <v>0.08</v>
      </c>
      <c r="O28" s="257">
        <f>SUM(V061_20[[#This Row],[MPAL]:[CALDERA]])</f>
        <v>0.36000000000000004</v>
      </c>
      <c r="P28" s="319"/>
      <c r="Q28" s="281">
        <f>(Q27-V061_20[[#This Row],[TOTAL ]])+V061_20[[#This Row],[FAENA]]</f>
        <v>432.82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SUM(V061_20[[#This Row],[MPAL2]:[GI]])</f>
        <v>0</v>
      </c>
      <c r="X28" s="246"/>
      <c r="Y28" s="282">
        <f>(Y27-V061_20[[#This Row],[TOTAL]])+V061_20[[#This Row],[FAENA2]]</f>
        <v>109.89999999999999</v>
      </c>
      <c r="Z28" s="245">
        <v>10</v>
      </c>
      <c r="AA28" s="246">
        <v>0</v>
      </c>
      <c r="AB28" s="320">
        <f>(AB27-V061_20[[#This Row],[CYLINDER MP]])+V061_20[[#This Row],[FAENA EN LTS]]</f>
        <v>2310</v>
      </c>
      <c r="AC28" s="246">
        <v>0</v>
      </c>
      <c r="AD28" s="246">
        <v>0</v>
      </c>
      <c r="AE28" s="320">
        <f>(AE27-V061_20[[#This Row],[CARTER MP.]])+V061_20[[#This Row],[FAENA EN LTS2]]</f>
        <v>3900</v>
      </c>
      <c r="AF28" s="246">
        <v>0</v>
      </c>
      <c r="AG28" s="246">
        <v>0</v>
      </c>
      <c r="AH28" s="320">
        <f>(AH27-V061_20[[#This Row],[MOT AUX]])+V061_20[[#This Row],[FAENA EN  LTS]]</f>
        <v>1380</v>
      </c>
      <c r="AI28" s="246">
        <v>0</v>
      </c>
      <c r="AJ28" s="246">
        <v>0</v>
      </c>
      <c r="AK28" s="321">
        <f>(AK27-V061_20[[#This Row],[HIDRAULICO]])+V061_20[[#This Row],[FAENA EN LTS3]]</f>
        <v>2280</v>
      </c>
    </row>
    <row r="29" spans="1:37" x14ac:dyDescent="0.25">
      <c r="A29" s="430" t="s">
        <v>243</v>
      </c>
      <c r="B29" s="382">
        <v>44010</v>
      </c>
      <c r="C29" s="41">
        <v>0.33333333333333331</v>
      </c>
      <c r="D29" s="37">
        <f>IF(V061_20[[#This Row],[FECHA]]-B28=1,((V061_20[[#This Row],[HORA]]-C28)*24)+24,(V061_20[[#This Row],[HORA]]-C28)*24)</f>
        <v>8.7000000000000011</v>
      </c>
      <c r="E29" s="239" t="s">
        <v>55</v>
      </c>
      <c r="F29" s="29" t="s">
        <v>56</v>
      </c>
      <c r="G29" s="324"/>
      <c r="H29" s="306"/>
      <c r="I29" s="259">
        <f>IF(ISERROR(V061_20[[#This Row],[DISTANCIA POR CARTA]]/V061_20[[#This Row],[TIEMPO DE NAVEGACION]]),0,V061_20[[#This Row],[DISTANCIA POR CARTA]]/V061_20[[#This Row],[TIEMPO DE NAVEGACION]])</f>
        <v>0</v>
      </c>
      <c r="J29" s="242"/>
      <c r="K29" s="325">
        <v>96</v>
      </c>
      <c r="L29" s="245">
        <v>8.34</v>
      </c>
      <c r="M29" s="245">
        <v>0.91</v>
      </c>
      <c r="N29" s="245">
        <v>0.73</v>
      </c>
      <c r="O29" s="257">
        <f>SUM(V061_20[[#This Row],[MPAL]:[CALDERA]])</f>
        <v>9.98</v>
      </c>
      <c r="P29" s="319"/>
      <c r="Q29" s="281">
        <f>(Q28-V061_20[[#This Row],[TOTAL ]])+V061_20[[#This Row],[FAENA]]</f>
        <v>422.84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SUM(V061_20[[#This Row],[MPAL2]:[GI]])</f>
        <v>0</v>
      </c>
      <c r="X29" s="246"/>
      <c r="Y29" s="282">
        <f>(Y28-V061_20[[#This Row],[TOTAL]])+V061_20[[#This Row],[FAENA2]]</f>
        <v>109.89999999999999</v>
      </c>
      <c r="Z29" s="245">
        <v>110</v>
      </c>
      <c r="AA29" s="246">
        <v>0</v>
      </c>
      <c r="AB29" s="320">
        <f>(AB28-V061_20[[#This Row],[CYLINDER MP]])+V061_20[[#This Row],[FAENA EN LTS]]</f>
        <v>2200</v>
      </c>
      <c r="AC29" s="246">
        <v>0</v>
      </c>
      <c r="AD29" s="246">
        <v>0</v>
      </c>
      <c r="AE29" s="320">
        <f>(AE28-V061_20[[#This Row],[CARTER MP.]])+V061_20[[#This Row],[FAENA EN LTS2]]</f>
        <v>3900</v>
      </c>
      <c r="AF29" s="246">
        <v>30</v>
      </c>
      <c r="AG29" s="246">
        <v>0</v>
      </c>
      <c r="AH29" s="320">
        <f>(AH28-V061_20[[#This Row],[MOT AUX]])+V061_20[[#This Row],[FAENA EN  LTS]]</f>
        <v>1350</v>
      </c>
      <c r="AI29" s="246">
        <v>50</v>
      </c>
      <c r="AJ29" s="246">
        <v>0</v>
      </c>
      <c r="AK29" s="321">
        <f>(AK28-V061_20[[#This Row],[HIDRAULICO]])+V061_20[[#This Row],[FAENA EN LTS3]]</f>
        <v>2230</v>
      </c>
    </row>
    <row r="30" spans="1:37" x14ac:dyDescent="0.25">
      <c r="A30" s="430" t="s">
        <v>243</v>
      </c>
      <c r="B30" s="48">
        <v>44011</v>
      </c>
      <c r="C30" s="41">
        <v>9.1666666666666674E-2</v>
      </c>
      <c r="D30" s="37">
        <f>IF(V061_20[[#This Row],[FECHA]]-B29=1,((V061_20[[#This Row],[HORA]]-C29)*24)+24,(V061_20[[#This Row],[HORA]]-C29)*24)</f>
        <v>18.200000000000003</v>
      </c>
      <c r="E30" s="239" t="s">
        <v>55</v>
      </c>
      <c r="F30" s="29" t="s">
        <v>247</v>
      </c>
      <c r="G30" s="324">
        <v>318</v>
      </c>
      <c r="H30" s="306">
        <v>26.9</v>
      </c>
      <c r="I30" s="259">
        <f>IF(ISERROR(V061_20[[#This Row],[DISTANCIA POR CARTA]]/V061_20[[#This Row],[TIEMPO DE NAVEGACION]]),0,V061_20[[#This Row],[DISTANCIA POR CARTA]]/V061_20[[#This Row],[TIEMPO DE NAVEGACION]])</f>
        <v>11.821561338289964</v>
      </c>
      <c r="J30" s="380" t="s">
        <v>214</v>
      </c>
      <c r="K30" s="325">
        <v>96</v>
      </c>
      <c r="L30" s="245">
        <v>17.440000000000001</v>
      </c>
      <c r="M30" s="245">
        <v>1.9</v>
      </c>
      <c r="N30" s="245">
        <v>0</v>
      </c>
      <c r="O30" s="257">
        <f>SUM(V061_20[[#This Row],[MPAL]:[CALDERA]])</f>
        <v>19.34</v>
      </c>
      <c r="P30" s="319"/>
      <c r="Q30" s="281">
        <f>(Q29-V061_20[[#This Row],[TOTAL ]])+V061_20[[#This Row],[FAENA]]</f>
        <v>403.5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SUM(V061_20[[#This Row],[MPAL2]:[GI]])</f>
        <v>0</v>
      </c>
      <c r="X30" s="246"/>
      <c r="Y30" s="282">
        <f>(Y29-V061_20[[#This Row],[TOTAL]])+V061_20[[#This Row],[FAENA2]]</f>
        <v>109.89999999999999</v>
      </c>
      <c r="Z30" s="245">
        <v>220</v>
      </c>
      <c r="AA30" s="246">
        <v>0</v>
      </c>
      <c r="AB30" s="320">
        <f>(AB29-V061_20[[#This Row],[CYLINDER MP]])+V061_20[[#This Row],[FAENA EN LTS]]</f>
        <v>1980</v>
      </c>
      <c r="AC30" s="246">
        <v>0</v>
      </c>
      <c r="AD30" s="246">
        <v>0</v>
      </c>
      <c r="AE30" s="320">
        <f>(AE29-V061_20[[#This Row],[CARTER MP.]])+V061_20[[#This Row],[FAENA EN LTS2]]</f>
        <v>3900</v>
      </c>
      <c r="AF30" s="246">
        <v>0</v>
      </c>
      <c r="AG30" s="246">
        <v>0</v>
      </c>
      <c r="AH30" s="320">
        <f>(AH29-V061_20[[#This Row],[MOT AUX]])+V061_20[[#This Row],[FAENA EN  LTS]]</f>
        <v>1350</v>
      </c>
      <c r="AI30" s="246">
        <v>0</v>
      </c>
      <c r="AJ30" s="246">
        <v>0</v>
      </c>
      <c r="AK30" s="321">
        <f>(AK29-V061_20[[#This Row],[HIDRAULICO]])+V061_20[[#This Row],[FAENA EN LTS3]]</f>
        <v>2230</v>
      </c>
    </row>
    <row r="31" spans="1:37" x14ac:dyDescent="0.25">
      <c r="A31" s="430" t="s">
        <v>243</v>
      </c>
      <c r="B31" s="48">
        <v>44011</v>
      </c>
      <c r="C31" s="41">
        <v>0.11666666666666665</v>
      </c>
      <c r="D31" s="37">
        <f>IF(V061_20[[#This Row],[FECHA]]-B30=1,((V061_20[[#This Row],[HORA]]-C30)*24)+24,(V061_20[[#This Row],[HORA]]-C30)*24)</f>
        <v>0.59999999999999953</v>
      </c>
      <c r="E31" s="239" t="s">
        <v>47</v>
      </c>
      <c r="F31" s="29" t="s">
        <v>48</v>
      </c>
      <c r="G31" s="324"/>
      <c r="H31" s="306"/>
      <c r="I31" s="259">
        <f>IF(ISERROR(V061_20[[#This Row],[DISTANCIA POR CARTA]]/V061_20[[#This Row],[TIEMPO DE NAVEGACION]]),0,V061_20[[#This Row],[DISTANCIA POR CARTA]]/V061_20[[#This Row],[TIEMPO DE NAVEGACION]])</f>
        <v>0</v>
      </c>
      <c r="J31" s="242"/>
      <c r="K31" s="325"/>
      <c r="L31" s="245">
        <v>0.13</v>
      </c>
      <c r="M31" s="245">
        <v>0.06</v>
      </c>
      <c r="N31" s="245">
        <v>0.05</v>
      </c>
      <c r="O31" s="257">
        <f>SUM(V061_20[[#This Row],[MPAL]:[CALDERA]])</f>
        <v>0.24</v>
      </c>
      <c r="P31" s="319"/>
      <c r="Q31" s="281">
        <f>(Q30-V061_20[[#This Row],[TOTAL ]])+V061_20[[#This Row],[FAENA]]</f>
        <v>403.26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SUM(V061_20[[#This Row],[MPAL2]:[GI]])</f>
        <v>0</v>
      </c>
      <c r="X31" s="246"/>
      <c r="Y31" s="282">
        <f>(Y30-V061_20[[#This Row],[TOTAL]])+V061_20[[#This Row],[FAENA2]]</f>
        <v>109.89999999999999</v>
      </c>
      <c r="Z31" s="245">
        <v>10</v>
      </c>
      <c r="AA31" s="246">
        <v>0</v>
      </c>
      <c r="AB31" s="320">
        <f>(AB30-V061_20[[#This Row],[CYLINDER MP]])+V061_20[[#This Row],[FAENA EN LTS]]</f>
        <v>1970</v>
      </c>
      <c r="AC31" s="246">
        <v>0</v>
      </c>
      <c r="AD31" s="246">
        <v>0</v>
      </c>
      <c r="AE31" s="320">
        <f>(AE30-V061_20[[#This Row],[CARTER MP.]])+V061_20[[#This Row],[FAENA EN LTS2]]</f>
        <v>3900</v>
      </c>
      <c r="AF31" s="246">
        <v>0</v>
      </c>
      <c r="AG31" s="246">
        <v>0</v>
      </c>
      <c r="AH31" s="320">
        <f>(AH30-V061_20[[#This Row],[MOT AUX]])+V061_20[[#This Row],[FAENA EN  LTS]]</f>
        <v>1350</v>
      </c>
      <c r="AI31" s="246">
        <v>0</v>
      </c>
      <c r="AJ31" s="246">
        <v>0</v>
      </c>
      <c r="AK31" s="321">
        <f>(AK30-V061_20[[#This Row],[HIDRAULICO]])+V061_20[[#This Row],[FAENA EN LTS3]]</f>
        <v>2230</v>
      </c>
    </row>
    <row r="32" spans="1:37" x14ac:dyDescent="0.25">
      <c r="A32" s="430" t="s">
        <v>243</v>
      </c>
      <c r="B32" s="48">
        <v>44011</v>
      </c>
      <c r="C32" s="41">
        <v>0.19166666666666665</v>
      </c>
      <c r="D32" s="37">
        <f>IF(V061_20[[#This Row],[FECHA]]-B31=1,((V061_20[[#This Row],[HORA]]-C31)*24)+24,(V061_20[[#This Row],[HORA]]-C31)*24)</f>
        <v>1.7999999999999998</v>
      </c>
      <c r="E32" s="239" t="s">
        <v>49</v>
      </c>
      <c r="F32" s="29" t="s">
        <v>46</v>
      </c>
      <c r="G32" s="324"/>
      <c r="H32" s="306"/>
      <c r="I32" s="259">
        <f>IF(ISERROR(V061_20[[#This Row],[DISTANCIA POR CARTA]]/V061_20[[#This Row],[TIEMPO DE NAVEGACION]]),0,V061_20[[#This Row],[DISTANCIA POR CARTA]]/V061_20[[#This Row],[TIEMPO DE NAVEGACION]])</f>
        <v>0</v>
      </c>
      <c r="J32" s="242"/>
      <c r="K32" s="325"/>
      <c r="L32" s="245">
        <v>0</v>
      </c>
      <c r="M32" s="245">
        <v>0.19</v>
      </c>
      <c r="N32" s="245">
        <v>0.25</v>
      </c>
      <c r="O32" s="257">
        <f>SUM(V061_20[[#This Row],[MPAL]:[CALDERA]])</f>
        <v>0.44</v>
      </c>
      <c r="P32" s="319"/>
      <c r="Q32" s="281">
        <f>(Q31-V061_20[[#This Row],[TOTAL ]])+V061_20[[#This Row],[FAENA]]</f>
        <v>402.82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SUM(V061_20[[#This Row],[MPAL2]:[GI]])</f>
        <v>0</v>
      </c>
      <c r="X32" s="246"/>
      <c r="Y32" s="282">
        <f>(Y31-V061_20[[#This Row],[TOTAL]])+V061_20[[#This Row],[FAENA2]]</f>
        <v>109.89999999999999</v>
      </c>
      <c r="Z32" s="245">
        <v>0</v>
      </c>
      <c r="AA32" s="246">
        <v>0</v>
      </c>
      <c r="AB32" s="320">
        <f>(AB31-V061_20[[#This Row],[CYLINDER MP]])+V061_20[[#This Row],[FAENA EN LTS]]</f>
        <v>1970</v>
      </c>
      <c r="AC32" s="246">
        <v>0</v>
      </c>
      <c r="AD32" s="246">
        <v>0</v>
      </c>
      <c r="AE32" s="320">
        <f>(AE31-V061_20[[#This Row],[CARTER MP.]])+V061_20[[#This Row],[FAENA EN LTS2]]</f>
        <v>3900</v>
      </c>
      <c r="AF32" s="246">
        <v>0</v>
      </c>
      <c r="AG32" s="246">
        <v>0</v>
      </c>
      <c r="AH32" s="320">
        <f>(AH31-V061_20[[#This Row],[MOT AUX]])+V061_20[[#This Row],[FAENA EN  LTS]]</f>
        <v>1350</v>
      </c>
      <c r="AI32" s="246">
        <v>0</v>
      </c>
      <c r="AJ32" s="246">
        <v>0</v>
      </c>
      <c r="AK32" s="321">
        <f>(AK31-V061_20[[#This Row],[HIDRAULICO]])+V061_20[[#This Row],[FAENA EN LTS3]]</f>
        <v>2230</v>
      </c>
    </row>
    <row r="33" spans="1:37" x14ac:dyDescent="0.25">
      <c r="A33" s="430" t="s">
        <v>243</v>
      </c>
      <c r="B33" s="48">
        <v>44011</v>
      </c>
      <c r="C33" s="351">
        <v>0.22916666666666666</v>
      </c>
      <c r="D33" s="37">
        <f>IF(V061_20[[#This Row],[FECHA]]-B32=1,((V061_20[[#This Row],[HORA]]-C32)*24)+24,(V061_20[[#This Row],[HORA]]-C32)*24)</f>
        <v>0.90000000000000013</v>
      </c>
      <c r="E33" s="239" t="s">
        <v>47</v>
      </c>
      <c r="F33" s="29" t="s">
        <v>48</v>
      </c>
      <c r="G33" s="324"/>
      <c r="H33" s="306"/>
      <c r="I33" s="259">
        <f>IF(ISERROR(V061_20[[#This Row],[DISTANCIA POR CARTA]]/V061_20[[#This Row],[TIEMPO DE NAVEGACION]]),0,V061_20[[#This Row],[DISTANCIA POR CARTA]]/V061_20[[#This Row],[TIEMPO DE NAVEGACION]])</f>
        <v>0</v>
      </c>
      <c r="J33" s="242"/>
      <c r="K33" s="325"/>
      <c r="L33" s="245">
        <v>0.19</v>
      </c>
      <c r="M33" s="245">
        <v>0.09</v>
      </c>
      <c r="N33" s="245">
        <v>0.2</v>
      </c>
      <c r="O33" s="257">
        <f>SUM(V061_20[[#This Row],[MPAL]:[CALDERA]])</f>
        <v>0.48000000000000004</v>
      </c>
      <c r="P33" s="319"/>
      <c r="Q33" s="281">
        <f>(Q32-V061_20[[#This Row],[TOTAL ]])+V061_20[[#This Row],[FAENA]]</f>
        <v>402.34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SUM(V061_20[[#This Row],[MPAL2]:[GI]])</f>
        <v>0</v>
      </c>
      <c r="X33" s="246"/>
      <c r="Y33" s="282">
        <f>(Y32-V061_20[[#This Row],[TOTAL]])+V061_20[[#This Row],[FAENA2]]</f>
        <v>109.89999999999999</v>
      </c>
      <c r="Z33" s="245">
        <v>0</v>
      </c>
      <c r="AA33" s="246">
        <v>0</v>
      </c>
      <c r="AB33" s="320">
        <f>(AB32-V061_20[[#This Row],[CYLINDER MP]])+V061_20[[#This Row],[FAENA EN LTS]]</f>
        <v>1970</v>
      </c>
      <c r="AC33" s="246">
        <v>0</v>
      </c>
      <c r="AD33" s="246">
        <v>0</v>
      </c>
      <c r="AE33" s="320">
        <f>(AE32-V061_20[[#This Row],[CARTER MP.]])+V061_20[[#This Row],[FAENA EN LTS2]]</f>
        <v>3900</v>
      </c>
      <c r="AF33" s="246">
        <v>0</v>
      </c>
      <c r="AG33" s="246">
        <v>0</v>
      </c>
      <c r="AH33" s="320">
        <f>(AH32-V061_20[[#This Row],[MOT AUX]])+V061_20[[#This Row],[FAENA EN  LTS]]</f>
        <v>1350</v>
      </c>
      <c r="AI33" s="246">
        <v>0</v>
      </c>
      <c r="AJ33" s="246">
        <v>0</v>
      </c>
      <c r="AK33" s="321">
        <f>(AK32-V061_20[[#This Row],[HIDRAULICO]])+V061_20[[#This Row],[FAENA EN LTS3]]</f>
        <v>2230</v>
      </c>
    </row>
    <row r="34" spans="1:37" x14ac:dyDescent="0.25">
      <c r="A34" s="430" t="s">
        <v>243</v>
      </c>
      <c r="B34" s="48">
        <v>44011</v>
      </c>
      <c r="C34" s="41">
        <v>0.33333333333333331</v>
      </c>
      <c r="D34" s="37">
        <f>IF(V061_20[[#This Row],[FECHA]]-B33=1,((V061_20[[#This Row],[HORA]]-C33)*24)+24,(V061_20[[#This Row],[HORA]]-C33)*24)</f>
        <v>2.5</v>
      </c>
      <c r="E34" s="239" t="s">
        <v>49</v>
      </c>
      <c r="F34" s="29" t="s">
        <v>59</v>
      </c>
      <c r="G34" s="324"/>
      <c r="H34" s="306"/>
      <c r="I34" s="259">
        <f>IF(ISERROR(V061_20[[#This Row],[DISTANCIA POR CARTA]]/V061_20[[#This Row],[TIEMPO DE NAVEGACION]]),0,V061_20[[#This Row],[DISTANCIA POR CARTA]]/V061_20[[#This Row],[TIEMPO DE NAVEGACION]])</f>
        <v>0</v>
      </c>
      <c r="J34" s="242"/>
      <c r="K34" s="325"/>
      <c r="L34" s="245">
        <v>0</v>
      </c>
      <c r="M34" s="245">
        <v>0.08</v>
      </c>
      <c r="N34" s="245">
        <v>0.21</v>
      </c>
      <c r="O34" s="257">
        <f>SUM(V061_20[[#This Row],[MPAL]:[CALDERA]])</f>
        <v>0.28999999999999998</v>
      </c>
      <c r="P34" s="319"/>
      <c r="Q34" s="281">
        <f>(Q33-V061_20[[#This Row],[TOTAL ]])+V061_20[[#This Row],[FAENA]]</f>
        <v>402.04999999999995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SUM(V061_20[[#This Row],[MPAL2]:[GI]])</f>
        <v>0</v>
      </c>
      <c r="X34" s="246"/>
      <c r="Y34" s="282">
        <f>(Y33-V061_20[[#This Row],[TOTAL]])+V061_20[[#This Row],[FAENA2]]</f>
        <v>109.89999999999999</v>
      </c>
      <c r="Z34" s="245">
        <v>0</v>
      </c>
      <c r="AA34" s="246">
        <v>0</v>
      </c>
      <c r="AB34" s="320">
        <f>(AB33-V061_20[[#This Row],[CYLINDER MP]])+V061_20[[#This Row],[FAENA EN LTS]]</f>
        <v>1970</v>
      </c>
      <c r="AC34" s="246">
        <v>0</v>
      </c>
      <c r="AD34" s="246">
        <v>0</v>
      </c>
      <c r="AE34" s="320">
        <f>(AE33-V061_20[[#This Row],[CARTER MP.]])+V061_20[[#This Row],[FAENA EN LTS2]]</f>
        <v>3900</v>
      </c>
      <c r="AF34" s="246">
        <v>40</v>
      </c>
      <c r="AG34" s="246">
        <v>0</v>
      </c>
      <c r="AH34" s="320">
        <f>(AH33-V061_20[[#This Row],[MOT AUX]])+V061_20[[#This Row],[FAENA EN  LTS]]</f>
        <v>1310</v>
      </c>
      <c r="AI34" s="246">
        <v>0</v>
      </c>
      <c r="AJ34" s="246">
        <v>0</v>
      </c>
      <c r="AK34" s="321">
        <f>(AK33-V061_20[[#This Row],[HIDRAULICO]])+V061_20[[#This Row],[FAENA EN LTS3]]</f>
        <v>2230</v>
      </c>
    </row>
    <row r="35" spans="1:37" x14ac:dyDescent="0.25">
      <c r="A35" s="430" t="s">
        <v>243</v>
      </c>
      <c r="B35" s="48">
        <v>44011</v>
      </c>
      <c r="C35" s="41">
        <v>0.42499999999999999</v>
      </c>
      <c r="D35" s="37">
        <f>IF(V061_20[[#This Row],[FECHA]]-B34=1,((V061_20[[#This Row],[HORA]]-C34)*24)+24,(V061_20[[#This Row],[HORA]]-C34)*24)</f>
        <v>2.2000000000000002</v>
      </c>
      <c r="E35" s="239" t="s">
        <v>49</v>
      </c>
      <c r="F35" s="29" t="s">
        <v>50</v>
      </c>
      <c r="G35" s="324"/>
      <c r="H35" s="306"/>
      <c r="I35" s="259">
        <f>IF(ISERROR(V061_20[[#This Row],[DISTANCIA POR CARTA]]/V061_20[[#This Row],[TIEMPO DE NAVEGACION]]),0,V061_20[[#This Row],[DISTANCIA POR CARTA]]/V061_20[[#This Row],[TIEMPO DE NAVEGACION]])</f>
        <v>0</v>
      </c>
      <c r="J35" s="242"/>
      <c r="K35" s="325"/>
      <c r="L35" s="245">
        <v>0</v>
      </c>
      <c r="M35" s="245">
        <v>0.23</v>
      </c>
      <c r="N35" s="245">
        <v>0.11</v>
      </c>
      <c r="O35" s="257">
        <f>SUM(V061_20[[#This Row],[MPAL]:[CALDERA]])</f>
        <v>0.34</v>
      </c>
      <c r="P35" s="319"/>
      <c r="Q35" s="281">
        <f>(Q34-V061_20[[#This Row],[TOTAL ]])+V061_20[[#This Row],[FAENA]]</f>
        <v>401.71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SUM(V061_20[[#This Row],[MPAL2]:[GI]])</f>
        <v>0</v>
      </c>
      <c r="X35" s="246"/>
      <c r="Y35" s="282">
        <f>(Y34-V061_20[[#This Row],[TOTAL]])+V061_20[[#This Row],[FAENA2]]</f>
        <v>109.89999999999999</v>
      </c>
      <c r="Z35" s="245">
        <v>0</v>
      </c>
      <c r="AA35" s="246">
        <v>0</v>
      </c>
      <c r="AB35" s="320">
        <f>(AB34-V061_20[[#This Row],[CYLINDER MP]])+V061_20[[#This Row],[FAENA EN LTS]]</f>
        <v>1970</v>
      </c>
      <c r="AC35" s="246">
        <v>0</v>
      </c>
      <c r="AD35" s="246">
        <v>0</v>
      </c>
      <c r="AE35" s="320">
        <f>(AE34-V061_20[[#This Row],[CARTER MP.]])+V061_20[[#This Row],[FAENA EN LTS2]]</f>
        <v>3900</v>
      </c>
      <c r="AF35" s="246">
        <v>0</v>
      </c>
      <c r="AG35" s="246">
        <v>0</v>
      </c>
      <c r="AH35" s="320">
        <f>(AH34-V061_20[[#This Row],[MOT AUX]])+V061_20[[#This Row],[FAENA EN  LTS]]</f>
        <v>1310</v>
      </c>
      <c r="AI35" s="246">
        <v>0</v>
      </c>
      <c r="AJ35" s="246">
        <v>0</v>
      </c>
      <c r="AK35" s="321">
        <f>(AK34-V061_20[[#This Row],[HIDRAULICO]])+V061_20[[#This Row],[FAENA EN LTS3]]</f>
        <v>2230</v>
      </c>
    </row>
    <row r="36" spans="1:37" x14ac:dyDescent="0.25">
      <c r="A36" s="430" t="s">
        <v>243</v>
      </c>
      <c r="B36" s="48">
        <v>44011</v>
      </c>
      <c r="C36" s="41">
        <v>0.9458333333333333</v>
      </c>
      <c r="D36" s="37">
        <f>IF(V061_20[[#This Row],[FECHA]]-B35=1,((V061_20[[#This Row],[HORA]]-C35)*24)+24,(V061_20[[#This Row],[HORA]]-C35)*24)</f>
        <v>12.499999999999998</v>
      </c>
      <c r="E36" s="239" t="s">
        <v>51</v>
      </c>
      <c r="F36" s="29" t="s">
        <v>52</v>
      </c>
      <c r="G36" s="324"/>
      <c r="H36" s="306"/>
      <c r="I36" s="259">
        <f>IF(ISERROR(V061_20[[#This Row],[DISTANCIA POR CARTA]]/V061_20[[#This Row],[TIEMPO DE NAVEGACION]]),0,V061_20[[#This Row],[DISTANCIA POR CARTA]]/V061_20[[#This Row],[TIEMPO DE NAVEGACION]])</f>
        <v>0</v>
      </c>
      <c r="J36" s="242"/>
      <c r="K36" s="325"/>
      <c r="L36" s="245">
        <v>0</v>
      </c>
      <c r="M36" s="245">
        <v>1.3</v>
      </c>
      <c r="N36" s="245">
        <v>1.04</v>
      </c>
      <c r="O36" s="257">
        <f>SUM(V061_20[[#This Row],[MPAL]:[CALDERA]])</f>
        <v>2.34</v>
      </c>
      <c r="P36" s="319"/>
      <c r="Q36" s="281">
        <f>(Q35-V061_20[[#This Row],[TOTAL ]])+V061_20[[#This Row],[FAENA]]</f>
        <v>399.37</v>
      </c>
      <c r="R36" s="245">
        <v>0</v>
      </c>
      <c r="S36" s="246">
        <v>0</v>
      </c>
      <c r="T36" s="246">
        <v>0</v>
      </c>
      <c r="U36" s="246">
        <v>0</v>
      </c>
      <c r="V36" s="246">
        <v>3.1</v>
      </c>
      <c r="W36" s="257">
        <f>SUM(V061_20[[#This Row],[MPAL2]:[GI]])</f>
        <v>3.1</v>
      </c>
      <c r="X36" s="246"/>
      <c r="Y36" s="282">
        <f>(Y35-V061_20[[#This Row],[TOTAL]])+V061_20[[#This Row],[FAENA2]]</f>
        <v>106.8</v>
      </c>
      <c r="Z36" s="245">
        <v>0</v>
      </c>
      <c r="AA36" s="246">
        <v>0</v>
      </c>
      <c r="AB36" s="320">
        <f>(AB35-V061_20[[#This Row],[CYLINDER MP]])+V061_20[[#This Row],[FAENA EN LTS]]</f>
        <v>1970</v>
      </c>
      <c r="AC36" s="246">
        <v>0</v>
      </c>
      <c r="AD36" s="246">
        <v>0</v>
      </c>
      <c r="AE36" s="320">
        <f>(AE35-V061_20[[#This Row],[CARTER MP.]])+V061_20[[#This Row],[FAENA EN LTS2]]</f>
        <v>3900</v>
      </c>
      <c r="AF36" s="246">
        <v>40</v>
      </c>
      <c r="AG36" s="246">
        <v>0</v>
      </c>
      <c r="AH36" s="320">
        <f>(AH35-V061_20[[#This Row],[MOT AUX]])+V061_20[[#This Row],[FAENA EN  LTS]]</f>
        <v>1270</v>
      </c>
      <c r="AI36" s="246">
        <v>30</v>
      </c>
      <c r="AJ36" s="246">
        <v>0</v>
      </c>
      <c r="AK36" s="321">
        <f>(AK35-V061_20[[#This Row],[HIDRAULICO]])+V061_20[[#This Row],[FAENA EN LTS3]]</f>
        <v>2200</v>
      </c>
    </row>
    <row r="37" spans="1:37" x14ac:dyDescent="0.25">
      <c r="A37" s="430" t="s">
        <v>243</v>
      </c>
      <c r="B37" s="48">
        <v>44012</v>
      </c>
      <c r="C37" s="41">
        <v>7.4999999999999997E-2</v>
      </c>
      <c r="D37" s="37">
        <f>IF(V061_20[[#This Row],[FECHA]]-B36=1,((V061_20[[#This Row],[HORA]]-C36)*24)+24,(V061_20[[#This Row],[HORA]]-C36)*24)</f>
        <v>3.1000000000000014</v>
      </c>
      <c r="E37" s="239" t="s">
        <v>49</v>
      </c>
      <c r="F37" s="29" t="s">
        <v>46</v>
      </c>
      <c r="G37" s="324"/>
      <c r="H37" s="306"/>
      <c r="I37" s="259">
        <f>IF(ISERROR(V061_20[[#This Row],[DISTANCIA POR CARTA]]/V061_20[[#This Row],[TIEMPO DE NAVEGACION]]),0,V061_20[[#This Row],[DISTANCIA POR CARTA]]/V061_20[[#This Row],[TIEMPO DE NAVEGACION]])</f>
        <v>0</v>
      </c>
      <c r="J37" s="380"/>
      <c r="K37" s="325"/>
      <c r="L37" s="245">
        <v>0</v>
      </c>
      <c r="M37" s="245">
        <v>0.32</v>
      </c>
      <c r="N37" s="245">
        <v>0.26</v>
      </c>
      <c r="O37" s="257">
        <f>SUM(V061_20[[#This Row],[MPAL]:[CALDERA]])</f>
        <v>0.58000000000000007</v>
      </c>
      <c r="P37" s="319"/>
      <c r="Q37" s="281">
        <f>(Q36-V061_20[[#This Row],[TOTAL ]])+V061_20[[#This Row],[FAENA]]</f>
        <v>398.79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SUM(V061_20[[#This Row],[MPAL2]:[GI]])</f>
        <v>0</v>
      </c>
      <c r="X37" s="246"/>
      <c r="Y37" s="282">
        <f>(Y36-V061_20[[#This Row],[TOTAL]])+V061_20[[#This Row],[FAENA2]]</f>
        <v>106.8</v>
      </c>
      <c r="Z37" s="245">
        <v>0</v>
      </c>
      <c r="AA37" s="246">
        <v>0</v>
      </c>
      <c r="AB37" s="320">
        <f>(AB36-V061_20[[#This Row],[CYLINDER MP]])+V061_20[[#This Row],[FAENA EN LTS]]</f>
        <v>1970</v>
      </c>
      <c r="AC37" s="246">
        <v>0</v>
      </c>
      <c r="AD37" s="246">
        <v>0</v>
      </c>
      <c r="AE37" s="320">
        <f>(AE36-V061_20[[#This Row],[CARTER MP.]])+V061_20[[#This Row],[FAENA EN LTS2]]</f>
        <v>3900</v>
      </c>
      <c r="AF37" s="246">
        <v>0</v>
      </c>
      <c r="AG37" s="246">
        <v>0</v>
      </c>
      <c r="AH37" s="320">
        <f>(AH36-V061_20[[#This Row],[MOT AUX]])+V061_20[[#This Row],[FAENA EN  LTS]]</f>
        <v>1270</v>
      </c>
      <c r="AI37" s="246">
        <v>0</v>
      </c>
      <c r="AJ37" s="246">
        <v>0</v>
      </c>
      <c r="AK37" s="321">
        <f>(AK36-V061_20[[#This Row],[HIDRAULICO]])+V061_20[[#This Row],[FAENA EN LTS3]]</f>
        <v>2200</v>
      </c>
    </row>
    <row r="38" spans="1:37" x14ac:dyDescent="0.25">
      <c r="A38" s="430" t="s">
        <v>243</v>
      </c>
      <c r="B38" s="48">
        <v>44012</v>
      </c>
      <c r="C38" s="41">
        <v>0.10416666666666667</v>
      </c>
      <c r="D38" s="37">
        <f>IF(V061_20[[#This Row],[FECHA]]-B37=1,((V061_20[[#This Row],[HORA]]-C37)*24)+24,(V061_20[[#This Row],[HORA]]-C37)*24)</f>
        <v>0.70000000000000018</v>
      </c>
      <c r="E38" s="239" t="s">
        <v>47</v>
      </c>
      <c r="F38" s="29" t="s">
        <v>220</v>
      </c>
      <c r="G38" s="324"/>
      <c r="H38" s="306"/>
      <c r="I38" s="259">
        <f>IF(ISERROR(V061_20[[#This Row],[DISTANCIA POR CARTA]]/V061_20[[#This Row],[TIEMPO DE NAVEGACION]]),0,V061_20[[#This Row],[DISTANCIA POR CARTA]]/V061_20[[#This Row],[TIEMPO DE NAVEGACION]])</f>
        <v>0</v>
      </c>
      <c r="J38" s="242"/>
      <c r="K38" s="325"/>
      <c r="L38" s="245">
        <v>0.15</v>
      </c>
      <c r="M38" s="245">
        <v>7.0000000000000007E-2</v>
      </c>
      <c r="N38" s="245">
        <v>0.06</v>
      </c>
      <c r="O38" s="257">
        <f>SUM(V061_20[[#This Row],[MPAL]:[CALDERA]])</f>
        <v>0.28000000000000003</v>
      </c>
      <c r="P38" s="319"/>
      <c r="Q38" s="281">
        <f>(Q37-V061_20[[#This Row],[TOTAL ]])+V061_20[[#This Row],[FAENA]]</f>
        <v>398.51000000000005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SUM(V061_20[[#This Row],[MPAL2]:[GI]])</f>
        <v>0</v>
      </c>
      <c r="X38" s="246"/>
      <c r="Y38" s="282">
        <f>(Y37-V061_20[[#This Row],[TOTAL]])+V061_20[[#This Row],[FAENA2]]</f>
        <v>106.8</v>
      </c>
      <c r="Z38" s="245">
        <v>10</v>
      </c>
      <c r="AA38" s="246">
        <v>0</v>
      </c>
      <c r="AB38" s="320">
        <f>(AB37-V061_20[[#This Row],[CYLINDER MP]])+V061_20[[#This Row],[FAENA EN LTS]]</f>
        <v>1960</v>
      </c>
      <c r="AC38" s="246">
        <v>0</v>
      </c>
      <c r="AD38" s="246">
        <v>0</v>
      </c>
      <c r="AE38" s="320">
        <f>(AE37-V061_20[[#This Row],[CARTER MP.]])+V061_20[[#This Row],[FAENA EN LTS2]]</f>
        <v>3900</v>
      </c>
      <c r="AF38" s="246">
        <v>0</v>
      </c>
      <c r="AG38" s="246">
        <v>0</v>
      </c>
      <c r="AH38" s="320">
        <f>(AH37-V061_20[[#This Row],[MOT AUX]])+V061_20[[#This Row],[FAENA EN  LTS]]</f>
        <v>1270</v>
      </c>
      <c r="AI38" s="246">
        <v>0</v>
      </c>
      <c r="AJ38" s="246">
        <v>0</v>
      </c>
      <c r="AK38" s="321">
        <f>(AK37-V061_20[[#This Row],[HIDRAULICO]])+V061_20[[#This Row],[FAENA EN LTS3]]</f>
        <v>2200</v>
      </c>
    </row>
    <row r="39" spans="1:37" x14ac:dyDescent="0.25">
      <c r="A39" s="430" t="s">
        <v>243</v>
      </c>
      <c r="B39" s="48">
        <v>44012</v>
      </c>
      <c r="C39" s="351">
        <v>0.33333333333333331</v>
      </c>
      <c r="D39" s="37">
        <f>IF(V061_20[[#This Row],[FECHA]]-B38=1,((V061_20[[#This Row],[HORA]]-C38)*24)+24,(V061_20[[#This Row],[HORA]]-C38)*24)</f>
        <v>5.4999999999999991</v>
      </c>
      <c r="E39" s="239" t="s">
        <v>61</v>
      </c>
      <c r="F39" s="29" t="s">
        <v>56</v>
      </c>
      <c r="G39" s="324"/>
      <c r="H39" s="306"/>
      <c r="I39" s="259">
        <f>IF(ISERROR(V061_20[[#This Row],[DISTANCIA POR CARTA]]/V061_20[[#This Row],[TIEMPO DE NAVEGACION]]),0,V061_20[[#This Row],[DISTANCIA POR CARTA]]/V061_20[[#This Row],[TIEMPO DE NAVEGACION]])</f>
        <v>0</v>
      </c>
      <c r="J39" s="242"/>
      <c r="K39" s="325">
        <v>96</v>
      </c>
      <c r="L39" s="245">
        <v>5.04</v>
      </c>
      <c r="M39" s="245">
        <v>0.56999999999999995</v>
      </c>
      <c r="N39" s="245">
        <v>0</v>
      </c>
      <c r="O39" s="257">
        <f>SUM(V061_20[[#This Row],[MPAL]:[CALDERA]])</f>
        <v>5.61</v>
      </c>
      <c r="P39" s="319"/>
      <c r="Q39" s="281">
        <f>(Q38-V061_20[[#This Row],[TOTAL ]])+V061_20[[#This Row],[FAENA]]</f>
        <v>392.90000000000003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SUM(V061_20[[#This Row],[MPAL2]:[GI]])</f>
        <v>0</v>
      </c>
      <c r="X39" s="246"/>
      <c r="Y39" s="282">
        <f>(Y38-V061_20[[#This Row],[TOTAL]])+V061_20[[#This Row],[FAENA2]]</f>
        <v>106.8</v>
      </c>
      <c r="Z39" s="245">
        <v>80</v>
      </c>
      <c r="AA39" s="246">
        <v>0</v>
      </c>
      <c r="AB39" s="320">
        <f>(AB38-V061_20[[#This Row],[CYLINDER MP]])+V061_20[[#This Row],[FAENA EN LTS]]</f>
        <v>1880</v>
      </c>
      <c r="AC39" s="246">
        <v>0</v>
      </c>
      <c r="AD39" s="246">
        <v>0</v>
      </c>
      <c r="AE39" s="320">
        <f>(AE38-V061_20[[#This Row],[CARTER MP.]])+V061_20[[#This Row],[FAENA EN LTS2]]</f>
        <v>3900</v>
      </c>
      <c r="AF39" s="246">
        <v>40</v>
      </c>
      <c r="AG39" s="246">
        <v>0</v>
      </c>
      <c r="AH39" s="320">
        <f>(AH38-V061_20[[#This Row],[MOT AUX]])+V061_20[[#This Row],[FAENA EN  LTS]]</f>
        <v>1230</v>
      </c>
      <c r="AI39" s="246">
        <v>0</v>
      </c>
      <c r="AJ39" s="246">
        <v>0</v>
      </c>
      <c r="AK39" s="321">
        <f>(AK38-V061_20[[#This Row],[HIDRAULICO]])+V061_20[[#This Row],[FAENA EN LTS3]]</f>
        <v>2200</v>
      </c>
    </row>
    <row r="40" spans="1:37" x14ac:dyDescent="0.25">
      <c r="A40" s="430" t="s">
        <v>243</v>
      </c>
      <c r="B40" s="48">
        <v>44012</v>
      </c>
      <c r="C40" s="362">
        <v>0.5</v>
      </c>
      <c r="D40" s="37">
        <f>IF(V061_20[[#This Row],[FECHA]]-B39=1,((V061_20[[#This Row],[HORA]]-C39)*24)+24,(V061_20[[#This Row],[HORA]]-C39)*24)</f>
        <v>4</v>
      </c>
      <c r="E40" s="239" t="s">
        <v>61</v>
      </c>
      <c r="F40" s="29" t="s">
        <v>201</v>
      </c>
      <c r="G40" s="324">
        <v>115</v>
      </c>
      <c r="H40" s="306">
        <v>9.5</v>
      </c>
      <c r="I40" s="259">
        <f>IF(ISERROR(V061_20[[#This Row],[DISTANCIA POR CARTA]]/V061_20[[#This Row],[TIEMPO DE NAVEGACION]]),0,V061_20[[#This Row],[DISTANCIA POR CARTA]]/V061_20[[#This Row],[TIEMPO DE NAVEGACION]])</f>
        <v>12.105263157894736</v>
      </c>
      <c r="J40" s="380" t="s">
        <v>218</v>
      </c>
      <c r="K40" s="325">
        <v>96</v>
      </c>
      <c r="L40" s="245">
        <v>3.67</v>
      </c>
      <c r="M40" s="245">
        <v>0.43</v>
      </c>
      <c r="N40" s="245">
        <v>0</v>
      </c>
      <c r="O40" s="257">
        <f>SUM(V061_20[[#This Row],[MPAL]:[CALDERA]])</f>
        <v>4.0999999999999996</v>
      </c>
      <c r="P40" s="319"/>
      <c r="Q40" s="281">
        <f>(Q39-V061_20[[#This Row],[TOTAL ]])+V061_20[[#This Row],[FAENA]]</f>
        <v>388.8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SUM(V061_20[[#This Row],[MPAL2]:[GI]])</f>
        <v>0</v>
      </c>
      <c r="X40" s="246"/>
      <c r="Y40" s="282">
        <f>(Y39-V061_20[[#This Row],[TOTAL]])+V061_20[[#This Row],[FAENA2]]</f>
        <v>106.8</v>
      </c>
      <c r="Z40" s="245">
        <v>50</v>
      </c>
      <c r="AA40" s="246">
        <v>0</v>
      </c>
      <c r="AB40" s="320">
        <f>(AB39-V061_20[[#This Row],[CYLINDER MP]])+V061_20[[#This Row],[FAENA EN LTS]]</f>
        <v>1830</v>
      </c>
      <c r="AC40" s="246">
        <v>0</v>
      </c>
      <c r="AD40" s="246">
        <v>0</v>
      </c>
      <c r="AE40" s="320">
        <f>(AE39-V061_20[[#This Row],[CARTER MP.]])+V061_20[[#This Row],[FAENA EN LTS2]]</f>
        <v>3900</v>
      </c>
      <c r="AF40" s="246">
        <v>0</v>
      </c>
      <c r="AG40" s="246">
        <v>0</v>
      </c>
      <c r="AH40" s="320">
        <f>(AH39-V061_20[[#This Row],[MOT AUX]])+V061_20[[#This Row],[FAENA EN  LTS]]</f>
        <v>1230</v>
      </c>
      <c r="AI40" s="246">
        <v>0</v>
      </c>
      <c r="AJ40" s="246">
        <v>0</v>
      </c>
      <c r="AK40" s="321">
        <f>(AK39-V061_20[[#This Row],[HIDRAULICO]])+V061_20[[#This Row],[FAENA EN LTS3]]</f>
        <v>2200</v>
      </c>
    </row>
    <row r="41" spans="1:37" x14ac:dyDescent="0.25">
      <c r="D41" s="132">
        <f>SUBTOTAL(109,V061_20[TIEMPO Hrs])</f>
        <v>210.19999999999996</v>
      </c>
      <c r="L41" s="68">
        <f>SUBTOTAL(109,V061_20[MPAL])</f>
        <v>50.71</v>
      </c>
      <c r="M41" s="68">
        <f>SUBTOTAL(109,V061_20[AUX.])</f>
        <v>21.02</v>
      </c>
      <c r="N41" s="68">
        <f>SUBTOTAL(109,V061_20[CALDERA])</f>
        <v>13.270000000000003</v>
      </c>
    </row>
    <row r="42" spans="1:37" x14ac:dyDescent="0.25">
      <c r="O42" s="67">
        <f>SUM(L41:N41)</f>
        <v>85</v>
      </c>
    </row>
    <row r="43" spans="1:37" ht="19.5" thickBot="1" x14ac:dyDescent="0.35">
      <c r="C43" s="69" t="s">
        <v>187</v>
      </c>
      <c r="D43" s="69"/>
      <c r="E43" s="69"/>
      <c r="F43" s="69"/>
      <c r="G43" s="69"/>
      <c r="N43" s="69"/>
      <c r="O43" s="69"/>
      <c r="S43" s="70" t="s">
        <v>188</v>
      </c>
    </row>
    <row r="44" spans="1:37" ht="19.5" thickBot="1" x14ac:dyDescent="0.35">
      <c r="C44" s="69"/>
      <c r="D44" s="69"/>
      <c r="E44" s="69"/>
      <c r="F44" s="69"/>
      <c r="G44" s="69"/>
      <c r="N44" s="69"/>
      <c r="O44" s="69"/>
      <c r="S44" s="70"/>
    </row>
    <row r="45" spans="1:37" ht="45.75" thickBot="1" x14ac:dyDescent="0.3">
      <c r="C45" s="71" t="s">
        <v>11</v>
      </c>
      <c r="D45" s="71" t="s">
        <v>90</v>
      </c>
      <c r="E45" s="72" t="s">
        <v>91</v>
      </c>
      <c r="F45" s="72" t="s">
        <v>92</v>
      </c>
      <c r="G45" s="72" t="s">
        <v>93</v>
      </c>
      <c r="H45" s="71" t="s">
        <v>94</v>
      </c>
      <c r="I45" s="71" t="s">
        <v>95</v>
      </c>
      <c r="J45" s="71" t="s">
        <v>96</v>
      </c>
      <c r="K45" s="71" t="s">
        <v>97</v>
      </c>
      <c r="L45" s="71" t="s">
        <v>98</v>
      </c>
      <c r="M45" s="377" t="s">
        <v>99</v>
      </c>
      <c r="N45" s="75" t="s">
        <v>100</v>
      </c>
      <c r="R45" s="111" t="s">
        <v>101</v>
      </c>
      <c r="S45" s="111" t="s">
        <v>94</v>
      </c>
      <c r="T45" s="111" t="s">
        <v>102</v>
      </c>
      <c r="U45" s="111" t="s">
        <v>96</v>
      </c>
      <c r="V45" s="111" t="s">
        <v>103</v>
      </c>
      <c r="W45" s="111" t="s">
        <v>104</v>
      </c>
    </row>
    <row r="46" spans="1:37" x14ac:dyDescent="0.25">
      <c r="C46" s="77" t="s">
        <v>71</v>
      </c>
      <c r="D46" s="376">
        <f t="shared" ref="D46:D53" si="0">SUMIF($E$6:$E$40,C46,$D$6:$D$40)</f>
        <v>48.900000000000006</v>
      </c>
      <c r="E46" s="279"/>
      <c r="F46" s="288"/>
      <c r="G46" s="137"/>
      <c r="H46" s="84">
        <f t="shared" ref="H46:H53" si="1">SUMIF($E$6:$E$40,C46,$L$6:$L$40)+SUMIF($E$6:$E$40,C46,$M$6:$M$40)+SUMIF($E$6:$E$40,C46,$N$6:$N$40)</f>
        <v>6.8900000000000006</v>
      </c>
      <c r="I46" s="139">
        <f t="shared" ref="I46:I53" si="2">IF(ISERROR(H46*24/D46),0,H46*24/D46)</f>
        <v>3.3815950920245399</v>
      </c>
      <c r="J46" s="137">
        <v>4.5</v>
      </c>
      <c r="K46" s="80"/>
      <c r="L46" s="38">
        <f>D46*J46/24</f>
        <v>9.1687500000000011</v>
      </c>
      <c r="M46" s="80">
        <f t="shared" ref="M46:M53" si="3">L46-H46</f>
        <v>2.2787500000000005</v>
      </c>
      <c r="N46" s="86"/>
      <c r="Q46" s="82"/>
      <c r="R46" s="83" t="s">
        <v>105</v>
      </c>
      <c r="S46" s="228">
        <f>SUM(V5:V40)</f>
        <v>9.1999999999999993</v>
      </c>
      <c r="T46" s="84">
        <f>S46*24/($D$47+$D$53)</f>
        <v>2.2553626149131762</v>
      </c>
      <c r="U46" s="84">
        <v>6</v>
      </c>
      <c r="V46" s="85">
        <f>($D$47+$D$53)*U46/24</f>
        <v>24.475000000000005</v>
      </c>
      <c r="W46" s="86">
        <f>V46-S46</f>
        <v>15.275000000000006</v>
      </c>
    </row>
    <row r="47" spans="1:37" x14ac:dyDescent="0.25">
      <c r="C47" s="87" t="s">
        <v>51</v>
      </c>
      <c r="D47" s="264">
        <f t="shared" si="0"/>
        <v>36.9</v>
      </c>
      <c r="E47" s="264"/>
      <c r="F47" s="289"/>
      <c r="G47" s="139"/>
      <c r="H47" s="88">
        <f t="shared" si="1"/>
        <v>6.91</v>
      </c>
      <c r="I47" s="139">
        <f t="shared" si="2"/>
        <v>4.4943089430894307</v>
      </c>
      <c r="J47" s="139">
        <v>4.5</v>
      </c>
      <c r="K47" s="88"/>
      <c r="L47" s="37">
        <f t="shared" ref="L47:L53" si="4">D47*J47/24</f>
        <v>6.9187499999999993</v>
      </c>
      <c r="M47" s="88">
        <f t="shared" si="3"/>
        <v>8.7499999999991473E-3</v>
      </c>
      <c r="N47" s="121"/>
      <c r="R47" s="90" t="s">
        <v>106</v>
      </c>
      <c r="S47" s="286">
        <f>SUM(S5:S40)</f>
        <v>0</v>
      </c>
      <c r="T47" s="84">
        <f>S47*24/($D$47+$D$53)</f>
        <v>0</v>
      </c>
      <c r="U47" s="88"/>
      <c r="V47" s="88"/>
      <c r="W47" s="121"/>
    </row>
    <row r="48" spans="1:37" x14ac:dyDescent="0.25">
      <c r="C48" s="87" t="s">
        <v>61</v>
      </c>
      <c r="D48" s="264">
        <f t="shared" si="0"/>
        <v>9.5</v>
      </c>
      <c r="E48" s="264">
        <f>SUMIF($E$6:$E$40,C48,$G$6:$G$40)</f>
        <v>115</v>
      </c>
      <c r="F48" s="289">
        <f>E48/D48</f>
        <v>12.105263157894736</v>
      </c>
      <c r="G48" s="139">
        <v>12.5</v>
      </c>
      <c r="H48" s="88">
        <f t="shared" si="1"/>
        <v>9.7100000000000009</v>
      </c>
      <c r="I48" s="139">
        <f t="shared" si="2"/>
        <v>24.530526315789476</v>
      </c>
      <c r="J48" s="139">
        <v>30.5</v>
      </c>
      <c r="K48" s="88">
        <f>E48/G48</f>
        <v>9.1999999999999993</v>
      </c>
      <c r="L48" s="37">
        <f>K48*J48/24</f>
        <v>11.691666666666665</v>
      </c>
      <c r="M48" s="88">
        <f t="shared" si="3"/>
        <v>1.9816666666666638</v>
      </c>
      <c r="N48" s="121">
        <f>K48-D48</f>
        <v>-0.30000000000000071</v>
      </c>
      <c r="R48" s="90" t="s">
        <v>20</v>
      </c>
      <c r="S48" s="286">
        <f>SUM(T5:T40)</f>
        <v>0</v>
      </c>
      <c r="T48" s="84">
        <f>S48*24/($D$47+$D$53)</f>
        <v>0</v>
      </c>
      <c r="U48" s="88"/>
      <c r="V48" s="88"/>
      <c r="W48" s="121"/>
    </row>
    <row r="49" spans="3:23" x14ac:dyDescent="0.25">
      <c r="C49" s="87" t="s">
        <v>55</v>
      </c>
      <c r="D49" s="264">
        <f t="shared" si="0"/>
        <v>43.2</v>
      </c>
      <c r="E49" s="264">
        <f>SUMIF($E$6:$E$40,C49,$G$6:$G$40)</f>
        <v>516</v>
      </c>
      <c r="F49" s="289">
        <f>E49/D49</f>
        <v>11.944444444444443</v>
      </c>
      <c r="G49" s="139">
        <v>12</v>
      </c>
      <c r="H49" s="88">
        <f t="shared" si="1"/>
        <v>47.2</v>
      </c>
      <c r="I49" s="139">
        <f t="shared" si="2"/>
        <v>26.222222222222225</v>
      </c>
      <c r="J49" s="139">
        <v>30.5</v>
      </c>
      <c r="K49" s="88">
        <f>E49/G49</f>
        <v>43</v>
      </c>
      <c r="L49" s="37">
        <f>K49*J49/24</f>
        <v>54.645833333333336</v>
      </c>
      <c r="M49" s="88">
        <f t="shared" si="3"/>
        <v>7.4458333333333329</v>
      </c>
      <c r="N49" s="121">
        <f>K49-D49</f>
        <v>-0.20000000000000284</v>
      </c>
      <c r="R49" s="90" t="s">
        <v>107</v>
      </c>
      <c r="S49" s="286">
        <f>SUM(U5:U40)</f>
        <v>0</v>
      </c>
      <c r="T49" s="84">
        <f>S49*24/($D$47+$D$53)</f>
        <v>0</v>
      </c>
      <c r="U49" s="88"/>
      <c r="V49" s="88"/>
      <c r="W49" s="121"/>
    </row>
    <row r="50" spans="3:23" ht="15.75" thickBot="1" x14ac:dyDescent="0.3">
      <c r="C50" s="87" t="s">
        <v>108</v>
      </c>
      <c r="D50" s="264">
        <f t="shared" si="0"/>
        <v>0</v>
      </c>
      <c r="E50" s="264">
        <f>SUMIF($E$6:$E$40,C50,$G$6:$G$40)</f>
        <v>0</v>
      </c>
      <c r="F50" s="289">
        <f>IF(ISERROR(E50/D50),0,E50/D50)</f>
        <v>0</v>
      </c>
      <c r="G50" s="139">
        <v>12</v>
      </c>
      <c r="H50" s="88">
        <f t="shared" si="1"/>
        <v>0</v>
      </c>
      <c r="I50" s="139">
        <f>IF(ISERROR(H50*24/D50),0,H50*24/D50)</f>
        <v>0</v>
      </c>
      <c r="J50" s="139">
        <v>31.5</v>
      </c>
      <c r="K50" s="88">
        <f>E50/G50</f>
        <v>0</v>
      </c>
      <c r="L50" s="37">
        <f>K50*J50/24</f>
        <v>0</v>
      </c>
      <c r="M50" s="88">
        <f t="shared" si="3"/>
        <v>0</v>
      </c>
      <c r="N50" s="121">
        <f>K50-D50</f>
        <v>0</v>
      </c>
      <c r="R50" s="92" t="s">
        <v>24</v>
      </c>
      <c r="S50" s="287">
        <f>SUM(R5:R40)</f>
        <v>0</v>
      </c>
      <c r="T50" s="84">
        <f>S50*24/($D$47+$D$53)</f>
        <v>0</v>
      </c>
      <c r="U50" s="98"/>
      <c r="V50" s="98"/>
      <c r="W50" s="122"/>
    </row>
    <row r="51" spans="3:23" x14ac:dyDescent="0.25">
      <c r="C51" s="87" t="s">
        <v>45</v>
      </c>
      <c r="D51" s="264">
        <f t="shared" si="0"/>
        <v>0</v>
      </c>
      <c r="E51" s="264"/>
      <c r="F51" s="289"/>
      <c r="G51" s="139"/>
      <c r="H51" s="88">
        <f t="shared" si="1"/>
        <v>0</v>
      </c>
      <c r="I51" s="139">
        <f t="shared" si="2"/>
        <v>0</v>
      </c>
      <c r="J51" s="139">
        <v>4.5</v>
      </c>
      <c r="K51" s="88"/>
      <c r="L51" s="37">
        <f t="shared" si="4"/>
        <v>0</v>
      </c>
      <c r="M51" s="88">
        <f t="shared" si="3"/>
        <v>0</v>
      </c>
      <c r="N51" s="121"/>
      <c r="S51" s="68"/>
      <c r="T51" s="143"/>
      <c r="U51" s="68"/>
      <c r="V51" s="68"/>
      <c r="W51" s="68"/>
    </row>
    <row r="52" spans="3:23" x14ac:dyDescent="0.25">
      <c r="C52" s="87" t="s">
        <v>47</v>
      </c>
      <c r="D52" s="264">
        <f t="shared" si="0"/>
        <v>10.7</v>
      </c>
      <c r="E52" s="264"/>
      <c r="F52" s="289"/>
      <c r="G52" s="139"/>
      <c r="H52" s="88">
        <f t="shared" si="1"/>
        <v>3.3600000000000003</v>
      </c>
      <c r="I52" s="139">
        <f t="shared" si="2"/>
        <v>7.5364485981308427</v>
      </c>
      <c r="J52" s="139">
        <v>4.5</v>
      </c>
      <c r="K52" s="88"/>
      <c r="L52" s="37">
        <f t="shared" si="4"/>
        <v>2.0062500000000001</v>
      </c>
      <c r="M52" s="88">
        <f t="shared" si="3"/>
        <v>-1.3537500000000002</v>
      </c>
      <c r="N52" s="121"/>
      <c r="S52" s="68"/>
      <c r="T52" s="68"/>
      <c r="U52" s="68"/>
      <c r="V52" s="68"/>
      <c r="W52" s="68"/>
    </row>
    <row r="53" spans="3:23" ht="15.75" thickBot="1" x14ac:dyDescent="0.3">
      <c r="C53" s="97" t="s">
        <v>49</v>
      </c>
      <c r="D53" s="290">
        <f t="shared" si="0"/>
        <v>61.000000000000007</v>
      </c>
      <c r="E53" s="290"/>
      <c r="F53" s="291"/>
      <c r="G53" s="140"/>
      <c r="H53" s="98">
        <f t="shared" si="1"/>
        <v>10.93</v>
      </c>
      <c r="I53" s="141">
        <f t="shared" si="2"/>
        <v>4.3003278688524587</v>
      </c>
      <c r="J53" s="141">
        <v>4.5</v>
      </c>
      <c r="K53" s="98"/>
      <c r="L53" s="99">
        <f t="shared" si="4"/>
        <v>11.437500000000002</v>
      </c>
      <c r="M53" s="98">
        <f t="shared" si="3"/>
        <v>0.50750000000000206</v>
      </c>
      <c r="N53" s="122"/>
      <c r="O53" s="68"/>
      <c r="S53" s="68"/>
      <c r="T53" s="68"/>
      <c r="U53" s="68"/>
      <c r="V53" s="68"/>
      <c r="W53" s="68"/>
    </row>
    <row r="54" spans="3:23" ht="15.75" thickBot="1" x14ac:dyDescent="0.3">
      <c r="C54" s="124"/>
      <c r="D54" s="327"/>
      <c r="E54" s="292"/>
      <c r="F54" s="293"/>
      <c r="G54" s="134"/>
      <c r="H54" s="328"/>
      <c r="I54" s="144"/>
      <c r="J54" s="144"/>
      <c r="K54" s="68"/>
      <c r="L54" s="102"/>
      <c r="M54" s="68"/>
      <c r="N54" s="145"/>
      <c r="O54" s="68"/>
      <c r="S54" s="68"/>
      <c r="T54" s="68"/>
      <c r="U54" s="68"/>
      <c r="V54" s="68"/>
      <c r="W54" s="68"/>
    </row>
    <row r="55" spans="3:23" ht="15.75" thickBot="1" x14ac:dyDescent="0.3">
      <c r="C55" s="103" t="s">
        <v>29</v>
      </c>
      <c r="D55" s="284">
        <f>SUM(D46:D53)</f>
        <v>210.2</v>
      </c>
      <c r="E55" s="284">
        <f>SUM(E46:E52)</f>
        <v>631</v>
      </c>
      <c r="F55" s="284">
        <f>SUM(F46:F52)/2</f>
        <v>12.02485380116959</v>
      </c>
      <c r="H55" s="101">
        <f>SUM(H46:H53)</f>
        <v>85</v>
      </c>
      <c r="K55" s="142"/>
      <c r="L55" s="104">
        <f>SUM(L46:L53)</f>
        <v>95.868749999999991</v>
      </c>
      <c r="M55" s="101">
        <f>SUM(M46:M53)</f>
        <v>10.868749999999999</v>
      </c>
      <c r="N55" s="101">
        <f>SUM(N46:N53)</f>
        <v>-0.50000000000000355</v>
      </c>
      <c r="R55" s="100" t="s">
        <v>29</v>
      </c>
      <c r="S55" s="101">
        <f>SUM(S46:S50)</f>
        <v>9.1999999999999993</v>
      </c>
      <c r="T55" s="101">
        <f>SUM(T46:T50)</f>
        <v>2.2553626149131762</v>
      </c>
      <c r="U55" s="68"/>
      <c r="V55" s="68"/>
      <c r="W55" s="68"/>
    </row>
    <row r="64" spans="3:23" x14ac:dyDescent="0.25">
      <c r="I64"/>
    </row>
  </sheetData>
  <sheetProtection sheet="1" objects="1" scenarios="1"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0" name="Rango12"/>
    <protectedRange sqref="AC6:AD40" name="Rango10"/>
    <protectedRange sqref="Z6:AA40" name="Rango8"/>
    <protectedRange sqref="X6:X40" name="Rango6"/>
    <protectedRange sqref="R6:V40" name="Rango5"/>
    <protectedRange sqref="P6:P40" name="Rango3"/>
    <protectedRange sqref="E7:H40 E6:N6 J7:N40" name="Rango2"/>
    <protectedRange sqref="A6:C40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40">
    <cfRule type="cellIs" dxfId="800" priority="2" operator="greaterThan">
      <formula>"S5"</formula>
    </cfRule>
  </conditionalFormatting>
  <conditionalFormatting sqref="I6:I40">
    <cfRule type="cellIs" dxfId="799" priority="1" operator="greaterThan">
      <formula>0</formula>
    </cfRule>
  </conditionalFormatting>
  <dataValidations count="1">
    <dataValidation type="list" showInputMessage="1" showErrorMessage="1" sqref="E6:E40">
      <formula1>$C$46:$C$54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8"/>
  <sheetViews>
    <sheetView zoomScale="90" zoomScaleNormal="90" workbookViewId="0">
      <pane xSplit="6" ySplit="5" topLeftCell="G3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49" sqref="F4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44012</v>
      </c>
      <c r="C4" s="341">
        <v>0.5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388.8</v>
      </c>
      <c r="R4" s="553" t="s">
        <v>183</v>
      </c>
      <c r="S4" s="554"/>
      <c r="T4" s="554"/>
      <c r="U4" s="554"/>
      <c r="V4" s="554"/>
      <c r="W4" s="554"/>
      <c r="X4" s="555"/>
      <c r="Y4" s="283">
        <v>106.8</v>
      </c>
      <c r="Z4" s="6"/>
      <c r="AA4" s="7" t="s">
        <v>184</v>
      </c>
      <c r="AB4" s="304">
        <v>1830</v>
      </c>
      <c r="AC4" s="9"/>
      <c r="AD4" s="7" t="s">
        <v>184</v>
      </c>
      <c r="AE4" s="304">
        <v>3900</v>
      </c>
      <c r="AG4" s="7" t="s">
        <v>184</v>
      </c>
      <c r="AH4" s="304">
        <v>1230</v>
      </c>
      <c r="AJ4" s="7" t="s">
        <v>184</v>
      </c>
      <c r="AK4" s="304">
        <v>2200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260" t="s">
        <v>244</v>
      </c>
      <c r="B6" s="48">
        <v>44012</v>
      </c>
      <c r="C6" s="41">
        <v>0.54166666666666663</v>
      </c>
      <c r="D6" s="418">
        <f>IF(V062_20[[#This Row],[FECHA]]-B4=1,((V062_20[[#This Row],[HORA]]-C4)*24)+24,(V062_20[[#This Row],[HORA]]-C4)*24)</f>
        <v>0.99999999999999911</v>
      </c>
      <c r="E6" s="239" t="s">
        <v>47</v>
      </c>
      <c r="F6" s="29" t="s">
        <v>248</v>
      </c>
      <c r="G6" s="322"/>
      <c r="H6" s="310"/>
      <c r="I6" s="259">
        <f>IF(ISERROR(V062_20[[#This Row],[DISTANCIA POR CARTA]]/V062_20[[#This Row],[TIEMPO DE NAVEGACION]]),0,V062_20[[#This Row],[DISTANCIA POR CARTA]]/V062_20[[#This Row],[TIEMPO DE NAVEGACION]])</f>
        <v>0</v>
      </c>
      <c r="J6" s="253"/>
      <c r="K6" s="323"/>
      <c r="L6" s="256">
        <v>0.08</v>
      </c>
      <c r="M6" s="257">
        <v>0.1</v>
      </c>
      <c r="N6" s="257">
        <v>0.12</v>
      </c>
      <c r="O6" s="257">
        <v>0.36</v>
      </c>
      <c r="P6" s="326"/>
      <c r="Q6" s="281">
        <f>(Q4-V062_20[[#This Row],[TOTAL ]])+V062_20[[#This Row],[FAENA]]</f>
        <v>388.44</v>
      </c>
      <c r="R6" s="256">
        <v>0</v>
      </c>
      <c r="S6" s="257">
        <v>0</v>
      </c>
      <c r="T6" s="257">
        <v>0</v>
      </c>
      <c r="U6" s="257">
        <v>0</v>
      </c>
      <c r="V6" s="257">
        <v>2.8</v>
      </c>
      <c r="W6" s="257">
        <f>SUM(V062_20[[#This Row],[MPAL2]:[GI]])</f>
        <v>2.8</v>
      </c>
      <c r="X6" s="257"/>
      <c r="Y6" s="282">
        <f>(Y4-V062_20[[#This Row],[TOTAL]])+V062_20[[#This Row],[FAENA2]]</f>
        <v>104</v>
      </c>
      <c r="Z6" s="256">
        <v>20</v>
      </c>
      <c r="AA6" s="257">
        <v>0</v>
      </c>
      <c r="AB6" s="320">
        <f>(AB4-V062_20[[#This Row],[CYLINDER MP]])+V062_20[[#This Row],[FAENA EN LTS]]</f>
        <v>1810</v>
      </c>
      <c r="AC6" s="257">
        <v>0</v>
      </c>
      <c r="AD6" s="257">
        <v>0</v>
      </c>
      <c r="AE6" s="320">
        <f>(AE4-V062_20[[#This Row],[CARTER MP.]])+V062_20[[#This Row],[FAENA EN LTS2]]</f>
        <v>3900</v>
      </c>
      <c r="AF6" s="257">
        <v>0</v>
      </c>
      <c r="AG6" s="257">
        <v>0</v>
      </c>
      <c r="AH6" s="320">
        <f>(AH4-V062_20[[#This Row],[MOT AUX]])+V062_20[[#This Row],[FAENA EN  LTS]]</f>
        <v>1230</v>
      </c>
      <c r="AI6" s="257">
        <v>0</v>
      </c>
      <c r="AJ6" s="257">
        <v>0</v>
      </c>
      <c r="AK6" s="321">
        <f>(AK4-V062_20[[#This Row],[HIDRAULICO]])+V062_20[[#This Row],[FAENA EN LTS3]]</f>
        <v>2200</v>
      </c>
    </row>
    <row r="7" spans="1:37" x14ac:dyDescent="0.25">
      <c r="A7" s="431" t="s">
        <v>244</v>
      </c>
      <c r="B7" s="48">
        <v>44013</v>
      </c>
      <c r="C7" s="41">
        <v>0.33333333333333331</v>
      </c>
      <c r="D7" s="418">
        <f>IF(V062_20[[#This Row],[FECHA]]-B6=1,((V062_20[[#This Row],[HORA]]-C6)*24)+24,(V062_20[[#This Row],[HORA]]-C6)*24)</f>
        <v>19</v>
      </c>
      <c r="E7" s="239" t="s">
        <v>45</v>
      </c>
      <c r="F7" s="29" t="s">
        <v>45</v>
      </c>
      <c r="G7" s="324"/>
      <c r="H7" s="306"/>
      <c r="I7" s="259">
        <f>IF(ISERROR(V062_20[[#This Row],[DISTANCIA POR CARTA]]/V062_20[[#This Row],[TIEMPO DE NAVEGACION]]),0,V062_20[[#This Row],[DISTANCIA POR CARTA]]/V062_20[[#This Row],[TIEMPO DE NAVEGACION]])</f>
        <v>0</v>
      </c>
      <c r="J7" s="242"/>
      <c r="K7" s="325"/>
      <c r="L7" s="245">
        <v>0</v>
      </c>
      <c r="M7" s="246">
        <v>1.59</v>
      </c>
      <c r="N7" s="246">
        <v>0.95</v>
      </c>
      <c r="O7" s="257">
        <f>SUM(V062_20[[#This Row],[MPAL]:[CALDERA]])</f>
        <v>2.54</v>
      </c>
      <c r="P7" s="319"/>
      <c r="Q7" s="281">
        <f>(Q6-V062_20[[#This Row],[TOTAL ]])+V062_20[[#This Row],[FAENA]]</f>
        <v>385.9</v>
      </c>
      <c r="R7" s="245">
        <v>0</v>
      </c>
      <c r="S7" s="246">
        <v>0</v>
      </c>
      <c r="T7" s="246">
        <v>0</v>
      </c>
      <c r="U7" s="246">
        <v>0</v>
      </c>
      <c r="V7" s="246">
        <v>2</v>
      </c>
      <c r="W7" s="257">
        <f>SUM(V062_20[[#This Row],[MPAL2]:[GI]])</f>
        <v>2</v>
      </c>
      <c r="X7" s="246"/>
      <c r="Y7" s="282">
        <f>(Y6-V062_20[[#This Row],[TOTAL]])+V062_20[[#This Row],[FAENA2]]</f>
        <v>102</v>
      </c>
      <c r="Z7" s="245">
        <v>0</v>
      </c>
      <c r="AA7" s="246">
        <v>0</v>
      </c>
      <c r="AB7" s="320">
        <f>(AB6-V062_20[[#This Row],[CYLINDER MP]])+V062_20[[#This Row],[FAENA EN LTS]]</f>
        <v>1810</v>
      </c>
      <c r="AC7" s="246">
        <v>0</v>
      </c>
      <c r="AD7" s="246">
        <v>0</v>
      </c>
      <c r="AE7" s="320">
        <f>(AE6-V062_20[[#This Row],[CARTER MP.]])+V062_20[[#This Row],[FAENA EN LTS2]]</f>
        <v>3900</v>
      </c>
      <c r="AF7" s="246">
        <v>40</v>
      </c>
      <c r="AG7" s="246">
        <v>0</v>
      </c>
      <c r="AH7" s="320">
        <f>(AH6-V062_20[[#This Row],[MOT AUX]])+V062_20[[#This Row],[FAENA EN  LTS]]</f>
        <v>1190</v>
      </c>
      <c r="AI7" s="246">
        <v>0</v>
      </c>
      <c r="AJ7" s="246">
        <v>0</v>
      </c>
      <c r="AK7" s="321">
        <f>(AK6-V062_20[[#This Row],[HIDRAULICO]])+V062_20[[#This Row],[FAENA EN LTS3]]</f>
        <v>2200</v>
      </c>
    </row>
    <row r="8" spans="1:37" x14ac:dyDescent="0.25">
      <c r="A8" s="431" t="s">
        <v>244</v>
      </c>
      <c r="B8" s="48">
        <v>44014</v>
      </c>
      <c r="C8" s="381">
        <v>0.33333333333333331</v>
      </c>
      <c r="D8" s="418">
        <f>IF(V062_20[[#This Row],[FECHA]]-B7=1,((V062_20[[#This Row],[HORA]]-C7)*24)+24,(V062_20[[#This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IF(ISERROR(V062_20[[#This Row],[DISTANCIA POR CARTA]]/V062_20[[#This Row],[TIEMPO DE NAVEGACION]]),0,V062_20[[#This Row],[DISTANCIA POR CARTA]]/V062_20[[#This Row],[TIEMPO DE NAVEGACION]])</f>
        <v>0</v>
      </c>
      <c r="J8" s="242"/>
      <c r="K8" s="325"/>
      <c r="L8" s="245">
        <v>0</v>
      </c>
      <c r="M8" s="245">
        <v>2.5</v>
      </c>
      <c r="N8" s="245">
        <v>1.2</v>
      </c>
      <c r="O8" s="257">
        <f>SUM(V062_20[[#This Row],[MPAL]:[CALDERA]])</f>
        <v>3.7</v>
      </c>
      <c r="P8" s="319"/>
      <c r="Q8" s="281">
        <f>(Q7-V062_20[[#This Row],[TOTAL ]])+V062_20[[#This Row],[FAENA]]</f>
        <v>382.2</v>
      </c>
      <c r="R8" s="245">
        <v>0</v>
      </c>
      <c r="S8" s="246">
        <v>0</v>
      </c>
      <c r="T8" s="246">
        <v>0</v>
      </c>
      <c r="U8" s="246">
        <v>0</v>
      </c>
      <c r="V8" s="246">
        <v>6</v>
      </c>
      <c r="W8" s="257">
        <f>SUM(V062_20[[#This Row],[MPAL2]:[GI]])</f>
        <v>6</v>
      </c>
      <c r="X8" s="246"/>
      <c r="Y8" s="282">
        <f>(Y7-V062_20[[#This Row],[TOTAL]])+V062_20[[#This Row],[FAENA2]]</f>
        <v>96</v>
      </c>
      <c r="Z8" s="245">
        <v>0</v>
      </c>
      <c r="AA8" s="246">
        <v>0</v>
      </c>
      <c r="AB8" s="320">
        <f>(AB7-V062_20[[#This Row],[CYLINDER MP]])+V062_20[[#This Row],[FAENA EN LTS]]</f>
        <v>1810</v>
      </c>
      <c r="AC8" s="246">
        <v>0</v>
      </c>
      <c r="AD8" s="246">
        <v>0</v>
      </c>
      <c r="AE8" s="320">
        <f>(AE7-V062_20[[#This Row],[CARTER MP.]])+V062_20[[#This Row],[FAENA EN LTS2]]</f>
        <v>3900</v>
      </c>
      <c r="AF8" s="246">
        <v>40</v>
      </c>
      <c r="AG8" s="246">
        <v>0</v>
      </c>
      <c r="AH8" s="320">
        <f>(AH7-V062_20[[#This Row],[MOT AUX]])+V062_20[[#This Row],[FAENA EN  LTS]]</f>
        <v>1150</v>
      </c>
      <c r="AI8" s="246">
        <v>400</v>
      </c>
      <c r="AJ8" s="246">
        <v>0</v>
      </c>
      <c r="AK8" s="321">
        <f>(AK7-V062_20[[#This Row],[HIDRAULICO]])+V062_20[[#This Row],[FAENA EN LTS3]]</f>
        <v>1800</v>
      </c>
    </row>
    <row r="9" spans="1:37" x14ac:dyDescent="0.25">
      <c r="A9" s="431" t="s">
        <v>244</v>
      </c>
      <c r="B9" s="48">
        <v>44015</v>
      </c>
      <c r="C9" s="41">
        <v>0.25416666666666665</v>
      </c>
      <c r="D9" s="418">
        <f>IF(V062_20[[#This Row],[FECHA]]-B8=1,((V062_20[[#This Row],[HORA]]-C8)*24)+24,(V062_20[[#This Row],[HORA]]-C8)*24)</f>
        <v>22.1</v>
      </c>
      <c r="E9" s="239" t="s">
        <v>45</v>
      </c>
      <c r="F9" s="29" t="s">
        <v>46</v>
      </c>
      <c r="G9" s="324"/>
      <c r="H9" s="306"/>
      <c r="I9" s="259">
        <f>IF(ISERROR(V062_20[[#This Row],[DISTANCIA POR CARTA]]/V062_20[[#This Row],[TIEMPO DE NAVEGACION]]),0,V062_20[[#This Row],[DISTANCIA POR CARTA]]/V062_20[[#This Row],[TIEMPO DE NAVEGACION]])</f>
        <v>0</v>
      </c>
      <c r="J9" s="242"/>
      <c r="K9" s="325"/>
      <c r="L9" s="245">
        <v>0</v>
      </c>
      <c r="M9" s="245">
        <v>2.2999999999999998</v>
      </c>
      <c r="N9" s="245">
        <v>1.1100000000000001</v>
      </c>
      <c r="O9" s="257">
        <f>SUM(V062_20[[#This Row],[MPAL]:[CALDERA]])</f>
        <v>3.41</v>
      </c>
      <c r="P9" s="319"/>
      <c r="Q9" s="281">
        <f>(Q8-V062_20[[#This Row],[TOTAL ]])+V062_20[[#This Row],[FAENA]]</f>
        <v>378.78999999999996</v>
      </c>
      <c r="R9" s="245">
        <v>0</v>
      </c>
      <c r="S9" s="246">
        <v>0</v>
      </c>
      <c r="T9" s="246">
        <v>0</v>
      </c>
      <c r="U9" s="246">
        <v>0</v>
      </c>
      <c r="V9" s="246">
        <v>2</v>
      </c>
      <c r="W9" s="257">
        <f>SUM(V062_20[[#This Row],[MPAL2]:[GI]])</f>
        <v>2</v>
      </c>
      <c r="X9" s="246"/>
      <c r="Y9" s="282">
        <f>(Y8-V062_20[[#This Row],[TOTAL]])+V062_20[[#This Row],[FAENA2]]</f>
        <v>94</v>
      </c>
      <c r="Z9" s="245">
        <v>0</v>
      </c>
      <c r="AA9" s="246">
        <v>0</v>
      </c>
      <c r="AB9" s="320">
        <f>(AB8-V062_20[[#This Row],[CYLINDER MP]])+V062_20[[#This Row],[FAENA EN LTS]]</f>
        <v>1810</v>
      </c>
      <c r="AC9" s="246">
        <v>0</v>
      </c>
      <c r="AD9" s="246">
        <v>0</v>
      </c>
      <c r="AE9" s="320">
        <f>(AE8-V062_20[[#This Row],[CARTER MP.]])+V062_20[[#This Row],[FAENA EN LTS2]]</f>
        <v>3900</v>
      </c>
      <c r="AF9" s="246">
        <v>0</v>
      </c>
      <c r="AG9" s="246">
        <v>0</v>
      </c>
      <c r="AH9" s="320">
        <f>(AH8-V062_20[[#This Row],[MOT AUX]])+V062_20[[#This Row],[FAENA EN  LTS]]</f>
        <v>1150</v>
      </c>
      <c r="AI9" s="246">
        <v>0</v>
      </c>
      <c r="AJ9" s="246">
        <v>0</v>
      </c>
      <c r="AK9" s="321">
        <f>(AK8-V062_20[[#This Row],[HIDRAULICO]])+V062_20[[#This Row],[FAENA EN LTS3]]</f>
        <v>1800</v>
      </c>
    </row>
    <row r="10" spans="1:37" x14ac:dyDescent="0.25">
      <c r="A10" s="431" t="s">
        <v>244</v>
      </c>
      <c r="B10" s="48">
        <v>44015</v>
      </c>
      <c r="C10" s="41">
        <v>0.33333333333333331</v>
      </c>
      <c r="D10" s="418">
        <f>IF(V062_20[[#This Row],[FECHA]]-B9=1,((V062_20[[#This Row],[HORA]]-C9)*24)+24,(V062_20[[#This Row],[HORA]]-C9)*24)</f>
        <v>1.9</v>
      </c>
      <c r="E10" s="239" t="s">
        <v>47</v>
      </c>
      <c r="F10" s="29" t="s">
        <v>245</v>
      </c>
      <c r="G10" s="324"/>
      <c r="H10" s="306"/>
      <c r="I10" s="259">
        <f>IF(ISERROR(V062_20[[#This Row],[DISTANCIA POR CARTA]]/V062_20[[#This Row],[TIEMPO DE NAVEGACION]]),0,V062_20[[#This Row],[DISTANCIA POR CARTA]]/V062_20[[#This Row],[TIEMPO DE NAVEGACION]])</f>
        <v>0</v>
      </c>
      <c r="J10" s="242"/>
      <c r="K10" s="325"/>
      <c r="L10" s="245">
        <v>0.32</v>
      </c>
      <c r="M10" s="245">
        <v>0.2</v>
      </c>
      <c r="N10" s="245">
        <v>0.1</v>
      </c>
      <c r="O10" s="257">
        <f>SUM(V062_20[[#This Row],[MPAL]:[CALDERA]])</f>
        <v>0.62</v>
      </c>
      <c r="P10" s="319"/>
      <c r="Q10" s="281">
        <f>(Q9-V062_20[[#This Row],[TOTAL ]])+V062_20[[#This Row],[FAENA]]</f>
        <v>378.16999999999996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SUM(V062_20[[#This Row],[MPAL2]:[GI]])</f>
        <v>0</v>
      </c>
      <c r="X10" s="246"/>
      <c r="Y10" s="282">
        <f>(Y9-V062_20[[#This Row],[TOTAL]])+V062_20[[#This Row],[FAENA2]]</f>
        <v>94</v>
      </c>
      <c r="Z10" s="245">
        <v>20</v>
      </c>
      <c r="AA10" s="246">
        <v>0</v>
      </c>
      <c r="AB10" s="320">
        <f>(AB9-V062_20[[#This Row],[CYLINDER MP]])+V062_20[[#This Row],[FAENA EN LTS]]</f>
        <v>1790</v>
      </c>
      <c r="AC10" s="246">
        <v>0</v>
      </c>
      <c r="AD10" s="246">
        <v>0</v>
      </c>
      <c r="AE10" s="320">
        <f>(AE9-V062_20[[#This Row],[CARTER MP.]])+V062_20[[#This Row],[FAENA EN LTS2]]</f>
        <v>3900</v>
      </c>
      <c r="AF10" s="246">
        <v>40</v>
      </c>
      <c r="AG10" s="246">
        <v>0</v>
      </c>
      <c r="AH10" s="320">
        <f>(AH9-V062_20[[#This Row],[MOT AUX]])+V062_20[[#This Row],[FAENA EN  LTS]]</f>
        <v>1110</v>
      </c>
      <c r="AI10" s="246">
        <v>0</v>
      </c>
      <c r="AJ10" s="246">
        <v>0</v>
      </c>
      <c r="AK10" s="321">
        <f>(AK9-V062_20[[#This Row],[HIDRAULICO]])+V062_20[[#This Row],[FAENA EN LTS3]]</f>
        <v>1800</v>
      </c>
    </row>
    <row r="11" spans="1:37" x14ac:dyDescent="0.25">
      <c r="A11" s="431" t="s">
        <v>244</v>
      </c>
      <c r="B11" s="48">
        <v>44015</v>
      </c>
      <c r="C11" s="41">
        <v>0.35000000000000003</v>
      </c>
      <c r="D11" s="418">
        <f>IF(V062_20[[#This Row],[FECHA]]-B10=1,((V062_20[[#This Row],[HORA]]-C10)*24)+24,(V062_20[[#This Row],[HORA]]-C10)*24)</f>
        <v>0.40000000000000124</v>
      </c>
      <c r="E11" s="239" t="s">
        <v>47</v>
      </c>
      <c r="F11" s="29" t="s">
        <v>249</v>
      </c>
      <c r="G11" s="324"/>
      <c r="H11" s="306"/>
      <c r="I11" s="259">
        <f>IF(ISERROR(V062_20[[#This Row],[DISTANCIA POR CARTA]]/V062_20[[#This Row],[TIEMPO DE NAVEGACION]]),0,V062_20[[#This Row],[DISTANCIA POR CARTA]]/V062_20[[#This Row],[TIEMPO DE NAVEGACION]])</f>
        <v>0</v>
      </c>
      <c r="J11" s="242"/>
      <c r="K11" s="325"/>
      <c r="L11" s="245">
        <v>0.08</v>
      </c>
      <c r="M11" s="245">
        <v>0.04</v>
      </c>
      <c r="N11" s="245">
        <v>0.03</v>
      </c>
      <c r="O11" s="257">
        <f>SUM(V062_20[[#This Row],[MPAL]:[CALDERA]])</f>
        <v>0.15</v>
      </c>
      <c r="P11" s="319"/>
      <c r="Q11" s="281">
        <f>(Q10-V062_20[[#This Row],[TOTAL ]])+V062_20[[#This Row],[FAENA]]</f>
        <v>378.02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SUM(V062_20[[#This Row],[MPAL2]:[GI]])</f>
        <v>0</v>
      </c>
      <c r="X11" s="246"/>
      <c r="Y11" s="282">
        <f>(Y10-V062_20[[#This Row],[TOTAL]])+V062_20[[#This Row],[FAENA2]]</f>
        <v>94</v>
      </c>
      <c r="Z11" s="245">
        <v>10</v>
      </c>
      <c r="AA11" s="246">
        <v>0</v>
      </c>
      <c r="AB11" s="320">
        <f>(AB10-V062_20[[#This Row],[CYLINDER MP]])+V062_20[[#This Row],[FAENA EN LTS]]</f>
        <v>1780</v>
      </c>
      <c r="AC11" s="246">
        <v>0</v>
      </c>
      <c r="AD11" s="246">
        <v>0</v>
      </c>
      <c r="AE11" s="320">
        <f>(AE10-V062_20[[#This Row],[CARTER MP.]])+V062_20[[#This Row],[FAENA EN LTS2]]</f>
        <v>3900</v>
      </c>
      <c r="AF11" s="246">
        <v>0</v>
      </c>
      <c r="AG11" s="246">
        <v>0</v>
      </c>
      <c r="AH11" s="320">
        <f>(AH10-V062_20[[#This Row],[MOT AUX]])+V062_20[[#This Row],[FAENA EN  LTS]]</f>
        <v>1110</v>
      </c>
      <c r="AI11" s="246">
        <v>0</v>
      </c>
      <c r="AJ11" s="246">
        <v>0</v>
      </c>
      <c r="AK11" s="321">
        <f>(AK10-V062_20[[#This Row],[HIDRAULICO]])+V062_20[[#This Row],[FAENA EN LTS3]]</f>
        <v>1800</v>
      </c>
    </row>
    <row r="12" spans="1:37" x14ac:dyDescent="0.25">
      <c r="A12" s="431" t="s">
        <v>244</v>
      </c>
      <c r="B12" s="48">
        <v>44015</v>
      </c>
      <c r="C12" s="41">
        <v>0.59166666666666667</v>
      </c>
      <c r="D12" s="418">
        <f>IF(V062_20[[#This Row],[FECHA]]-B11=1,((V062_20[[#This Row],[HORA]]-C11)*24)+24,(V062_20[[#This Row],[HORA]]-C11)*24)</f>
        <v>5.7999999999999989</v>
      </c>
      <c r="E12" s="239" t="s">
        <v>49</v>
      </c>
      <c r="F12" s="29" t="s">
        <v>85</v>
      </c>
      <c r="G12" s="324"/>
      <c r="H12" s="306"/>
      <c r="I12" s="259">
        <f>IF(ISERROR(V062_20[[#This Row],[DISTANCIA POR CARTA]]/V062_20[[#This Row],[TIEMPO DE NAVEGACION]]),0,V062_20[[#This Row],[DISTANCIA POR CARTA]]/V062_20[[#This Row],[TIEMPO DE NAVEGACION]])</f>
        <v>0</v>
      </c>
      <c r="J12" s="242"/>
      <c r="K12" s="325"/>
      <c r="L12" s="245">
        <v>0</v>
      </c>
      <c r="M12" s="245">
        <v>0.6</v>
      </c>
      <c r="N12" s="245">
        <v>0.44</v>
      </c>
      <c r="O12" s="257">
        <f>SUM(V062_20[[#This Row],[MPAL]:[CALDERA]])</f>
        <v>1.04</v>
      </c>
      <c r="P12" s="319"/>
      <c r="Q12" s="281">
        <f>(Q11-V062_20[[#This Row],[TOTAL ]])+V062_20[[#This Row],[FAENA]]</f>
        <v>376.97999999999996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SUM(V062_20[[#This Row],[MPAL2]:[GI]])</f>
        <v>0</v>
      </c>
      <c r="X12" s="246"/>
      <c r="Y12" s="282">
        <f>(Y11-V062_20[[#This Row],[TOTAL]])+V062_20[[#This Row],[FAENA2]]</f>
        <v>94</v>
      </c>
      <c r="Z12" s="245">
        <v>0</v>
      </c>
      <c r="AA12" s="246">
        <v>0</v>
      </c>
      <c r="AB12" s="320">
        <f>(AB11-V062_20[[#This Row],[CYLINDER MP]])+V062_20[[#This Row],[FAENA EN LTS]]</f>
        <v>1780</v>
      </c>
      <c r="AC12" s="246">
        <v>0</v>
      </c>
      <c r="AD12" s="246">
        <v>0</v>
      </c>
      <c r="AE12" s="320">
        <f>(AE11-V062_20[[#This Row],[CARTER MP.]])+V062_20[[#This Row],[FAENA EN LTS2]]</f>
        <v>3900</v>
      </c>
      <c r="AF12" s="246">
        <v>0</v>
      </c>
      <c r="AG12" s="246">
        <v>0</v>
      </c>
      <c r="AH12" s="320">
        <f>(AH11-V062_20[[#This Row],[MOT AUX]])+V062_20[[#This Row],[FAENA EN  LTS]]</f>
        <v>1110</v>
      </c>
      <c r="AI12" s="246">
        <v>0</v>
      </c>
      <c r="AJ12" s="246">
        <v>0</v>
      </c>
      <c r="AK12" s="321">
        <f>(AK11-V062_20[[#This Row],[HIDRAULICO]])+V062_20[[#This Row],[FAENA EN LTS3]]</f>
        <v>1800</v>
      </c>
    </row>
    <row r="13" spans="1:37" x14ac:dyDescent="0.25">
      <c r="A13" s="431" t="s">
        <v>244</v>
      </c>
      <c r="B13" s="48">
        <v>44016</v>
      </c>
      <c r="C13" s="351">
        <v>0.33333333333333331</v>
      </c>
      <c r="D13" s="418">
        <f>IF(V062_20[[#This Row],[FECHA]]-B12=1,((V062_20[[#This Row],[HORA]]-C12)*24)+24,(V062_20[[#This Row],[HORA]]-C12)*24)</f>
        <v>17.799999999999997</v>
      </c>
      <c r="E13" s="239" t="s">
        <v>71</v>
      </c>
      <c r="F13" s="29" t="s">
        <v>71</v>
      </c>
      <c r="G13" s="324"/>
      <c r="H13" s="306"/>
      <c r="I13" s="259">
        <f>IF(ISERROR(V062_20[[#This Row],[DISTANCIA POR CARTA]]/V062_20[[#This Row],[TIEMPO DE NAVEGACION]]),0,V062_20[[#This Row],[DISTANCIA POR CARTA]]/V062_20[[#This Row],[TIEMPO DE NAVEGACION]])</f>
        <v>0</v>
      </c>
      <c r="J13" s="242"/>
      <c r="K13" s="325"/>
      <c r="L13" s="245">
        <v>0</v>
      </c>
      <c r="M13" s="245">
        <v>1.85</v>
      </c>
      <c r="N13" s="245">
        <v>1.34</v>
      </c>
      <c r="O13" s="257">
        <f>SUM(V062_20[[#This Row],[MPAL]:[CALDERA]])</f>
        <v>3.1900000000000004</v>
      </c>
      <c r="P13" s="319"/>
      <c r="Q13" s="281">
        <f>(Q12-V062_20[[#This Row],[TOTAL ]])+V062_20[[#This Row],[FAENA]]</f>
        <v>373.78999999999996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SUM(V062_20[[#This Row],[MPAL2]:[GI]])</f>
        <v>0</v>
      </c>
      <c r="X13" s="246"/>
      <c r="Y13" s="282">
        <f>(Y12-V062_20[[#This Row],[TOTAL]])+V062_20[[#This Row],[FAENA2]]</f>
        <v>94</v>
      </c>
      <c r="Z13" s="245">
        <v>0</v>
      </c>
      <c r="AA13" s="246">
        <v>0</v>
      </c>
      <c r="AB13" s="320">
        <f>(AB12-V062_20[[#This Row],[CYLINDER MP]])+V062_20[[#This Row],[FAENA EN LTS]]</f>
        <v>1780</v>
      </c>
      <c r="AC13" s="246">
        <v>0</v>
      </c>
      <c r="AD13" s="246">
        <v>0</v>
      </c>
      <c r="AE13" s="320">
        <f>(AE12-V062_20[[#This Row],[CARTER MP.]])+V062_20[[#This Row],[FAENA EN LTS2]]</f>
        <v>3900</v>
      </c>
      <c r="AF13" s="246">
        <v>40</v>
      </c>
      <c r="AG13" s="246">
        <v>0</v>
      </c>
      <c r="AH13" s="320">
        <f>(AH12-V062_20[[#This Row],[MOT AUX]])+V062_20[[#This Row],[FAENA EN  LTS]]</f>
        <v>1070</v>
      </c>
      <c r="AI13" s="246">
        <v>0</v>
      </c>
      <c r="AJ13" s="246">
        <v>0</v>
      </c>
      <c r="AK13" s="321">
        <f>(AK12-V062_20[[#This Row],[HIDRAULICO]])+V062_20[[#This Row],[FAENA EN LTS3]]</f>
        <v>1800</v>
      </c>
    </row>
    <row r="14" spans="1:37" x14ac:dyDescent="0.25">
      <c r="A14" s="431" t="s">
        <v>244</v>
      </c>
      <c r="B14" s="48">
        <v>44016</v>
      </c>
      <c r="C14" s="41">
        <v>0.78333333333333333</v>
      </c>
      <c r="D14" s="418">
        <f>IF(V062_20[[#This Row],[FECHA]]-B13=1,((V062_20[[#This Row],[HORA]]-C13)*24)+24,(V062_20[[#This Row],[HORA]]-C13)*24)</f>
        <v>10.8</v>
      </c>
      <c r="E14" s="239" t="s">
        <v>71</v>
      </c>
      <c r="F14" s="29" t="s">
        <v>73</v>
      </c>
      <c r="G14" s="324"/>
      <c r="H14" s="306"/>
      <c r="I14" s="259">
        <f>IF(ISERROR(V062_20[[#This Row],[DISTANCIA POR CARTA]]/V062_20[[#This Row],[TIEMPO DE NAVEGACION]]),0,V062_20[[#This Row],[DISTANCIA POR CARTA]]/V062_20[[#This Row],[TIEMPO DE NAVEGACION]])</f>
        <v>0</v>
      </c>
      <c r="J14" s="242"/>
      <c r="K14" s="325"/>
      <c r="L14" s="245">
        <v>0</v>
      </c>
      <c r="M14" s="245">
        <v>1.23</v>
      </c>
      <c r="N14" s="245">
        <v>0.98</v>
      </c>
      <c r="O14" s="257">
        <f>SUM(V062_20[[#This Row],[MPAL]:[CALDERA]])</f>
        <v>2.21</v>
      </c>
      <c r="P14" s="319"/>
      <c r="Q14" s="281">
        <f>(Q13-V062_20[[#This Row],[TOTAL ]])+V062_20[[#This Row],[FAENA]]</f>
        <v>371.58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SUM(V062_20[[#This Row],[MPAL2]:[GI]])</f>
        <v>0</v>
      </c>
      <c r="X14" s="246"/>
      <c r="Y14" s="282">
        <f>(Y13-V062_20[[#This Row],[TOTAL]])+V062_20[[#This Row],[FAENA2]]</f>
        <v>94</v>
      </c>
      <c r="Z14" s="245">
        <v>0</v>
      </c>
      <c r="AA14" s="246">
        <v>0</v>
      </c>
      <c r="AB14" s="320">
        <f>(AB13-V062_20[[#This Row],[CYLINDER MP]])+V062_20[[#This Row],[FAENA EN LTS]]</f>
        <v>1780</v>
      </c>
      <c r="AC14" s="246">
        <v>0</v>
      </c>
      <c r="AD14" s="246">
        <v>0</v>
      </c>
      <c r="AE14" s="320">
        <f>(AE13-V062_20[[#This Row],[CARTER MP.]])+V062_20[[#This Row],[FAENA EN LTS2]]</f>
        <v>3900</v>
      </c>
      <c r="AF14" s="246">
        <v>0</v>
      </c>
      <c r="AG14" s="246">
        <v>0</v>
      </c>
      <c r="AH14" s="320">
        <f>(AH13-V062_20[[#This Row],[MOT AUX]])+V062_20[[#This Row],[FAENA EN  LTS]]</f>
        <v>1070</v>
      </c>
      <c r="AI14" s="246">
        <v>0</v>
      </c>
      <c r="AJ14" s="246">
        <v>0</v>
      </c>
      <c r="AK14" s="321">
        <f>(AK13-V062_20[[#This Row],[HIDRAULICO]])+V062_20[[#This Row],[FAENA EN LTS3]]</f>
        <v>1800</v>
      </c>
    </row>
    <row r="15" spans="1:37" x14ac:dyDescent="0.25">
      <c r="A15" s="431" t="s">
        <v>244</v>
      </c>
      <c r="B15" s="48">
        <v>44017</v>
      </c>
      <c r="C15" s="41">
        <v>8.3333333333333332E-3</v>
      </c>
      <c r="D15" s="418">
        <f>IF(V062_20[[#This Row],[FECHA]]-B14=1,((V062_20[[#This Row],[HORA]]-C14)*24)+24,(V062_20[[#This Row],[HORA]]-C14)*24)</f>
        <v>5.3999999999999986</v>
      </c>
      <c r="E15" s="239" t="s">
        <v>49</v>
      </c>
      <c r="F15" s="29" t="s">
        <v>46</v>
      </c>
      <c r="G15" s="324"/>
      <c r="H15" s="306"/>
      <c r="I15" s="259">
        <f>IF(ISERROR(V062_20[[#This Row],[DISTANCIA POR CARTA]]/V062_20[[#This Row],[TIEMPO DE NAVEGACION]]),0,V062_20[[#This Row],[DISTANCIA POR CARTA]]/V062_20[[#This Row],[TIEMPO DE NAVEGACION]])</f>
        <v>0</v>
      </c>
      <c r="J15" s="242"/>
      <c r="K15" s="325"/>
      <c r="L15" s="245">
        <v>0</v>
      </c>
      <c r="M15" s="245">
        <v>0.46</v>
      </c>
      <c r="N15" s="245">
        <v>0.28000000000000003</v>
      </c>
      <c r="O15" s="257">
        <f>SUM(V062_20[[#This Row],[MPAL]:[CALDERA]])</f>
        <v>0.74</v>
      </c>
      <c r="P15" s="319"/>
      <c r="Q15" s="281">
        <f>(Q14-V062_20[[#This Row],[TOTAL ]])+V062_20[[#This Row],[FAENA]]</f>
        <v>370.84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SUM(V062_20[[#This Row],[MPAL2]:[GI]])</f>
        <v>0</v>
      </c>
      <c r="X15" s="246"/>
      <c r="Y15" s="282">
        <f>(Y14-V062_20[[#This Row],[TOTAL]])+V062_20[[#This Row],[FAENA2]]</f>
        <v>94</v>
      </c>
      <c r="Z15" s="245">
        <v>0</v>
      </c>
      <c r="AA15" s="246">
        <v>0</v>
      </c>
      <c r="AB15" s="320">
        <f>(AB14-V062_20[[#This Row],[CYLINDER MP]])+V062_20[[#This Row],[FAENA EN LTS]]</f>
        <v>1780</v>
      </c>
      <c r="AC15" s="246">
        <v>0</v>
      </c>
      <c r="AD15" s="246">
        <v>0</v>
      </c>
      <c r="AE15" s="320">
        <f>(AE14-V062_20[[#This Row],[CARTER MP.]])+V062_20[[#This Row],[FAENA EN LTS2]]</f>
        <v>3900</v>
      </c>
      <c r="AF15" s="246">
        <v>0</v>
      </c>
      <c r="AG15" s="246">
        <v>0</v>
      </c>
      <c r="AH15" s="320">
        <f>(AH14-V062_20[[#This Row],[MOT AUX]])+V062_20[[#This Row],[FAENA EN  LTS]]</f>
        <v>1070</v>
      </c>
      <c r="AI15" s="246">
        <v>0</v>
      </c>
      <c r="AJ15" s="246">
        <v>0</v>
      </c>
      <c r="AK15" s="321">
        <f>(AK14-V062_20[[#This Row],[HIDRAULICO]])+V062_20[[#This Row],[FAENA EN LTS3]]</f>
        <v>1800</v>
      </c>
    </row>
    <row r="16" spans="1:37" x14ac:dyDescent="0.25">
      <c r="A16" s="431" t="s">
        <v>244</v>
      </c>
      <c r="B16" s="48">
        <v>44017</v>
      </c>
      <c r="C16" s="41">
        <v>6.25E-2</v>
      </c>
      <c r="D16" s="418">
        <f>IF(V062_20[[#This Row],[FECHA]]-B15=1,((V062_20[[#This Row],[HORA]]-C15)*24)+24,(V062_20[[#This Row],[HORA]]-C15)*24)</f>
        <v>1.3</v>
      </c>
      <c r="E16" s="239" t="s">
        <v>47</v>
      </c>
      <c r="F16" s="29" t="s">
        <v>242</v>
      </c>
      <c r="G16" s="324"/>
      <c r="H16" s="306"/>
      <c r="I16" s="259">
        <f>IF(ISERROR(V062_20[[#This Row],[DISTANCIA POR CARTA]]/V062_20[[#This Row],[TIEMPO DE NAVEGACION]]),0,V062_20[[#This Row],[DISTANCIA POR CARTA]]/V062_20[[#This Row],[TIEMPO DE NAVEGACION]])</f>
        <v>0</v>
      </c>
      <c r="J16" s="242"/>
      <c r="K16" s="325"/>
      <c r="L16" s="245">
        <v>0.27</v>
      </c>
      <c r="M16" s="245">
        <v>0.14000000000000001</v>
      </c>
      <c r="N16" s="245">
        <v>0.11</v>
      </c>
      <c r="O16" s="257">
        <f>SUM(V062_20[[#This Row],[MPAL]:[CALDERA]])</f>
        <v>0.52</v>
      </c>
      <c r="P16" s="246"/>
      <c r="Q16" s="281">
        <f>(Q15-V062_20[[#This Row],[TOTAL ]])+V062_20[[#This Row],[FAENA]]</f>
        <v>370.32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SUM(V062_20[[#This Row],[MPAL2]:[GI]])</f>
        <v>0</v>
      </c>
      <c r="X16" s="246"/>
      <c r="Y16" s="282">
        <f>(Y15-V062_20[[#This Row],[TOTAL]])+V062_20[[#This Row],[FAENA2]]</f>
        <v>94</v>
      </c>
      <c r="Z16" s="245">
        <v>10</v>
      </c>
      <c r="AA16" s="246">
        <v>0</v>
      </c>
      <c r="AB16" s="320">
        <f>(AB15-V062_20[[#This Row],[CYLINDER MP]])+V062_20[[#This Row],[FAENA EN LTS]]</f>
        <v>1770</v>
      </c>
      <c r="AC16" s="246">
        <v>0</v>
      </c>
      <c r="AD16" s="246">
        <v>0</v>
      </c>
      <c r="AE16" s="320">
        <f>(AE15-V062_20[[#This Row],[CARTER MP.]])+V062_20[[#This Row],[FAENA EN LTS2]]</f>
        <v>3900</v>
      </c>
      <c r="AF16" s="246">
        <v>0</v>
      </c>
      <c r="AG16" s="246">
        <v>0</v>
      </c>
      <c r="AH16" s="320">
        <f>(AH15-V062_20[[#This Row],[MOT AUX]])+V062_20[[#This Row],[FAENA EN  LTS]]</f>
        <v>1070</v>
      </c>
      <c r="AI16" s="246">
        <v>0</v>
      </c>
      <c r="AJ16" s="246">
        <v>0</v>
      </c>
      <c r="AK16" s="321">
        <f>(AK15-V062_20[[#This Row],[HIDRAULICO]])+V062_20[[#This Row],[FAENA EN LTS3]]</f>
        <v>1800</v>
      </c>
    </row>
    <row r="17" spans="1:37" x14ac:dyDescent="0.25">
      <c r="A17" s="431" t="s">
        <v>244</v>
      </c>
      <c r="B17" s="48">
        <v>44017</v>
      </c>
      <c r="C17" s="351">
        <v>9.5833333333333326E-2</v>
      </c>
      <c r="D17" s="418">
        <f>IF(V062_20[[#This Row],[FECHA]]-B16=1,((V062_20[[#This Row],[HORA]]-C16)*24)+24,(V062_20[[#This Row],[HORA]]-C16)*24)</f>
        <v>0.79999999999999982</v>
      </c>
      <c r="E17" s="239" t="s">
        <v>49</v>
      </c>
      <c r="F17" s="29" t="s">
        <v>46</v>
      </c>
      <c r="G17" s="324"/>
      <c r="H17" s="306"/>
      <c r="I17" s="259">
        <f>IF(ISERROR(V062_20[[#This Row],[DISTANCIA POR CARTA]]/V062_20[[#This Row],[TIEMPO DE NAVEGACION]]),0,V062_20[[#This Row],[DISTANCIA POR CARTA]]/V062_20[[#This Row],[TIEMPO DE NAVEGACION]])</f>
        <v>0</v>
      </c>
      <c r="J17" s="242"/>
      <c r="K17" s="325"/>
      <c r="L17" s="245">
        <v>0</v>
      </c>
      <c r="M17" s="245">
        <v>0.08</v>
      </c>
      <c r="N17" s="245">
        <v>0.05</v>
      </c>
      <c r="O17" s="257">
        <f>SUM(V062_20[[#This Row],[MPAL]:[CALDERA]])</f>
        <v>0.13</v>
      </c>
      <c r="P17" s="319"/>
      <c r="Q17" s="281">
        <f>(Q16-V062_20[[#This Row],[TOTAL ]])+V062_20[[#This Row],[FAENA]]</f>
        <v>370.19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SUM(V062_20[[#This Row],[MPAL2]:[GI]])</f>
        <v>0</v>
      </c>
      <c r="X17" s="246"/>
      <c r="Y17" s="282">
        <f>(Y16-V062_20[[#This Row],[TOTAL]])+V062_20[[#This Row],[FAENA2]]</f>
        <v>94</v>
      </c>
      <c r="Z17" s="245">
        <v>0</v>
      </c>
      <c r="AA17" s="246">
        <v>0</v>
      </c>
      <c r="AB17" s="320">
        <f>(AB16-V062_20[[#This Row],[CYLINDER MP]])+V062_20[[#This Row],[FAENA EN LTS]]</f>
        <v>1770</v>
      </c>
      <c r="AC17" s="246">
        <v>0</v>
      </c>
      <c r="AD17" s="246">
        <v>0</v>
      </c>
      <c r="AE17" s="320">
        <f>(AE16-V062_20[[#This Row],[CARTER MP.]])+V062_20[[#This Row],[FAENA EN LTS2]]</f>
        <v>3900</v>
      </c>
      <c r="AF17" s="246">
        <v>0</v>
      </c>
      <c r="AG17" s="246">
        <v>0</v>
      </c>
      <c r="AH17" s="320">
        <f>(AH16-V062_20[[#This Row],[MOT AUX]])+V062_20[[#This Row],[FAENA EN  LTS]]</f>
        <v>1070</v>
      </c>
      <c r="AI17" s="246">
        <v>0</v>
      </c>
      <c r="AJ17" s="246">
        <v>0</v>
      </c>
      <c r="AK17" s="321">
        <f>(AK16-V062_20[[#This Row],[HIDRAULICO]])+V062_20[[#This Row],[FAENA EN LTS3]]</f>
        <v>1800</v>
      </c>
    </row>
    <row r="18" spans="1:37" x14ac:dyDescent="0.25">
      <c r="A18" s="431" t="s">
        <v>244</v>
      </c>
      <c r="B18" s="48">
        <v>44017</v>
      </c>
      <c r="C18" s="41">
        <v>0.18333333333333335</v>
      </c>
      <c r="D18" s="418">
        <f>IF(V062_20[[#This Row],[FECHA]]-B17=1,((V062_20[[#This Row],[HORA]]-C17)*24)+24,(V062_20[[#This Row],[HORA]]-C17)*24)</f>
        <v>2.1000000000000005</v>
      </c>
      <c r="E18" s="239" t="s">
        <v>47</v>
      </c>
      <c r="F18" s="29" t="s">
        <v>250</v>
      </c>
      <c r="G18" s="324"/>
      <c r="H18" s="306"/>
      <c r="I18" s="259">
        <f>IF(ISERROR(V062_20[[#This Row],[DISTANCIA POR CARTA]]/V062_20[[#This Row],[TIEMPO DE NAVEGACION]]),0,V062_20[[#This Row],[DISTANCIA POR CARTA]]/V062_20[[#This Row],[TIEMPO DE NAVEGACION]])</f>
        <v>0</v>
      </c>
      <c r="J18" s="242"/>
      <c r="K18" s="325"/>
      <c r="L18" s="245">
        <v>0.26</v>
      </c>
      <c r="M18" s="245">
        <v>0.22</v>
      </c>
      <c r="N18" s="245">
        <v>0.13</v>
      </c>
      <c r="O18" s="257">
        <f>SUM(V062_20[[#This Row],[MPAL]:[CALDERA]])</f>
        <v>0.61</v>
      </c>
      <c r="P18" s="319"/>
      <c r="Q18" s="281">
        <f>(Q17-V062_20[[#This Row],[TOTAL ]])+V062_20[[#This Row],[FAENA]]</f>
        <v>369.58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SUM(V062_20[[#This Row],[MPAL2]:[GI]])</f>
        <v>0</v>
      </c>
      <c r="X18" s="246"/>
      <c r="Y18" s="282">
        <f>(Y17-V062_20[[#This Row],[TOTAL]])+V062_20[[#This Row],[FAENA2]]</f>
        <v>94</v>
      </c>
      <c r="Z18" s="245">
        <v>20</v>
      </c>
      <c r="AA18" s="246">
        <v>0</v>
      </c>
      <c r="AB18" s="320">
        <f>(AB17-V062_20[[#This Row],[CYLINDER MP]])+V062_20[[#This Row],[FAENA EN LTS]]</f>
        <v>1750</v>
      </c>
      <c r="AC18" s="246">
        <v>0</v>
      </c>
      <c r="AD18" s="246">
        <v>0</v>
      </c>
      <c r="AE18" s="320">
        <f>(AE17-V062_20[[#This Row],[CARTER MP.]])+V062_20[[#This Row],[FAENA EN LTS2]]</f>
        <v>3900</v>
      </c>
      <c r="AF18" s="246">
        <v>0</v>
      </c>
      <c r="AG18" s="246">
        <v>0</v>
      </c>
      <c r="AH18" s="320">
        <f>(AH17-V062_20[[#This Row],[MOT AUX]])+V062_20[[#This Row],[FAENA EN  LTS]]</f>
        <v>1070</v>
      </c>
      <c r="AI18" s="246">
        <v>0</v>
      </c>
      <c r="AJ18" s="246">
        <v>0</v>
      </c>
      <c r="AK18" s="321">
        <f>(AK17-V062_20[[#This Row],[HIDRAULICO]])+V062_20[[#This Row],[FAENA EN LTS3]]</f>
        <v>1800</v>
      </c>
    </row>
    <row r="19" spans="1:37" x14ac:dyDescent="0.25">
      <c r="A19" s="431" t="s">
        <v>244</v>
      </c>
      <c r="B19" s="48">
        <v>44017</v>
      </c>
      <c r="C19" s="41">
        <v>0.33333333333333331</v>
      </c>
      <c r="D19" s="418">
        <f>IF(V062_20[[#This Row],[FECHA]]-B18=1,((V062_20[[#This Row],[HORA]]-C18)*24)+24,(V062_20[[#This Row],[HORA]]-C18)*24)</f>
        <v>3.5999999999999992</v>
      </c>
      <c r="E19" s="239" t="s">
        <v>49</v>
      </c>
      <c r="F19" s="29" t="s">
        <v>59</v>
      </c>
      <c r="G19" s="324"/>
      <c r="H19" s="306"/>
      <c r="I19" s="259">
        <f>IF(ISERROR(V062_20[[#This Row],[DISTANCIA POR CARTA]]/V062_20[[#This Row],[TIEMPO DE NAVEGACION]]),0,V062_20[[#This Row],[DISTANCIA POR CARTA]]/V062_20[[#This Row],[TIEMPO DE NAVEGACION]])</f>
        <v>0</v>
      </c>
      <c r="J19" s="380"/>
      <c r="K19" s="325"/>
      <c r="L19" s="245">
        <v>0</v>
      </c>
      <c r="M19" s="245">
        <v>0.28000000000000003</v>
      </c>
      <c r="N19" s="245">
        <v>0.3</v>
      </c>
      <c r="O19" s="257">
        <f>SUM(V062_20[[#This Row],[MPAL]:[CALDERA]])</f>
        <v>0.58000000000000007</v>
      </c>
      <c r="P19" s="319"/>
      <c r="Q19" s="281">
        <f>(Q18-V062_20[[#This Row],[TOTAL ]])+V062_20[[#This Row],[FAENA]]</f>
        <v>369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SUM(V062_20[[#This Row],[MPAL2]:[GI]])</f>
        <v>0</v>
      </c>
      <c r="X19" s="246"/>
      <c r="Y19" s="282">
        <f>(Y18-V062_20[[#This Row],[TOTAL]])+V062_20[[#This Row],[FAENA2]]</f>
        <v>94</v>
      </c>
      <c r="Z19" s="245">
        <v>0</v>
      </c>
      <c r="AA19" s="246">
        <v>0</v>
      </c>
      <c r="AB19" s="320">
        <f>(AB18-V062_20[[#This Row],[CYLINDER MP]])+V062_20[[#This Row],[FAENA EN LTS]]</f>
        <v>1750</v>
      </c>
      <c r="AC19" s="246">
        <v>0</v>
      </c>
      <c r="AD19" s="246">
        <v>0</v>
      </c>
      <c r="AE19" s="320">
        <f>(AE18-V062_20[[#This Row],[CARTER MP.]])+V062_20[[#This Row],[FAENA EN LTS2]]</f>
        <v>3900</v>
      </c>
      <c r="AF19" s="246">
        <v>20</v>
      </c>
      <c r="AG19" s="246">
        <v>0</v>
      </c>
      <c r="AH19" s="320">
        <f>(AH18-V062_20[[#This Row],[MOT AUX]])+V062_20[[#This Row],[FAENA EN  LTS]]</f>
        <v>1050</v>
      </c>
      <c r="AI19" s="246">
        <v>50</v>
      </c>
      <c r="AJ19" s="246">
        <v>0</v>
      </c>
      <c r="AK19" s="321">
        <f>(AK18-V062_20[[#This Row],[HIDRAULICO]])+V062_20[[#This Row],[FAENA EN LTS3]]</f>
        <v>1750</v>
      </c>
    </row>
    <row r="20" spans="1:37" x14ac:dyDescent="0.25">
      <c r="A20" s="431" t="s">
        <v>244</v>
      </c>
      <c r="B20" s="48">
        <v>44017</v>
      </c>
      <c r="C20" s="41">
        <v>0.4291666666666667</v>
      </c>
      <c r="D20" s="418">
        <f>IF(V062_20[[#This Row],[FECHA]]-B19=1,((V062_20[[#This Row],[HORA]]-C19)*24)+24,(V062_20[[#This Row],[HORA]]-C19)*24)</f>
        <v>2.3000000000000012</v>
      </c>
      <c r="E20" s="239" t="s">
        <v>49</v>
      </c>
      <c r="F20" s="29" t="s">
        <v>50</v>
      </c>
      <c r="G20" s="324"/>
      <c r="H20" s="306"/>
      <c r="I20" s="259">
        <f>IF(ISERROR(V062_20[[#This Row],[DISTANCIA POR CARTA]]/V062_20[[#This Row],[TIEMPO DE NAVEGACION]]),0,V062_20[[#This Row],[DISTANCIA POR CARTA]]/V062_20[[#This Row],[TIEMPO DE NAVEGACION]])</f>
        <v>0</v>
      </c>
      <c r="J20" s="242"/>
      <c r="K20" s="325"/>
      <c r="L20" s="245">
        <v>0</v>
      </c>
      <c r="M20" s="245">
        <v>0.24</v>
      </c>
      <c r="N20" s="245">
        <v>0.19</v>
      </c>
      <c r="O20" s="257">
        <f>SUM(V062_20[[#This Row],[MPAL]:[CALDERA]])</f>
        <v>0.43</v>
      </c>
      <c r="P20" s="319"/>
      <c r="Q20" s="281">
        <f>(Q19-V062_20[[#This Row],[TOTAL ]])+V062_20[[#This Row],[FAENA]]</f>
        <v>368.57</v>
      </c>
      <c r="R20" s="245">
        <v>0</v>
      </c>
      <c r="S20" s="246">
        <v>0</v>
      </c>
      <c r="T20" s="246">
        <v>0</v>
      </c>
      <c r="U20" s="246">
        <v>0</v>
      </c>
      <c r="V20" s="246">
        <v>0.6</v>
      </c>
      <c r="W20" s="257">
        <f>SUM(V062_20[[#This Row],[MPAL2]:[GI]])</f>
        <v>0.6</v>
      </c>
      <c r="X20" s="246"/>
      <c r="Y20" s="282">
        <f>(Y19-V062_20[[#This Row],[TOTAL]])+V062_20[[#This Row],[FAENA2]]</f>
        <v>93.4</v>
      </c>
      <c r="Z20" s="245">
        <v>0</v>
      </c>
      <c r="AA20" s="246">
        <v>0</v>
      </c>
      <c r="AB20" s="320">
        <f>(AB19-V062_20[[#This Row],[CYLINDER MP]])+V062_20[[#This Row],[FAENA EN LTS]]</f>
        <v>1750</v>
      </c>
      <c r="AC20" s="246">
        <v>0</v>
      </c>
      <c r="AD20" s="246">
        <v>0</v>
      </c>
      <c r="AE20" s="320">
        <f>(AE19-V062_20[[#This Row],[CARTER MP.]])+V062_20[[#This Row],[FAENA EN LTS2]]</f>
        <v>3900</v>
      </c>
      <c r="AF20" s="246">
        <v>0</v>
      </c>
      <c r="AG20" s="246">
        <v>0</v>
      </c>
      <c r="AH20" s="320">
        <f>(AH19-V062_20[[#This Row],[MOT AUX]])+V062_20[[#This Row],[FAENA EN  LTS]]</f>
        <v>1050</v>
      </c>
      <c r="AI20" s="246">
        <v>0</v>
      </c>
      <c r="AJ20" s="246">
        <v>0</v>
      </c>
      <c r="AK20" s="321">
        <f>(AK19-V062_20[[#This Row],[HIDRAULICO]])+V062_20[[#This Row],[FAENA EN LTS3]]</f>
        <v>1750</v>
      </c>
    </row>
    <row r="21" spans="1:37" x14ac:dyDescent="0.25">
      <c r="A21" s="431" t="s">
        <v>244</v>
      </c>
      <c r="B21" s="48">
        <v>44018</v>
      </c>
      <c r="C21" s="41">
        <v>0.20416666666666669</v>
      </c>
      <c r="D21" s="418">
        <f>IF(V062_20[[#This Row],[FECHA]]-B20=1,((V062_20[[#This Row],[HORA]]-C20)*24)+24,(V062_20[[#This Row],[HORA]]-C20)*24)</f>
        <v>18.600000000000001</v>
      </c>
      <c r="E21" s="239" t="s">
        <v>51</v>
      </c>
      <c r="F21" s="29" t="s">
        <v>52</v>
      </c>
      <c r="G21" s="324"/>
      <c r="H21" s="306"/>
      <c r="I21" s="259">
        <f>IF(ISERROR(V062_20[[#This Row],[DISTANCIA POR CARTA]]/V062_20[[#This Row],[TIEMPO DE NAVEGACION]]),0,V062_20[[#This Row],[DISTANCIA POR CARTA]]/V062_20[[#This Row],[TIEMPO DE NAVEGACION]])</f>
        <v>0</v>
      </c>
      <c r="J21" s="242"/>
      <c r="K21" s="325"/>
      <c r="L21" s="245">
        <v>0</v>
      </c>
      <c r="M21" s="245">
        <v>1.94</v>
      </c>
      <c r="N21" s="245">
        <v>1.55</v>
      </c>
      <c r="O21" s="257">
        <f>SUM(V062_20[[#This Row],[MPAL]:[CALDERA]])</f>
        <v>3.49</v>
      </c>
      <c r="P21" s="319"/>
      <c r="Q21" s="281">
        <f>(Q20-V062_20[[#This Row],[TOTAL ]])+V062_20[[#This Row],[FAENA]]</f>
        <v>365.08</v>
      </c>
      <c r="R21" s="245">
        <v>0</v>
      </c>
      <c r="S21" s="246">
        <v>0</v>
      </c>
      <c r="T21" s="246">
        <v>0</v>
      </c>
      <c r="U21" s="246">
        <v>0</v>
      </c>
      <c r="V21" s="246">
        <v>4.7</v>
      </c>
      <c r="W21" s="257">
        <v>4.7</v>
      </c>
      <c r="X21" s="246"/>
      <c r="Y21" s="282">
        <f>(Y20-V062_20[[#This Row],[TOTAL]])+V062_20[[#This Row],[FAENA2]]</f>
        <v>88.7</v>
      </c>
      <c r="Z21" s="245">
        <v>0</v>
      </c>
      <c r="AA21" s="246">
        <v>0</v>
      </c>
      <c r="AB21" s="320">
        <f>(AB20-V062_20[[#This Row],[CYLINDER MP]])+V062_20[[#This Row],[FAENA EN LTS]]</f>
        <v>1750</v>
      </c>
      <c r="AC21" s="246">
        <v>0</v>
      </c>
      <c r="AD21" s="246">
        <v>0</v>
      </c>
      <c r="AE21" s="320">
        <f>(AE20-V062_20[[#This Row],[CARTER MP.]])+V062_20[[#This Row],[FAENA EN LTS2]]</f>
        <v>3900</v>
      </c>
      <c r="AF21" s="246">
        <v>0</v>
      </c>
      <c r="AG21" s="246">
        <v>0</v>
      </c>
      <c r="AH21" s="320">
        <f>(AH20-V062_20[[#This Row],[MOT AUX]])+V062_20[[#This Row],[FAENA EN  LTS]]</f>
        <v>1050</v>
      </c>
      <c r="AI21" s="246">
        <v>0</v>
      </c>
      <c r="AJ21" s="246">
        <v>0</v>
      </c>
      <c r="AK21" s="321">
        <f>(AK20-V062_20[[#This Row],[HIDRAULICO]])+V062_20[[#This Row],[FAENA EN LTS3]]</f>
        <v>1750</v>
      </c>
    </row>
    <row r="22" spans="1:37" x14ac:dyDescent="0.25">
      <c r="A22" s="431" t="s">
        <v>244</v>
      </c>
      <c r="B22" s="48">
        <v>44018</v>
      </c>
      <c r="C22" s="362">
        <v>0.33333333333333331</v>
      </c>
      <c r="D22" s="418">
        <f>IF(V062_20[[#This Row],[FECHA]]-B21=1,((V062_20[[#This Row],[HORA]]-C21)*24)+24,(V062_20[[#This Row],[HORA]]-C21)*24)</f>
        <v>3.0999999999999988</v>
      </c>
      <c r="E22" s="239" t="s">
        <v>49</v>
      </c>
      <c r="F22" s="29" t="s">
        <v>59</v>
      </c>
      <c r="G22" s="324"/>
      <c r="H22" s="306"/>
      <c r="I22" s="259">
        <f>IF(ISERROR(V062_20[[#This Row],[DISTANCIA POR CARTA]]/V062_20[[#This Row],[TIEMPO DE NAVEGACION]]),0,V062_20[[#This Row],[DISTANCIA POR CARTA]]/V062_20[[#This Row],[TIEMPO DE NAVEGACION]])</f>
        <v>0</v>
      </c>
      <c r="J22" s="242"/>
      <c r="K22" s="325"/>
      <c r="L22" s="245">
        <v>0</v>
      </c>
      <c r="M22" s="245">
        <v>0.32</v>
      </c>
      <c r="N22" s="245">
        <v>0.26</v>
      </c>
      <c r="O22" s="257">
        <f>SUM(V062_20[[#This Row],[MPAL]:[CALDERA]])</f>
        <v>0.58000000000000007</v>
      </c>
      <c r="P22" s="319"/>
      <c r="Q22" s="281">
        <f>(Q21-V062_20[[#This Row],[TOTAL ]])+V062_20[[#This Row],[FAENA]]</f>
        <v>364.5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SUM(V062_20[[#This Row],[MPAL2]:[GI]])</f>
        <v>0</v>
      </c>
      <c r="X22" s="246"/>
      <c r="Y22" s="282">
        <f>(Y21-V062_20[[#This Row],[TOTAL]])+V062_20[[#This Row],[FAENA2]]</f>
        <v>88.7</v>
      </c>
      <c r="Z22" s="245">
        <v>0</v>
      </c>
      <c r="AA22" s="246">
        <v>0</v>
      </c>
      <c r="AB22" s="320">
        <f>(AB21-V062_20[[#This Row],[CYLINDER MP]])+V062_20[[#This Row],[FAENA EN LTS]]</f>
        <v>1750</v>
      </c>
      <c r="AC22" s="246">
        <v>0</v>
      </c>
      <c r="AD22" s="246">
        <v>0</v>
      </c>
      <c r="AE22" s="320">
        <f>(AE21-V062_20[[#This Row],[CARTER MP.]])+V062_20[[#This Row],[FAENA EN LTS2]]</f>
        <v>3900</v>
      </c>
      <c r="AF22" s="246">
        <v>40</v>
      </c>
      <c r="AG22" s="246">
        <v>0</v>
      </c>
      <c r="AH22" s="320">
        <f>(AH21-V062_20[[#This Row],[MOT AUX]])+V062_20[[#This Row],[FAENA EN  LTS]]</f>
        <v>1010</v>
      </c>
      <c r="AI22" s="246">
        <v>50</v>
      </c>
      <c r="AJ22" s="246">
        <v>0</v>
      </c>
      <c r="AK22" s="321">
        <f>(AK21-V062_20[[#This Row],[HIDRAULICO]])+V062_20[[#This Row],[FAENA EN LTS3]]</f>
        <v>1700</v>
      </c>
    </row>
    <row r="23" spans="1:37" x14ac:dyDescent="0.25">
      <c r="A23" s="431" t="s">
        <v>244</v>
      </c>
      <c r="B23" s="48">
        <v>44018</v>
      </c>
      <c r="C23" s="351">
        <v>0.41666666666666669</v>
      </c>
      <c r="D23" s="418">
        <f>IF(V062_20[[#This Row],[FECHA]]-B22=1,((V062_20[[#This Row],[HORA]]-C22)*24)+24,(V062_20[[#This Row],[HORA]]-C22)*24)</f>
        <v>2.0000000000000009</v>
      </c>
      <c r="E23" s="239" t="s">
        <v>49</v>
      </c>
      <c r="F23" s="29" t="s">
        <v>46</v>
      </c>
      <c r="G23" s="324"/>
      <c r="H23" s="306"/>
      <c r="I23" s="259">
        <f>IF(ISERROR(V062_20[[#This Row],[DISTANCIA POR CARTA]]/V062_20[[#This Row],[TIEMPO DE NAVEGACION]]),0,V062_20[[#This Row],[DISTANCIA POR CARTA]]/V062_20[[#This Row],[TIEMPO DE NAVEGACION]])</f>
        <v>0</v>
      </c>
      <c r="J23" s="242"/>
      <c r="K23" s="325"/>
      <c r="L23" s="418">
        <f t="shared" ref="L23:L32" si="0">+IF(I23="","",(I23/24)*G23)</f>
        <v>0</v>
      </c>
      <c r="M23" s="245">
        <v>0.21</v>
      </c>
      <c r="N23" s="245">
        <v>0.17</v>
      </c>
      <c r="O23" s="257">
        <f>SUM(V062_20[[#This Row],[MPAL]:[CALDERA]])</f>
        <v>0.38</v>
      </c>
      <c r="P23" s="319"/>
      <c r="Q23" s="281">
        <f>(Q22-V062_20[[#This Row],[TOTAL ]])+V062_20[[#This Row],[FAENA]]</f>
        <v>364.12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SUM(V062_20[[#This Row],[MPAL2]:[GI]])</f>
        <v>0</v>
      </c>
      <c r="X23" s="246"/>
      <c r="Y23" s="282">
        <f>(Y22-V062_20[[#This Row],[TOTAL]])+V062_20[[#This Row],[FAENA2]]</f>
        <v>88.7</v>
      </c>
      <c r="Z23" s="245">
        <v>0</v>
      </c>
      <c r="AA23" s="246">
        <v>0</v>
      </c>
      <c r="AB23" s="320">
        <f>(AB22-V062_20[[#This Row],[CYLINDER MP]])+V062_20[[#This Row],[FAENA EN LTS]]</f>
        <v>1750</v>
      </c>
      <c r="AC23" s="246">
        <v>0</v>
      </c>
      <c r="AD23" s="246">
        <v>0</v>
      </c>
      <c r="AE23" s="320">
        <f>(AE22-V062_20[[#This Row],[CARTER MP.]])+V062_20[[#This Row],[FAENA EN LTS2]]</f>
        <v>3900</v>
      </c>
      <c r="AF23" s="246">
        <v>0</v>
      </c>
      <c r="AG23" s="246">
        <v>0</v>
      </c>
      <c r="AH23" s="320">
        <f>(AH22-V062_20[[#This Row],[MOT AUX]])+V062_20[[#This Row],[FAENA EN  LTS]]</f>
        <v>1010</v>
      </c>
      <c r="AI23" s="246">
        <v>0</v>
      </c>
      <c r="AJ23" s="246">
        <v>0</v>
      </c>
      <c r="AK23" s="321">
        <f>(AK22-V062_20[[#This Row],[HIDRAULICO]])+V062_20[[#This Row],[FAENA EN LTS3]]</f>
        <v>1700</v>
      </c>
    </row>
    <row r="24" spans="1:37" x14ac:dyDescent="0.25">
      <c r="A24" s="431" t="s">
        <v>244</v>
      </c>
      <c r="B24" s="48">
        <v>44018</v>
      </c>
      <c r="C24" s="41">
        <v>0.4458333333333333</v>
      </c>
      <c r="D24" s="418">
        <f>IF(V062_20[[#This Row],[FECHA]]-B23=1,((V062_20[[#This Row],[HORA]]-C23)*24)+24,(V062_20[[#This Row],[HORA]]-C23)*24)</f>
        <v>0.69999999999999885</v>
      </c>
      <c r="E24" s="239" t="s">
        <v>47</v>
      </c>
      <c r="F24" s="29" t="s">
        <v>251</v>
      </c>
      <c r="G24" s="324"/>
      <c r="H24" s="306"/>
      <c r="I24" s="259">
        <f>IF(ISERROR(V062_20[[#This Row],[DISTANCIA POR CARTA]]/V062_20[[#This Row],[TIEMPO DE NAVEGACION]]),0,V062_20[[#This Row],[DISTANCIA POR CARTA]]/V062_20[[#This Row],[TIEMPO DE NAVEGACION]])</f>
        <v>0</v>
      </c>
      <c r="J24" s="242"/>
      <c r="K24" s="325"/>
      <c r="L24" s="418">
        <v>0.15</v>
      </c>
      <c r="M24" s="245">
        <v>7.0000000000000007E-2</v>
      </c>
      <c r="N24" s="245">
        <v>0.06</v>
      </c>
      <c r="O24" s="257">
        <f>SUM(V062_20[[#This Row],[MPAL]:[CALDERA]])</f>
        <v>0.28000000000000003</v>
      </c>
      <c r="P24" s="319"/>
      <c r="Q24" s="281">
        <f>(Q23-V062_20[[#This Row],[TOTAL ]])+V062_20[[#This Row],[FAENA]]</f>
        <v>363.84000000000003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SUM(V062_20[[#This Row],[MPAL2]:[GI]])</f>
        <v>0</v>
      </c>
      <c r="X24" s="246"/>
      <c r="Y24" s="282">
        <f>(Y23-V062_20[[#This Row],[TOTAL]])+V062_20[[#This Row],[FAENA2]]</f>
        <v>88.7</v>
      </c>
      <c r="Z24" s="245">
        <v>10</v>
      </c>
      <c r="AA24" s="246">
        <v>0</v>
      </c>
      <c r="AB24" s="320">
        <f>(AB23-V062_20[[#This Row],[CYLINDER MP]])+V062_20[[#This Row],[FAENA EN LTS]]</f>
        <v>1740</v>
      </c>
      <c r="AC24" s="246">
        <v>0</v>
      </c>
      <c r="AD24" s="246">
        <v>0</v>
      </c>
      <c r="AE24" s="320">
        <f>(AE23-V062_20[[#This Row],[CARTER MP.]])+V062_20[[#This Row],[FAENA EN LTS2]]</f>
        <v>3900</v>
      </c>
      <c r="AF24" s="246">
        <v>0</v>
      </c>
      <c r="AG24" s="246">
        <v>0</v>
      </c>
      <c r="AH24" s="320">
        <f>(AH23-V062_20[[#This Row],[MOT AUX]])+V062_20[[#This Row],[FAENA EN  LTS]]</f>
        <v>1010</v>
      </c>
      <c r="AI24" s="246">
        <v>0</v>
      </c>
      <c r="AJ24" s="246">
        <v>0</v>
      </c>
      <c r="AK24" s="321">
        <f>(AK23-V062_20[[#This Row],[HIDRAULICO]])+V062_20[[#This Row],[FAENA EN LTS3]]</f>
        <v>1700</v>
      </c>
    </row>
    <row r="25" spans="1:37" x14ac:dyDescent="0.25">
      <c r="A25" s="431" t="s">
        <v>244</v>
      </c>
      <c r="B25" s="48">
        <v>44018</v>
      </c>
      <c r="C25" s="41">
        <v>0.875</v>
      </c>
      <c r="D25" s="418">
        <f>IF(V062_20[[#This Row],[FECHA]]-B24=1,((V062_20[[#This Row],[HORA]]-C24)*24)+24,(V062_20[[#This Row],[HORA]]-C24)*24)</f>
        <v>10.3</v>
      </c>
      <c r="E25" s="239" t="s">
        <v>55</v>
      </c>
      <c r="F25" s="29" t="s">
        <v>219</v>
      </c>
      <c r="G25" s="324">
        <v>125</v>
      </c>
      <c r="H25" s="306">
        <v>10.3</v>
      </c>
      <c r="I25" s="259">
        <f>IF(ISERROR(V062_20[[#This Row],[DISTANCIA POR CARTA]]/V062_20[[#This Row],[TIEMPO DE NAVEGACION]]),0,V062_20[[#This Row],[DISTANCIA POR CARTA]]/V062_20[[#This Row],[TIEMPO DE NAVEGACION]])</f>
        <v>12.135922330097086</v>
      </c>
      <c r="J25" s="380" t="s">
        <v>214</v>
      </c>
      <c r="K25" s="325">
        <v>96</v>
      </c>
      <c r="L25" s="418">
        <v>10.3</v>
      </c>
      <c r="M25" s="245">
        <v>1.07</v>
      </c>
      <c r="N25" s="245">
        <v>0.86</v>
      </c>
      <c r="O25" s="257">
        <f>SUM(V062_20[[#This Row],[MPAL]:[CALDERA]])</f>
        <v>12.23</v>
      </c>
      <c r="P25" s="319"/>
      <c r="Q25" s="281">
        <f>(Q24-V062_20[[#This Row],[TOTAL ]])+V062_20[[#This Row],[FAENA]]</f>
        <v>351.61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SUM(V062_20[[#This Row],[MPAL2]:[GI]])</f>
        <v>0</v>
      </c>
      <c r="X25" s="246"/>
      <c r="Y25" s="282">
        <f>(Y24-V062_20[[#This Row],[TOTAL]])+V062_20[[#This Row],[FAENA2]]</f>
        <v>88.7</v>
      </c>
      <c r="Z25" s="245">
        <v>130</v>
      </c>
      <c r="AA25" s="246">
        <v>0</v>
      </c>
      <c r="AB25" s="320">
        <f>(AB24-V062_20[[#This Row],[CYLINDER MP]])+V062_20[[#This Row],[FAENA EN LTS]]</f>
        <v>1610</v>
      </c>
      <c r="AC25" s="246">
        <v>0</v>
      </c>
      <c r="AD25" s="246">
        <v>0</v>
      </c>
      <c r="AE25" s="320">
        <f>(AE24-V062_20[[#This Row],[CARTER MP.]])+V062_20[[#This Row],[FAENA EN LTS2]]</f>
        <v>3900</v>
      </c>
      <c r="AF25" s="246">
        <v>0</v>
      </c>
      <c r="AG25" s="246">
        <v>0</v>
      </c>
      <c r="AH25" s="320">
        <f>(AH24-V062_20[[#This Row],[MOT AUX]])+V062_20[[#This Row],[FAENA EN  LTS]]</f>
        <v>1010</v>
      </c>
      <c r="AI25" s="246">
        <v>0</v>
      </c>
      <c r="AJ25" s="246">
        <v>0</v>
      </c>
      <c r="AK25" s="321">
        <f>(AK24-V062_20[[#This Row],[HIDRAULICO]])+V062_20[[#This Row],[FAENA EN LTS3]]</f>
        <v>1700</v>
      </c>
    </row>
    <row r="26" spans="1:37" x14ac:dyDescent="0.25">
      <c r="A26" s="431" t="s">
        <v>244</v>
      </c>
      <c r="B26" s="48">
        <v>44018</v>
      </c>
      <c r="C26" s="362">
        <v>0.91666666666666663</v>
      </c>
      <c r="D26" s="418">
        <f>IF(V062_20[[#This Row],[FECHA]]-B25=1,((V062_20[[#This Row],[HORA]]-C25)*24)+24,(V062_20[[#This Row],[HORA]]-C25)*24)</f>
        <v>0.99999999999999911</v>
      </c>
      <c r="E26" s="239" t="s">
        <v>47</v>
      </c>
      <c r="F26" s="29" t="s">
        <v>242</v>
      </c>
      <c r="G26" s="324"/>
      <c r="H26" s="306"/>
      <c r="I26" s="259">
        <f>IF(ISERROR(V062_20[[#This Row],[DISTANCIA POR CARTA]]/V062_20[[#This Row],[TIEMPO DE NAVEGACION]]),0,V062_20[[#This Row],[DISTANCIA POR CARTA]]/V062_20[[#This Row],[TIEMPO DE NAVEGACION]])</f>
        <v>0</v>
      </c>
      <c r="J26" s="242"/>
      <c r="K26" s="325"/>
      <c r="L26" s="418">
        <v>0.21</v>
      </c>
      <c r="M26" s="245">
        <v>0.1</v>
      </c>
      <c r="N26" s="245">
        <v>0.08</v>
      </c>
      <c r="O26" s="257">
        <f>SUM(V062_20[[#This Row],[MPAL]:[CALDERA]])</f>
        <v>0.39</v>
      </c>
      <c r="P26" s="319"/>
      <c r="Q26" s="281">
        <f>(Q25-V062_20[[#This Row],[TOTAL ]])+V062_20[[#This Row],[FAENA]]</f>
        <v>351.22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SUM(V062_20[[#This Row],[MPAL2]:[GI]])</f>
        <v>0</v>
      </c>
      <c r="X26" s="246"/>
      <c r="Y26" s="282">
        <f>(Y25-V062_20[[#This Row],[TOTAL]])+V062_20[[#This Row],[FAENA2]]</f>
        <v>88.7</v>
      </c>
      <c r="Z26" s="245">
        <v>10</v>
      </c>
      <c r="AA26" s="246">
        <v>0</v>
      </c>
      <c r="AB26" s="320">
        <f>(AB25-V062_20[[#This Row],[CYLINDER MP]])+V062_20[[#This Row],[FAENA EN LTS]]</f>
        <v>1600</v>
      </c>
      <c r="AC26" s="246">
        <v>0</v>
      </c>
      <c r="AD26" s="246">
        <v>0</v>
      </c>
      <c r="AE26" s="320">
        <f>(AE25-V062_20[[#This Row],[CARTER MP.]])+V062_20[[#This Row],[FAENA EN LTS2]]</f>
        <v>3900</v>
      </c>
      <c r="AF26" s="246">
        <v>0</v>
      </c>
      <c r="AG26" s="246">
        <v>0</v>
      </c>
      <c r="AH26" s="320">
        <f>(AH25-V062_20[[#This Row],[MOT AUX]])+V062_20[[#This Row],[FAENA EN  LTS]]</f>
        <v>1010</v>
      </c>
      <c r="AI26" s="246">
        <v>0</v>
      </c>
      <c r="AJ26" s="246">
        <v>0</v>
      </c>
      <c r="AK26" s="321">
        <f>(AK25-V062_20[[#This Row],[HIDRAULICO]])+V062_20[[#This Row],[FAENA EN LTS3]]</f>
        <v>1700</v>
      </c>
    </row>
    <row r="27" spans="1:37" x14ac:dyDescent="0.25">
      <c r="A27" s="431" t="s">
        <v>244</v>
      </c>
      <c r="B27" s="48">
        <v>44018</v>
      </c>
      <c r="C27" s="351">
        <v>0.95416666666666661</v>
      </c>
      <c r="D27" s="418">
        <f>IF(V062_20[[#This Row],[FECHA]]-B26=1,((V062_20[[#This Row],[HORA]]-C26)*24)+24,(V062_20[[#This Row],[HORA]]-C26)*24)</f>
        <v>0.89999999999999947</v>
      </c>
      <c r="E27" s="239" t="s">
        <v>45</v>
      </c>
      <c r="F27" s="29" t="s">
        <v>46</v>
      </c>
      <c r="G27" s="324"/>
      <c r="H27" s="306"/>
      <c r="I27" s="259">
        <f>IF(ISERROR(V062_20[[#This Row],[DISTANCIA POR CARTA]]/V062_20[[#This Row],[TIEMPO DE NAVEGACION]]),0,V062_20[[#This Row],[DISTANCIA POR CARTA]]/V062_20[[#This Row],[TIEMPO DE NAVEGACION]])</f>
        <v>0</v>
      </c>
      <c r="J27" s="242"/>
      <c r="K27" s="325"/>
      <c r="L27" s="418">
        <f t="shared" si="0"/>
        <v>0</v>
      </c>
      <c r="M27" s="245">
        <v>0.09</v>
      </c>
      <c r="N27" s="245">
        <v>0.08</v>
      </c>
      <c r="O27" s="257">
        <f>SUM(V062_20[[#This Row],[MPAL]:[CALDERA]])</f>
        <v>0.16999999999999998</v>
      </c>
      <c r="P27" s="319"/>
      <c r="Q27" s="281">
        <f>(Q26-V062_20[[#This Row],[TOTAL ]])+V062_20[[#This Row],[FAENA]]</f>
        <v>351.05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SUM(V062_20[[#This Row],[MPAL2]:[GI]])</f>
        <v>0</v>
      </c>
      <c r="X27" s="246"/>
      <c r="Y27" s="282">
        <f>(Y26-V062_20[[#This Row],[TOTAL]])+V062_20[[#This Row],[FAENA2]]</f>
        <v>88.7</v>
      </c>
      <c r="Z27" s="245">
        <v>0</v>
      </c>
      <c r="AA27" s="246">
        <v>0</v>
      </c>
      <c r="AB27" s="320">
        <f>(AB26-V062_20[[#This Row],[CYLINDER MP]])+V062_20[[#This Row],[FAENA EN LTS]]</f>
        <v>1600</v>
      </c>
      <c r="AC27" s="246">
        <v>0</v>
      </c>
      <c r="AD27" s="246">
        <v>0</v>
      </c>
      <c r="AE27" s="320">
        <f>(AE26-V062_20[[#This Row],[CARTER MP.]])+V062_20[[#This Row],[FAENA EN LTS2]]</f>
        <v>3900</v>
      </c>
      <c r="AF27" s="246">
        <v>0</v>
      </c>
      <c r="AG27" s="246">
        <v>0</v>
      </c>
      <c r="AH27" s="320">
        <f>(AH26-V062_20[[#This Row],[MOT AUX]])+V062_20[[#This Row],[FAENA EN  LTS]]</f>
        <v>1010</v>
      </c>
      <c r="AI27" s="246">
        <v>0</v>
      </c>
      <c r="AJ27" s="246">
        <v>0</v>
      </c>
      <c r="AK27" s="321">
        <f>(AK26-V062_20[[#This Row],[HIDRAULICO]])+V062_20[[#This Row],[FAENA EN LTS3]]</f>
        <v>1700</v>
      </c>
    </row>
    <row r="28" spans="1:37" x14ac:dyDescent="0.25">
      <c r="A28" s="431" t="s">
        <v>244</v>
      </c>
      <c r="B28" s="48">
        <v>44019</v>
      </c>
      <c r="C28" s="41">
        <v>8.3333333333333332E-3</v>
      </c>
      <c r="D28" s="418">
        <f>IF(V062_20[[#This Row],[FECHA]]-B27=1,((V062_20[[#This Row],[HORA]]-C27)*24)+24,(V062_20[[#This Row],[HORA]]-C27)*24)</f>
        <v>1.3000000000000007</v>
      </c>
      <c r="E28" s="239" t="s">
        <v>47</v>
      </c>
      <c r="F28" s="29" t="s">
        <v>241</v>
      </c>
      <c r="G28" s="324"/>
      <c r="H28" s="306"/>
      <c r="I28" s="259">
        <f>IF(ISERROR(V062_20[[#This Row],[DISTANCIA POR CARTA]]/V062_20[[#This Row],[TIEMPO DE NAVEGACION]]),0,V062_20[[#This Row],[DISTANCIA POR CARTA]]/V062_20[[#This Row],[TIEMPO DE NAVEGACION]])</f>
        <v>0</v>
      </c>
      <c r="J28" s="380"/>
      <c r="K28" s="325"/>
      <c r="L28" s="418">
        <v>0.27</v>
      </c>
      <c r="M28" s="245">
        <v>0.14000000000000001</v>
      </c>
      <c r="N28" s="245">
        <v>0.11</v>
      </c>
      <c r="O28" s="257">
        <f>SUM(V062_20[[#This Row],[MPAL]:[CALDERA]])</f>
        <v>0.52</v>
      </c>
      <c r="P28" s="319"/>
      <c r="Q28" s="281">
        <f>(Q27-V062_20[[#This Row],[TOTAL ]])+V062_20[[#This Row],[FAENA]]</f>
        <v>350.53000000000003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SUM(V062_20[[#This Row],[MPAL2]:[GI]])</f>
        <v>0</v>
      </c>
      <c r="X28" s="246"/>
      <c r="Y28" s="282">
        <f>(Y27-V062_20[[#This Row],[TOTAL]])+V062_20[[#This Row],[FAENA2]]</f>
        <v>88.7</v>
      </c>
      <c r="Z28" s="245">
        <v>10</v>
      </c>
      <c r="AA28" s="246">
        <v>0</v>
      </c>
      <c r="AB28" s="320">
        <f>(AB27-V062_20[[#This Row],[CYLINDER MP]])+V062_20[[#This Row],[FAENA EN LTS]]</f>
        <v>1590</v>
      </c>
      <c r="AC28" s="246">
        <v>0</v>
      </c>
      <c r="AD28" s="246">
        <v>0</v>
      </c>
      <c r="AE28" s="320">
        <f>(AE27-V062_20[[#This Row],[CARTER MP.]])+V062_20[[#This Row],[FAENA EN LTS2]]</f>
        <v>3900</v>
      </c>
      <c r="AF28" s="246">
        <v>0</v>
      </c>
      <c r="AG28" s="246">
        <v>0</v>
      </c>
      <c r="AH28" s="320">
        <f>(AH27-V062_20[[#This Row],[MOT AUX]])+V062_20[[#This Row],[FAENA EN  LTS]]</f>
        <v>1010</v>
      </c>
      <c r="AI28" s="246">
        <v>0</v>
      </c>
      <c r="AJ28" s="246">
        <v>0</v>
      </c>
      <c r="AK28" s="321">
        <f>(AK27-V062_20[[#This Row],[HIDRAULICO]])+V062_20[[#This Row],[FAENA EN LTS3]]</f>
        <v>1700</v>
      </c>
    </row>
    <row r="29" spans="1:37" x14ac:dyDescent="0.25">
      <c r="A29" s="431" t="s">
        <v>244</v>
      </c>
      <c r="B29" s="48">
        <v>44019</v>
      </c>
      <c r="C29" s="41">
        <v>0.15833333333333333</v>
      </c>
      <c r="D29" s="418">
        <f>IF(V062_20[[#This Row],[FECHA]]-B28=1,((V062_20[[#This Row],[HORA]]-C28)*24)+24,(V062_20[[#This Row],[HORA]]-C28)*24)</f>
        <v>3.5999999999999996</v>
      </c>
      <c r="E29" s="239" t="s">
        <v>49</v>
      </c>
      <c r="F29" s="29" t="s">
        <v>50</v>
      </c>
      <c r="G29" s="324"/>
      <c r="H29" s="306"/>
      <c r="I29" s="259">
        <f>IF(ISERROR(V062_20[[#This Row],[DISTANCIA POR CARTA]]/V062_20[[#This Row],[TIEMPO DE NAVEGACION]]),0,V062_20[[#This Row],[DISTANCIA POR CARTA]]/V062_20[[#This Row],[TIEMPO DE NAVEGACION]])</f>
        <v>0</v>
      </c>
      <c r="J29" s="242"/>
      <c r="K29" s="325"/>
      <c r="L29" s="418">
        <f t="shared" si="0"/>
        <v>0</v>
      </c>
      <c r="M29" s="245">
        <v>0.38</v>
      </c>
      <c r="N29" s="245">
        <v>0.3</v>
      </c>
      <c r="O29" s="257">
        <f>SUM(V062_20[[#This Row],[MPAL]:[CALDERA]])</f>
        <v>0.67999999999999994</v>
      </c>
      <c r="P29" s="319"/>
      <c r="Q29" s="281">
        <f>(Q28-V062_20[[#This Row],[TOTAL ]])+V062_20[[#This Row],[FAENA]]</f>
        <v>349.85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SUM(V062_20[[#This Row],[MPAL2]:[GI]])</f>
        <v>0</v>
      </c>
      <c r="X29" s="246"/>
      <c r="Y29" s="282">
        <f>(Y28-V062_20[[#This Row],[TOTAL]])+V062_20[[#This Row],[FAENA2]]</f>
        <v>88.7</v>
      </c>
      <c r="Z29" s="245">
        <v>0</v>
      </c>
      <c r="AA29" s="246">
        <v>0</v>
      </c>
      <c r="AB29" s="320">
        <f>(AB28-V062_20[[#This Row],[CYLINDER MP]])+V062_20[[#This Row],[FAENA EN LTS]]</f>
        <v>1590</v>
      </c>
      <c r="AC29" s="246">
        <v>0</v>
      </c>
      <c r="AD29" s="246">
        <v>0</v>
      </c>
      <c r="AE29" s="320">
        <f>(AE28-V062_20[[#This Row],[CARTER MP.]])+V062_20[[#This Row],[FAENA EN LTS2]]</f>
        <v>3900</v>
      </c>
      <c r="AF29" s="246">
        <v>0</v>
      </c>
      <c r="AG29" s="246">
        <v>0</v>
      </c>
      <c r="AH29" s="320">
        <f>(AH28-V062_20[[#This Row],[MOT AUX]])+V062_20[[#This Row],[FAENA EN  LTS]]</f>
        <v>1010</v>
      </c>
      <c r="AI29" s="246">
        <v>0</v>
      </c>
      <c r="AJ29" s="246">
        <v>0</v>
      </c>
      <c r="AK29" s="321">
        <f>(AK28-V062_20[[#This Row],[HIDRAULICO]])+V062_20[[#This Row],[FAENA EN LTS3]]</f>
        <v>1700</v>
      </c>
    </row>
    <row r="30" spans="1:37" x14ac:dyDescent="0.25">
      <c r="A30" s="431" t="s">
        <v>244</v>
      </c>
      <c r="B30" s="48">
        <v>44019</v>
      </c>
      <c r="C30" s="41">
        <v>0.33333333333333331</v>
      </c>
      <c r="D30" s="418">
        <f>IF(V062_20[[#This Row],[FECHA]]-B29=1,((V062_20[[#This Row],[HORA]]-C29)*24)+24,(V062_20[[#This Row],[HORA]]-C29)*24)</f>
        <v>4.1999999999999993</v>
      </c>
      <c r="E30" s="239" t="s">
        <v>51</v>
      </c>
      <c r="F30" s="29" t="s">
        <v>51</v>
      </c>
      <c r="G30" s="324"/>
      <c r="H30" s="306"/>
      <c r="I30" s="259">
        <f>IF(ISERROR(V062_20[[#This Row],[DISTANCIA POR CARTA]]/V062_20[[#This Row],[TIEMPO DE NAVEGACION]]),0,V062_20[[#This Row],[DISTANCIA POR CARTA]]/V062_20[[#This Row],[TIEMPO DE NAVEGACION]])</f>
        <v>0</v>
      </c>
      <c r="J30" s="380"/>
      <c r="K30" s="325"/>
      <c r="L30" s="418">
        <v>0</v>
      </c>
      <c r="M30" s="245">
        <v>0.44</v>
      </c>
      <c r="N30" s="245">
        <v>0.35</v>
      </c>
      <c r="O30" s="257">
        <f>SUM(V062_20[[#This Row],[MPAL]:[CALDERA]])</f>
        <v>0.79</v>
      </c>
      <c r="P30" s="319"/>
      <c r="Q30" s="281">
        <f>(Q29-V062_20[[#This Row],[TOTAL ]])+V062_20[[#This Row],[FAENA]]</f>
        <v>349.06</v>
      </c>
      <c r="R30" s="245">
        <v>0</v>
      </c>
      <c r="S30" s="246">
        <v>0</v>
      </c>
      <c r="T30" s="246">
        <v>0</v>
      </c>
      <c r="U30" s="246">
        <v>0</v>
      </c>
      <c r="V30" s="246">
        <v>1</v>
      </c>
      <c r="W30" s="257">
        <f>SUM(V062_20[[#This Row],[MPAL2]:[GI]])</f>
        <v>1</v>
      </c>
      <c r="X30" s="246"/>
      <c r="Y30" s="282">
        <f>(Y29-V062_20[[#This Row],[TOTAL]])+V062_20[[#This Row],[FAENA2]]</f>
        <v>87.7</v>
      </c>
      <c r="Z30" s="245">
        <v>0</v>
      </c>
      <c r="AA30" s="246">
        <v>0</v>
      </c>
      <c r="AB30" s="320">
        <f>(AB29-V062_20[[#This Row],[CYLINDER MP]])+V062_20[[#This Row],[FAENA EN LTS]]</f>
        <v>1590</v>
      </c>
      <c r="AC30" s="246">
        <v>0</v>
      </c>
      <c r="AD30" s="246">
        <v>0</v>
      </c>
      <c r="AE30" s="320">
        <f>(AE29-V062_20[[#This Row],[CARTER MP.]])+V062_20[[#This Row],[FAENA EN LTS2]]</f>
        <v>3900</v>
      </c>
      <c r="AF30" s="246">
        <v>40</v>
      </c>
      <c r="AG30" s="246">
        <v>0</v>
      </c>
      <c r="AH30" s="320">
        <f>(AH29-V062_20[[#This Row],[MOT AUX]])+V062_20[[#This Row],[FAENA EN  LTS]]</f>
        <v>970</v>
      </c>
      <c r="AI30" s="246">
        <v>50</v>
      </c>
      <c r="AJ30" s="246">
        <v>0</v>
      </c>
      <c r="AK30" s="321">
        <f>(AK29-V062_20[[#This Row],[HIDRAULICO]])+V062_20[[#This Row],[FAENA EN LTS3]]</f>
        <v>1650</v>
      </c>
    </row>
    <row r="31" spans="1:37" x14ac:dyDescent="0.25">
      <c r="A31" s="431" t="s">
        <v>244</v>
      </c>
      <c r="B31" s="48">
        <v>44019</v>
      </c>
      <c r="C31" s="41">
        <v>0.5541666666666667</v>
      </c>
      <c r="D31" s="418">
        <f>IF(V062_20[[#This Row],[FECHA]]-B30=1,((V062_20[[#This Row],[HORA]]-C30)*24)+24,(V062_20[[#This Row],[HORA]]-C30)*24)</f>
        <v>5.3000000000000007</v>
      </c>
      <c r="E31" s="239" t="s">
        <v>51</v>
      </c>
      <c r="F31" s="29" t="s">
        <v>52</v>
      </c>
      <c r="G31" s="324"/>
      <c r="H31" s="306"/>
      <c r="I31" s="259">
        <f>IF(ISERROR(V062_20[[#This Row],[DISTANCIA POR CARTA]]/V062_20[[#This Row],[TIEMPO DE NAVEGACION]]),0,V062_20[[#This Row],[DISTANCIA POR CARTA]]/V062_20[[#This Row],[TIEMPO DE NAVEGACION]])</f>
        <v>0</v>
      </c>
      <c r="J31" s="242"/>
      <c r="K31" s="325"/>
      <c r="L31" s="418">
        <f t="shared" si="0"/>
        <v>0</v>
      </c>
      <c r="M31" s="245">
        <v>0.55000000000000004</v>
      </c>
      <c r="N31" s="245">
        <v>0.44</v>
      </c>
      <c r="O31" s="257">
        <f>SUM(V062_20[[#This Row],[MPAL]:[CALDERA]])</f>
        <v>0.99</v>
      </c>
      <c r="P31" s="319"/>
      <c r="Q31" s="281">
        <f>(Q30-V062_20[[#This Row],[TOTAL ]])+V062_20[[#This Row],[FAENA]]</f>
        <v>348.07</v>
      </c>
      <c r="R31" s="245">
        <v>0</v>
      </c>
      <c r="S31" s="246">
        <v>0</v>
      </c>
      <c r="T31" s="246">
        <v>0</v>
      </c>
      <c r="U31" s="246">
        <v>0</v>
      </c>
      <c r="V31" s="246">
        <v>1.3</v>
      </c>
      <c r="W31" s="257">
        <f>SUM(V062_20[[#This Row],[MPAL2]:[GI]])</f>
        <v>1.3</v>
      </c>
      <c r="X31" s="246"/>
      <c r="Y31" s="282">
        <f>(Y30-V062_20[[#This Row],[TOTAL]])+V062_20[[#This Row],[FAENA2]]</f>
        <v>86.4</v>
      </c>
      <c r="Z31" s="245">
        <v>0</v>
      </c>
      <c r="AA31" s="246">
        <v>0</v>
      </c>
      <c r="AB31" s="320">
        <f>(AB30-V062_20[[#This Row],[CYLINDER MP]])+V062_20[[#This Row],[FAENA EN LTS]]</f>
        <v>1590</v>
      </c>
      <c r="AC31" s="246">
        <v>0</v>
      </c>
      <c r="AD31" s="246">
        <v>0</v>
      </c>
      <c r="AE31" s="320">
        <f>(AE30-V062_20[[#This Row],[CARTER MP.]])+V062_20[[#This Row],[FAENA EN LTS2]]</f>
        <v>3900</v>
      </c>
      <c r="AF31" s="246">
        <v>0</v>
      </c>
      <c r="AG31" s="246">
        <v>0</v>
      </c>
      <c r="AH31" s="320">
        <f>(AH30-V062_20[[#This Row],[MOT AUX]])+V062_20[[#This Row],[FAENA EN  LTS]]</f>
        <v>970</v>
      </c>
      <c r="AI31" s="246">
        <v>0</v>
      </c>
      <c r="AJ31" s="246">
        <v>0</v>
      </c>
      <c r="AK31" s="321">
        <f>(AK30-V062_20[[#This Row],[HIDRAULICO]])+V062_20[[#This Row],[FAENA EN LTS3]]</f>
        <v>1650</v>
      </c>
    </row>
    <row r="32" spans="1:37" x14ac:dyDescent="0.25">
      <c r="A32" s="431" t="s">
        <v>244</v>
      </c>
      <c r="B32" s="48">
        <v>44019</v>
      </c>
      <c r="C32" s="41">
        <v>0.69166666666666676</v>
      </c>
      <c r="D32" s="418">
        <f>IF(V062_20[[#This Row],[FECHA]]-B31=1,((V062_20[[#This Row],[HORA]]-C31)*24)+24,(V062_20[[#This Row],[HORA]]-C31)*24)</f>
        <v>3.3000000000000016</v>
      </c>
      <c r="E32" s="239" t="s">
        <v>49</v>
      </c>
      <c r="F32" s="29" t="s">
        <v>46</v>
      </c>
      <c r="G32" s="324"/>
      <c r="H32" s="306"/>
      <c r="I32" s="259">
        <f>IF(ISERROR(V062_20[[#This Row],[DISTANCIA POR CARTA]]/V062_20[[#This Row],[TIEMPO DE NAVEGACION]]),0,V062_20[[#This Row],[DISTANCIA POR CARTA]]/V062_20[[#This Row],[TIEMPO DE NAVEGACION]])</f>
        <v>0</v>
      </c>
      <c r="J32" s="242"/>
      <c r="K32" s="325"/>
      <c r="L32" s="418">
        <f t="shared" si="0"/>
        <v>0</v>
      </c>
      <c r="M32" s="245">
        <v>0.34</v>
      </c>
      <c r="N32" s="245">
        <v>0.28000000000000003</v>
      </c>
      <c r="O32" s="257">
        <f>SUM(V062_20[[#This Row],[MPAL]:[CALDERA]])</f>
        <v>0.62000000000000011</v>
      </c>
      <c r="P32" s="319"/>
      <c r="Q32" s="281">
        <f>(Q31-V062_20[[#This Row],[TOTAL ]])+V062_20[[#This Row],[FAENA]]</f>
        <v>347.45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SUM(V062_20[[#This Row],[MPAL2]:[GI]])</f>
        <v>0</v>
      </c>
      <c r="X32" s="246"/>
      <c r="Y32" s="282">
        <f>(Y31-V062_20[[#This Row],[TOTAL]])+V062_20[[#This Row],[FAENA2]]</f>
        <v>86.4</v>
      </c>
      <c r="Z32" s="245">
        <v>0</v>
      </c>
      <c r="AA32" s="246">
        <v>0</v>
      </c>
      <c r="AB32" s="320">
        <f>(AB31-V062_20[[#This Row],[CYLINDER MP]])+V062_20[[#This Row],[FAENA EN LTS]]</f>
        <v>1590</v>
      </c>
      <c r="AC32" s="246">
        <v>0</v>
      </c>
      <c r="AD32" s="246">
        <v>0</v>
      </c>
      <c r="AE32" s="320">
        <f>(AE31-V062_20[[#This Row],[CARTER MP.]])+V062_20[[#This Row],[FAENA EN LTS2]]</f>
        <v>3900</v>
      </c>
      <c r="AF32" s="246">
        <v>0</v>
      </c>
      <c r="AG32" s="246">
        <v>0</v>
      </c>
      <c r="AH32" s="320">
        <f>(AH31-V062_20[[#This Row],[MOT AUX]])+V062_20[[#This Row],[FAENA EN  LTS]]</f>
        <v>970</v>
      </c>
      <c r="AI32" s="246">
        <v>0</v>
      </c>
      <c r="AJ32" s="246">
        <v>0</v>
      </c>
      <c r="AK32" s="321">
        <f>(AK31-V062_20[[#This Row],[HIDRAULICO]])+V062_20[[#This Row],[FAENA EN LTS3]]</f>
        <v>1650</v>
      </c>
    </row>
    <row r="33" spans="1:37" x14ac:dyDescent="0.25">
      <c r="A33" s="431" t="s">
        <v>244</v>
      </c>
      <c r="B33" s="48">
        <v>44019</v>
      </c>
      <c r="C33" s="351">
        <v>0.72916666666666663</v>
      </c>
      <c r="D33" s="418">
        <f>IF(V062_20[[#This Row],[FECHA]]-B32=1,((V062_20[[#This Row],[HORA]]-C32)*24)+24,(V062_20[[#This Row],[HORA]]-C32)*24)</f>
        <v>0.8999999999999968</v>
      </c>
      <c r="E33" s="239" t="s">
        <v>47</v>
      </c>
      <c r="F33" s="29" t="s">
        <v>220</v>
      </c>
      <c r="G33" s="324"/>
      <c r="H33" s="306"/>
      <c r="I33" s="259">
        <f>IF(ISERROR(V062_20[[#This Row],[DISTANCIA POR CARTA]]/V062_20[[#This Row],[TIEMPO DE NAVEGACION]]),0,V062_20[[#This Row],[DISTANCIA POR CARTA]]/V062_20[[#This Row],[TIEMPO DE NAVEGACION]])</f>
        <v>0</v>
      </c>
      <c r="J33" s="242"/>
      <c r="K33" s="325"/>
      <c r="L33" s="418">
        <v>0.26</v>
      </c>
      <c r="M33" s="245">
        <v>0.09</v>
      </c>
      <c r="N33" s="245">
        <v>0.08</v>
      </c>
      <c r="O33" s="257">
        <f>SUM(V062_20[[#This Row],[MPAL]:[CALDERA]])</f>
        <v>0.43</v>
      </c>
      <c r="P33" s="319"/>
      <c r="Q33" s="281">
        <f>(Q32-V062_20[[#This Row],[TOTAL ]])+V062_20[[#This Row],[FAENA]]</f>
        <v>347.02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SUM(V062_20[[#This Row],[MPAL2]:[GI]])</f>
        <v>0</v>
      </c>
      <c r="X33" s="246"/>
      <c r="Y33" s="282">
        <f>(Y32-V062_20[[#This Row],[TOTAL]])+V062_20[[#This Row],[FAENA2]]</f>
        <v>86.4</v>
      </c>
      <c r="Z33" s="245">
        <v>10</v>
      </c>
      <c r="AA33" s="246">
        <v>0</v>
      </c>
      <c r="AB33" s="320">
        <f>(AB32-V062_20[[#This Row],[CYLINDER MP]])+V062_20[[#This Row],[FAENA EN LTS]]</f>
        <v>1580</v>
      </c>
      <c r="AC33" s="246">
        <v>0</v>
      </c>
      <c r="AD33" s="246">
        <v>0</v>
      </c>
      <c r="AE33" s="320">
        <f>(AE32-V062_20[[#This Row],[CARTER MP.]])+V062_20[[#This Row],[FAENA EN LTS2]]</f>
        <v>3900</v>
      </c>
      <c r="AF33" s="246">
        <v>0</v>
      </c>
      <c r="AG33" s="246">
        <v>0</v>
      </c>
      <c r="AH33" s="320">
        <f>(AH32-V062_20[[#This Row],[MOT AUX]])+V062_20[[#This Row],[FAENA EN  LTS]]</f>
        <v>970</v>
      </c>
      <c r="AI33" s="246">
        <v>0</v>
      </c>
      <c r="AJ33" s="246">
        <v>0</v>
      </c>
      <c r="AK33" s="321">
        <f>(AK32-V062_20[[#This Row],[HIDRAULICO]])+V062_20[[#This Row],[FAENA EN LTS3]]</f>
        <v>1650</v>
      </c>
    </row>
    <row r="34" spans="1:37" x14ac:dyDescent="0.25">
      <c r="A34" s="431" t="s">
        <v>244</v>
      </c>
      <c r="B34" s="48">
        <v>44020</v>
      </c>
      <c r="C34" s="41">
        <v>0.14583333333333334</v>
      </c>
      <c r="D34" s="418">
        <f>IF(V062_20[[#This Row],[FECHA]]-B33=1,((V062_20[[#This Row],[HORA]]-C33)*24)+24,(V062_20[[#This Row],[HORA]]-C33)*24)</f>
        <v>10.000000000000002</v>
      </c>
      <c r="E34" s="239" t="s">
        <v>61</v>
      </c>
      <c r="F34" s="29" t="s">
        <v>201</v>
      </c>
      <c r="G34" s="324">
        <v>122</v>
      </c>
      <c r="H34" s="306">
        <v>10</v>
      </c>
      <c r="I34" s="259">
        <f>IF(ISERROR(V062_20[[#This Row],[DISTANCIA POR CARTA]]/V062_20[[#This Row],[TIEMPO DE NAVEGACION]]),0,V062_20[[#This Row],[DISTANCIA POR CARTA]]/V062_20[[#This Row],[TIEMPO DE NAVEGACION]])</f>
        <v>12.2</v>
      </c>
      <c r="J34" s="380" t="s">
        <v>214</v>
      </c>
      <c r="K34" s="325">
        <v>96</v>
      </c>
      <c r="L34" s="418">
        <v>9.58</v>
      </c>
      <c r="M34" s="245">
        <v>1.04</v>
      </c>
      <c r="N34" s="245">
        <v>0</v>
      </c>
      <c r="O34" s="257">
        <f>SUM(V062_20[[#This Row],[MPAL]:[CALDERA]])</f>
        <v>10.620000000000001</v>
      </c>
      <c r="P34" s="319"/>
      <c r="Q34" s="281">
        <f>(Q33-V062_20[[#This Row],[TOTAL ]])+V062_20[[#This Row],[FAENA]]</f>
        <v>336.4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SUM(V062_20[[#This Row],[MPAL2]:[GI]])</f>
        <v>0</v>
      </c>
      <c r="X34" s="246"/>
      <c r="Y34" s="282">
        <f>(Y33-V062_20[[#This Row],[TOTAL]])+V062_20[[#This Row],[FAENA2]]</f>
        <v>86.4</v>
      </c>
      <c r="Z34" s="245">
        <v>120</v>
      </c>
      <c r="AA34" s="246">
        <v>0</v>
      </c>
      <c r="AB34" s="320">
        <f>(AB33-V062_20[[#This Row],[CYLINDER MP]])+V062_20[[#This Row],[FAENA EN LTS]]</f>
        <v>1460</v>
      </c>
      <c r="AC34" s="246">
        <v>0</v>
      </c>
      <c r="AD34" s="246">
        <v>0</v>
      </c>
      <c r="AE34" s="320">
        <f>(AE33-V062_20[[#This Row],[CARTER MP.]])+V062_20[[#This Row],[FAENA EN LTS2]]</f>
        <v>3900</v>
      </c>
      <c r="AF34" s="246">
        <v>0</v>
      </c>
      <c r="AG34" s="246">
        <v>0</v>
      </c>
      <c r="AH34" s="320">
        <f>(AH33-V062_20[[#This Row],[MOT AUX]])+V062_20[[#This Row],[FAENA EN  LTS]]</f>
        <v>970</v>
      </c>
      <c r="AI34" s="246">
        <v>0</v>
      </c>
      <c r="AJ34" s="246">
        <v>0</v>
      </c>
      <c r="AK34" s="321">
        <f>(AK33-V062_20[[#This Row],[HIDRAULICO]])+V062_20[[#This Row],[FAENA EN LTS3]]</f>
        <v>1650</v>
      </c>
    </row>
    <row r="35" spans="1:37" x14ac:dyDescent="0.25">
      <c r="D35" s="132">
        <f>SUBTOTAL(109,V062_20[TIEMPO Hrs])</f>
        <v>183.5</v>
      </c>
      <c r="L35" s="68">
        <f>SUBTOTAL(109,V062_20[MPAL])</f>
        <v>21.78</v>
      </c>
      <c r="M35" s="68">
        <f>SUBTOTAL(109,V062_20[AUX.])</f>
        <v>18.610000000000003</v>
      </c>
      <c r="N35" s="68">
        <f>SUBTOTAL(109,V062_20[CALDERA])</f>
        <v>11.95</v>
      </c>
    </row>
    <row r="36" spans="1:37" x14ac:dyDescent="0.25">
      <c r="O36" s="67">
        <f>SUM(L35:N35)</f>
        <v>52.34</v>
      </c>
    </row>
    <row r="37" spans="1:37" ht="19.5" thickBot="1" x14ac:dyDescent="0.35">
      <c r="C37" s="69" t="s">
        <v>187</v>
      </c>
      <c r="D37" s="69"/>
      <c r="E37" s="69"/>
      <c r="F37" s="69"/>
      <c r="G37" s="69"/>
      <c r="N37" s="69"/>
      <c r="O37" s="69"/>
      <c r="S37" s="70" t="s">
        <v>188</v>
      </c>
    </row>
    <row r="38" spans="1:37" ht="19.5" thickBot="1" x14ac:dyDescent="0.35">
      <c r="C38" s="69"/>
      <c r="D38" s="69"/>
      <c r="E38" s="69"/>
      <c r="F38" s="69"/>
      <c r="G38" s="69"/>
      <c r="N38" s="69"/>
      <c r="O38" s="69"/>
      <c r="S38" s="70"/>
    </row>
    <row r="39" spans="1:37" ht="45.75" thickBot="1" x14ac:dyDescent="0.3">
      <c r="C39" s="71" t="s">
        <v>11</v>
      </c>
      <c r="D39" s="71" t="s">
        <v>90</v>
      </c>
      <c r="E39" s="72" t="s">
        <v>91</v>
      </c>
      <c r="F39" s="72" t="s">
        <v>92</v>
      </c>
      <c r="G39" s="72" t="s">
        <v>93</v>
      </c>
      <c r="H39" s="71" t="s">
        <v>94</v>
      </c>
      <c r="I39" s="71" t="s">
        <v>95</v>
      </c>
      <c r="J39" s="71" t="s">
        <v>96</v>
      </c>
      <c r="K39" s="71" t="s">
        <v>97</v>
      </c>
      <c r="L39" s="71" t="s">
        <v>98</v>
      </c>
      <c r="M39" s="377" t="s">
        <v>99</v>
      </c>
      <c r="N39" s="75" t="s">
        <v>100</v>
      </c>
      <c r="R39" s="111" t="s">
        <v>101</v>
      </c>
      <c r="S39" s="111" t="s">
        <v>94</v>
      </c>
      <c r="T39" s="111" t="s">
        <v>102</v>
      </c>
      <c r="U39" s="111" t="s">
        <v>96</v>
      </c>
      <c r="V39" s="111" t="s">
        <v>103</v>
      </c>
      <c r="W39" s="111" t="s">
        <v>104</v>
      </c>
    </row>
    <row r="40" spans="1:37" x14ac:dyDescent="0.25">
      <c r="C40" s="77" t="s">
        <v>71</v>
      </c>
      <c r="D40" s="376">
        <f t="shared" ref="D40:D47" si="1">SUMIF($E$6:$E$34,C40,$D$6:$D$34)</f>
        <v>28.599999999999998</v>
      </c>
      <c r="E40" s="279"/>
      <c r="F40" s="288"/>
      <c r="G40" s="137"/>
      <c r="H40" s="84">
        <f t="shared" ref="H40:H47" si="2">SUMIF($E$6:$E$34,C40,$L$6:$L$34)+SUMIF($E$6:$E$34,C40,$M$6:$M$34)+SUMIF($E$6:$E$34,C40,$N$6:$N$34)</f>
        <v>5.4</v>
      </c>
      <c r="I40" s="139">
        <f t="shared" ref="I40:I47" si="3">IF(ISERROR(H40*24/D40),0,H40*24/D40)</f>
        <v>4.5314685314685326</v>
      </c>
      <c r="J40" s="137">
        <v>4.5</v>
      </c>
      <c r="K40" s="80"/>
      <c r="L40" s="38">
        <f>D40*J40/24</f>
        <v>5.3624999999999998</v>
      </c>
      <c r="M40" s="80">
        <f t="shared" ref="M40:M47" si="4">L40-H40</f>
        <v>-3.7500000000000533E-2</v>
      </c>
      <c r="N40" s="86"/>
      <c r="Q40" s="82"/>
      <c r="R40" s="83" t="s">
        <v>105</v>
      </c>
      <c r="S40" s="228">
        <f>SUM(V5:V34)</f>
        <v>20.400000000000002</v>
      </c>
      <c r="T40" s="84">
        <f>S40*24/($D$41+$D$47)</f>
        <v>8.4413793103448285</v>
      </c>
      <c r="U40" s="84">
        <v>6</v>
      </c>
      <c r="V40" s="85">
        <f>($D$41+$D$47)*U40/24</f>
        <v>14.5</v>
      </c>
      <c r="W40" s="86">
        <f>V40-S40</f>
        <v>-5.9000000000000021</v>
      </c>
    </row>
    <row r="41" spans="1:37" x14ac:dyDescent="0.25">
      <c r="C41" s="87" t="s">
        <v>51</v>
      </c>
      <c r="D41" s="264">
        <f t="shared" si="1"/>
        <v>28.1</v>
      </c>
      <c r="E41" s="264"/>
      <c r="F41" s="289"/>
      <c r="G41" s="139"/>
      <c r="H41" s="88">
        <f t="shared" si="2"/>
        <v>5.27</v>
      </c>
      <c r="I41" s="139">
        <f t="shared" si="3"/>
        <v>4.5010676156583624</v>
      </c>
      <c r="J41" s="139">
        <v>4.5</v>
      </c>
      <c r="K41" s="88"/>
      <c r="L41" s="418">
        <f t="shared" ref="L41:L47" si="5">D41*J41/24</f>
        <v>5.2687499999999998</v>
      </c>
      <c r="M41" s="88">
        <f t="shared" si="4"/>
        <v>-1.2499999999997513E-3</v>
      </c>
      <c r="N41" s="121"/>
      <c r="R41" s="90" t="s">
        <v>106</v>
      </c>
      <c r="S41" s="286">
        <f>SUM(S5:S34)</f>
        <v>0</v>
      </c>
      <c r="T41" s="84">
        <f>S41*24/($D$41+$D$47)</f>
        <v>0</v>
      </c>
      <c r="U41" s="88"/>
      <c r="V41" s="88"/>
      <c r="W41" s="121"/>
    </row>
    <row r="42" spans="1:37" x14ac:dyDescent="0.25">
      <c r="C42" s="87" t="s">
        <v>61</v>
      </c>
      <c r="D42" s="264">
        <f t="shared" si="1"/>
        <v>10.000000000000002</v>
      </c>
      <c r="E42" s="264">
        <f>SUMIF($E$6:$E$34,C42,$G$6:$G$34)</f>
        <v>122</v>
      </c>
      <c r="F42" s="289">
        <f>E42/D42</f>
        <v>12.199999999999998</v>
      </c>
      <c r="G42" s="139">
        <v>12.5</v>
      </c>
      <c r="H42" s="88">
        <f t="shared" si="2"/>
        <v>10.620000000000001</v>
      </c>
      <c r="I42" s="139">
        <f t="shared" si="3"/>
        <v>25.488</v>
      </c>
      <c r="J42" s="139">
        <v>30.5</v>
      </c>
      <c r="K42" s="88">
        <f>E42/G42</f>
        <v>9.76</v>
      </c>
      <c r="L42" s="418">
        <f>K42*J42/24</f>
        <v>12.403333333333334</v>
      </c>
      <c r="M42" s="88">
        <f t="shared" si="4"/>
        <v>1.7833333333333332</v>
      </c>
      <c r="N42" s="121">
        <f>K42-D42</f>
        <v>-0.24000000000000199</v>
      </c>
      <c r="R42" s="90" t="s">
        <v>20</v>
      </c>
      <c r="S42" s="286">
        <f>SUM(T5:T34)</f>
        <v>0</v>
      </c>
      <c r="T42" s="84">
        <f>S42*24/($D$41+$D$47)</f>
        <v>0</v>
      </c>
      <c r="U42" s="88"/>
      <c r="V42" s="88"/>
      <c r="W42" s="121"/>
    </row>
    <row r="43" spans="1:37" x14ac:dyDescent="0.25">
      <c r="C43" s="87" t="s">
        <v>55</v>
      </c>
      <c r="D43" s="264">
        <f t="shared" si="1"/>
        <v>10.3</v>
      </c>
      <c r="E43" s="264">
        <f>SUMIF($E$6:$E$34,C43,$G$6:$G$34)</f>
        <v>125</v>
      </c>
      <c r="F43" s="289">
        <f>E43/D43</f>
        <v>12.135922330097086</v>
      </c>
      <c r="G43" s="139">
        <v>12</v>
      </c>
      <c r="H43" s="88">
        <f t="shared" si="2"/>
        <v>12.23</v>
      </c>
      <c r="I43" s="139">
        <f t="shared" si="3"/>
        <v>28.497087378640774</v>
      </c>
      <c r="J43" s="139">
        <v>30.5</v>
      </c>
      <c r="K43" s="88">
        <f>E43/G43</f>
        <v>10.416666666666666</v>
      </c>
      <c r="L43" s="418">
        <f>K43*J43/24</f>
        <v>13.237847222222221</v>
      </c>
      <c r="M43" s="88">
        <f t="shared" si="4"/>
        <v>1.007847222222221</v>
      </c>
      <c r="N43" s="121">
        <f>K43-D43</f>
        <v>0.11666666666666536</v>
      </c>
      <c r="R43" s="90" t="s">
        <v>107</v>
      </c>
      <c r="S43" s="286">
        <f>SUM(U5:U34)</f>
        <v>0</v>
      </c>
      <c r="T43" s="84">
        <f>S43*24/($D$41+$D$47)</f>
        <v>0</v>
      </c>
      <c r="U43" s="88"/>
      <c r="V43" s="88"/>
      <c r="W43" s="121"/>
    </row>
    <row r="44" spans="1:37" ht="15.75" thickBot="1" x14ac:dyDescent="0.3">
      <c r="C44" s="87" t="s">
        <v>108</v>
      </c>
      <c r="D44" s="264">
        <f t="shared" si="1"/>
        <v>0</v>
      </c>
      <c r="E44" s="264">
        <f>SUMIF($E$6:$E$34,C44,$G$6:$G$34)</f>
        <v>0</v>
      </c>
      <c r="F44" s="289">
        <f>IF(ISERROR(E44/D44),0,E44/D44)</f>
        <v>0</v>
      </c>
      <c r="G44" s="139">
        <v>12</v>
      </c>
      <c r="H44" s="88">
        <f t="shared" si="2"/>
        <v>0</v>
      </c>
      <c r="I44" s="139">
        <f>IF(ISERROR(H44*24/D44),0,H44*24/D44)</f>
        <v>0</v>
      </c>
      <c r="J44" s="139">
        <v>31.5</v>
      </c>
      <c r="K44" s="88">
        <f>E44/G44</f>
        <v>0</v>
      </c>
      <c r="L44" s="418">
        <f>K44*J44/24</f>
        <v>0</v>
      </c>
      <c r="M44" s="88">
        <f t="shared" si="4"/>
        <v>0</v>
      </c>
      <c r="N44" s="121">
        <f>K44-D44</f>
        <v>0</v>
      </c>
      <c r="R44" s="92" t="s">
        <v>24</v>
      </c>
      <c r="S44" s="287">
        <f>SUM(R5:R34)</f>
        <v>0</v>
      </c>
      <c r="T44" s="84">
        <f>S44*24/($D$41+$D$47)</f>
        <v>0</v>
      </c>
      <c r="U44" s="98"/>
      <c r="V44" s="98"/>
      <c r="W44" s="122"/>
    </row>
    <row r="45" spans="1:37" x14ac:dyDescent="0.25">
      <c r="C45" s="87" t="s">
        <v>45</v>
      </c>
      <c r="D45" s="264">
        <f t="shared" si="1"/>
        <v>66</v>
      </c>
      <c r="E45" s="264"/>
      <c r="F45" s="289"/>
      <c r="G45" s="139"/>
      <c r="H45" s="88">
        <f t="shared" si="2"/>
        <v>9.82</v>
      </c>
      <c r="I45" s="139">
        <f t="shared" si="3"/>
        <v>3.5709090909090908</v>
      </c>
      <c r="J45" s="139">
        <v>4.5</v>
      </c>
      <c r="K45" s="88"/>
      <c r="L45" s="418">
        <f t="shared" si="5"/>
        <v>12.375</v>
      </c>
      <c r="M45" s="88">
        <f t="shared" si="4"/>
        <v>2.5549999999999997</v>
      </c>
      <c r="N45" s="121"/>
      <c r="S45" s="68"/>
      <c r="T45" s="143"/>
      <c r="U45" s="68"/>
      <c r="V45" s="68"/>
      <c r="W45" s="68"/>
    </row>
    <row r="46" spans="1:37" x14ac:dyDescent="0.25">
      <c r="C46" s="87" t="s">
        <v>47</v>
      </c>
      <c r="D46" s="264">
        <f t="shared" si="1"/>
        <v>10.599999999999996</v>
      </c>
      <c r="E46" s="264"/>
      <c r="F46" s="289"/>
      <c r="G46" s="139"/>
      <c r="H46" s="88">
        <f t="shared" si="2"/>
        <v>3.82</v>
      </c>
      <c r="I46" s="139">
        <f t="shared" si="3"/>
        <v>8.6490566037735874</v>
      </c>
      <c r="J46" s="139">
        <v>4.5</v>
      </c>
      <c r="K46" s="88"/>
      <c r="L46" s="418">
        <f t="shared" si="5"/>
        <v>1.9874999999999992</v>
      </c>
      <c r="M46" s="88">
        <f t="shared" si="4"/>
        <v>-1.8325000000000007</v>
      </c>
      <c r="N46" s="121"/>
      <c r="S46" s="68"/>
      <c r="T46" s="68"/>
      <c r="U46" s="68"/>
      <c r="V46" s="68"/>
      <c r="W46" s="68"/>
    </row>
    <row r="47" spans="1:37" ht="15.75" thickBot="1" x14ac:dyDescent="0.3">
      <c r="C47" s="97" t="s">
        <v>49</v>
      </c>
      <c r="D47" s="290">
        <f t="shared" si="1"/>
        <v>29.899999999999995</v>
      </c>
      <c r="E47" s="290"/>
      <c r="F47" s="291"/>
      <c r="G47" s="140"/>
      <c r="H47" s="98">
        <f t="shared" si="2"/>
        <v>5.18</v>
      </c>
      <c r="I47" s="141">
        <f t="shared" si="3"/>
        <v>4.1578595317725755</v>
      </c>
      <c r="J47" s="141">
        <v>4.5</v>
      </c>
      <c r="K47" s="98"/>
      <c r="L47" s="99">
        <f t="shared" si="5"/>
        <v>5.6062499999999993</v>
      </c>
      <c r="M47" s="98">
        <f t="shared" si="4"/>
        <v>0.42624999999999957</v>
      </c>
      <c r="N47" s="122"/>
      <c r="O47" s="68"/>
      <c r="S47" s="68"/>
      <c r="T47" s="68"/>
      <c r="U47" s="68"/>
      <c r="V47" s="68"/>
      <c r="W47" s="68"/>
    </row>
    <row r="48" spans="1:37" ht="15.75" thickBot="1" x14ac:dyDescent="0.3">
      <c r="C48" s="124"/>
      <c r="D48" s="327"/>
      <c r="E48" s="292"/>
      <c r="F48" s="293"/>
      <c r="G48" s="134"/>
      <c r="H48" s="328"/>
      <c r="I48" s="144"/>
      <c r="J48" s="144"/>
      <c r="K48" s="68"/>
      <c r="L48" s="102"/>
      <c r="M48" s="68"/>
      <c r="N48" s="145"/>
      <c r="O48" s="68"/>
      <c r="S48" s="68"/>
      <c r="T48" s="68"/>
      <c r="U48" s="68"/>
      <c r="V48" s="68"/>
      <c r="W48" s="68"/>
    </row>
    <row r="49" spans="3:23" ht="15.75" thickBot="1" x14ac:dyDescent="0.3">
      <c r="C49" s="103" t="s">
        <v>29</v>
      </c>
      <c r="D49" s="284">
        <f>SUM(D40:D47)</f>
        <v>183.5</v>
      </c>
      <c r="E49" s="284">
        <f>SUM(E40:E46)</f>
        <v>247</v>
      </c>
      <c r="F49" s="284">
        <f>SUM(F40:F46)/2</f>
        <v>12.167961165048542</v>
      </c>
      <c r="H49" s="101">
        <f>SUM(H40:H47)</f>
        <v>52.339999999999996</v>
      </c>
      <c r="K49" s="142"/>
      <c r="L49" s="104">
        <f>SUM(L40:L47)</f>
        <v>56.241180555555559</v>
      </c>
      <c r="M49" s="101">
        <f>SUM(M40:M47)</f>
        <v>3.9011805555555528</v>
      </c>
      <c r="N49" s="101">
        <f>SUM(N40:N47)</f>
        <v>-0.12333333333333663</v>
      </c>
      <c r="R49" s="100" t="s">
        <v>29</v>
      </c>
      <c r="S49" s="101">
        <f>SUM(S40:S44)</f>
        <v>20.400000000000002</v>
      </c>
      <c r="T49" s="101">
        <f>SUM(T40:T44)</f>
        <v>8.4413793103448285</v>
      </c>
      <c r="U49" s="68"/>
      <c r="V49" s="68"/>
      <c r="W49" s="68"/>
    </row>
    <row r="58" spans="3:23" x14ac:dyDescent="0.25">
      <c r="I58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34" name="Rango12"/>
    <protectedRange sqref="AC6:AD34" name="Rango10"/>
    <protectedRange sqref="Z6:AA34" name="Rango8"/>
    <protectedRange sqref="X6:X34" name="Rango6"/>
    <protectedRange sqref="R6:V34" name="Rango5"/>
    <protectedRange sqref="P6:P34" name="Rango3"/>
    <protectedRange sqref="E6:N6 J7:N34 E7:H34" name="Rango2"/>
    <protectedRange sqref="A6:C34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6:J34">
    <cfRule type="cellIs" dxfId="757" priority="2" operator="greaterThan">
      <formula>"S5"</formula>
    </cfRule>
  </conditionalFormatting>
  <conditionalFormatting sqref="I6:I34">
    <cfRule type="cellIs" dxfId="756" priority="1" operator="greaterThan">
      <formula>0</formula>
    </cfRule>
  </conditionalFormatting>
  <dataValidations count="1">
    <dataValidation type="list" showInputMessage="1" showErrorMessage="1" sqref="E6:E34">
      <formula1>$C$40:$C$48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L6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69" sqref="D6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44020</v>
      </c>
      <c r="C4" s="341">
        <v>0.14583333333333334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336.4</v>
      </c>
      <c r="R4" s="553" t="s">
        <v>183</v>
      </c>
      <c r="S4" s="554"/>
      <c r="T4" s="554"/>
      <c r="U4" s="554"/>
      <c r="V4" s="554"/>
      <c r="W4" s="554"/>
      <c r="X4" s="555"/>
      <c r="Y4" s="283">
        <v>86.4</v>
      </c>
      <c r="Z4" s="6"/>
      <c r="AA4" s="7" t="s">
        <v>184</v>
      </c>
      <c r="AB4" s="304">
        <v>1460</v>
      </c>
      <c r="AC4" s="9"/>
      <c r="AD4" s="7" t="s">
        <v>184</v>
      </c>
      <c r="AE4" s="304">
        <v>3900</v>
      </c>
      <c r="AG4" s="7" t="s">
        <v>184</v>
      </c>
      <c r="AH4" s="304">
        <v>970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253</v>
      </c>
      <c r="B6" s="48">
        <v>44020</v>
      </c>
      <c r="C6" s="41">
        <v>0.17500000000000002</v>
      </c>
      <c r="D6" s="418">
        <f>IF(V062A_20[[#This Row],[FECHA]]-B4=1,((V062A_20[[#This Row],[HORA]]-C4)*24)+24,(V062A_20[[#This Row],[HORA]]-C4)*24)</f>
        <v>0.70000000000000018</v>
      </c>
      <c r="E6" s="239" t="s">
        <v>47</v>
      </c>
      <c r="F6" s="29" t="s">
        <v>242</v>
      </c>
      <c r="G6" s="324"/>
      <c r="H6" s="306"/>
      <c r="I6" s="259">
        <f>IF(ISERROR(V062A_20[[#This Row],[DISTANCIA POR CARTA]]/V062A_20[[#This Row],[TIEMPO DE NAVEGACION]]),0,V062A_20[[#This Row],[DISTANCIA POR CARTA]]/V062A_20[[#This Row],[TIEMPO DE NAVEGACION]])</f>
        <v>0</v>
      </c>
      <c r="J6" s="242"/>
      <c r="K6" s="325"/>
      <c r="L6" s="418">
        <v>0.15</v>
      </c>
      <c r="M6" s="245">
        <v>7.0000000000000007E-2</v>
      </c>
      <c r="N6" s="245">
        <v>0.06</v>
      </c>
      <c r="O6" s="257">
        <f>SUM(V062A_20[[#This Row],[MPAL]:[CALDERA]])</f>
        <v>0.28000000000000003</v>
      </c>
      <c r="P6" s="319"/>
      <c r="Q6" s="281">
        <f>(Q4-V062A_20[[#This Row],[TOTAL ]])+V062A_20[[#This Row],[FAENA]]</f>
        <v>336.12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SUM(V062A_20[[#This Row],[MPAL2]:[GI]])</f>
        <v>0</v>
      </c>
      <c r="X6" s="246"/>
      <c r="Y6" s="282">
        <f>(Y4-V062A_20[[#This Row],[TOTAL]])+V062A_20[[#This Row],[FAENA2]]</f>
        <v>86.4</v>
      </c>
      <c r="Z6" s="245">
        <v>10</v>
      </c>
      <c r="AA6" s="246">
        <v>0</v>
      </c>
      <c r="AB6" s="320">
        <f>(AB4-V062A_20[[#This Row],[CYLINDER MP]])+V062A_20[[#This Row],[FAENA EN LTS]]</f>
        <v>1450</v>
      </c>
      <c r="AC6" s="246">
        <v>0</v>
      </c>
      <c r="AD6" s="246">
        <v>0</v>
      </c>
      <c r="AE6" s="320">
        <f>(AE4-V062A_20[[#This Row],[CARTER MP.]])+V062A_20[[#This Row],[FAENA EN LTS2]]</f>
        <v>3900</v>
      </c>
      <c r="AF6" s="246">
        <v>0</v>
      </c>
      <c r="AG6" s="246">
        <v>0</v>
      </c>
      <c r="AH6" s="320">
        <f>(AH4-V062A_20[[#This Row],[MOT AUX]])+V062A_20[[#This Row],[FAENA EN  LTS]]</f>
        <v>970</v>
      </c>
      <c r="AI6" s="246">
        <v>0</v>
      </c>
      <c r="AJ6" s="246">
        <v>0</v>
      </c>
      <c r="AK6" s="321">
        <f>(AK4-V062A_20[[#This Row],[HIDRAULICO]])+V062A_20[[#This Row],[FAENA EN LTS3]]</f>
        <v>1650</v>
      </c>
    </row>
    <row r="7" spans="1:37" x14ac:dyDescent="0.25">
      <c r="A7" s="431" t="s">
        <v>253</v>
      </c>
      <c r="B7" s="48">
        <v>44020</v>
      </c>
      <c r="C7" s="41">
        <v>0.33333333333333331</v>
      </c>
      <c r="D7" s="418">
        <f>IF(V062A_20[[#This Row],[FECHA]]-B6=1,((V062A_20[[#This Row],[HORA]]-C6)*24)+24,(V062A_20[[#This Row],[HORA]]-C6)*24)</f>
        <v>3.7999999999999989</v>
      </c>
      <c r="E7" s="239" t="s">
        <v>45</v>
      </c>
      <c r="F7" s="29" t="s">
        <v>45</v>
      </c>
      <c r="G7" s="324"/>
      <c r="H7" s="306"/>
      <c r="I7" s="259">
        <f>IF(ISERROR(V062A_20[[#This Row],[DISTANCIA POR CARTA]]/V062A_20[[#This Row],[TIEMPO DE NAVEGACION]]),0,V062A_20[[#This Row],[DISTANCIA POR CARTA]]/V062A_20[[#This Row],[TIEMPO DE NAVEGACION]])</f>
        <v>0</v>
      </c>
      <c r="J7" s="242"/>
      <c r="K7" s="325"/>
      <c r="L7" s="418">
        <f>+IF(I7="","",(I7/24)*G7)</f>
        <v>0</v>
      </c>
      <c r="M7" s="245">
        <v>0.32</v>
      </c>
      <c r="N7" s="245">
        <v>0.24</v>
      </c>
      <c r="O7" s="257">
        <f>SUM(V062A_20[[#This Row],[MPAL]:[CALDERA]])</f>
        <v>0.56000000000000005</v>
      </c>
      <c r="P7" s="319"/>
      <c r="Q7" s="281">
        <f>(Q6-V062A_20[[#This Row],[TOTAL ]])+V062A_20[[#This Row],[FAENA]]</f>
        <v>335.56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SUM(V062A_20[[#This Row],[MPAL2]:[GI]])</f>
        <v>0</v>
      </c>
      <c r="X7" s="246"/>
      <c r="Y7" s="282">
        <f>(Y6-V062A_20[[#This Row],[TOTAL]])+V062A_20[[#This Row],[FAENA2]]</f>
        <v>86.4</v>
      </c>
      <c r="Z7" s="245">
        <v>0</v>
      </c>
      <c r="AA7" s="246">
        <v>0</v>
      </c>
      <c r="AB7" s="320">
        <f>(AB6-V062A_20[[#This Row],[CYLINDER MP]])+V062A_20[[#This Row],[FAENA EN LTS]]</f>
        <v>1450</v>
      </c>
      <c r="AC7" s="246">
        <v>0</v>
      </c>
      <c r="AD7" s="246">
        <v>0</v>
      </c>
      <c r="AE7" s="320">
        <f>(AE6-V062A_20[[#This Row],[CARTER MP.]])+V062A_20[[#This Row],[FAENA EN LTS2]]</f>
        <v>3900</v>
      </c>
      <c r="AF7" s="246">
        <v>40</v>
      </c>
      <c r="AG7" s="246">
        <v>0</v>
      </c>
      <c r="AH7" s="320">
        <f>(AH6-V062A_20[[#This Row],[MOT AUX]])+V062A_20[[#This Row],[FAENA EN  LTS]]</f>
        <v>930</v>
      </c>
      <c r="AI7" s="246">
        <v>0</v>
      </c>
      <c r="AJ7" s="246">
        <v>0</v>
      </c>
      <c r="AK7" s="321">
        <f>(AK6-V062A_20[[#This Row],[HIDRAULICO]])+V062A_20[[#This Row],[FAENA EN LTS3]]</f>
        <v>1650</v>
      </c>
    </row>
    <row r="8" spans="1:37" x14ac:dyDescent="0.25">
      <c r="A8" s="431" t="s">
        <v>253</v>
      </c>
      <c r="B8" s="48">
        <v>44020</v>
      </c>
      <c r="C8" s="41">
        <v>0.52083333333333337</v>
      </c>
      <c r="D8" s="418">
        <f>IF(V062A_20[[#This Row],[FECHA]]-B7=1,((V062A_20[[#This Row],[HORA]]-C7)*24)+24,(V062A_20[[#This Row],[HORA]]-C7)*24)</f>
        <v>4.5000000000000018</v>
      </c>
      <c r="E8" s="239" t="s">
        <v>45</v>
      </c>
      <c r="F8" s="29" t="s">
        <v>45</v>
      </c>
      <c r="G8" s="324"/>
      <c r="H8" s="306"/>
      <c r="I8" s="259">
        <f>IF(ISERROR(V062A_20[[#This Row],[DISTANCIA POR CARTA]]/V062A_20[[#This Row],[TIEMPO DE NAVEGACION]]),0,V062A_20[[#This Row],[DISTANCIA POR CARTA]]/V062A_20[[#This Row],[TIEMPO DE NAVEGACION]])</f>
        <v>0</v>
      </c>
      <c r="J8" s="380"/>
      <c r="K8" s="325"/>
      <c r="L8" s="418">
        <f>+IF(I8="","",(I8/24)*G8)</f>
        <v>0</v>
      </c>
      <c r="M8" s="245">
        <v>0.38</v>
      </c>
      <c r="N8" s="245">
        <v>0.28000000000000003</v>
      </c>
      <c r="O8" s="257">
        <f>SUM(V062A_20[[#This Row],[MPAL]:[CALDERA]])</f>
        <v>0.66</v>
      </c>
      <c r="P8" s="319"/>
      <c r="Q8" s="281">
        <f>(Q7-V062A_20[[#This Row],[TOTAL ]])+V062A_20[[#This Row],[FAENA]]</f>
        <v>334.9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SUM(V062A_20[[#This Row],[MPAL2]:[GI]])</f>
        <v>0</v>
      </c>
      <c r="X8" s="246"/>
      <c r="Y8" s="282">
        <f>(Y7-V062A_20[[#This Row],[TOTAL]])+V062A_20[[#This Row],[FAENA2]]</f>
        <v>86.4</v>
      </c>
      <c r="Z8" s="245">
        <v>0</v>
      </c>
      <c r="AA8" s="246">
        <v>3200</v>
      </c>
      <c r="AB8" s="320">
        <f>(AB7-V062A_20[[#This Row],[CYLINDER MP]])+V062A_20[[#This Row],[FAENA EN LTS]]</f>
        <v>4650</v>
      </c>
      <c r="AC8" s="246">
        <v>0</v>
      </c>
      <c r="AD8" s="246">
        <v>400</v>
      </c>
      <c r="AE8" s="320">
        <f>(AE7-V062A_20[[#This Row],[CARTER MP.]])+V062A_20[[#This Row],[FAENA EN LTS2]]</f>
        <v>4300</v>
      </c>
      <c r="AF8" s="246">
        <v>0</v>
      </c>
      <c r="AG8" s="246">
        <v>2800</v>
      </c>
      <c r="AH8" s="320">
        <f>(AH7-V062A_20[[#This Row],[MOT AUX]])+V062A_20[[#This Row],[FAENA EN  LTS]]</f>
        <v>3730</v>
      </c>
      <c r="AI8" s="246">
        <v>0</v>
      </c>
      <c r="AJ8" s="246">
        <v>1200</v>
      </c>
      <c r="AK8" s="321">
        <f>(AK7-V062A_20[[#This Row],[HIDRAULICO]])+V062A_20[[#This Row],[FAENA EN LTS3]]</f>
        <v>2850</v>
      </c>
    </row>
    <row r="9" spans="1:37" x14ac:dyDescent="0.25">
      <c r="A9" s="431" t="s">
        <v>253</v>
      </c>
      <c r="B9" s="48">
        <v>44021</v>
      </c>
      <c r="C9" s="41">
        <v>0.33333333333333331</v>
      </c>
      <c r="D9" s="418">
        <f>IF(V062A_20[[#This Row],[FECHA]]-B8=1,((V062A_20[[#This Row],[HORA]]-C8)*24)+24,(V062A_20[[#This Row],[HORA]]-C8)*24)</f>
        <v>19.5</v>
      </c>
      <c r="E9" s="239" t="s">
        <v>45</v>
      </c>
      <c r="F9" s="29" t="s">
        <v>45</v>
      </c>
      <c r="G9" s="324"/>
      <c r="H9" s="306"/>
      <c r="I9" s="259">
        <f>IF(ISERROR(V062A_20[[#This Row],[DISTANCIA POR CARTA]]/V062A_20[[#This Row],[TIEMPO DE NAVEGACION]]),0,V062A_20[[#This Row],[DISTANCIA POR CARTA]]/V062A_20[[#This Row],[TIEMPO DE NAVEGACION]])</f>
        <v>0</v>
      </c>
      <c r="J9" s="242"/>
      <c r="K9" s="325"/>
      <c r="L9" s="418">
        <f>+IF(I9="","",(I9/24)*G9)</f>
        <v>0</v>
      </c>
      <c r="M9" s="245">
        <v>2.0299999999999998</v>
      </c>
      <c r="N9" s="245">
        <v>1.63</v>
      </c>
      <c r="O9" s="257">
        <f>SUM(V062A_20[[#This Row],[MPAL]:[CALDERA]])</f>
        <v>3.6599999999999997</v>
      </c>
      <c r="P9" s="319">
        <v>400</v>
      </c>
      <c r="Q9" s="281">
        <f>(Q8-V062A_20[[#This Row],[TOTAL ]])+V062A_20[[#This Row],[FAENA]]</f>
        <v>731.24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SUM(V062A_20[[#This Row],[MPAL2]:[GI]])</f>
        <v>0</v>
      </c>
      <c r="X9" s="246"/>
      <c r="Y9" s="282">
        <f>(Y8-V062A_20[[#This Row],[TOTAL]])+V062A_20[[#This Row],[FAENA2]]</f>
        <v>86.4</v>
      </c>
      <c r="Z9" s="245">
        <v>0</v>
      </c>
      <c r="AA9" s="246">
        <v>0</v>
      </c>
      <c r="AB9" s="320">
        <f>(AB8-V062A_20[[#This Row],[CYLINDER MP]])+V062A_20[[#This Row],[FAENA EN LTS]]</f>
        <v>4650</v>
      </c>
      <c r="AC9" s="246">
        <v>0</v>
      </c>
      <c r="AD9" s="246">
        <v>0</v>
      </c>
      <c r="AE9" s="320">
        <f>(AE8-V062A_20[[#This Row],[CARTER MP.]])+V062A_20[[#This Row],[FAENA EN LTS2]]</f>
        <v>4300</v>
      </c>
      <c r="AF9" s="246">
        <v>40</v>
      </c>
      <c r="AG9" s="246">
        <v>0</v>
      </c>
      <c r="AH9" s="320">
        <f>(AH8-V062A_20[[#This Row],[MOT AUX]])+V062A_20[[#This Row],[FAENA EN  LTS]]</f>
        <v>3690</v>
      </c>
      <c r="AI9" s="246">
        <v>50</v>
      </c>
      <c r="AJ9" s="246">
        <v>0</v>
      </c>
      <c r="AK9" s="321">
        <f>(AK8-V062A_20[[#This Row],[HIDRAULICO]])+V062A_20[[#This Row],[FAENA EN LTS3]]</f>
        <v>2800</v>
      </c>
    </row>
    <row r="10" spans="1:37" x14ac:dyDescent="0.25">
      <c r="A10" s="431" t="s">
        <v>253</v>
      </c>
      <c r="B10" s="48">
        <v>44022</v>
      </c>
      <c r="C10" s="41">
        <v>0.33333333333333331</v>
      </c>
      <c r="D10" s="418">
        <f>IF(V062A_20[[#This Row],[FECHA]]-B9=1,((V062A_20[[#This Row],[HORA]]-C9)*24)+24,(V062A_20[[#This Row],[HORA]]-C9)*24)</f>
        <v>24</v>
      </c>
      <c r="E10" s="239" t="s">
        <v>45</v>
      </c>
      <c r="F10" s="29" t="s">
        <v>45</v>
      </c>
      <c r="G10" s="324"/>
      <c r="H10" s="306"/>
      <c r="I10" s="259">
        <f>IF(ISERROR(V062A_20[[#This Row],[DISTANCIA POR CARTA]]/V062A_20[[#This Row],[TIEMPO DE NAVEGACION]]),0,V062A_20[[#This Row],[DISTANCIA POR CARTA]]/V062A_20[[#This Row],[TIEMPO DE NAVEGACION]])</f>
        <v>0</v>
      </c>
      <c r="J10" s="242"/>
      <c r="K10" s="325"/>
      <c r="L10" s="245">
        <v>0</v>
      </c>
      <c r="M10" s="245">
        <v>2.5</v>
      </c>
      <c r="N10" s="245">
        <v>2</v>
      </c>
      <c r="O10" s="257">
        <f>SUM(V062A_20[[#This Row],[MPAL]:[CALDERA]])</f>
        <v>4.5</v>
      </c>
      <c r="P10" s="319"/>
      <c r="Q10" s="281">
        <f>(Q9-V062A_20[[#This Row],[TOTAL ]])+V062A_20[[#This Row],[FAENA]]</f>
        <v>726.74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SUM(V062A_20[[#This Row],[MPAL2]:[GI]])</f>
        <v>0</v>
      </c>
      <c r="X10" s="246"/>
      <c r="Y10" s="282">
        <f>(Y9-V062A_20[[#This Row],[TOTAL]])+V062A_20[[#This Row],[FAENA2]]</f>
        <v>86.4</v>
      </c>
      <c r="Z10" s="245">
        <v>0</v>
      </c>
      <c r="AA10" s="246">
        <v>0</v>
      </c>
      <c r="AB10" s="320">
        <f>(AB9-V062A_20[[#This Row],[CYLINDER MP]])+V062A_20[[#This Row],[FAENA EN LTS]]</f>
        <v>4650</v>
      </c>
      <c r="AC10" s="246">
        <v>0</v>
      </c>
      <c r="AD10" s="246">
        <v>0</v>
      </c>
      <c r="AE10" s="320">
        <f>(AE9-V062A_20[[#This Row],[CARTER MP.]])+V062A_20[[#This Row],[FAENA EN LTS2]]</f>
        <v>4300</v>
      </c>
      <c r="AF10" s="246">
        <v>20</v>
      </c>
      <c r="AG10" s="246">
        <v>0</v>
      </c>
      <c r="AH10" s="320">
        <f>(AH9-V062A_20[[#This Row],[MOT AUX]])+V062A_20[[#This Row],[FAENA EN  LTS]]</f>
        <v>3670</v>
      </c>
      <c r="AI10" s="246">
        <v>50</v>
      </c>
      <c r="AJ10" s="246">
        <v>0</v>
      </c>
      <c r="AK10" s="321">
        <f>(AK9-V062A_20[[#This Row],[HIDRAULICO]])+V062A_20[[#This Row],[FAENA EN LTS3]]</f>
        <v>2750</v>
      </c>
    </row>
    <row r="11" spans="1:37" x14ac:dyDescent="0.25">
      <c r="A11" s="431" t="s">
        <v>253</v>
      </c>
      <c r="B11" s="48">
        <v>44022</v>
      </c>
      <c r="C11" s="41">
        <v>0.79999999999999993</v>
      </c>
      <c r="D11" s="418">
        <f>IF(V062A_20[[#This Row],[FECHA]]-B10=1,((V062A_20[[#This Row],[HORA]]-C10)*24)+24,(V062A_20[[#This Row],[HORA]]-C10)*24)</f>
        <v>11.2</v>
      </c>
      <c r="E11" s="239" t="s">
        <v>45</v>
      </c>
      <c r="F11" s="29" t="s">
        <v>46</v>
      </c>
      <c r="G11" s="324"/>
      <c r="H11" s="306"/>
      <c r="I11" s="259">
        <f>IF(ISERROR(V062A_20[[#This Row],[DISTANCIA POR CARTA]]/V062A_20[[#This Row],[TIEMPO DE NAVEGACION]]),0,V062A_20[[#This Row],[DISTANCIA POR CARTA]]/V062A_20[[#This Row],[TIEMPO DE NAVEGACION]])</f>
        <v>0</v>
      </c>
      <c r="J11" s="242"/>
      <c r="K11" s="325"/>
      <c r="L11" s="245">
        <v>0</v>
      </c>
      <c r="M11" s="245">
        <v>1.17</v>
      </c>
      <c r="N11" s="245">
        <v>0.93</v>
      </c>
      <c r="O11" s="257">
        <f>SUM(V062A_20[[#This Row],[MPAL]:[CALDERA]])</f>
        <v>2.1</v>
      </c>
      <c r="P11" s="319"/>
      <c r="Q11" s="281">
        <f>(Q10-V062A_20[[#This Row],[TOTAL ]])+V062A_20[[#This Row],[FAENA]]</f>
        <v>724.64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SUM(V062A_20[[#This Row],[MPAL2]:[GI]])</f>
        <v>0</v>
      </c>
      <c r="X11" s="246"/>
      <c r="Y11" s="282">
        <f>(Y10-V062A_20[[#This Row],[TOTAL]])+V062A_20[[#This Row],[FAENA2]]</f>
        <v>86.4</v>
      </c>
      <c r="Z11" s="245">
        <v>0</v>
      </c>
      <c r="AA11" s="246">
        <v>0</v>
      </c>
      <c r="AB11" s="320">
        <f>(AB10-V062A_20[[#This Row],[CYLINDER MP]])+V062A_20[[#This Row],[FAENA EN LTS]]</f>
        <v>4650</v>
      </c>
      <c r="AC11" s="246">
        <v>0</v>
      </c>
      <c r="AD11" s="246">
        <v>0</v>
      </c>
      <c r="AE11" s="320">
        <f>(AE10-V062A_20[[#This Row],[CARTER MP.]])+V062A_20[[#This Row],[FAENA EN LTS2]]</f>
        <v>4300</v>
      </c>
      <c r="AF11" s="246">
        <v>0</v>
      </c>
      <c r="AG11" s="246">
        <v>0</v>
      </c>
      <c r="AH11" s="320">
        <f>(AH10-V062A_20[[#This Row],[MOT AUX]])+V062A_20[[#This Row],[FAENA EN  LTS]]</f>
        <v>3670</v>
      </c>
      <c r="AI11" s="246">
        <v>0</v>
      </c>
      <c r="AJ11" s="246">
        <v>0</v>
      </c>
      <c r="AK11" s="321">
        <f>(AK10-V062A_20[[#This Row],[HIDRAULICO]])+V062A_20[[#This Row],[FAENA EN LTS3]]</f>
        <v>2750</v>
      </c>
    </row>
    <row r="12" spans="1:37" x14ac:dyDescent="0.25">
      <c r="A12" s="431" t="s">
        <v>253</v>
      </c>
      <c r="B12" s="48">
        <v>44022</v>
      </c>
      <c r="C12" s="41">
        <v>0.83333333333333337</v>
      </c>
      <c r="D12" s="418">
        <f>IF(V062A_20[[#This Row],[FECHA]]-B11=1,((V062A_20[[#This Row],[HORA]]-C11)*24)+24,(V062A_20[[#This Row],[HORA]]-C11)*24)</f>
        <v>0.80000000000000249</v>
      </c>
      <c r="E12" s="239" t="s">
        <v>47</v>
      </c>
      <c r="F12" s="29" t="s">
        <v>212</v>
      </c>
      <c r="G12" s="324"/>
      <c r="H12" s="306"/>
      <c r="I12" s="259">
        <f>IF(ISERROR(V062A_20[[#This Row],[DISTANCIA POR CARTA]]/V062A_20[[#This Row],[TIEMPO DE NAVEGACION]]),0,V062A_20[[#This Row],[DISTANCIA POR CARTA]]/V062A_20[[#This Row],[TIEMPO DE NAVEGACION]])</f>
        <v>0</v>
      </c>
      <c r="J12" s="380"/>
      <c r="K12" s="325"/>
      <c r="L12" s="245">
        <v>0.17</v>
      </c>
      <c r="M12" s="245">
        <v>0.08</v>
      </c>
      <c r="N12" s="245">
        <v>7.0000000000000007E-2</v>
      </c>
      <c r="O12" s="257">
        <f>SUM(V062A_20[[#This Row],[MPAL]:[CALDERA]])</f>
        <v>0.32</v>
      </c>
      <c r="P12" s="319"/>
      <c r="Q12" s="281">
        <f>(Q11-V062A_20[[#This Row],[TOTAL ]])+V062A_20[[#This Row],[FAENA]]</f>
        <v>724.31999999999994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SUM(V062A_20[[#This Row],[MPAL2]:[GI]])</f>
        <v>0</v>
      </c>
      <c r="X12" s="246"/>
      <c r="Y12" s="282">
        <f>(Y11-V062A_20[[#This Row],[TOTAL]])+V062A_20[[#This Row],[FAENA2]]</f>
        <v>86.4</v>
      </c>
      <c r="Z12" s="245">
        <v>10</v>
      </c>
      <c r="AA12" s="246">
        <v>0</v>
      </c>
      <c r="AB12" s="320">
        <f>(AB11-V062A_20[[#This Row],[CYLINDER MP]])+V062A_20[[#This Row],[FAENA EN LTS]]</f>
        <v>4640</v>
      </c>
      <c r="AC12" s="246">
        <v>0</v>
      </c>
      <c r="AD12" s="246">
        <v>0</v>
      </c>
      <c r="AE12" s="320">
        <f>(AE11-V062A_20[[#This Row],[CARTER MP.]])+V062A_20[[#This Row],[FAENA EN LTS2]]</f>
        <v>4300</v>
      </c>
      <c r="AF12" s="246">
        <v>0</v>
      </c>
      <c r="AG12" s="246">
        <v>0</v>
      </c>
      <c r="AH12" s="320">
        <f>(AH11-V062A_20[[#This Row],[MOT AUX]])+V062A_20[[#This Row],[FAENA EN  LTS]]</f>
        <v>3670</v>
      </c>
      <c r="AI12" s="246">
        <v>0</v>
      </c>
      <c r="AJ12" s="246">
        <v>0</v>
      </c>
      <c r="AK12" s="321">
        <f>(AK11-V062A_20[[#This Row],[HIDRAULICO]])+V062A_20[[#This Row],[FAENA EN LTS3]]</f>
        <v>2750</v>
      </c>
    </row>
    <row r="13" spans="1:37" x14ac:dyDescent="0.25">
      <c r="A13" s="431" t="s">
        <v>253</v>
      </c>
      <c r="B13" s="48">
        <v>44023</v>
      </c>
      <c r="C13" s="351">
        <v>0.33333333333333331</v>
      </c>
      <c r="D13" s="418">
        <f>IF(V062A_20[[#This Row],[FECHA]]-B12=1,((V062A_20[[#This Row],[HORA]]-C12)*24)+24,(V062A_20[[#This Row],[HORA]]-C12)*24)</f>
        <v>12</v>
      </c>
      <c r="E13" s="239" t="s">
        <v>61</v>
      </c>
      <c r="F13" s="29" t="s">
        <v>56</v>
      </c>
      <c r="G13" s="324"/>
      <c r="H13" s="306"/>
      <c r="I13" s="259">
        <f>IF(ISERROR(V062A_20[[#This Row],[DISTANCIA POR CARTA]]/V062A_20[[#This Row],[TIEMPO DE NAVEGACION]]),0,V062A_20[[#This Row],[DISTANCIA POR CARTA]]/V062A_20[[#This Row],[TIEMPO DE NAVEGACION]])</f>
        <v>0</v>
      </c>
      <c r="J13" s="380" t="s">
        <v>215</v>
      </c>
      <c r="K13" s="325">
        <v>96</v>
      </c>
      <c r="L13" s="245">
        <v>11.5</v>
      </c>
      <c r="M13" s="245">
        <v>1.25</v>
      </c>
      <c r="N13" s="245">
        <v>0</v>
      </c>
      <c r="O13" s="257">
        <f>SUM(V062A_20[[#This Row],[MPAL]:[CALDERA]])</f>
        <v>12.75</v>
      </c>
      <c r="P13" s="319"/>
      <c r="Q13" s="281">
        <f>(Q12-V062A_20[[#This Row],[TOTAL ]])+V062A_20[[#This Row],[FAENA]]</f>
        <v>711.56999999999994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SUM(V062A_20[[#This Row],[MPAL2]:[GI]])</f>
        <v>0</v>
      </c>
      <c r="X13" s="246"/>
      <c r="Y13" s="282">
        <f>(Y12-V062A_20[[#This Row],[TOTAL]])+V062A_20[[#This Row],[FAENA2]]</f>
        <v>86.4</v>
      </c>
      <c r="Z13" s="245">
        <v>140</v>
      </c>
      <c r="AA13" s="246">
        <v>0</v>
      </c>
      <c r="AB13" s="320">
        <f>(AB12-V062A_20[[#This Row],[CYLINDER MP]])+V062A_20[[#This Row],[FAENA EN LTS]]</f>
        <v>4500</v>
      </c>
      <c r="AC13" s="246">
        <v>0</v>
      </c>
      <c r="AD13" s="246">
        <v>0</v>
      </c>
      <c r="AE13" s="320">
        <f>(AE12-V062A_20[[#This Row],[CARTER MP.]])+V062A_20[[#This Row],[FAENA EN LTS2]]</f>
        <v>4300</v>
      </c>
      <c r="AF13" s="246">
        <v>20</v>
      </c>
      <c r="AG13" s="246">
        <v>0</v>
      </c>
      <c r="AH13" s="320">
        <f>(AH12-V062A_20[[#This Row],[MOT AUX]])+V062A_20[[#This Row],[FAENA EN  LTS]]</f>
        <v>3650</v>
      </c>
      <c r="AI13" s="246">
        <v>0</v>
      </c>
      <c r="AJ13" s="246">
        <v>0</v>
      </c>
      <c r="AK13" s="321">
        <f>(AK12-V062A_20[[#This Row],[HIDRAULICO]])+V062A_20[[#This Row],[FAENA EN LTS3]]</f>
        <v>2750</v>
      </c>
    </row>
    <row r="14" spans="1:37" x14ac:dyDescent="0.25">
      <c r="A14" s="431" t="s">
        <v>253</v>
      </c>
      <c r="B14" s="48">
        <v>44024</v>
      </c>
      <c r="C14" s="41">
        <v>0.33333333333333331</v>
      </c>
      <c r="D14" s="418">
        <f>IF(V062A_20[[#This Row],[FECHA]]-B13=1,((V062A_20[[#This Row],[HORA]]-C13)*24)+24,(V062A_20[[#This Row],[HORA]]-C13)*24)</f>
        <v>24</v>
      </c>
      <c r="E14" s="239" t="s">
        <v>61</v>
      </c>
      <c r="F14" s="29" t="s">
        <v>56</v>
      </c>
      <c r="G14" s="324"/>
      <c r="H14" s="306"/>
      <c r="I14" s="259">
        <f>IF(ISERROR(V062A_20[[#This Row],[DISTANCIA POR CARTA]]/V062A_20[[#This Row],[TIEMPO DE NAVEGACION]]),0,V062A_20[[#This Row],[DISTANCIA POR CARTA]]/V062A_20[[#This Row],[TIEMPO DE NAVEGACION]])</f>
        <v>0</v>
      </c>
      <c r="J14" s="380" t="s">
        <v>215</v>
      </c>
      <c r="K14" s="325">
        <v>96</v>
      </c>
      <c r="L14" s="245">
        <v>22</v>
      </c>
      <c r="M14" s="245">
        <v>2.5</v>
      </c>
      <c r="N14" s="245">
        <v>0</v>
      </c>
      <c r="O14" s="257">
        <f>SUM(V062A_20[[#This Row],[MPAL]:[CALDERA]])</f>
        <v>24.5</v>
      </c>
      <c r="P14" s="319"/>
      <c r="Q14" s="281">
        <f>(Q13-V062A_20[[#This Row],[TOTAL ]])+V062A_20[[#This Row],[FAENA]]</f>
        <v>687.06999999999994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SUM(V062A_20[[#This Row],[MPAL2]:[GI]])</f>
        <v>0</v>
      </c>
      <c r="X14" s="246"/>
      <c r="Y14" s="282">
        <f>(Y13-V062A_20[[#This Row],[TOTAL]])+V062A_20[[#This Row],[FAENA2]]</f>
        <v>86.4</v>
      </c>
      <c r="Z14" s="245">
        <v>280</v>
      </c>
      <c r="AA14" s="246">
        <v>0</v>
      </c>
      <c r="AB14" s="320">
        <f>(AB13-V062A_20[[#This Row],[CYLINDER MP]])+V062A_20[[#This Row],[FAENA EN LTS]]</f>
        <v>4220</v>
      </c>
      <c r="AC14" s="246">
        <v>0</v>
      </c>
      <c r="AD14" s="246">
        <v>0</v>
      </c>
      <c r="AE14" s="320">
        <f>(AE13-V062A_20[[#This Row],[CARTER MP.]])+V062A_20[[#This Row],[FAENA EN LTS2]]</f>
        <v>4300</v>
      </c>
      <c r="AF14" s="246">
        <v>20</v>
      </c>
      <c r="AG14" s="246">
        <v>0</v>
      </c>
      <c r="AH14" s="320">
        <f>(AH13-V062A_20[[#This Row],[MOT AUX]])+V062A_20[[#This Row],[FAENA EN  LTS]]</f>
        <v>3630</v>
      </c>
      <c r="AI14" s="246">
        <v>0</v>
      </c>
      <c r="AJ14" s="246">
        <v>0</v>
      </c>
      <c r="AK14" s="321">
        <f>(AK13-V062A_20[[#This Row],[HIDRAULICO]])+V062A_20[[#This Row],[FAENA EN LTS3]]</f>
        <v>2750</v>
      </c>
    </row>
    <row r="15" spans="1:37" x14ac:dyDescent="0.25">
      <c r="A15" s="431" t="s">
        <v>253</v>
      </c>
      <c r="B15" s="48">
        <v>44025</v>
      </c>
      <c r="C15" s="41">
        <v>0.33333333333333331</v>
      </c>
      <c r="D15" s="418">
        <f>IF(V062A_20[[#This Row],[FECHA]]-B14=1,((V062A_20[[#This Row],[HORA]]-C14)*24)+24,(V062A_20[[#This Row],[HORA]]-C14)*24)</f>
        <v>24</v>
      </c>
      <c r="E15" s="409" t="s">
        <v>61</v>
      </c>
      <c r="F15" s="29" t="s">
        <v>56</v>
      </c>
      <c r="G15" s="324"/>
      <c r="H15" s="306"/>
      <c r="I15" s="259">
        <f>IF(ISERROR(V062A_20[[#This Row],[DISTANCIA POR CARTA]]/V062A_20[[#This Row],[TIEMPO DE NAVEGACION]]),0,V062A_20[[#This Row],[DISTANCIA POR CARTA]]/V062A_20[[#This Row],[TIEMPO DE NAVEGACION]])</f>
        <v>0</v>
      </c>
      <c r="J15" s="380" t="s">
        <v>215</v>
      </c>
      <c r="K15" s="325">
        <v>96</v>
      </c>
      <c r="L15" s="245">
        <v>22</v>
      </c>
      <c r="M15" s="245">
        <v>2.5</v>
      </c>
      <c r="N15" s="245">
        <v>0</v>
      </c>
      <c r="O15" s="257">
        <f>SUM(V062A_20[[#This Row],[MPAL]:[CALDERA]])</f>
        <v>24.5</v>
      </c>
      <c r="P15" s="319"/>
      <c r="Q15" s="281">
        <f>(Q14-V062A_20[[#This Row],[TOTAL ]])+V062A_20[[#This Row],[FAENA]]</f>
        <v>662.56999999999994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SUM(V062A_20[[#This Row],[MPAL2]:[GI]])</f>
        <v>0</v>
      </c>
      <c r="X15" s="246"/>
      <c r="Y15" s="282">
        <f>(Y14-V062A_20[[#This Row],[TOTAL]])+V062A_20[[#This Row],[FAENA2]]</f>
        <v>86.4</v>
      </c>
      <c r="Z15" s="245">
        <v>280</v>
      </c>
      <c r="AA15" s="246">
        <v>0</v>
      </c>
      <c r="AB15" s="320">
        <f>(AB14-V062A_20[[#This Row],[CYLINDER MP]])+V062A_20[[#This Row],[FAENA EN LTS]]</f>
        <v>3940</v>
      </c>
      <c r="AC15" s="246">
        <v>0</v>
      </c>
      <c r="AD15" s="246">
        <v>0</v>
      </c>
      <c r="AE15" s="320">
        <f>(AE14-V062A_20[[#This Row],[CARTER MP.]])+V062A_20[[#This Row],[FAENA EN LTS2]]</f>
        <v>4300</v>
      </c>
      <c r="AF15" s="246">
        <v>20</v>
      </c>
      <c r="AG15" s="246">
        <v>0</v>
      </c>
      <c r="AH15" s="320">
        <f>(AH14-V062A_20[[#This Row],[MOT AUX]])+V062A_20[[#This Row],[FAENA EN  LTS]]</f>
        <v>3610</v>
      </c>
      <c r="AI15" s="246">
        <v>0</v>
      </c>
      <c r="AJ15" s="246">
        <v>0</v>
      </c>
      <c r="AK15" s="321">
        <f>(AK14-V062A_20[[#This Row],[HIDRAULICO]])+V062A_20[[#This Row],[FAENA EN LTS3]]</f>
        <v>2750</v>
      </c>
    </row>
    <row r="16" spans="1:37" x14ac:dyDescent="0.25">
      <c r="A16" s="431" t="s">
        <v>253</v>
      </c>
      <c r="B16" s="48">
        <v>44026</v>
      </c>
      <c r="C16" s="41">
        <v>0.33333333333333331</v>
      </c>
      <c r="D16" s="418">
        <v>23</v>
      </c>
      <c r="E16" s="409" t="s">
        <v>61</v>
      </c>
      <c r="F16" s="29" t="s">
        <v>56</v>
      </c>
      <c r="G16" s="324"/>
      <c r="H16" s="306"/>
      <c r="I16" s="259">
        <f>IF(ISERROR(V062A_20[[#This Row],[DISTANCIA POR CARTA]]/V062A_20[[#This Row],[TIEMPO DE NAVEGACION]]),0,V062A_20[[#This Row],[DISTANCIA POR CARTA]]/V062A_20[[#This Row],[TIEMPO DE NAVEGACION]])</f>
        <v>0</v>
      </c>
      <c r="J16" s="380" t="s">
        <v>215</v>
      </c>
      <c r="K16" s="325">
        <v>96</v>
      </c>
      <c r="L16" s="245">
        <v>21.08</v>
      </c>
      <c r="M16" s="245">
        <v>2.4</v>
      </c>
      <c r="N16" s="245">
        <v>0</v>
      </c>
      <c r="O16" s="257">
        <f>SUM(V062A_20[[#This Row],[MPAL]:[CALDERA]])</f>
        <v>23.479999999999997</v>
      </c>
      <c r="P16" s="246"/>
      <c r="Q16" s="281">
        <f>(Q15-V062A_20[[#This Row],[TOTAL ]])+V062A_20[[#This Row],[FAENA]]</f>
        <v>639.08999999999992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SUM(V062A_20[[#This Row],[MPAL2]:[GI]])</f>
        <v>0</v>
      </c>
      <c r="X16" s="246"/>
      <c r="Y16" s="282">
        <f>(Y15-V062A_20[[#This Row],[TOTAL]])+V062A_20[[#This Row],[FAENA2]]</f>
        <v>86.4</v>
      </c>
      <c r="Z16" s="245">
        <v>270</v>
      </c>
      <c r="AA16" s="246">
        <v>0</v>
      </c>
      <c r="AB16" s="320">
        <f>(AB15-V062A_20[[#This Row],[CYLINDER MP]])+V062A_20[[#This Row],[FAENA EN LTS]]</f>
        <v>3670</v>
      </c>
      <c r="AC16" s="246">
        <v>0</v>
      </c>
      <c r="AD16" s="246">
        <v>0</v>
      </c>
      <c r="AE16" s="320">
        <f>(AE15-V062A_20[[#This Row],[CARTER MP.]])+V062A_20[[#This Row],[FAENA EN LTS2]]</f>
        <v>4300</v>
      </c>
      <c r="AF16" s="246">
        <v>20</v>
      </c>
      <c r="AG16" s="246">
        <v>0</v>
      </c>
      <c r="AH16" s="320">
        <f>(AH15-V062A_20[[#This Row],[MOT AUX]])+V062A_20[[#This Row],[FAENA EN  LTS]]</f>
        <v>3590</v>
      </c>
      <c r="AI16" s="246">
        <v>0</v>
      </c>
      <c r="AJ16" s="246">
        <v>0</v>
      </c>
      <c r="AK16" s="321">
        <f>(AK15-V062A_20[[#This Row],[HIDRAULICO]])+V062A_20[[#This Row],[FAENA EN LTS3]]</f>
        <v>2750</v>
      </c>
    </row>
    <row r="17" spans="1:37" x14ac:dyDescent="0.25">
      <c r="A17" s="431" t="s">
        <v>253</v>
      </c>
      <c r="B17" s="48">
        <v>44027</v>
      </c>
      <c r="C17" s="351">
        <v>0.33333333333333331</v>
      </c>
      <c r="D17" s="418">
        <f>IF(V062A_20[[#This Row],[FECHA]]-B16=1,((V062A_20[[#This Row],[HORA]]-C16)*24)+24,(V062A_20[[#This Row],[HORA]]-C16)*24)</f>
        <v>24</v>
      </c>
      <c r="E17" s="409" t="s">
        <v>61</v>
      </c>
      <c r="F17" s="29" t="s">
        <v>56</v>
      </c>
      <c r="G17" s="324"/>
      <c r="H17" s="306"/>
      <c r="I17" s="259">
        <f>IF(ISERROR(V062A_20[[#This Row],[DISTANCIA POR CARTA]]/V062A_20[[#This Row],[TIEMPO DE NAVEGACION]]),0,V062A_20[[#This Row],[DISTANCIA POR CARTA]]/V062A_20[[#This Row],[TIEMPO DE NAVEGACION]])</f>
        <v>0</v>
      </c>
      <c r="J17" s="380" t="s">
        <v>215</v>
      </c>
      <c r="K17" s="325">
        <v>96</v>
      </c>
      <c r="L17" s="245">
        <v>22</v>
      </c>
      <c r="M17" s="245">
        <v>2.5</v>
      </c>
      <c r="N17" s="245">
        <v>0</v>
      </c>
      <c r="O17" s="257">
        <f>SUM(V062A_20[[#This Row],[MPAL]:[CALDERA]])</f>
        <v>24.5</v>
      </c>
      <c r="P17" s="319"/>
      <c r="Q17" s="281">
        <f>(Q16-V062A_20[[#This Row],[TOTAL ]])+V062A_20[[#This Row],[FAENA]]</f>
        <v>614.58999999999992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SUM(V062A_20[[#This Row],[MPAL2]:[GI]])</f>
        <v>0</v>
      </c>
      <c r="X17" s="246"/>
      <c r="Y17" s="282">
        <f>(Y16-V062A_20[[#This Row],[TOTAL]])+V062A_20[[#This Row],[FAENA2]]</f>
        <v>86.4</v>
      </c>
      <c r="Z17" s="245">
        <v>280</v>
      </c>
      <c r="AA17" s="246">
        <v>0</v>
      </c>
      <c r="AB17" s="320">
        <f>(AB16-V062A_20[[#This Row],[CYLINDER MP]])+V062A_20[[#This Row],[FAENA EN LTS]]</f>
        <v>3390</v>
      </c>
      <c r="AC17" s="246">
        <v>0</v>
      </c>
      <c r="AD17" s="246">
        <v>0</v>
      </c>
      <c r="AE17" s="320">
        <f>(AE16-V062A_20[[#This Row],[CARTER MP.]])+V062A_20[[#This Row],[FAENA EN LTS2]]</f>
        <v>4300</v>
      </c>
      <c r="AF17" s="246">
        <v>20</v>
      </c>
      <c r="AG17" s="246">
        <v>0</v>
      </c>
      <c r="AH17" s="320">
        <f>(AH16-V062A_20[[#This Row],[MOT AUX]])+V062A_20[[#This Row],[FAENA EN  LTS]]</f>
        <v>3570</v>
      </c>
      <c r="AI17" s="246">
        <v>0</v>
      </c>
      <c r="AJ17" s="246">
        <v>0</v>
      </c>
      <c r="AK17" s="321">
        <f>(AK16-V062A_20[[#This Row],[HIDRAULICO]])+V062A_20[[#This Row],[FAENA EN LTS3]]</f>
        <v>2750</v>
      </c>
    </row>
    <row r="18" spans="1:37" x14ac:dyDescent="0.25">
      <c r="A18" s="431" t="s">
        <v>253</v>
      </c>
      <c r="B18" s="48">
        <v>44028</v>
      </c>
      <c r="C18" s="41">
        <v>0.33333333333333331</v>
      </c>
      <c r="D18" s="418">
        <f>IF(V062A_20[[#This Row],[FECHA]]-B17=1,((V062A_20[[#This Row],[HORA]]-C17)*24)+24,(V062A_20[[#This Row],[HORA]]-C17)*24)</f>
        <v>24</v>
      </c>
      <c r="E18" s="409" t="s">
        <v>61</v>
      </c>
      <c r="F18" s="29" t="s">
        <v>56</v>
      </c>
      <c r="G18" s="324"/>
      <c r="H18" s="306"/>
      <c r="I18" s="259">
        <f>IF(ISERROR(V062A_20[[#This Row],[DISTANCIA POR CARTA]]/V062A_20[[#This Row],[TIEMPO DE NAVEGACION]]),0,V062A_20[[#This Row],[DISTANCIA POR CARTA]]/V062A_20[[#This Row],[TIEMPO DE NAVEGACION]])</f>
        <v>0</v>
      </c>
      <c r="J18" s="380" t="s">
        <v>215</v>
      </c>
      <c r="K18" s="325">
        <v>96</v>
      </c>
      <c r="L18" s="245">
        <v>22</v>
      </c>
      <c r="M18" s="245">
        <v>2.5</v>
      </c>
      <c r="N18" s="245">
        <v>0</v>
      </c>
      <c r="O18" s="257">
        <f>SUM(V062A_20[[#This Row],[MPAL]:[CALDERA]])</f>
        <v>24.5</v>
      </c>
      <c r="P18" s="319"/>
      <c r="Q18" s="281">
        <f>(Q17-V062A_20[[#This Row],[TOTAL ]])+V062A_20[[#This Row],[FAENA]]</f>
        <v>590.08999999999992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SUM(V062A_20[[#This Row],[MPAL2]:[GI]])</f>
        <v>0</v>
      </c>
      <c r="X18" s="246"/>
      <c r="Y18" s="282">
        <f>(Y17-V062A_20[[#This Row],[TOTAL]])+V062A_20[[#This Row],[FAENA2]]</f>
        <v>86.4</v>
      </c>
      <c r="Z18" s="245">
        <v>280</v>
      </c>
      <c r="AA18" s="246">
        <v>0</v>
      </c>
      <c r="AB18" s="320">
        <f>(AB17-V062A_20[[#This Row],[CYLINDER MP]])+V062A_20[[#This Row],[FAENA EN LTS]]</f>
        <v>3110</v>
      </c>
      <c r="AC18" s="246">
        <v>0</v>
      </c>
      <c r="AD18" s="246">
        <v>0</v>
      </c>
      <c r="AE18" s="320">
        <f>(AE17-V062A_20[[#This Row],[CARTER MP.]])+V062A_20[[#This Row],[FAENA EN LTS2]]</f>
        <v>4300</v>
      </c>
      <c r="AF18" s="246">
        <v>20</v>
      </c>
      <c r="AG18" s="246">
        <v>0</v>
      </c>
      <c r="AH18" s="320">
        <f>(AH17-V062A_20[[#This Row],[MOT AUX]])+V062A_20[[#This Row],[FAENA EN  LTS]]</f>
        <v>3550</v>
      </c>
      <c r="AI18" s="246">
        <v>0</v>
      </c>
      <c r="AJ18" s="246">
        <v>0</v>
      </c>
      <c r="AK18" s="321">
        <f>(AK17-V062A_20[[#This Row],[HIDRAULICO]])+V062A_20[[#This Row],[FAENA EN LTS3]]</f>
        <v>2750</v>
      </c>
    </row>
    <row r="19" spans="1:37" x14ac:dyDescent="0.25">
      <c r="A19" s="431" t="s">
        <v>253</v>
      </c>
      <c r="B19" s="48">
        <v>44028</v>
      </c>
      <c r="C19" s="41">
        <v>0.60416666666666663</v>
      </c>
      <c r="D19" s="418">
        <f>IF(V062A_20[[#This Row],[FECHA]]-B18=1,((V062A_20[[#This Row],[HORA]]-C18)*24)+24,(V062A_20[[#This Row],[HORA]]-C18)*24)</f>
        <v>6.5</v>
      </c>
      <c r="E19" s="239" t="s">
        <v>61</v>
      </c>
      <c r="F19" s="29" t="s">
        <v>252</v>
      </c>
      <c r="G19" s="324">
        <v>1515</v>
      </c>
      <c r="H19" s="306">
        <v>136</v>
      </c>
      <c r="I19" s="259">
        <f>IF(ISERROR(V062A_20[[#This Row],[DISTANCIA POR CARTA]]/V062A_20[[#This Row],[TIEMPO DE NAVEGACION]]),0,V062A_20[[#This Row],[DISTANCIA POR CARTA]]/V062A_20[[#This Row],[TIEMPO DE NAVEGACION]])</f>
        <v>11.139705882352942</v>
      </c>
      <c r="J19" s="380" t="s">
        <v>215</v>
      </c>
      <c r="K19" s="325">
        <v>96</v>
      </c>
      <c r="L19" s="245">
        <v>5.5</v>
      </c>
      <c r="M19" s="245">
        <v>0.63</v>
      </c>
      <c r="N19" s="245">
        <v>0</v>
      </c>
      <c r="O19" s="257">
        <f>SUM(V062A_20[[#This Row],[MPAL]:[CALDERA]])</f>
        <v>6.13</v>
      </c>
      <c r="P19" s="319"/>
      <c r="Q19" s="281">
        <f>(Q18-V062A_20[[#This Row],[TOTAL ]])+V062A_20[[#This Row],[FAENA]]</f>
        <v>583.95999999999992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SUM(V062A_20[[#This Row],[MPAL2]:[GI]])</f>
        <v>0</v>
      </c>
      <c r="X19" s="246"/>
      <c r="Y19" s="282">
        <f>(Y18-V062A_20[[#This Row],[TOTAL]])+V062A_20[[#This Row],[FAENA2]]</f>
        <v>86.4</v>
      </c>
      <c r="Z19" s="245">
        <v>80</v>
      </c>
      <c r="AA19" s="246">
        <v>0</v>
      </c>
      <c r="AB19" s="320">
        <f>(AB18-V062A_20[[#This Row],[CYLINDER MP]])+V062A_20[[#This Row],[FAENA EN LTS]]</f>
        <v>3030</v>
      </c>
      <c r="AC19" s="246">
        <v>0</v>
      </c>
      <c r="AD19" s="246">
        <v>0</v>
      </c>
      <c r="AE19" s="320">
        <f>(AE18-V062A_20[[#This Row],[CARTER MP.]])+V062A_20[[#This Row],[FAENA EN LTS2]]</f>
        <v>4300</v>
      </c>
      <c r="AF19" s="246">
        <v>0</v>
      </c>
      <c r="AG19" s="246">
        <v>0</v>
      </c>
      <c r="AH19" s="320">
        <f>(AH18-V062A_20[[#This Row],[MOT AUX]])+V062A_20[[#This Row],[FAENA EN  LTS]]</f>
        <v>3550</v>
      </c>
      <c r="AI19" s="246">
        <v>0</v>
      </c>
      <c r="AJ19" s="246">
        <v>0</v>
      </c>
      <c r="AK19" s="321">
        <f>(AK18-V062A_20[[#This Row],[HIDRAULICO]])+V062A_20[[#This Row],[FAENA EN LTS3]]</f>
        <v>2750</v>
      </c>
    </row>
    <row r="20" spans="1:37" x14ac:dyDescent="0.25">
      <c r="A20" s="431" t="s">
        <v>253</v>
      </c>
      <c r="B20" s="48">
        <v>44028</v>
      </c>
      <c r="C20" s="41">
        <v>0.6333333333333333</v>
      </c>
      <c r="D20" s="418">
        <f>IF(V062A_20[[#This Row],[FECHA]]-B19=1,((V062A_20[[#This Row],[HORA]]-C19)*24)+24,(V062A_20[[#This Row],[HORA]]-C19)*24)</f>
        <v>0.70000000000000018</v>
      </c>
      <c r="E20" s="239" t="s">
        <v>47</v>
      </c>
      <c r="F20" s="29" t="s">
        <v>242</v>
      </c>
      <c r="G20" s="324"/>
      <c r="H20" s="306"/>
      <c r="I20" s="259">
        <f>IF(ISERROR(V062A_20[[#This Row],[DISTANCIA POR CARTA]]/V062A_20[[#This Row],[TIEMPO DE NAVEGACION]]),0,V062A_20[[#This Row],[DISTANCIA POR CARTA]]/V062A_20[[#This Row],[TIEMPO DE NAVEGACION]])</f>
        <v>0</v>
      </c>
      <c r="J20" s="380" t="s">
        <v>254</v>
      </c>
      <c r="K20" s="325"/>
      <c r="L20" s="245">
        <v>0.25</v>
      </c>
      <c r="M20" s="245">
        <v>0.13</v>
      </c>
      <c r="N20" s="245">
        <v>0.1</v>
      </c>
      <c r="O20" s="257">
        <f>SUM(V062A_20[[#This Row],[MPAL]:[CALDERA]])</f>
        <v>0.48</v>
      </c>
      <c r="P20" s="319"/>
      <c r="Q20" s="281">
        <f>(Q19-V062A_20[[#This Row],[TOTAL ]])+V062A_20[[#This Row],[FAENA]]</f>
        <v>583.4799999999999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SUM(V062A_20[[#This Row],[MPAL2]:[GI]])</f>
        <v>0</v>
      </c>
      <c r="X20" s="246"/>
      <c r="Y20" s="282">
        <f>(Y19-V062A_20[[#This Row],[TOTAL]])+V062A_20[[#This Row],[FAENA2]]</f>
        <v>86.4</v>
      </c>
      <c r="Z20" s="245">
        <v>10</v>
      </c>
      <c r="AA20" s="246">
        <v>0</v>
      </c>
      <c r="AB20" s="320">
        <f>(AB19-V062A_20[[#This Row],[CYLINDER MP]])+V062A_20[[#This Row],[FAENA EN LTS]]</f>
        <v>3020</v>
      </c>
      <c r="AC20" s="246">
        <v>0</v>
      </c>
      <c r="AD20" s="246">
        <v>0</v>
      </c>
      <c r="AE20" s="320">
        <f>(AE19-V062A_20[[#This Row],[CARTER MP.]])+V062A_20[[#This Row],[FAENA EN LTS2]]</f>
        <v>4300</v>
      </c>
      <c r="AF20" s="246">
        <v>0</v>
      </c>
      <c r="AG20" s="246">
        <v>0</v>
      </c>
      <c r="AH20" s="320">
        <f>(AH19-V062A_20[[#This Row],[MOT AUX]])+V062A_20[[#This Row],[FAENA EN  LTS]]</f>
        <v>3550</v>
      </c>
      <c r="AI20" s="246">
        <v>0</v>
      </c>
      <c r="AJ20" s="246">
        <v>0</v>
      </c>
      <c r="AK20" s="321">
        <f>(AK19-V062A_20[[#This Row],[HIDRAULICO]])+V062A_20[[#This Row],[FAENA EN LTS3]]</f>
        <v>2750</v>
      </c>
    </row>
    <row r="21" spans="1:37" x14ac:dyDescent="0.25">
      <c r="A21" s="431" t="s">
        <v>253</v>
      </c>
      <c r="B21" s="48">
        <v>44029</v>
      </c>
      <c r="C21" s="41">
        <v>0.33333333333333331</v>
      </c>
      <c r="D21" s="418">
        <f>IF(V062A_20[[#This Row],[FECHA]]-B20=1,((V062A_20[[#This Row],[HORA]]-C20)*24)+24,(V062A_20[[#This Row],[HORA]]-C20)*24)</f>
        <v>16.8</v>
      </c>
      <c r="E21" s="239" t="s">
        <v>45</v>
      </c>
      <c r="F21" s="29" t="s">
        <v>45</v>
      </c>
      <c r="G21" s="324"/>
      <c r="H21" s="306"/>
      <c r="I21" s="259">
        <f>IF(ISERROR(V062A_20[[#This Row],[DISTANCIA POR CARTA]]/V062A_20[[#This Row],[TIEMPO DE NAVEGACION]]),0,V062A_20[[#This Row],[DISTANCIA POR CARTA]]/V062A_20[[#This Row],[TIEMPO DE NAVEGACION]])</f>
        <v>0</v>
      </c>
      <c r="J21" s="380" t="s">
        <v>255</v>
      </c>
      <c r="K21" s="325"/>
      <c r="L21" s="245">
        <v>0</v>
      </c>
      <c r="M21" s="245">
        <v>1.75</v>
      </c>
      <c r="N21" s="245">
        <v>1.4</v>
      </c>
      <c r="O21" s="257">
        <f>SUM(V062A_20[[#This Row],[MPAL]:[CALDERA]])</f>
        <v>3.15</v>
      </c>
      <c r="P21" s="319"/>
      <c r="Q21" s="281">
        <f>(Q20-V062A_20[[#This Row],[TOTAL ]])+V062A_20[[#This Row],[FAENA]]</f>
        <v>580.32999999999993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SUM(V062A_20[[#This Row],[MPAL2]:[GI]])</f>
        <v>0</v>
      </c>
      <c r="X21" s="246"/>
      <c r="Y21" s="282">
        <f>(Y20-V062A_20[[#This Row],[TOTAL]])+V062A_20[[#This Row],[FAENA2]]</f>
        <v>86.4</v>
      </c>
      <c r="Z21" s="245">
        <v>0</v>
      </c>
      <c r="AA21" s="246">
        <v>0</v>
      </c>
      <c r="AB21" s="320">
        <f>(AB20-V062A_20[[#This Row],[CYLINDER MP]])+V062A_20[[#This Row],[FAENA EN LTS]]</f>
        <v>3020</v>
      </c>
      <c r="AC21" s="246">
        <v>0</v>
      </c>
      <c r="AD21" s="246">
        <v>0</v>
      </c>
      <c r="AE21" s="320">
        <f>(AE20-V062A_20[[#This Row],[CARTER MP.]])+V062A_20[[#This Row],[FAENA EN LTS2]]</f>
        <v>4300</v>
      </c>
      <c r="AF21" s="246">
        <v>20</v>
      </c>
      <c r="AG21" s="246">
        <v>0</v>
      </c>
      <c r="AH21" s="320">
        <f>(AH20-V062A_20[[#This Row],[MOT AUX]])+V062A_20[[#This Row],[FAENA EN  LTS]]</f>
        <v>3530</v>
      </c>
      <c r="AI21" s="246">
        <v>50</v>
      </c>
      <c r="AJ21" s="246">
        <v>0</v>
      </c>
      <c r="AK21" s="321">
        <f>(AK20-V062A_20[[#This Row],[HIDRAULICO]])+V062A_20[[#This Row],[FAENA EN LTS3]]</f>
        <v>2700</v>
      </c>
    </row>
    <row r="22" spans="1:37" x14ac:dyDescent="0.25">
      <c r="A22" s="431" t="s">
        <v>253</v>
      </c>
      <c r="B22" s="48">
        <v>44030</v>
      </c>
      <c r="C22" s="362">
        <v>0.33333333333333331</v>
      </c>
      <c r="D22" s="418">
        <f>IF(V062A_20[[#This Row],[FECHA]]-B21=1,((V062A_20[[#This Row],[HORA]]-C21)*24)+24,(V062A_20[[#This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IF(ISERROR(V062A_20[[#This Row],[DISTANCIA POR CARTA]]/V062A_20[[#This Row],[TIEMPO DE NAVEGACION]]),0,V062A_20[[#This Row],[DISTANCIA POR CARTA]]/V062A_20[[#This Row],[TIEMPO DE NAVEGACION]])</f>
        <v>0</v>
      </c>
      <c r="J22" s="380" t="s">
        <v>254</v>
      </c>
      <c r="K22" s="325"/>
      <c r="L22" s="245">
        <v>0</v>
      </c>
      <c r="M22" s="245">
        <v>2.5</v>
      </c>
      <c r="N22" s="245">
        <v>2</v>
      </c>
      <c r="O22" s="257">
        <f>SUM(V062A_20[[#This Row],[MPAL]:[CALDERA]])</f>
        <v>4.5</v>
      </c>
      <c r="P22" s="319"/>
      <c r="Q22" s="281">
        <f>(Q21-V062A_20[[#This Row],[TOTAL ]])+V062A_20[[#This Row],[FAENA]]</f>
        <v>575.82999999999993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SUM(V062A_20[[#This Row],[MPAL2]:[GI]])</f>
        <v>0</v>
      </c>
      <c r="X22" s="246"/>
      <c r="Y22" s="282">
        <f>(Y21-V062A_20[[#This Row],[TOTAL]])+V062A_20[[#This Row],[FAENA2]]</f>
        <v>86.4</v>
      </c>
      <c r="Z22" s="245">
        <v>0</v>
      </c>
      <c r="AA22" s="246">
        <v>0</v>
      </c>
      <c r="AB22" s="320">
        <f>(AB21-V062A_20[[#This Row],[CYLINDER MP]])+V062A_20[[#This Row],[FAENA EN LTS]]</f>
        <v>3020</v>
      </c>
      <c r="AC22" s="246">
        <v>0</v>
      </c>
      <c r="AD22" s="246">
        <v>0</v>
      </c>
      <c r="AE22" s="320">
        <f>(AE21-V062A_20[[#This Row],[CARTER MP.]])+V062A_20[[#This Row],[FAENA EN LTS2]]</f>
        <v>4300</v>
      </c>
      <c r="AF22" s="246">
        <v>20</v>
      </c>
      <c r="AG22" s="246">
        <v>0</v>
      </c>
      <c r="AH22" s="320">
        <f>(AH21-V062A_20[[#This Row],[MOT AUX]])+V062A_20[[#This Row],[FAENA EN  LTS]]</f>
        <v>3510</v>
      </c>
      <c r="AI22" s="246">
        <v>0</v>
      </c>
      <c r="AJ22" s="246">
        <v>0</v>
      </c>
      <c r="AK22" s="321">
        <f>(AK21-V062A_20[[#This Row],[HIDRAULICO]])+V062A_20[[#This Row],[FAENA EN LTS3]]</f>
        <v>2700</v>
      </c>
    </row>
    <row r="23" spans="1:37" x14ac:dyDescent="0.25">
      <c r="A23" s="431" t="s">
        <v>253</v>
      </c>
      <c r="B23" s="48">
        <v>44031</v>
      </c>
      <c r="C23" s="351">
        <v>0.33333333333333331</v>
      </c>
      <c r="D23" s="418">
        <f>IF(V062A_20[[#This Row],[FECHA]]-B22=1,((V062A_20[[#This Row],[HORA]]-C22)*24)+24,(V062A_20[[#This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IF(ISERROR(V062A_20[[#This Row],[DISTANCIA POR CARTA]]/V062A_20[[#This Row],[TIEMPO DE NAVEGACION]]),0,V062A_20[[#This Row],[DISTANCIA POR CARTA]]/V062A_20[[#This Row],[TIEMPO DE NAVEGACION]])</f>
        <v>0</v>
      </c>
      <c r="J23" s="380" t="s">
        <v>256</v>
      </c>
      <c r="K23" s="325"/>
      <c r="L23" s="418">
        <v>0</v>
      </c>
      <c r="M23" s="245">
        <v>2</v>
      </c>
      <c r="N23" s="245">
        <v>1.5</v>
      </c>
      <c r="O23" s="257">
        <f>SUM(V062A_20[[#This Row],[MPAL]:[CALDERA]])</f>
        <v>3.5</v>
      </c>
      <c r="P23" s="319"/>
      <c r="Q23" s="281">
        <f>(Q22-V062A_20[[#This Row],[TOTAL ]])+V062A_20[[#This Row],[FAENA]]</f>
        <v>572.32999999999993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SUM(V062A_20[[#This Row],[MPAL2]:[GI]])</f>
        <v>0</v>
      </c>
      <c r="X23" s="246"/>
      <c r="Y23" s="282">
        <f>(Y22-V062A_20[[#This Row],[TOTAL]])+V062A_20[[#This Row],[FAENA2]]</f>
        <v>86.4</v>
      </c>
      <c r="Z23" s="245">
        <v>0</v>
      </c>
      <c r="AA23" s="246">
        <v>0</v>
      </c>
      <c r="AB23" s="320">
        <f>(AB22-V062A_20[[#This Row],[CYLINDER MP]])+V062A_20[[#This Row],[FAENA EN LTS]]</f>
        <v>3020</v>
      </c>
      <c r="AC23" s="246">
        <v>0</v>
      </c>
      <c r="AD23" s="246">
        <v>0</v>
      </c>
      <c r="AE23" s="320">
        <f>(AE22-V062A_20[[#This Row],[CARTER MP.]])+V062A_20[[#This Row],[FAENA EN LTS2]]</f>
        <v>4300</v>
      </c>
      <c r="AF23" s="246">
        <v>20</v>
      </c>
      <c r="AG23" s="246">
        <v>0</v>
      </c>
      <c r="AH23" s="320">
        <f>(AH22-V062A_20[[#This Row],[MOT AUX]])+V062A_20[[#This Row],[FAENA EN  LTS]]</f>
        <v>3490</v>
      </c>
      <c r="AI23" s="246">
        <v>50</v>
      </c>
      <c r="AJ23" s="246">
        <v>0</v>
      </c>
      <c r="AK23" s="321">
        <f>(AK22-V062A_20[[#This Row],[HIDRAULICO]])+V062A_20[[#This Row],[FAENA EN LTS3]]</f>
        <v>2650</v>
      </c>
    </row>
    <row r="24" spans="1:37" x14ac:dyDescent="0.25">
      <c r="A24" s="431" t="s">
        <v>253</v>
      </c>
      <c r="B24" s="48">
        <v>44031</v>
      </c>
      <c r="C24" s="41">
        <v>0.5625</v>
      </c>
      <c r="D24" s="418">
        <f>IF(V062A_20[[#This Row],[FECHA]]-B23=1,((V062A_20[[#This Row],[HORA]]-C23)*24)+24,(V062A_20[[#This Row],[HORA]]-C23)*24)</f>
        <v>5.5</v>
      </c>
      <c r="E24" s="409" t="s">
        <v>45</v>
      </c>
      <c r="F24" s="29" t="s">
        <v>46</v>
      </c>
      <c r="G24" s="324"/>
      <c r="H24" s="306"/>
      <c r="I24" s="259">
        <f>IF(ISERROR(V062A_20[[#This Row],[DISTANCIA POR CARTA]]/V062A_20[[#This Row],[TIEMPO DE NAVEGACION]]),0,V062A_20[[#This Row],[DISTANCIA POR CARTA]]/V062A_20[[#This Row],[TIEMPO DE NAVEGACION]])</f>
        <v>0</v>
      </c>
      <c r="J24" s="242"/>
      <c r="K24" s="325"/>
      <c r="L24" s="418">
        <v>0</v>
      </c>
      <c r="M24" s="245">
        <v>0.56999999999999995</v>
      </c>
      <c r="N24" s="245">
        <v>0.34</v>
      </c>
      <c r="O24" s="257">
        <f>SUM(V062A_20[[#This Row],[MPAL]:[CALDERA]])</f>
        <v>0.90999999999999992</v>
      </c>
      <c r="P24" s="319"/>
      <c r="Q24" s="281">
        <f>(Q23-V062A_20[[#This Row],[TOTAL ]])+V062A_20[[#This Row],[FAENA]]</f>
        <v>571.41999999999996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SUM(V062A_20[[#This Row],[MPAL2]:[GI]])</f>
        <v>0</v>
      </c>
      <c r="X24" s="246"/>
      <c r="Y24" s="282">
        <f>(Y23-V062A_20[[#This Row],[TOTAL]])+V062A_20[[#This Row],[FAENA2]]</f>
        <v>86.4</v>
      </c>
      <c r="Z24" s="245">
        <v>0</v>
      </c>
      <c r="AA24" s="246">
        <v>0</v>
      </c>
      <c r="AB24" s="320">
        <f>(AB23-V062A_20[[#This Row],[CYLINDER MP]])+V062A_20[[#This Row],[FAENA EN LTS]]</f>
        <v>3020</v>
      </c>
      <c r="AC24" s="246">
        <v>0</v>
      </c>
      <c r="AD24" s="246">
        <v>0</v>
      </c>
      <c r="AE24" s="320">
        <f>(AE23-V062A_20[[#This Row],[CARTER MP.]])+V062A_20[[#This Row],[FAENA EN LTS2]]</f>
        <v>4300</v>
      </c>
      <c r="AF24" s="246">
        <v>0</v>
      </c>
      <c r="AG24" s="246">
        <v>0</v>
      </c>
      <c r="AH24" s="320">
        <f>(AH23-V062A_20[[#This Row],[MOT AUX]])+V062A_20[[#This Row],[FAENA EN  LTS]]</f>
        <v>3490</v>
      </c>
      <c r="AI24" s="246">
        <v>0</v>
      </c>
      <c r="AJ24" s="246">
        <v>0</v>
      </c>
      <c r="AK24" s="321">
        <f>(AK23-V062A_20[[#This Row],[HIDRAULICO]])+V062A_20[[#This Row],[FAENA EN LTS3]]</f>
        <v>2650</v>
      </c>
    </row>
    <row r="25" spans="1:37" x14ac:dyDescent="0.25">
      <c r="A25" s="431" t="s">
        <v>253</v>
      </c>
      <c r="B25" s="48">
        <v>44031</v>
      </c>
      <c r="C25" s="41">
        <v>0.6333333333333333</v>
      </c>
      <c r="D25" s="418">
        <f>IF(V062A_20[[#This Row],[FECHA]]-B24=1,((V062A_20[[#This Row],[HORA]]-C24)*24)+24,(V062A_20[[#This Row],[HORA]]-C24)*24)</f>
        <v>1.6999999999999993</v>
      </c>
      <c r="E25" s="239" t="s">
        <v>47</v>
      </c>
      <c r="F25" s="29" t="s">
        <v>48</v>
      </c>
      <c r="G25" s="324"/>
      <c r="H25" s="306"/>
      <c r="I25" s="259">
        <f>IF(ISERROR(V062A_20[[#This Row],[DISTANCIA POR CARTA]]/V062A_20[[#This Row],[TIEMPO DE NAVEGACION]]),0,V062A_20[[#This Row],[DISTANCIA POR CARTA]]/V062A_20[[#This Row],[TIEMPO DE NAVEGACION]])</f>
        <v>0</v>
      </c>
      <c r="J25" s="242"/>
      <c r="K25" s="325"/>
      <c r="L25" s="418">
        <v>0.21</v>
      </c>
      <c r="M25" s="245">
        <v>0.2</v>
      </c>
      <c r="N25" s="245">
        <v>0.08</v>
      </c>
      <c r="O25" s="257">
        <f>SUM(V062A_20[[#This Row],[MPAL]:[CALDERA]])</f>
        <v>0.49000000000000005</v>
      </c>
      <c r="P25" s="319"/>
      <c r="Q25" s="281">
        <f>(Q24-V062A_20[[#This Row],[TOTAL ]])+V062A_20[[#This Row],[FAENA]]</f>
        <v>570.92999999999995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SUM(V062A_20[[#This Row],[MPAL2]:[GI]])</f>
        <v>0</v>
      </c>
      <c r="X25" s="246"/>
      <c r="Y25" s="282">
        <f>(Y24-V062A_20[[#This Row],[TOTAL]])+V062A_20[[#This Row],[FAENA2]]</f>
        <v>86.4</v>
      </c>
      <c r="Z25" s="245">
        <v>10</v>
      </c>
      <c r="AA25" s="246">
        <v>0</v>
      </c>
      <c r="AB25" s="320">
        <f>(AB24-V062A_20[[#This Row],[CYLINDER MP]])+V062A_20[[#This Row],[FAENA EN LTS]]</f>
        <v>3010</v>
      </c>
      <c r="AC25" s="246">
        <v>0</v>
      </c>
      <c r="AD25" s="246">
        <v>0</v>
      </c>
      <c r="AE25" s="320">
        <f>(AE24-V062A_20[[#This Row],[CARTER MP.]])+V062A_20[[#This Row],[FAENA EN LTS2]]</f>
        <v>4300</v>
      </c>
      <c r="AF25" s="246">
        <v>0</v>
      </c>
      <c r="AG25" s="246">
        <v>0</v>
      </c>
      <c r="AH25" s="320">
        <f>(AH24-V062A_20[[#This Row],[MOT AUX]])+V062A_20[[#This Row],[FAENA EN  LTS]]</f>
        <v>3490</v>
      </c>
      <c r="AI25" s="246">
        <v>0</v>
      </c>
      <c r="AJ25" s="246">
        <v>0</v>
      </c>
      <c r="AK25" s="321">
        <f>(AK24-V062A_20[[#This Row],[HIDRAULICO]])+V062A_20[[#This Row],[FAENA EN LTS3]]</f>
        <v>2650</v>
      </c>
    </row>
    <row r="26" spans="1:37" x14ac:dyDescent="0.25">
      <c r="A26" s="431" t="s">
        <v>253</v>
      </c>
      <c r="B26" s="48">
        <v>44031</v>
      </c>
      <c r="C26" s="362">
        <v>0.75</v>
      </c>
      <c r="D26" s="418">
        <f>IF(V062A_20[[#This Row],[FECHA]]-B25=1,((V062A_20[[#This Row],[HORA]]-C25)*24)+24,(V062A_20[[#This Row],[HORA]]-C25)*24)</f>
        <v>2.8000000000000007</v>
      </c>
      <c r="E26" s="239" t="s">
        <v>49</v>
      </c>
      <c r="F26" s="29" t="s">
        <v>257</v>
      </c>
      <c r="G26" s="324"/>
      <c r="H26" s="306"/>
      <c r="I26" s="259">
        <f>IF(ISERROR(V062A_20[[#This Row],[DISTANCIA POR CARTA]]/V062A_20[[#This Row],[TIEMPO DE NAVEGACION]]),0,V062A_20[[#This Row],[DISTANCIA POR CARTA]]/V062A_20[[#This Row],[TIEMPO DE NAVEGACION]])</f>
        <v>0</v>
      </c>
      <c r="J26" s="242"/>
      <c r="K26" s="325"/>
      <c r="L26" s="418">
        <v>0</v>
      </c>
      <c r="M26" s="245">
        <v>0.23</v>
      </c>
      <c r="N26" s="245">
        <v>0.1</v>
      </c>
      <c r="O26" s="257">
        <f>SUM(V062A_20[[#This Row],[MPAL]:[CALDERA]])</f>
        <v>0.33</v>
      </c>
      <c r="P26" s="319"/>
      <c r="Q26" s="281">
        <f>(Q25-V062A_20[[#This Row],[TOTAL ]])+V062A_20[[#This Row],[FAENA]]</f>
        <v>570.59999999999991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SUM(V062A_20[[#This Row],[MPAL2]:[GI]])</f>
        <v>0</v>
      </c>
      <c r="X26" s="246"/>
      <c r="Y26" s="282">
        <f>(Y25-V062A_20[[#This Row],[TOTAL]])+V062A_20[[#This Row],[FAENA2]]</f>
        <v>86.4</v>
      </c>
      <c r="Z26" s="245">
        <v>0</v>
      </c>
      <c r="AA26" s="246">
        <v>0</v>
      </c>
      <c r="AB26" s="320">
        <f>(AB25-V062A_20[[#This Row],[CYLINDER MP]])+V062A_20[[#This Row],[FAENA EN LTS]]</f>
        <v>3010</v>
      </c>
      <c r="AC26" s="246">
        <v>0</v>
      </c>
      <c r="AD26" s="246">
        <v>0</v>
      </c>
      <c r="AE26" s="320">
        <f>(AE25-V062A_20[[#This Row],[CARTER MP.]])+V062A_20[[#This Row],[FAENA EN LTS2]]</f>
        <v>4300</v>
      </c>
      <c r="AF26" s="246">
        <v>0</v>
      </c>
      <c r="AG26" s="246">
        <v>0</v>
      </c>
      <c r="AH26" s="320">
        <f>(AH25-V062A_20[[#This Row],[MOT AUX]])+V062A_20[[#This Row],[FAENA EN  LTS]]</f>
        <v>3490</v>
      </c>
      <c r="AI26" s="246">
        <v>0</v>
      </c>
      <c r="AJ26" s="246">
        <v>0</v>
      </c>
      <c r="AK26" s="321">
        <f>(AK25-V062A_20[[#This Row],[HIDRAULICO]])+V062A_20[[#This Row],[FAENA EN LTS3]]</f>
        <v>2650</v>
      </c>
    </row>
    <row r="27" spans="1:37" x14ac:dyDescent="0.25">
      <c r="A27" s="431" t="s">
        <v>253</v>
      </c>
      <c r="B27" s="48">
        <v>44032</v>
      </c>
      <c r="C27" s="351">
        <v>0.33333333333333331</v>
      </c>
      <c r="D27" s="418">
        <f>IF(V062A_20[[#This Row],[FECHA]]-B26=1,((V062A_20[[#This Row],[HORA]]-C26)*24)+24,(V062A_20[[#This Row],[HORA]]-C26)*24)</f>
        <v>14</v>
      </c>
      <c r="E27" s="239" t="s">
        <v>49</v>
      </c>
      <c r="F27" s="29" t="s">
        <v>258</v>
      </c>
      <c r="G27" s="324"/>
      <c r="H27" s="306"/>
      <c r="I27" s="259">
        <f>IF(ISERROR(V062A_20[[#This Row],[DISTANCIA POR CARTA]]/V062A_20[[#This Row],[TIEMPO DE NAVEGACION]]),0,V062A_20[[#This Row],[DISTANCIA POR CARTA]]/V062A_20[[#This Row],[TIEMPO DE NAVEGACION]])</f>
        <v>0</v>
      </c>
      <c r="J27" s="242"/>
      <c r="K27" s="325"/>
      <c r="L27" s="418">
        <v>0</v>
      </c>
      <c r="M27" s="245">
        <v>0</v>
      </c>
      <c r="N27" s="245">
        <v>0</v>
      </c>
      <c r="O27" s="257">
        <f>SUM(V062A_20[[#This Row],[MPAL]:[CALDERA]])</f>
        <v>0</v>
      </c>
      <c r="P27" s="319"/>
      <c r="Q27" s="281">
        <f>(Q26-V062A_20[[#This Row],[TOTAL ]])+V062A_20[[#This Row],[FAENA]]</f>
        <v>570.59999999999991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SUM(V062A_20[[#This Row],[MPAL2]:[GI]])</f>
        <v>0</v>
      </c>
      <c r="X27" s="246"/>
      <c r="Y27" s="282">
        <f>(Y26-V062A_20[[#This Row],[TOTAL]])+V062A_20[[#This Row],[FAENA2]]</f>
        <v>86.4</v>
      </c>
      <c r="Z27" s="245">
        <v>0</v>
      </c>
      <c r="AA27" s="246">
        <v>0</v>
      </c>
      <c r="AB27" s="320">
        <f>(AB26-V062A_20[[#This Row],[CYLINDER MP]])+V062A_20[[#This Row],[FAENA EN LTS]]</f>
        <v>3010</v>
      </c>
      <c r="AC27" s="246">
        <v>0</v>
      </c>
      <c r="AD27" s="246">
        <v>0</v>
      </c>
      <c r="AE27" s="320">
        <f>(AE26-V062A_20[[#This Row],[CARTER MP.]])+V062A_20[[#This Row],[FAENA EN LTS2]]</f>
        <v>4300</v>
      </c>
      <c r="AF27" s="246">
        <v>0</v>
      </c>
      <c r="AG27" s="246">
        <v>0</v>
      </c>
      <c r="AH27" s="320">
        <f>(AH26-V062A_20[[#This Row],[MOT AUX]])+V062A_20[[#This Row],[FAENA EN  LTS]]</f>
        <v>3490</v>
      </c>
      <c r="AI27" s="246">
        <v>0</v>
      </c>
      <c r="AJ27" s="246">
        <v>0</v>
      </c>
      <c r="AK27" s="321">
        <f>(AK26-V062A_20[[#This Row],[HIDRAULICO]])+V062A_20[[#This Row],[FAENA EN LTS3]]</f>
        <v>2650</v>
      </c>
    </row>
    <row r="28" spans="1:37" x14ac:dyDescent="0.25">
      <c r="A28" s="431" t="s">
        <v>253</v>
      </c>
      <c r="B28" s="48">
        <v>44033</v>
      </c>
      <c r="C28" s="351">
        <v>0.33333333333333331</v>
      </c>
      <c r="D28" s="418">
        <f>IF(V062A_20[[#This Row],[FECHA]]-B27=1,((V062A_20[[#This Row],[HORA]]-C27)*24)+24,(V062A_20[[#This Row],[HORA]]-C27)*24)</f>
        <v>24</v>
      </c>
      <c r="E28" s="409" t="s">
        <v>49</v>
      </c>
      <c r="F28" s="29" t="s">
        <v>258</v>
      </c>
      <c r="G28" s="324"/>
      <c r="H28" s="306"/>
      <c r="I28" s="259">
        <f>IF(ISERROR(V062A_20[[#This Row],[DISTANCIA POR CARTA]]/V062A_20[[#This Row],[TIEMPO DE NAVEGACION]]),0,V062A_20[[#This Row],[DISTANCIA POR CARTA]]/V062A_20[[#This Row],[TIEMPO DE NAVEGACION]])</f>
        <v>0</v>
      </c>
      <c r="J28" s="380"/>
      <c r="K28" s="325"/>
      <c r="L28" s="418">
        <v>0</v>
      </c>
      <c r="M28" s="245">
        <v>0</v>
      </c>
      <c r="N28" s="245">
        <v>0</v>
      </c>
      <c r="O28" s="257">
        <f>SUM(V062A_20[[#This Row],[MPAL]:[CALDERA]])</f>
        <v>0</v>
      </c>
      <c r="P28" s="319"/>
      <c r="Q28" s="281">
        <f>(Q27-V062A_20[[#This Row],[TOTAL ]])+V062A_20[[#This Row],[FAENA]]</f>
        <v>570.59999999999991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SUM(V062A_20[[#This Row],[MPAL2]:[GI]])</f>
        <v>0</v>
      </c>
      <c r="X28" s="246"/>
      <c r="Y28" s="282">
        <f>(Y27-V062A_20[[#This Row],[TOTAL]])+V062A_20[[#This Row],[FAENA2]]</f>
        <v>86.4</v>
      </c>
      <c r="Z28" s="245">
        <v>0</v>
      </c>
      <c r="AA28" s="246">
        <v>0</v>
      </c>
      <c r="AB28" s="320">
        <f>(AB27-V062A_20[[#This Row],[CYLINDER MP]])+V062A_20[[#This Row],[FAENA EN LTS]]</f>
        <v>3010</v>
      </c>
      <c r="AC28" s="246">
        <v>0</v>
      </c>
      <c r="AD28" s="246">
        <v>0</v>
      </c>
      <c r="AE28" s="320">
        <f>(AE27-V062A_20[[#This Row],[CARTER MP.]])+V062A_20[[#This Row],[FAENA EN LTS2]]</f>
        <v>4300</v>
      </c>
      <c r="AF28" s="246">
        <v>0</v>
      </c>
      <c r="AG28" s="246">
        <v>0</v>
      </c>
      <c r="AH28" s="320">
        <f>(AH27-V062A_20[[#This Row],[MOT AUX]])+V062A_20[[#This Row],[FAENA EN  LTS]]</f>
        <v>3490</v>
      </c>
      <c r="AI28" s="246">
        <v>0</v>
      </c>
      <c r="AJ28" s="246">
        <v>0</v>
      </c>
      <c r="AK28" s="321">
        <f>(AK27-V062A_20[[#This Row],[HIDRAULICO]])+V062A_20[[#This Row],[FAENA EN LTS3]]</f>
        <v>2650</v>
      </c>
    </row>
    <row r="29" spans="1:37" x14ac:dyDescent="0.25">
      <c r="A29" s="431" t="s">
        <v>253</v>
      </c>
      <c r="B29" s="48">
        <v>44034</v>
      </c>
      <c r="C29" s="351">
        <v>0.33333333333333331</v>
      </c>
      <c r="D29" s="418">
        <f>IF(V062A_20[[#This Row],[FECHA]]-B28=1,((V062A_20[[#This Row],[HORA]]-C28)*24)+24,(V062A_20[[#This Row],[HORA]]-C28)*24)</f>
        <v>24</v>
      </c>
      <c r="E29" s="409" t="s">
        <v>49</v>
      </c>
      <c r="F29" s="29" t="s">
        <v>258</v>
      </c>
      <c r="G29" s="324"/>
      <c r="H29" s="306"/>
      <c r="I29" s="259">
        <f>IF(ISERROR(V062A_20[[#This Row],[DISTANCIA POR CARTA]]/V062A_20[[#This Row],[TIEMPO DE NAVEGACION]]),0,V062A_20[[#This Row],[DISTANCIA POR CARTA]]/V062A_20[[#This Row],[TIEMPO DE NAVEGACION]])</f>
        <v>0</v>
      </c>
      <c r="J29" s="242"/>
      <c r="K29" s="325"/>
      <c r="L29" s="418">
        <v>0</v>
      </c>
      <c r="M29" s="245">
        <v>0</v>
      </c>
      <c r="N29" s="245">
        <v>0</v>
      </c>
      <c r="O29" s="257">
        <f>SUM(V062A_20[[#This Row],[MPAL]:[CALDERA]])</f>
        <v>0</v>
      </c>
      <c r="P29" s="319"/>
      <c r="Q29" s="281">
        <f>(Q28-V062A_20[[#This Row],[TOTAL ]])+V062A_20[[#This Row],[FAENA]]</f>
        <v>570.59999999999991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SUM(V062A_20[[#This Row],[MPAL2]:[GI]])</f>
        <v>0</v>
      </c>
      <c r="X29" s="246"/>
      <c r="Y29" s="282">
        <f>(Y28-V062A_20[[#This Row],[TOTAL]])+V062A_20[[#This Row],[FAENA2]]</f>
        <v>86.4</v>
      </c>
      <c r="Z29" s="245">
        <v>0</v>
      </c>
      <c r="AA29" s="246">
        <v>0</v>
      </c>
      <c r="AB29" s="320">
        <f>(AB28-V062A_20[[#This Row],[CYLINDER MP]])+V062A_20[[#This Row],[FAENA EN LTS]]</f>
        <v>3010</v>
      </c>
      <c r="AC29" s="246">
        <v>0</v>
      </c>
      <c r="AD29" s="246">
        <v>0</v>
      </c>
      <c r="AE29" s="320">
        <f>(AE28-V062A_20[[#This Row],[CARTER MP.]])+V062A_20[[#This Row],[FAENA EN LTS2]]</f>
        <v>4300</v>
      </c>
      <c r="AF29" s="246">
        <v>0</v>
      </c>
      <c r="AG29" s="246">
        <v>0</v>
      </c>
      <c r="AH29" s="320">
        <f>(AH28-V062A_20[[#This Row],[MOT AUX]])+V062A_20[[#This Row],[FAENA EN  LTS]]</f>
        <v>3490</v>
      </c>
      <c r="AI29" s="246">
        <v>0</v>
      </c>
      <c r="AJ29" s="246">
        <v>0</v>
      </c>
      <c r="AK29" s="321">
        <f>(AK28-V062A_20[[#This Row],[HIDRAULICO]])+V062A_20[[#This Row],[FAENA EN LTS3]]</f>
        <v>2650</v>
      </c>
    </row>
    <row r="30" spans="1:37" x14ac:dyDescent="0.25">
      <c r="A30" s="431" t="s">
        <v>253</v>
      </c>
      <c r="B30" s="48">
        <v>44035</v>
      </c>
      <c r="C30" s="351">
        <v>0.33333333333333331</v>
      </c>
      <c r="D30" s="418">
        <f>IF(V062A_20[[#This Row],[FECHA]]-B29=1,((V062A_20[[#This Row],[HORA]]-C29)*24)+24,(V062A_20[[#This Row],[HORA]]-C29)*24)</f>
        <v>24</v>
      </c>
      <c r="E30" s="409" t="s">
        <v>49</v>
      </c>
      <c r="F30" s="29" t="s">
        <v>258</v>
      </c>
      <c r="G30" s="324"/>
      <c r="H30" s="306"/>
      <c r="I30" s="259">
        <f>IF(ISERROR(V062A_20[[#This Row],[DISTANCIA POR CARTA]]/V062A_20[[#This Row],[TIEMPO DE NAVEGACION]]),0,V062A_20[[#This Row],[DISTANCIA POR CARTA]]/V062A_20[[#This Row],[TIEMPO DE NAVEGACION]])</f>
        <v>0</v>
      </c>
      <c r="J30" s="380"/>
      <c r="K30" s="325"/>
      <c r="L30" s="418">
        <v>0</v>
      </c>
      <c r="M30" s="245">
        <v>0</v>
      </c>
      <c r="N30" s="245">
        <v>0</v>
      </c>
      <c r="O30" s="257">
        <f>SUM(V062A_20[[#This Row],[MPAL]:[CALDERA]])</f>
        <v>0</v>
      </c>
      <c r="P30" s="319"/>
      <c r="Q30" s="281">
        <f>(Q29-V062A_20[[#This Row],[TOTAL ]])+V062A_20[[#This Row],[FAENA]]</f>
        <v>570.59999999999991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SUM(V062A_20[[#This Row],[MPAL2]:[GI]])</f>
        <v>0</v>
      </c>
      <c r="X30" s="246"/>
      <c r="Y30" s="282">
        <f>(Y29-V062A_20[[#This Row],[TOTAL]])+V062A_20[[#This Row],[FAENA2]]</f>
        <v>86.4</v>
      </c>
      <c r="Z30" s="245">
        <v>0</v>
      </c>
      <c r="AA30" s="246">
        <v>0</v>
      </c>
      <c r="AB30" s="320">
        <f>(AB29-V062A_20[[#This Row],[CYLINDER MP]])+V062A_20[[#This Row],[FAENA EN LTS]]</f>
        <v>3010</v>
      </c>
      <c r="AC30" s="246">
        <v>0</v>
      </c>
      <c r="AD30" s="246">
        <v>0</v>
      </c>
      <c r="AE30" s="320">
        <f>(AE29-V062A_20[[#This Row],[CARTER MP.]])+V062A_20[[#This Row],[FAENA EN LTS2]]</f>
        <v>4300</v>
      </c>
      <c r="AF30" s="246">
        <v>0</v>
      </c>
      <c r="AG30" s="246">
        <v>0</v>
      </c>
      <c r="AH30" s="320">
        <f>(AH29-V062A_20[[#This Row],[MOT AUX]])+V062A_20[[#This Row],[FAENA EN  LTS]]</f>
        <v>3490</v>
      </c>
      <c r="AI30" s="246">
        <v>0</v>
      </c>
      <c r="AJ30" s="246">
        <v>0</v>
      </c>
      <c r="AK30" s="321">
        <f>(AK29-V062A_20[[#This Row],[HIDRAULICO]])+V062A_20[[#This Row],[FAENA EN LTS3]]</f>
        <v>2650</v>
      </c>
    </row>
    <row r="31" spans="1:37" x14ac:dyDescent="0.25">
      <c r="A31" s="431" t="s">
        <v>253</v>
      </c>
      <c r="B31" s="48">
        <v>44036</v>
      </c>
      <c r="C31" s="351">
        <v>0.33333333333333331</v>
      </c>
      <c r="D31" s="418">
        <f>IF(V062A_20[[#This Row],[FECHA]]-B30=1,((V062A_20[[#This Row],[HORA]]-C30)*24)+24,(V062A_20[[#This Row],[HORA]]-C30)*24)</f>
        <v>24</v>
      </c>
      <c r="E31" s="409" t="s">
        <v>49</v>
      </c>
      <c r="F31" s="29" t="s">
        <v>258</v>
      </c>
      <c r="G31" s="324"/>
      <c r="H31" s="306"/>
      <c r="I31" s="259">
        <f>IF(ISERROR(V062A_20[[#This Row],[DISTANCIA POR CARTA]]/V062A_20[[#This Row],[TIEMPO DE NAVEGACION]]),0,V062A_20[[#This Row],[DISTANCIA POR CARTA]]/V062A_20[[#This Row],[TIEMPO DE NAVEGACION]])</f>
        <v>0</v>
      </c>
      <c r="J31" s="242"/>
      <c r="K31" s="325"/>
      <c r="L31" s="418">
        <v>0</v>
      </c>
      <c r="M31" s="245">
        <v>0</v>
      </c>
      <c r="N31" s="245">
        <v>0</v>
      </c>
      <c r="O31" s="257">
        <f>SUM(V062A_20[[#This Row],[MPAL]:[CALDERA]])</f>
        <v>0</v>
      </c>
      <c r="P31" s="319"/>
      <c r="Q31" s="281">
        <f>(Q30-V062A_20[[#This Row],[TOTAL ]])+V062A_20[[#This Row],[FAENA]]</f>
        <v>570.59999999999991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SUM(V062A_20[[#This Row],[MPAL2]:[GI]])</f>
        <v>0</v>
      </c>
      <c r="X31" s="246"/>
      <c r="Y31" s="282">
        <f>(Y30-V062A_20[[#This Row],[TOTAL]])+V062A_20[[#This Row],[FAENA2]]</f>
        <v>86.4</v>
      </c>
      <c r="Z31" s="245">
        <v>0</v>
      </c>
      <c r="AA31" s="246">
        <v>0</v>
      </c>
      <c r="AB31" s="320">
        <f>(AB30-V062A_20[[#This Row],[CYLINDER MP]])+V062A_20[[#This Row],[FAENA EN LTS]]</f>
        <v>3010</v>
      </c>
      <c r="AC31" s="246">
        <v>0</v>
      </c>
      <c r="AD31" s="246">
        <v>0</v>
      </c>
      <c r="AE31" s="320">
        <f>(AE30-V062A_20[[#This Row],[CARTER MP.]])+V062A_20[[#This Row],[FAENA EN LTS2]]</f>
        <v>4300</v>
      </c>
      <c r="AF31" s="246">
        <v>0</v>
      </c>
      <c r="AG31" s="246">
        <v>0</v>
      </c>
      <c r="AH31" s="320">
        <f>(AH30-V062A_20[[#This Row],[MOT AUX]])+V062A_20[[#This Row],[FAENA EN  LTS]]</f>
        <v>3490</v>
      </c>
      <c r="AI31" s="246">
        <v>0</v>
      </c>
      <c r="AJ31" s="246">
        <v>0</v>
      </c>
      <c r="AK31" s="321">
        <f>(AK30-V062A_20[[#This Row],[HIDRAULICO]])+V062A_20[[#This Row],[FAENA EN LTS3]]</f>
        <v>2650</v>
      </c>
    </row>
    <row r="32" spans="1:37" x14ac:dyDescent="0.25">
      <c r="A32" s="431" t="s">
        <v>253</v>
      </c>
      <c r="B32" s="48">
        <v>44037</v>
      </c>
      <c r="C32" s="351">
        <v>0.33333333333333331</v>
      </c>
      <c r="D32" s="418">
        <f>IF(V062A_20[[#This Row],[FECHA]]-B31=1,((V062A_20[[#This Row],[HORA]]-C31)*24)+24,(V062A_20[[#This Row],[HORA]]-C31)*24)</f>
        <v>24</v>
      </c>
      <c r="E32" s="409" t="s">
        <v>49</v>
      </c>
      <c r="F32" s="29" t="s">
        <v>258</v>
      </c>
      <c r="G32" s="324"/>
      <c r="H32" s="306"/>
      <c r="I32" s="259">
        <f>IF(ISERROR(V062A_20[[#This Row],[DISTANCIA POR CARTA]]/V062A_20[[#This Row],[TIEMPO DE NAVEGACION]]),0,V062A_20[[#This Row],[DISTANCIA POR CARTA]]/V062A_20[[#This Row],[TIEMPO DE NAVEGACION]])</f>
        <v>0</v>
      </c>
      <c r="J32" s="242"/>
      <c r="K32" s="325"/>
      <c r="L32" s="418">
        <v>0</v>
      </c>
      <c r="M32" s="245">
        <v>0</v>
      </c>
      <c r="N32" s="245">
        <v>0</v>
      </c>
      <c r="O32" s="257">
        <f>SUM(V062A_20[[#This Row],[MPAL]:[CALDERA]])</f>
        <v>0</v>
      </c>
      <c r="P32" s="319"/>
      <c r="Q32" s="281">
        <f>(Q31-V062A_20[[#This Row],[TOTAL ]])+V062A_20[[#This Row],[FAENA]]</f>
        <v>570.59999999999991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SUM(V062A_20[[#This Row],[MPAL2]:[GI]])</f>
        <v>0</v>
      </c>
      <c r="X32" s="246"/>
      <c r="Y32" s="282">
        <f>(Y31-V062A_20[[#This Row],[TOTAL]])+V062A_20[[#This Row],[FAENA2]]</f>
        <v>86.4</v>
      </c>
      <c r="Z32" s="245">
        <v>0</v>
      </c>
      <c r="AA32" s="246">
        <v>0</v>
      </c>
      <c r="AB32" s="320">
        <f>(AB31-V062A_20[[#This Row],[CYLINDER MP]])+V062A_20[[#This Row],[FAENA EN LTS]]</f>
        <v>3010</v>
      </c>
      <c r="AC32" s="246">
        <v>0</v>
      </c>
      <c r="AD32" s="246">
        <v>0</v>
      </c>
      <c r="AE32" s="320">
        <f>(AE31-V062A_20[[#This Row],[CARTER MP.]])+V062A_20[[#This Row],[FAENA EN LTS2]]</f>
        <v>4300</v>
      </c>
      <c r="AF32" s="246">
        <v>0</v>
      </c>
      <c r="AG32" s="246">
        <v>0</v>
      </c>
      <c r="AH32" s="320">
        <f>(AH31-V062A_20[[#This Row],[MOT AUX]])+V062A_20[[#This Row],[FAENA EN  LTS]]</f>
        <v>3490</v>
      </c>
      <c r="AI32" s="246">
        <v>0</v>
      </c>
      <c r="AJ32" s="246">
        <v>0</v>
      </c>
      <c r="AK32" s="321">
        <f>(AK31-V062A_20[[#This Row],[HIDRAULICO]])+V062A_20[[#This Row],[FAENA EN LTS3]]</f>
        <v>2650</v>
      </c>
    </row>
    <row r="33" spans="1:37" x14ac:dyDescent="0.25">
      <c r="A33" s="431" t="s">
        <v>253</v>
      </c>
      <c r="B33" s="48">
        <v>44038</v>
      </c>
      <c r="C33" s="351">
        <v>0.33333333333333331</v>
      </c>
      <c r="D33" s="418">
        <f>IF(V062A_20[[#This Row],[FECHA]]-B32=1,((V062A_20[[#This Row],[HORA]]-C32)*24)+24,(V062A_20[[#This Row],[HORA]]-C32)*24)</f>
        <v>24</v>
      </c>
      <c r="E33" s="409" t="s">
        <v>49</v>
      </c>
      <c r="F33" s="29" t="s">
        <v>258</v>
      </c>
      <c r="G33" s="324"/>
      <c r="H33" s="306"/>
      <c r="I33" s="259">
        <f>IF(ISERROR(V062A_20[[#This Row],[DISTANCIA POR CARTA]]/V062A_20[[#This Row],[TIEMPO DE NAVEGACION]]),0,V062A_20[[#This Row],[DISTANCIA POR CARTA]]/V062A_20[[#This Row],[TIEMPO DE NAVEGACION]])</f>
        <v>0</v>
      </c>
      <c r="J33" s="242"/>
      <c r="K33" s="325"/>
      <c r="L33" s="418">
        <v>0</v>
      </c>
      <c r="M33" s="245">
        <v>0</v>
      </c>
      <c r="N33" s="245">
        <v>0</v>
      </c>
      <c r="O33" s="257">
        <f>SUM(V062A_20[[#This Row],[MPAL]:[CALDERA]])</f>
        <v>0</v>
      </c>
      <c r="P33" s="319"/>
      <c r="Q33" s="281">
        <f>(Q32-V062A_20[[#This Row],[TOTAL ]])+V062A_20[[#This Row],[FAENA]]</f>
        <v>570.59999999999991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SUM(V062A_20[[#This Row],[MPAL2]:[GI]])</f>
        <v>0</v>
      </c>
      <c r="X33" s="246"/>
      <c r="Y33" s="282">
        <f>(Y32-V062A_20[[#This Row],[TOTAL]])+V062A_20[[#This Row],[FAENA2]]</f>
        <v>86.4</v>
      </c>
      <c r="Z33" s="245">
        <v>0</v>
      </c>
      <c r="AA33" s="246">
        <v>0</v>
      </c>
      <c r="AB33" s="320">
        <f>(AB32-V062A_20[[#This Row],[CYLINDER MP]])+V062A_20[[#This Row],[FAENA EN LTS]]</f>
        <v>3010</v>
      </c>
      <c r="AC33" s="246">
        <v>0</v>
      </c>
      <c r="AD33" s="246">
        <v>0</v>
      </c>
      <c r="AE33" s="320">
        <f>(AE32-V062A_20[[#This Row],[CARTER MP.]])+V062A_20[[#This Row],[FAENA EN LTS2]]</f>
        <v>4300</v>
      </c>
      <c r="AF33" s="246">
        <v>0</v>
      </c>
      <c r="AG33" s="246">
        <v>0</v>
      </c>
      <c r="AH33" s="320">
        <f>(AH32-V062A_20[[#This Row],[MOT AUX]])+V062A_20[[#This Row],[FAENA EN  LTS]]</f>
        <v>3490</v>
      </c>
      <c r="AI33" s="246">
        <v>0</v>
      </c>
      <c r="AJ33" s="246">
        <v>0</v>
      </c>
      <c r="AK33" s="321">
        <f>(AK32-V062A_20[[#This Row],[HIDRAULICO]])+V062A_20[[#This Row],[FAENA EN LTS3]]</f>
        <v>2650</v>
      </c>
    </row>
    <row r="34" spans="1:37" x14ac:dyDescent="0.25">
      <c r="A34" s="431" t="s">
        <v>253</v>
      </c>
      <c r="B34" s="48">
        <v>44039</v>
      </c>
      <c r="C34" s="351">
        <v>0.33333333333333331</v>
      </c>
      <c r="D34" s="418">
        <f>IF(V062A_20[[#This Row],[FECHA]]-B33=1,((V062A_20[[#This Row],[HORA]]-C33)*24)+24,(V062A_20[[#This Row],[HORA]]-C33)*24)</f>
        <v>24</v>
      </c>
      <c r="E34" s="409" t="s">
        <v>49</v>
      </c>
      <c r="F34" s="29" t="s">
        <v>258</v>
      </c>
      <c r="G34" s="324"/>
      <c r="H34" s="306"/>
      <c r="I34" s="259">
        <f>IF(ISERROR(V062A_20[[#This Row],[DISTANCIA POR CARTA]]/V062A_20[[#This Row],[TIEMPO DE NAVEGACION]]),0,V062A_20[[#This Row],[DISTANCIA POR CARTA]]/V062A_20[[#This Row],[TIEMPO DE NAVEGACION]])</f>
        <v>0</v>
      </c>
      <c r="J34" s="242"/>
      <c r="K34" s="325"/>
      <c r="L34" s="418">
        <v>0</v>
      </c>
      <c r="M34" s="245">
        <v>0</v>
      </c>
      <c r="N34" s="245">
        <v>0</v>
      </c>
      <c r="O34" s="257">
        <f>SUM(V062A_20[[#This Row],[MPAL]:[CALDERA]])</f>
        <v>0</v>
      </c>
      <c r="P34" s="319"/>
      <c r="Q34" s="281">
        <f>(Q33-V062A_20[[#This Row],[TOTAL ]])+V062A_20[[#This Row],[FAENA]]</f>
        <v>570.59999999999991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SUM(V062A_20[[#This Row],[MPAL2]:[GI]])</f>
        <v>0</v>
      </c>
      <c r="X34" s="246"/>
      <c r="Y34" s="282">
        <f>(Y33-V062A_20[[#This Row],[TOTAL]])+V062A_20[[#This Row],[FAENA2]]</f>
        <v>86.4</v>
      </c>
      <c r="Z34" s="245">
        <v>0</v>
      </c>
      <c r="AA34" s="246">
        <v>0</v>
      </c>
      <c r="AB34" s="320">
        <f>(AB33-V062A_20[[#This Row],[CYLINDER MP]])+V062A_20[[#This Row],[FAENA EN LTS]]</f>
        <v>3010</v>
      </c>
      <c r="AC34" s="246">
        <v>0</v>
      </c>
      <c r="AD34" s="246">
        <v>0</v>
      </c>
      <c r="AE34" s="320">
        <f>(AE33-V062A_20[[#This Row],[CARTER MP.]])+V062A_20[[#This Row],[FAENA EN LTS2]]</f>
        <v>4300</v>
      </c>
      <c r="AF34" s="246">
        <v>0</v>
      </c>
      <c r="AG34" s="246">
        <v>0</v>
      </c>
      <c r="AH34" s="320">
        <f>(AH33-V062A_20[[#This Row],[MOT AUX]])+V062A_20[[#This Row],[FAENA EN  LTS]]</f>
        <v>3490</v>
      </c>
      <c r="AI34" s="246">
        <v>0</v>
      </c>
      <c r="AJ34" s="246">
        <v>0</v>
      </c>
      <c r="AK34" s="321">
        <f>(AK33-V062A_20[[#This Row],[HIDRAULICO]])+V062A_20[[#This Row],[FAENA EN LTS3]]</f>
        <v>2650</v>
      </c>
    </row>
    <row r="35" spans="1:37" x14ac:dyDescent="0.25">
      <c r="A35" s="431" t="s">
        <v>253</v>
      </c>
      <c r="B35" s="48">
        <v>44040</v>
      </c>
      <c r="C35" s="351">
        <v>0.33333333333333331</v>
      </c>
      <c r="D35" s="418">
        <f>IF(V062A_20[[#This Row],[FECHA]]-B34=1,((V062A_20[[#This Row],[HORA]]-C34)*24)+24,(V062A_20[[#This Row],[HORA]]-C34)*24)</f>
        <v>24</v>
      </c>
      <c r="E35" s="409" t="s">
        <v>49</v>
      </c>
      <c r="F35" s="29" t="s">
        <v>258</v>
      </c>
      <c r="G35" s="324"/>
      <c r="H35" s="306"/>
      <c r="I35" s="259">
        <f>IF(ISERROR(V062A_20[[#This Row],[DISTANCIA POR CARTA]]/V062A_20[[#This Row],[TIEMPO DE NAVEGACION]]),0,V062A_20[[#This Row],[DISTANCIA POR CARTA]]/V062A_20[[#This Row],[TIEMPO DE NAVEGACION]])</f>
        <v>0</v>
      </c>
      <c r="J35" s="242"/>
      <c r="K35" s="325"/>
      <c r="L35" s="418">
        <v>0</v>
      </c>
      <c r="M35" s="245">
        <v>0</v>
      </c>
      <c r="N35" s="245">
        <v>0</v>
      </c>
      <c r="O35" s="257">
        <f>SUM(V062A_20[[#This Row],[MPAL]:[CALDERA]])</f>
        <v>0</v>
      </c>
      <c r="P35" s="319"/>
      <c r="Q35" s="281">
        <f>(Q34-V062A_20[[#This Row],[TOTAL ]])+V062A_20[[#This Row],[FAENA]]</f>
        <v>570.59999999999991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SUM(V062A_20[[#This Row],[MPAL2]:[GI]])</f>
        <v>0</v>
      </c>
      <c r="X35" s="246"/>
      <c r="Y35" s="282">
        <f>(Y34-V062A_20[[#This Row],[TOTAL]])+V062A_20[[#This Row],[FAENA2]]</f>
        <v>86.4</v>
      </c>
      <c r="Z35" s="245">
        <v>0</v>
      </c>
      <c r="AA35" s="246">
        <v>0</v>
      </c>
      <c r="AB35" s="320">
        <f>(AB34-V062A_20[[#This Row],[CYLINDER MP]])+V062A_20[[#This Row],[FAENA EN LTS]]</f>
        <v>3010</v>
      </c>
      <c r="AC35" s="246">
        <v>0</v>
      </c>
      <c r="AD35" s="246">
        <v>0</v>
      </c>
      <c r="AE35" s="320">
        <f>(AE34-V062A_20[[#This Row],[CARTER MP.]])+V062A_20[[#This Row],[FAENA EN LTS2]]</f>
        <v>4300</v>
      </c>
      <c r="AF35" s="246">
        <v>0</v>
      </c>
      <c r="AG35" s="246">
        <v>0</v>
      </c>
      <c r="AH35" s="320">
        <f>(AH34-V062A_20[[#This Row],[MOT AUX]])+V062A_20[[#This Row],[FAENA EN  LTS]]</f>
        <v>3490</v>
      </c>
      <c r="AI35" s="246">
        <v>0</v>
      </c>
      <c r="AJ35" s="246">
        <v>0</v>
      </c>
      <c r="AK35" s="321">
        <f>(AK34-V062A_20[[#This Row],[HIDRAULICO]])+V062A_20[[#This Row],[FAENA EN LTS3]]</f>
        <v>2650</v>
      </c>
    </row>
    <row r="36" spans="1:37" x14ac:dyDescent="0.25">
      <c r="A36" s="431" t="s">
        <v>253</v>
      </c>
      <c r="B36" s="48">
        <v>44041</v>
      </c>
      <c r="C36" s="351">
        <v>0.33333333333333331</v>
      </c>
      <c r="D36" s="418">
        <f>IF(V062A_20[[#This Row],[FECHA]]-B35=1,((V062A_20[[#This Row],[HORA]]-C35)*24)+24,(V062A_20[[#This Row],[HORA]]-C35)*24)</f>
        <v>24</v>
      </c>
      <c r="E36" s="409" t="s">
        <v>49</v>
      </c>
      <c r="F36" s="29" t="s">
        <v>258</v>
      </c>
      <c r="G36" s="324"/>
      <c r="H36" s="306"/>
      <c r="I36" s="259">
        <f>IF(ISERROR(V062A_20[[#This Row],[DISTANCIA POR CARTA]]/V062A_20[[#This Row],[TIEMPO DE NAVEGACION]]),0,V062A_20[[#This Row],[DISTANCIA POR CARTA]]/V062A_20[[#This Row],[TIEMPO DE NAVEGACION]])</f>
        <v>0</v>
      </c>
      <c r="J36" s="242"/>
      <c r="K36" s="325"/>
      <c r="L36" s="418">
        <v>0</v>
      </c>
      <c r="M36" s="245">
        <v>0</v>
      </c>
      <c r="N36" s="245">
        <v>0</v>
      </c>
      <c r="O36" s="257">
        <f>SUM(V062A_20[[#This Row],[MPAL]:[CALDERA]])</f>
        <v>0</v>
      </c>
      <c r="P36" s="319"/>
      <c r="Q36" s="281">
        <f>(Q35-V062A_20[[#This Row],[TOTAL ]])+V062A_20[[#This Row],[FAENA]]</f>
        <v>570.59999999999991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SUM(V062A_20[[#This Row],[MPAL2]:[GI]])</f>
        <v>0</v>
      </c>
      <c r="X36" s="246"/>
      <c r="Y36" s="282">
        <f>(Y35-V062A_20[[#This Row],[TOTAL]])+V062A_20[[#This Row],[FAENA2]]</f>
        <v>86.4</v>
      </c>
      <c r="Z36" s="245">
        <v>0</v>
      </c>
      <c r="AA36" s="246">
        <v>0</v>
      </c>
      <c r="AB36" s="320">
        <f>(AB35-V062A_20[[#This Row],[CYLINDER MP]])+V062A_20[[#This Row],[FAENA EN LTS]]</f>
        <v>3010</v>
      </c>
      <c r="AC36" s="246">
        <v>0</v>
      </c>
      <c r="AD36" s="246">
        <v>0</v>
      </c>
      <c r="AE36" s="320">
        <f>(AE35-V062A_20[[#This Row],[CARTER MP.]])+V062A_20[[#This Row],[FAENA EN LTS2]]</f>
        <v>4300</v>
      </c>
      <c r="AF36" s="246">
        <v>0</v>
      </c>
      <c r="AG36" s="246">
        <v>0</v>
      </c>
      <c r="AH36" s="320">
        <f>(AH35-V062A_20[[#This Row],[MOT AUX]])+V062A_20[[#This Row],[FAENA EN  LTS]]</f>
        <v>3490</v>
      </c>
      <c r="AI36" s="246">
        <v>0</v>
      </c>
      <c r="AJ36" s="246">
        <v>0</v>
      </c>
      <c r="AK36" s="321">
        <f>(AK35-V062A_20[[#This Row],[HIDRAULICO]])+V062A_20[[#This Row],[FAENA EN LTS3]]</f>
        <v>2650</v>
      </c>
    </row>
    <row r="37" spans="1:37" x14ac:dyDescent="0.25">
      <c r="A37" s="431" t="s">
        <v>253</v>
      </c>
      <c r="B37" s="48">
        <v>44042</v>
      </c>
      <c r="C37" s="351">
        <v>0.33333333333333331</v>
      </c>
      <c r="D37" s="418">
        <f>IF(V062A_20[[#This Row],[FECHA]]-B36=1,((V062A_20[[#This Row],[HORA]]-C36)*24)+24,(V062A_20[[#This Row],[HORA]]-C36)*24)</f>
        <v>24</v>
      </c>
      <c r="E37" s="409" t="s">
        <v>49</v>
      </c>
      <c r="F37" s="29" t="s">
        <v>258</v>
      </c>
      <c r="G37" s="324"/>
      <c r="H37" s="306"/>
      <c r="I37" s="259">
        <f>IF(ISERROR(V062A_20[[#This Row],[DISTANCIA POR CARTA]]/V062A_20[[#This Row],[TIEMPO DE NAVEGACION]]),0,V062A_20[[#This Row],[DISTANCIA POR CARTA]]/V062A_20[[#This Row],[TIEMPO DE NAVEGACION]])</f>
        <v>0</v>
      </c>
      <c r="J37" s="380"/>
      <c r="K37" s="325"/>
      <c r="L37" s="418">
        <v>0</v>
      </c>
      <c r="M37" s="245">
        <v>0</v>
      </c>
      <c r="N37" s="245">
        <v>0</v>
      </c>
      <c r="O37" s="257">
        <f>SUM(V062A_20[[#This Row],[MPAL]:[CALDERA]])</f>
        <v>0</v>
      </c>
      <c r="P37" s="319"/>
      <c r="Q37" s="281">
        <f>(Q36-V062A_20[[#This Row],[TOTAL ]])+V062A_20[[#This Row],[FAENA]]</f>
        <v>570.59999999999991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SUM(V062A_20[[#This Row],[MPAL2]:[GI]])</f>
        <v>0</v>
      </c>
      <c r="X37" s="246"/>
      <c r="Y37" s="282">
        <f>(Y36-V062A_20[[#This Row],[TOTAL]])+V062A_20[[#This Row],[FAENA2]]</f>
        <v>86.4</v>
      </c>
      <c r="Z37" s="245">
        <v>0</v>
      </c>
      <c r="AA37" s="246">
        <v>0</v>
      </c>
      <c r="AB37" s="320">
        <f>(AB36-V062A_20[[#This Row],[CYLINDER MP]])+V062A_20[[#This Row],[FAENA EN LTS]]</f>
        <v>3010</v>
      </c>
      <c r="AC37" s="246">
        <v>0</v>
      </c>
      <c r="AD37" s="246">
        <v>0</v>
      </c>
      <c r="AE37" s="320">
        <f>(AE36-V062A_20[[#This Row],[CARTER MP.]])+V062A_20[[#This Row],[FAENA EN LTS2]]</f>
        <v>4300</v>
      </c>
      <c r="AF37" s="246">
        <v>0</v>
      </c>
      <c r="AG37" s="246">
        <v>0</v>
      </c>
      <c r="AH37" s="320">
        <f>(AH36-V062A_20[[#This Row],[MOT AUX]])+V062A_20[[#This Row],[FAENA EN  LTS]]</f>
        <v>3490</v>
      </c>
      <c r="AI37" s="246">
        <v>0</v>
      </c>
      <c r="AJ37" s="246">
        <v>0</v>
      </c>
      <c r="AK37" s="321">
        <f>(AK36-V062A_20[[#This Row],[HIDRAULICO]])+V062A_20[[#This Row],[FAENA EN LTS3]]</f>
        <v>2650</v>
      </c>
    </row>
    <row r="38" spans="1:37" x14ac:dyDescent="0.25">
      <c r="A38" s="431" t="s">
        <v>253</v>
      </c>
      <c r="B38" s="48">
        <v>44043</v>
      </c>
      <c r="C38" s="351">
        <v>0.33333333333333331</v>
      </c>
      <c r="D38" s="418">
        <f>IF(V062A_20[[#This Row],[FECHA]]-B37=1,((V062A_20[[#This Row],[HORA]]-C37)*24)+24,(V062A_20[[#This Row],[HORA]]-C37)*24)</f>
        <v>24</v>
      </c>
      <c r="E38" s="409" t="s">
        <v>49</v>
      </c>
      <c r="F38" s="29" t="s">
        <v>258</v>
      </c>
      <c r="G38" s="324"/>
      <c r="H38" s="306"/>
      <c r="I38" s="259">
        <f>IF(ISERROR(V062A_20[[#This Row],[DISTANCIA POR CARTA]]/V062A_20[[#This Row],[TIEMPO DE NAVEGACION]]),0,V062A_20[[#This Row],[DISTANCIA POR CARTA]]/V062A_20[[#This Row],[TIEMPO DE NAVEGACION]])</f>
        <v>0</v>
      </c>
      <c r="J38" s="242"/>
      <c r="K38" s="325"/>
      <c r="L38" s="418">
        <v>0</v>
      </c>
      <c r="M38" s="245">
        <v>0</v>
      </c>
      <c r="N38" s="245">
        <v>0</v>
      </c>
      <c r="O38" s="257">
        <f>SUM(V062A_20[[#This Row],[MPAL]:[CALDERA]])</f>
        <v>0</v>
      </c>
      <c r="P38" s="319"/>
      <c r="Q38" s="281">
        <f>(Q37-V062A_20[[#This Row],[TOTAL ]])+V062A_20[[#This Row],[FAENA]]</f>
        <v>570.59999999999991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SUM(V062A_20[[#This Row],[MPAL2]:[GI]])</f>
        <v>0</v>
      </c>
      <c r="X38" s="246"/>
      <c r="Y38" s="282">
        <f>(Y37-V062A_20[[#This Row],[TOTAL]])+V062A_20[[#This Row],[FAENA2]]</f>
        <v>86.4</v>
      </c>
      <c r="Z38" s="245">
        <v>0</v>
      </c>
      <c r="AA38" s="246">
        <v>0</v>
      </c>
      <c r="AB38" s="320">
        <f>(AB37-V062A_20[[#This Row],[CYLINDER MP]])+V062A_20[[#This Row],[FAENA EN LTS]]</f>
        <v>3010</v>
      </c>
      <c r="AC38" s="246">
        <v>0</v>
      </c>
      <c r="AD38" s="246">
        <v>0</v>
      </c>
      <c r="AE38" s="320">
        <f>(AE37-V062A_20[[#This Row],[CARTER MP.]])+V062A_20[[#This Row],[FAENA EN LTS2]]</f>
        <v>4300</v>
      </c>
      <c r="AF38" s="246">
        <v>0</v>
      </c>
      <c r="AG38" s="246">
        <v>0</v>
      </c>
      <c r="AH38" s="320">
        <f>(AH37-V062A_20[[#This Row],[MOT AUX]])+V062A_20[[#This Row],[FAENA EN  LTS]]</f>
        <v>3490</v>
      </c>
      <c r="AI38" s="246">
        <v>0</v>
      </c>
      <c r="AJ38" s="246">
        <v>0</v>
      </c>
      <c r="AK38" s="321">
        <f>(AK37-V062A_20[[#This Row],[HIDRAULICO]])+V062A_20[[#This Row],[FAENA EN LTS3]]</f>
        <v>2650</v>
      </c>
    </row>
    <row r="39" spans="1:37" x14ac:dyDescent="0.25">
      <c r="A39" s="431" t="s">
        <v>253</v>
      </c>
      <c r="B39" s="48">
        <v>44044</v>
      </c>
      <c r="C39" s="351">
        <v>0.33333333333333331</v>
      </c>
      <c r="D39" s="418">
        <f>IF(V062A_20[[#This Row],[FECHA]]-B38=1,((V062A_20[[#This Row],[HORA]]-C38)*24)+24,(V062A_20[[#This Row],[HORA]]-C38)*24)</f>
        <v>24</v>
      </c>
      <c r="E39" s="409" t="s">
        <v>49</v>
      </c>
      <c r="F39" s="29" t="s">
        <v>258</v>
      </c>
      <c r="G39" s="324"/>
      <c r="H39" s="306"/>
      <c r="I39" s="259">
        <f>IF(ISERROR(V062A_20[[#This Row],[DISTANCIA POR CARTA]]/V062A_20[[#This Row],[TIEMPO DE NAVEGACION]]),0,V062A_20[[#This Row],[DISTANCIA POR CARTA]]/V062A_20[[#This Row],[TIEMPO DE NAVEGACION]])</f>
        <v>0</v>
      </c>
      <c r="J39" s="242"/>
      <c r="K39" s="325"/>
      <c r="L39" s="245">
        <v>0</v>
      </c>
      <c r="M39" s="245">
        <v>0</v>
      </c>
      <c r="N39" s="245">
        <v>0</v>
      </c>
      <c r="O39" s="257">
        <f>SUM(V062A_20[[#This Row],[MPAL]:[CALDERA]])</f>
        <v>0</v>
      </c>
      <c r="P39" s="319"/>
      <c r="Q39" s="281">
        <f>(Q38-V062A_20[[#This Row],[TOTAL ]])+V062A_20[[#This Row],[FAENA]]</f>
        <v>570.59999999999991</v>
      </c>
      <c r="R39" s="245">
        <v>0</v>
      </c>
      <c r="S39" s="246">
        <v>0</v>
      </c>
      <c r="T39" s="246">
        <v>1.5</v>
      </c>
      <c r="U39" s="246">
        <v>0</v>
      </c>
      <c r="V39" s="246">
        <v>0</v>
      </c>
      <c r="W39" s="257">
        <f>SUM(V062A_20[[#This Row],[MPAL2]:[GI]])</f>
        <v>1.5</v>
      </c>
      <c r="X39" s="246"/>
      <c r="Y39" s="282">
        <f>(Y38-V062A_20[[#This Row],[TOTAL]])+V062A_20[[#This Row],[FAENA2]]</f>
        <v>84.9</v>
      </c>
      <c r="Z39" s="245">
        <v>0</v>
      </c>
      <c r="AA39" s="246">
        <v>0</v>
      </c>
      <c r="AB39" s="320">
        <f>(AB38-V062A_20[[#This Row],[CYLINDER MP]])+V062A_20[[#This Row],[FAENA EN LTS]]</f>
        <v>3010</v>
      </c>
      <c r="AC39" s="246">
        <v>500</v>
      </c>
      <c r="AD39" s="246">
        <v>0</v>
      </c>
      <c r="AE39" s="320">
        <f>(AE38-V062A_20[[#This Row],[CARTER MP.]])+V062A_20[[#This Row],[FAENA EN LTS2]]</f>
        <v>3800</v>
      </c>
      <c r="AF39" s="246">
        <v>0</v>
      </c>
      <c r="AG39" s="246">
        <v>0</v>
      </c>
      <c r="AH39" s="320">
        <f>(AH38-V062A_20[[#This Row],[MOT AUX]])+V062A_20[[#This Row],[FAENA EN  LTS]]</f>
        <v>3490</v>
      </c>
      <c r="AI39" s="246">
        <v>0</v>
      </c>
      <c r="AJ39" s="246">
        <v>0</v>
      </c>
      <c r="AK39" s="321">
        <f>(AK38-V062A_20[[#This Row],[HIDRAULICO]])+V062A_20[[#This Row],[FAENA EN LTS3]]</f>
        <v>2650</v>
      </c>
    </row>
    <row r="40" spans="1:37" x14ac:dyDescent="0.25">
      <c r="A40" s="431" t="s">
        <v>253</v>
      </c>
      <c r="B40" s="48">
        <v>44045</v>
      </c>
      <c r="C40" s="362">
        <v>0.33333333333333331</v>
      </c>
      <c r="D40" s="418">
        <f>IF(V062A_20[[#This Row],[FECHA]]-B39=1,((V062A_20[[#This Row],[HORA]]-C39)*24)+24,(V062A_20[[#This Row],[HORA]]-C39)*24)</f>
        <v>24</v>
      </c>
      <c r="E40" s="409" t="s">
        <v>49</v>
      </c>
      <c r="F40" s="29" t="s">
        <v>259</v>
      </c>
      <c r="G40" s="324"/>
      <c r="H40" s="306"/>
      <c r="I40" s="259">
        <f>IF(ISERROR(V062A_20[[#This Row],[DISTANCIA POR CARTA]]/V062A_20[[#This Row],[TIEMPO DE NAVEGACION]]),0,V062A_20[[#This Row],[DISTANCIA POR CARTA]]/V062A_20[[#This Row],[TIEMPO DE NAVEGACION]])</f>
        <v>0</v>
      </c>
      <c r="J40" s="242"/>
      <c r="K40" s="325"/>
      <c r="L40" s="245">
        <v>0</v>
      </c>
      <c r="M40" s="245">
        <v>0</v>
      </c>
      <c r="N40" s="245">
        <v>0</v>
      </c>
      <c r="O40" s="257">
        <f>SUM(V062A_20[[#This Row],[MPAL]:[CALDERA]])</f>
        <v>0</v>
      </c>
      <c r="P40" s="319"/>
      <c r="Q40" s="281">
        <f>(Q39-V062A_20[[#This Row],[TOTAL ]])+V062A_20[[#This Row],[FAENA]]</f>
        <v>570.59999999999991</v>
      </c>
      <c r="R40" s="245">
        <v>0</v>
      </c>
      <c r="S40" s="246">
        <v>2</v>
      </c>
      <c r="T40" s="246">
        <v>1.5</v>
      </c>
      <c r="U40" s="246">
        <v>0</v>
      </c>
      <c r="V40" s="246">
        <v>0</v>
      </c>
      <c r="W40" s="257">
        <f>SUM(V062A_20[[#This Row],[MPAL2]:[GI]])</f>
        <v>3.5</v>
      </c>
      <c r="X40" s="246"/>
      <c r="Y40" s="282">
        <f>(Y39-V062A_20[[#This Row],[TOTAL]])+V062A_20[[#This Row],[FAENA2]]</f>
        <v>81.400000000000006</v>
      </c>
      <c r="Z40" s="245">
        <v>0</v>
      </c>
      <c r="AA40" s="246">
        <v>0</v>
      </c>
      <c r="AB40" s="320">
        <f>(AB39-V062A_20[[#This Row],[CYLINDER MP]])+V062A_20[[#This Row],[FAENA EN LTS]]</f>
        <v>3010</v>
      </c>
      <c r="AC40" s="246">
        <v>0</v>
      </c>
      <c r="AD40" s="246">
        <v>0</v>
      </c>
      <c r="AE40" s="320">
        <f>(AE39-V062A_20[[#This Row],[CARTER MP.]])+V062A_20[[#This Row],[FAENA EN LTS2]]</f>
        <v>3800</v>
      </c>
      <c r="AF40" s="246">
        <v>0</v>
      </c>
      <c r="AG40" s="246">
        <v>0</v>
      </c>
      <c r="AH40" s="320">
        <f>(AH39-V062A_20[[#This Row],[MOT AUX]])+V062A_20[[#This Row],[FAENA EN  LTS]]</f>
        <v>3490</v>
      </c>
      <c r="AI40" s="246">
        <v>0</v>
      </c>
      <c r="AJ40" s="246">
        <v>0</v>
      </c>
      <c r="AK40" s="321">
        <f>(AK39-V062A_20[[#This Row],[HIDRAULICO]])+V062A_20[[#This Row],[FAENA EN LTS3]]</f>
        <v>2650</v>
      </c>
    </row>
    <row r="41" spans="1:37" x14ac:dyDescent="0.25">
      <c r="A41" s="431" t="s">
        <v>253</v>
      </c>
      <c r="B41" s="48">
        <v>44045</v>
      </c>
      <c r="C41" s="351">
        <v>0.4375</v>
      </c>
      <c r="D41" s="418">
        <f>IF(V062A_20[[#This Row],[FECHA]]-B40=1,((V062A_20[[#This Row],[HORA]]-C40)*24)+24,(V062A_20[[#This Row],[HORA]]-C40)*24)</f>
        <v>2.5000000000000004</v>
      </c>
      <c r="E41" s="239" t="s">
        <v>47</v>
      </c>
      <c r="F41" s="29" t="s">
        <v>45</v>
      </c>
      <c r="G41" s="324"/>
      <c r="H41" s="306"/>
      <c r="I41" s="259">
        <f>IF(ISERROR(V062A_20[[#This Row],[DISTANCIA POR CARTA]]/V062A_20[[#This Row],[TIEMPO DE NAVEGACION]]),0,V062A_20[[#This Row],[DISTANCIA POR CARTA]]/V062A_20[[#This Row],[TIEMPO DE NAVEGACION]])</f>
        <v>0</v>
      </c>
      <c r="J41" s="242"/>
      <c r="K41" s="325"/>
      <c r="L41" s="245">
        <v>0.1</v>
      </c>
      <c r="M41" s="245">
        <v>0.21</v>
      </c>
      <c r="N41" s="245">
        <v>0.16</v>
      </c>
      <c r="O41" s="257">
        <f>SUM(V062A_20[[#This Row],[MPAL]:[CALDERA]])</f>
        <v>0.47</v>
      </c>
      <c r="P41" s="319"/>
      <c r="Q41" s="281">
        <f>(Q40-V062A_20[[#This Row],[TOTAL ]])+V062A_20[[#This Row],[FAENA]]</f>
        <v>570.12999999999988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SUM(V062A_20[[#This Row],[MPAL2]:[GI]])</f>
        <v>0</v>
      </c>
      <c r="X41" s="246"/>
      <c r="Y41" s="282">
        <f>(Y40-V062A_20[[#This Row],[TOTAL]])+V062A_20[[#This Row],[FAENA2]]</f>
        <v>81.400000000000006</v>
      </c>
      <c r="Z41" s="245">
        <v>0</v>
      </c>
      <c r="AA41" s="246">
        <v>0</v>
      </c>
      <c r="AB41" s="320">
        <f>(AB40-V062A_20[[#This Row],[CYLINDER MP]])+V062A_20[[#This Row],[FAENA EN LTS]]</f>
        <v>3010</v>
      </c>
      <c r="AC41" s="246">
        <v>0</v>
      </c>
      <c r="AD41" s="246">
        <v>0</v>
      </c>
      <c r="AE41" s="320">
        <f>(AE40-V062A_20[[#This Row],[CARTER MP.]])+V062A_20[[#This Row],[FAENA EN LTS2]]</f>
        <v>3800</v>
      </c>
      <c r="AF41" s="246">
        <v>0</v>
      </c>
      <c r="AG41" s="246">
        <v>0</v>
      </c>
      <c r="AH41" s="320">
        <f>(AH40-V062A_20[[#This Row],[MOT AUX]])+V062A_20[[#This Row],[FAENA EN  LTS]]</f>
        <v>3490</v>
      </c>
      <c r="AI41" s="246">
        <v>0</v>
      </c>
      <c r="AJ41" s="246">
        <v>0</v>
      </c>
      <c r="AK41" s="321">
        <f>(AK40-V062A_20[[#This Row],[HIDRAULICO]])+V062A_20[[#This Row],[FAENA EN LTS3]]</f>
        <v>2650</v>
      </c>
    </row>
    <row r="42" spans="1:37" x14ac:dyDescent="0.25">
      <c r="A42" s="431" t="s">
        <v>253</v>
      </c>
      <c r="B42" s="48">
        <v>44045</v>
      </c>
      <c r="C42" s="362">
        <v>0.77083333333333337</v>
      </c>
      <c r="D42" s="418">
        <f>IF(V062A_20[[#This Row],[FECHA]]-B41=1,((V062A_20[[#This Row],[HORA]]-C41)*24)+24,(V062A_20[[#This Row],[HORA]]-C41)*24)</f>
        <v>8</v>
      </c>
      <c r="E42" s="239" t="s">
        <v>49</v>
      </c>
      <c r="F42" s="29" t="s">
        <v>46</v>
      </c>
      <c r="G42" s="324"/>
      <c r="H42" s="306"/>
      <c r="I42" s="259">
        <f>IF(ISERROR(V062A_20[[#This Row],[DISTANCIA POR CARTA]]/V062A_20[[#This Row],[TIEMPO DE NAVEGACION]]),0,V062A_20[[#This Row],[DISTANCIA POR CARTA]]/V062A_20[[#This Row],[TIEMPO DE NAVEGACION]])</f>
        <v>0</v>
      </c>
      <c r="J42" s="242"/>
      <c r="K42" s="325"/>
      <c r="L42" s="245">
        <v>0</v>
      </c>
      <c r="M42" s="245">
        <v>0.67</v>
      </c>
      <c r="N42" s="245">
        <v>0.5</v>
      </c>
      <c r="O42" s="257">
        <f>SUM(V062A_20[[#This Row],[MPAL]:[CALDERA]])</f>
        <v>1.17</v>
      </c>
      <c r="P42" s="319"/>
      <c r="Q42" s="281">
        <f>(Q41-V062A_20[[#This Row],[TOTAL ]])+V062A_20[[#This Row],[FAENA]]</f>
        <v>568.95999999999992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SUM(V062A_20[[#This Row],[MPAL2]:[GI]])</f>
        <v>0</v>
      </c>
      <c r="X42" s="246"/>
      <c r="Y42" s="282">
        <f>(Y41-V062A_20[[#This Row],[TOTAL]])+V062A_20[[#This Row],[FAENA2]]</f>
        <v>81.400000000000006</v>
      </c>
      <c r="Z42" s="245">
        <v>0</v>
      </c>
      <c r="AA42" s="246">
        <v>0</v>
      </c>
      <c r="AB42" s="320">
        <f>(AB41-V062A_20[[#This Row],[CYLINDER MP]])+V062A_20[[#This Row],[FAENA EN LTS]]</f>
        <v>3010</v>
      </c>
      <c r="AC42" s="246">
        <v>0</v>
      </c>
      <c r="AD42" s="246">
        <v>0</v>
      </c>
      <c r="AE42" s="320">
        <f>(AE41-V062A_20[[#This Row],[CARTER MP.]])+V062A_20[[#This Row],[FAENA EN LTS2]]</f>
        <v>3800</v>
      </c>
      <c r="AF42" s="246">
        <v>20</v>
      </c>
      <c r="AG42" s="246">
        <v>0</v>
      </c>
      <c r="AH42" s="320">
        <f>(AH41-V062A_20[[#This Row],[MOT AUX]])+V062A_20[[#This Row],[FAENA EN  LTS]]</f>
        <v>3470</v>
      </c>
      <c r="AI42" s="246">
        <v>250</v>
      </c>
      <c r="AJ42" s="246">
        <v>0</v>
      </c>
      <c r="AK42" s="321">
        <f>(AK41-V062A_20[[#This Row],[HIDRAULICO]])+V062A_20[[#This Row],[FAENA EN LTS3]]</f>
        <v>2400</v>
      </c>
    </row>
    <row r="43" spans="1:37" x14ac:dyDescent="0.25">
      <c r="A43" s="431" t="s">
        <v>253</v>
      </c>
      <c r="B43" s="48">
        <v>44045</v>
      </c>
      <c r="C43" s="41">
        <v>0.79166666666666663</v>
      </c>
      <c r="D43" s="418">
        <f>IF(V062A_20[[#This Row],[FECHA]]-B42=1,((V062A_20[[#This Row],[HORA]]-C42)*24)+24,(V062A_20[[#This Row],[HORA]]-C42)*24)</f>
        <v>0.49999999999999822</v>
      </c>
      <c r="E43" s="239" t="s">
        <v>47</v>
      </c>
      <c r="F43" s="29" t="s">
        <v>260</v>
      </c>
      <c r="G43" s="324"/>
      <c r="H43" s="306"/>
      <c r="I43" s="259">
        <f>IF(ISERROR(V062A_20[[#This Row],[DISTANCIA POR CARTA]]/V062A_20[[#This Row],[TIEMPO DE NAVEGACION]]),0,V062A_20[[#This Row],[DISTANCIA POR CARTA]]/V062A_20[[#This Row],[TIEMPO DE NAVEGACION]])</f>
        <v>0</v>
      </c>
      <c r="J43" s="242"/>
      <c r="K43" s="325"/>
      <c r="L43" s="245">
        <v>0.1</v>
      </c>
      <c r="M43" s="245">
        <v>0.04</v>
      </c>
      <c r="N43" s="245">
        <v>0.03</v>
      </c>
      <c r="O43" s="257">
        <f>SUM(V062A_20[[#This Row],[MPAL]:[CALDERA]])</f>
        <v>0.17</v>
      </c>
      <c r="P43" s="319"/>
      <c r="Q43" s="281">
        <f>(Q42-V062A_20[[#This Row],[TOTAL ]])+V062A_20[[#This Row],[FAENA]]</f>
        <v>568.79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SUM(V062A_20[[#This Row],[MPAL2]:[GI]])</f>
        <v>0</v>
      </c>
      <c r="X43" s="246"/>
      <c r="Y43" s="282">
        <f>(Y42-V062A_20[[#This Row],[TOTAL]])+V062A_20[[#This Row],[FAENA2]]</f>
        <v>81.400000000000006</v>
      </c>
      <c r="Z43" s="245">
        <v>10</v>
      </c>
      <c r="AA43" s="246">
        <v>0</v>
      </c>
      <c r="AB43" s="320">
        <f>(AB42-V062A_20[[#This Row],[CYLINDER MP]])+V062A_20[[#This Row],[FAENA EN LTS]]</f>
        <v>3000</v>
      </c>
      <c r="AC43" s="246">
        <v>0</v>
      </c>
      <c r="AD43" s="246">
        <v>0</v>
      </c>
      <c r="AE43" s="320">
        <f>(AE42-V062A_20[[#This Row],[CARTER MP.]])+V062A_20[[#This Row],[FAENA EN LTS2]]</f>
        <v>3800</v>
      </c>
      <c r="AF43" s="246">
        <v>0</v>
      </c>
      <c r="AG43" s="246">
        <v>0</v>
      </c>
      <c r="AH43" s="320">
        <f>(AH42-V062A_20[[#This Row],[MOT AUX]])+V062A_20[[#This Row],[FAENA EN  LTS]]</f>
        <v>3470</v>
      </c>
      <c r="AI43" s="246">
        <v>0</v>
      </c>
      <c r="AJ43" s="246">
        <v>0</v>
      </c>
      <c r="AK43" s="321">
        <f>(AK42-V062A_20[[#This Row],[HIDRAULICO]])+V062A_20[[#This Row],[FAENA EN LTS3]]</f>
        <v>2400</v>
      </c>
    </row>
    <row r="44" spans="1:37" x14ac:dyDescent="0.25">
      <c r="A44" s="431" t="s">
        <v>253</v>
      </c>
      <c r="B44" s="48">
        <v>44046</v>
      </c>
      <c r="C44" s="41">
        <v>0.33333333333333331</v>
      </c>
      <c r="D44" s="418">
        <f>IF(V062A_20[[#This Row],[FECHA]]-B43=1,((V062A_20[[#This Row],[HORA]]-C43)*24)+24,(V062A_20[[#This Row],[HORA]]-C43)*24)</f>
        <v>13</v>
      </c>
      <c r="E44" s="239" t="s">
        <v>61</v>
      </c>
      <c r="F44" s="29" t="s">
        <v>56</v>
      </c>
      <c r="G44" s="324"/>
      <c r="H44" s="306"/>
      <c r="I44" s="259">
        <f>IF(ISERROR(V062A_20[[#This Row],[DISTANCIA POR CARTA]]/V062A_20[[#This Row],[TIEMPO DE NAVEGACION]]),0,V062A_20[[#This Row],[DISTANCIA POR CARTA]]/V062A_20[[#This Row],[TIEMPO DE NAVEGACION]])</f>
        <v>0</v>
      </c>
      <c r="J44" s="380" t="s">
        <v>214</v>
      </c>
      <c r="K44" s="325">
        <v>97</v>
      </c>
      <c r="L44" s="245">
        <v>11.92</v>
      </c>
      <c r="M44" s="245">
        <v>1.35</v>
      </c>
      <c r="N44" s="245">
        <v>0</v>
      </c>
      <c r="O44" s="257">
        <f>SUM(V062A_20[[#This Row],[MPAL]:[CALDERA]])</f>
        <v>13.27</v>
      </c>
      <c r="P44" s="319"/>
      <c r="Q44" s="281">
        <f>(Q43-V062A_20[[#This Row],[TOTAL ]])+V062A_20[[#This Row],[FAENA]]</f>
        <v>555.52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SUM(V062A_20[[#This Row],[MPAL2]:[GI]])</f>
        <v>0</v>
      </c>
      <c r="X44" s="246"/>
      <c r="Y44" s="282">
        <f>(Y43-V062A_20[[#This Row],[TOTAL]])+V062A_20[[#This Row],[FAENA2]]</f>
        <v>81.400000000000006</v>
      </c>
      <c r="Z44" s="245">
        <v>150</v>
      </c>
      <c r="AA44" s="246">
        <v>0</v>
      </c>
      <c r="AB44" s="320">
        <f>(AB43-V062A_20[[#This Row],[CYLINDER MP]])+V062A_20[[#This Row],[FAENA EN LTS]]</f>
        <v>2850</v>
      </c>
      <c r="AC44" s="246">
        <v>0</v>
      </c>
      <c r="AD44" s="246">
        <v>0</v>
      </c>
      <c r="AE44" s="320">
        <f>(AE43-V062A_20[[#This Row],[CARTER MP.]])+V062A_20[[#This Row],[FAENA EN LTS2]]</f>
        <v>3800</v>
      </c>
      <c r="AF44" s="246">
        <v>20</v>
      </c>
      <c r="AG44" s="246">
        <v>0</v>
      </c>
      <c r="AH44" s="320">
        <f>(AH43-V062A_20[[#This Row],[MOT AUX]])+V062A_20[[#This Row],[FAENA EN  LTS]]</f>
        <v>3450</v>
      </c>
      <c r="AI44" s="246">
        <v>0</v>
      </c>
      <c r="AJ44" s="246">
        <v>0</v>
      </c>
      <c r="AK44" s="321">
        <f>(AK43-V062A_20[[#This Row],[HIDRAULICO]])+V062A_20[[#This Row],[FAENA EN LTS3]]</f>
        <v>2400</v>
      </c>
    </row>
    <row r="45" spans="1:37" x14ac:dyDescent="0.25">
      <c r="A45" s="431" t="s">
        <v>253</v>
      </c>
      <c r="B45" s="48">
        <v>44047</v>
      </c>
      <c r="C45" s="41">
        <v>0.33333333333333331</v>
      </c>
      <c r="D45" s="418">
        <f>IF(V062A_20[[#This Row],[FECHA]]-B44=1,((V062A_20[[#This Row],[HORA]]-C44)*24)+24,(V062A_20[[#This Row],[HORA]]-C44)*24)</f>
        <v>24</v>
      </c>
      <c r="E45" s="409" t="s">
        <v>61</v>
      </c>
      <c r="F45" s="29" t="s">
        <v>56</v>
      </c>
      <c r="G45" s="324"/>
      <c r="H45" s="306"/>
      <c r="I45" s="259">
        <f>IF(ISERROR(V062A_20[[#This Row],[DISTANCIA POR CARTA]]/V062A_20[[#This Row],[TIEMPO DE NAVEGACION]]),0,V062A_20[[#This Row],[DISTANCIA POR CARTA]]/V062A_20[[#This Row],[TIEMPO DE NAVEGACION]])</f>
        <v>0</v>
      </c>
      <c r="J45" s="380" t="s">
        <v>214</v>
      </c>
      <c r="K45" s="325">
        <v>97</v>
      </c>
      <c r="L45" s="245">
        <v>22</v>
      </c>
      <c r="M45" s="245">
        <v>2.5</v>
      </c>
      <c r="N45" s="245">
        <v>0</v>
      </c>
      <c r="O45" s="257">
        <f>SUM(V062A_20[[#This Row],[MPAL]:[CALDERA]])</f>
        <v>24.5</v>
      </c>
      <c r="P45" s="319"/>
      <c r="Q45" s="281">
        <f>(Q44-V062A_20[[#This Row],[TOTAL ]])+V062A_20[[#This Row],[FAENA]]</f>
        <v>531.02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SUM(V062A_20[[#This Row],[MPAL2]:[GI]])</f>
        <v>0</v>
      </c>
      <c r="X45" s="246"/>
      <c r="Y45" s="282">
        <f>(Y44-V062A_20[[#This Row],[TOTAL]])+V062A_20[[#This Row],[FAENA2]]</f>
        <v>81.400000000000006</v>
      </c>
      <c r="Z45" s="245">
        <v>280</v>
      </c>
      <c r="AA45" s="246">
        <v>0</v>
      </c>
      <c r="AB45" s="320">
        <f>(AB44-V062A_20[[#This Row],[CYLINDER MP]])+V062A_20[[#This Row],[FAENA EN LTS]]</f>
        <v>2570</v>
      </c>
      <c r="AC45" s="246">
        <v>0</v>
      </c>
      <c r="AD45" s="246">
        <v>0</v>
      </c>
      <c r="AE45" s="320">
        <f>(AE44-V062A_20[[#This Row],[CARTER MP.]])+V062A_20[[#This Row],[FAENA EN LTS2]]</f>
        <v>3800</v>
      </c>
      <c r="AF45" s="246">
        <v>20</v>
      </c>
      <c r="AG45" s="246">
        <v>0</v>
      </c>
      <c r="AH45" s="320">
        <f>(AH44-V062A_20[[#This Row],[MOT AUX]])+V062A_20[[#This Row],[FAENA EN  LTS]]</f>
        <v>3430</v>
      </c>
      <c r="AI45" s="246">
        <v>0</v>
      </c>
      <c r="AJ45" s="246">
        <v>0</v>
      </c>
      <c r="AK45" s="321">
        <f>(AK44-V062A_20[[#This Row],[HIDRAULICO]])+V062A_20[[#This Row],[FAENA EN LTS3]]</f>
        <v>2400</v>
      </c>
    </row>
    <row r="46" spans="1:37" x14ac:dyDescent="0.25">
      <c r="A46" s="431" t="s">
        <v>253</v>
      </c>
      <c r="B46" s="48">
        <v>44048</v>
      </c>
      <c r="C46" s="41">
        <v>0.33333333333333331</v>
      </c>
      <c r="D46" s="418">
        <v>25</v>
      </c>
      <c r="E46" s="239" t="s">
        <v>61</v>
      </c>
      <c r="F46" s="29" t="s">
        <v>56</v>
      </c>
      <c r="G46" s="324"/>
      <c r="H46" s="306"/>
      <c r="I46" s="259">
        <f>IF(ISERROR(V062A_20[[#This Row],[DISTANCIA POR CARTA]]/V062A_20[[#This Row],[TIEMPO DE NAVEGACION]]),0,V062A_20[[#This Row],[DISTANCIA POR CARTA]]/V062A_20[[#This Row],[TIEMPO DE NAVEGACION]])</f>
        <v>0</v>
      </c>
      <c r="J46" s="380" t="s">
        <v>214</v>
      </c>
      <c r="K46" s="325">
        <v>97</v>
      </c>
      <c r="L46" s="245">
        <v>22.92</v>
      </c>
      <c r="M46" s="245">
        <v>2.6</v>
      </c>
      <c r="N46" s="245">
        <v>0</v>
      </c>
      <c r="O46" s="257">
        <f>SUM(V062A_20[[#This Row],[MPAL]:[CALDERA]])</f>
        <v>25.520000000000003</v>
      </c>
      <c r="P46" s="319"/>
      <c r="Q46" s="281">
        <f>(Q45-V062A_20[[#This Row],[TOTAL ]])+V062A_20[[#This Row],[FAENA]]</f>
        <v>505.5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SUM(V062A_20[[#This Row],[MPAL2]:[GI]])</f>
        <v>0</v>
      </c>
      <c r="X46" s="246"/>
      <c r="Y46" s="282">
        <f>(Y45-V062A_20[[#This Row],[TOTAL]])+V062A_20[[#This Row],[FAENA2]]</f>
        <v>81.400000000000006</v>
      </c>
      <c r="Z46" s="245">
        <v>280</v>
      </c>
      <c r="AA46" s="246">
        <v>0</v>
      </c>
      <c r="AB46" s="320">
        <f>(AB45-V062A_20[[#This Row],[CYLINDER MP]])+V062A_20[[#This Row],[FAENA EN LTS]]</f>
        <v>2290</v>
      </c>
      <c r="AC46" s="246">
        <v>0</v>
      </c>
      <c r="AD46" s="246">
        <v>0</v>
      </c>
      <c r="AE46" s="320">
        <f>(AE45-V062A_20[[#This Row],[CARTER MP.]])+V062A_20[[#This Row],[FAENA EN LTS2]]</f>
        <v>3800</v>
      </c>
      <c r="AF46" s="246">
        <v>20</v>
      </c>
      <c r="AG46" s="246">
        <v>0</v>
      </c>
      <c r="AH46" s="320">
        <f>(AH45-V062A_20[[#This Row],[MOT AUX]])+V062A_20[[#This Row],[FAENA EN  LTS]]</f>
        <v>3410</v>
      </c>
      <c r="AI46" s="246">
        <v>0</v>
      </c>
      <c r="AJ46" s="246">
        <v>0</v>
      </c>
      <c r="AK46" s="321">
        <f>(AK45-V062A_20[[#This Row],[HIDRAULICO]])+V062A_20[[#This Row],[FAENA EN LTS3]]</f>
        <v>2400</v>
      </c>
    </row>
    <row r="47" spans="1:37" x14ac:dyDescent="0.25">
      <c r="A47" s="431" t="s">
        <v>253</v>
      </c>
      <c r="B47" s="48">
        <v>44049</v>
      </c>
      <c r="C47" s="41">
        <v>0.33333333333333331</v>
      </c>
      <c r="D47" s="418">
        <f>IF(V062A_20[[#This Row],[FECHA]]-B46=1,((V062A_20[[#This Row],[HORA]]-C46)*24)+24,(V062A_20[[#This Row],[HORA]]-C46)*24)</f>
        <v>24</v>
      </c>
      <c r="E47" s="409" t="s">
        <v>61</v>
      </c>
      <c r="F47" s="29" t="s">
        <v>56</v>
      </c>
      <c r="G47" s="324"/>
      <c r="H47" s="306"/>
      <c r="I47" s="259">
        <f>IF(ISERROR(V062A_20[[#This Row],[DISTANCIA POR CARTA]]/V062A_20[[#This Row],[TIEMPO DE NAVEGACION]]),0,V062A_20[[#This Row],[DISTANCIA POR CARTA]]/V062A_20[[#This Row],[TIEMPO DE NAVEGACION]])</f>
        <v>0</v>
      </c>
      <c r="J47" s="380" t="s">
        <v>214</v>
      </c>
      <c r="K47" s="325">
        <v>97</v>
      </c>
      <c r="L47" s="245">
        <v>22</v>
      </c>
      <c r="M47" s="245">
        <v>2.5</v>
      </c>
      <c r="N47" s="245">
        <v>0</v>
      </c>
      <c r="O47" s="257">
        <f>SUM(V062A_20[[#This Row],[MPAL]:[CALDERA]])</f>
        <v>24.5</v>
      </c>
      <c r="P47" s="319"/>
      <c r="Q47" s="281">
        <f>(Q46-V062A_20[[#This Row],[TOTAL ]])+V062A_20[[#This Row],[FAENA]]</f>
        <v>481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SUM(V062A_20[[#This Row],[MPAL2]:[GI]])</f>
        <v>0</v>
      </c>
      <c r="X47" s="246"/>
      <c r="Y47" s="282">
        <f>(Y46-V062A_20[[#This Row],[TOTAL]])+V062A_20[[#This Row],[FAENA2]]</f>
        <v>81.400000000000006</v>
      </c>
      <c r="Z47" s="245">
        <v>280</v>
      </c>
      <c r="AA47" s="246">
        <v>0</v>
      </c>
      <c r="AB47" s="320">
        <f>(AB46-V062A_20[[#This Row],[CYLINDER MP]])+V062A_20[[#This Row],[FAENA EN LTS]]</f>
        <v>2010</v>
      </c>
      <c r="AC47" s="246">
        <v>0</v>
      </c>
      <c r="AD47" s="246">
        <v>0</v>
      </c>
      <c r="AE47" s="320">
        <f>(AE46-V062A_20[[#This Row],[CARTER MP.]])+V062A_20[[#This Row],[FAENA EN LTS2]]</f>
        <v>3800</v>
      </c>
      <c r="AF47" s="246">
        <v>20</v>
      </c>
      <c r="AG47" s="246">
        <v>0</v>
      </c>
      <c r="AH47" s="320">
        <f>(AH46-V062A_20[[#This Row],[MOT AUX]])+V062A_20[[#This Row],[FAENA EN  LTS]]</f>
        <v>3390</v>
      </c>
      <c r="AI47" s="246">
        <v>0</v>
      </c>
      <c r="AJ47" s="246">
        <v>0</v>
      </c>
      <c r="AK47" s="321">
        <f>(AK46-V062A_20[[#This Row],[HIDRAULICO]])+V062A_20[[#This Row],[FAENA EN LTS3]]</f>
        <v>2400</v>
      </c>
    </row>
    <row r="48" spans="1:37" x14ac:dyDescent="0.25">
      <c r="A48" s="431" t="s">
        <v>253</v>
      </c>
      <c r="B48" s="48">
        <v>44050</v>
      </c>
      <c r="C48" s="41">
        <v>0.33333333333333331</v>
      </c>
      <c r="D48" s="418">
        <f>IF(V062A_20[[#This Row],[FECHA]]-B47=1,((V062A_20[[#This Row],[HORA]]-C47)*24)+24,(V062A_20[[#This Row],[HORA]]-C47)*24)</f>
        <v>24</v>
      </c>
      <c r="E48" s="409" t="s">
        <v>61</v>
      </c>
      <c r="F48" s="29" t="s">
        <v>56</v>
      </c>
      <c r="G48" s="324"/>
      <c r="H48" s="306"/>
      <c r="I48" s="259">
        <f>IF(ISERROR(V062A_20[[#This Row],[DISTANCIA POR CARTA]]/V062A_20[[#This Row],[TIEMPO DE NAVEGACION]]),0,V062A_20[[#This Row],[DISTANCIA POR CARTA]]/V062A_20[[#This Row],[TIEMPO DE NAVEGACION]])</f>
        <v>0</v>
      </c>
      <c r="J48" s="380" t="s">
        <v>218</v>
      </c>
      <c r="K48" s="325">
        <v>97</v>
      </c>
      <c r="L48" s="245">
        <v>22</v>
      </c>
      <c r="M48" s="245">
        <v>2.5</v>
      </c>
      <c r="N48" s="245">
        <v>0</v>
      </c>
      <c r="O48" s="257">
        <f>SUM(V062A_20[[#This Row],[MPAL]:[CALDERA]])</f>
        <v>24.5</v>
      </c>
      <c r="P48" s="319"/>
      <c r="Q48" s="281">
        <f>(Q47-V062A_20[[#This Row],[TOTAL ]])+V062A_20[[#This Row],[FAENA]]</f>
        <v>456.5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SUM(V062A_20[[#This Row],[MPAL2]:[GI]])</f>
        <v>0</v>
      </c>
      <c r="X48" s="246"/>
      <c r="Y48" s="282">
        <f>(Y47-V062A_20[[#This Row],[TOTAL]])+V062A_20[[#This Row],[FAENA2]]</f>
        <v>81.400000000000006</v>
      </c>
      <c r="Z48" s="245">
        <v>280</v>
      </c>
      <c r="AA48" s="246">
        <v>0</v>
      </c>
      <c r="AB48" s="320">
        <f>(AB47-V062A_20[[#This Row],[CYLINDER MP]])+V062A_20[[#This Row],[FAENA EN LTS]]</f>
        <v>1730</v>
      </c>
      <c r="AC48" s="246">
        <v>0</v>
      </c>
      <c r="AD48" s="246">
        <v>0</v>
      </c>
      <c r="AE48" s="320">
        <f>(AE47-V062A_20[[#This Row],[CARTER MP.]])+V062A_20[[#This Row],[FAENA EN LTS2]]</f>
        <v>3800</v>
      </c>
      <c r="AF48" s="246">
        <v>20</v>
      </c>
      <c r="AG48" s="246">
        <v>0</v>
      </c>
      <c r="AH48" s="320">
        <f>(AH47-V062A_20[[#This Row],[MOT AUX]])+V062A_20[[#This Row],[FAENA EN  LTS]]</f>
        <v>3370</v>
      </c>
      <c r="AI48" s="246">
        <v>0</v>
      </c>
      <c r="AJ48" s="246">
        <v>0</v>
      </c>
      <c r="AK48" s="321">
        <f>(AK47-V062A_20[[#This Row],[HIDRAULICO]])+V062A_20[[#This Row],[FAENA EN LTS3]]</f>
        <v>2400</v>
      </c>
    </row>
    <row r="49" spans="1:37" x14ac:dyDescent="0.25">
      <c r="A49" s="431" t="s">
        <v>253</v>
      </c>
      <c r="B49" s="48">
        <v>44050</v>
      </c>
      <c r="C49" s="41">
        <v>0.41666666666666669</v>
      </c>
      <c r="D49" s="418">
        <f>IF(V062A_20[[#This Row],[FECHA]]-B48=1,((V062A_20[[#This Row],[HORA]]-C48)*24)+24,(V062A_20[[#This Row],[HORA]]-C48)*24)</f>
        <v>2.0000000000000009</v>
      </c>
      <c r="E49" s="409" t="s">
        <v>61</v>
      </c>
      <c r="F49" s="29" t="s">
        <v>62</v>
      </c>
      <c r="G49" s="324">
        <v>1501</v>
      </c>
      <c r="H49" s="306">
        <v>112</v>
      </c>
      <c r="I49" s="259">
        <f>IF(ISERROR(V062A_20[[#This Row],[DISTANCIA POR CARTA]]/V062A_20[[#This Row],[TIEMPO DE NAVEGACION]]),0,V062A_20[[#This Row],[DISTANCIA POR CARTA]]/V062A_20[[#This Row],[TIEMPO DE NAVEGACION]])</f>
        <v>13.401785714285714</v>
      </c>
      <c r="J49" s="380" t="s">
        <v>218</v>
      </c>
      <c r="K49" s="325">
        <v>97</v>
      </c>
      <c r="L49" s="245">
        <v>1.83</v>
      </c>
      <c r="M49" s="245">
        <v>0.21</v>
      </c>
      <c r="N49" s="245">
        <v>0</v>
      </c>
      <c r="O49" s="257">
        <f>SUM(V062A_20[[#This Row],[MPAL]:[CALDERA]])</f>
        <v>2.04</v>
      </c>
      <c r="P49" s="319"/>
      <c r="Q49" s="281">
        <f>(Q48-V062A_20[[#This Row],[TOTAL ]])+V062A_20[[#This Row],[FAENA]]</f>
        <v>454.46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SUM(V062A_20[[#This Row],[MPAL2]:[GI]])</f>
        <v>0</v>
      </c>
      <c r="X49" s="246"/>
      <c r="Y49" s="282">
        <f>(Y48-V062A_20[[#This Row],[TOTAL]])+V062A_20[[#This Row],[FAENA2]]</f>
        <v>81.400000000000006</v>
      </c>
      <c r="Z49" s="245">
        <v>20</v>
      </c>
      <c r="AA49" s="246">
        <v>0</v>
      </c>
      <c r="AB49" s="320">
        <f>(AB48-V062A_20[[#This Row],[CYLINDER MP]])+V062A_20[[#This Row],[FAENA EN LTS]]</f>
        <v>1710</v>
      </c>
      <c r="AC49" s="246">
        <v>0</v>
      </c>
      <c r="AD49" s="246">
        <v>0</v>
      </c>
      <c r="AE49" s="320">
        <f>(AE48-V062A_20[[#This Row],[CARTER MP.]])+V062A_20[[#This Row],[FAENA EN LTS2]]</f>
        <v>3800</v>
      </c>
      <c r="AF49" s="246">
        <v>0</v>
      </c>
      <c r="AG49" s="246">
        <v>0</v>
      </c>
      <c r="AH49" s="320">
        <f>(AH48-V062A_20[[#This Row],[MOT AUX]])+V062A_20[[#This Row],[FAENA EN  LTS]]</f>
        <v>3370</v>
      </c>
      <c r="AI49" s="246">
        <v>0</v>
      </c>
      <c r="AJ49" s="246">
        <v>0</v>
      </c>
      <c r="AK49" s="321">
        <f>(AK48-V062A_20[[#This Row],[HIDRAULICO]])+V062A_20[[#This Row],[FAENA EN LTS3]]</f>
        <v>2400</v>
      </c>
    </row>
    <row r="50" spans="1:37" x14ac:dyDescent="0.25">
      <c r="A50" s="431" t="s">
        <v>253</v>
      </c>
      <c r="B50" s="48">
        <v>44050</v>
      </c>
      <c r="C50" s="362">
        <v>0.45</v>
      </c>
      <c r="D50" s="418">
        <f>IF(V062A_20[[#This Row],[FECHA]]-B49=1,((V062A_20[[#This Row],[HORA]]-C49)*24)+24,(V062A_20[[#This Row],[HORA]]-C49)*24)</f>
        <v>0.79999999999999982</v>
      </c>
      <c r="E50" s="239" t="s">
        <v>47</v>
      </c>
      <c r="F50" s="29" t="s">
        <v>242</v>
      </c>
      <c r="G50" s="324"/>
      <c r="H50" s="306"/>
      <c r="I50" s="259">
        <f>IF(ISERROR(V062A_20[[#This Row],[DISTANCIA POR CARTA]]/V062A_20[[#This Row],[TIEMPO DE NAVEGACION]]),0,V062A_20[[#This Row],[DISTANCIA POR CARTA]]/V062A_20[[#This Row],[TIEMPO DE NAVEGACION]])</f>
        <v>0</v>
      </c>
      <c r="J50" s="242"/>
      <c r="K50" s="325"/>
      <c r="L50" s="245">
        <v>7.0000000000000007E-2</v>
      </c>
      <c r="M50" s="245">
        <v>7.0000000000000007E-2</v>
      </c>
      <c r="N50" s="245">
        <v>0.05</v>
      </c>
      <c r="O50" s="257">
        <f>SUM(V062A_20[[#This Row],[MPAL]:[CALDERA]])</f>
        <v>0.19</v>
      </c>
      <c r="P50" s="319"/>
      <c r="Q50" s="281">
        <f>(Q49-V062A_20[[#This Row],[TOTAL ]])+V062A_20[[#This Row],[FAENA]]</f>
        <v>454.27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SUM(V062A_20[[#This Row],[MPAL2]:[GI]])</f>
        <v>0</v>
      </c>
      <c r="X50" s="246"/>
      <c r="Y50" s="282">
        <f>(Y49-V062A_20[[#This Row],[TOTAL]])+V062A_20[[#This Row],[FAENA2]]</f>
        <v>81.400000000000006</v>
      </c>
      <c r="Z50" s="245">
        <v>0</v>
      </c>
      <c r="AA50" s="246">
        <v>0</v>
      </c>
      <c r="AB50" s="320">
        <f>(AB49-V062A_20[[#This Row],[CYLINDER MP]])+V062A_20[[#This Row],[FAENA EN LTS]]</f>
        <v>1710</v>
      </c>
      <c r="AC50" s="246">
        <v>0</v>
      </c>
      <c r="AD50" s="246">
        <v>0</v>
      </c>
      <c r="AE50" s="320">
        <f>(AE49-V062A_20[[#This Row],[CARTER MP.]])+V062A_20[[#This Row],[FAENA EN LTS2]]</f>
        <v>3800</v>
      </c>
      <c r="AF50" s="246">
        <v>0</v>
      </c>
      <c r="AG50" s="246">
        <v>0</v>
      </c>
      <c r="AH50" s="320">
        <f>(AH49-V062A_20[[#This Row],[MOT AUX]])+V062A_20[[#This Row],[FAENA EN  LTS]]</f>
        <v>3370</v>
      </c>
      <c r="AI50" s="246">
        <v>50</v>
      </c>
      <c r="AJ50" s="246">
        <v>0</v>
      </c>
      <c r="AK50" s="321">
        <f>(AK49-V062A_20[[#This Row],[HIDRAULICO]])+V062A_20[[#This Row],[FAENA EN LTS3]]</f>
        <v>2350</v>
      </c>
    </row>
    <row r="51" spans="1:37" x14ac:dyDescent="0.25">
      <c r="A51" s="431" t="s">
        <v>253</v>
      </c>
      <c r="B51" s="48">
        <v>44050</v>
      </c>
      <c r="C51" s="351">
        <v>0.60416666666666663</v>
      </c>
      <c r="D51" s="418">
        <f>IF(V062A_20[[#This Row],[FECHA]]-B50=1,((V062A_20[[#This Row],[HORA]]-C50)*24)+24,(V062A_20[[#This Row],[HORA]]-C50)*24)</f>
        <v>3.6999999999999988</v>
      </c>
      <c r="E51" s="239" t="s">
        <v>45</v>
      </c>
      <c r="F51" s="29" t="s">
        <v>261</v>
      </c>
      <c r="G51" s="324"/>
      <c r="H51" s="306"/>
      <c r="I51" s="259">
        <f>IF(ISERROR(V062A_20[[#This Row],[DISTANCIA POR CARTA]]/V062A_20[[#This Row],[TIEMPO DE NAVEGACION]]),0,V062A_20[[#This Row],[DISTANCIA POR CARTA]]/V062A_20[[#This Row],[TIEMPO DE NAVEGACION]])</f>
        <v>0</v>
      </c>
      <c r="J51" s="242"/>
      <c r="K51" s="325"/>
      <c r="L51" s="245">
        <v>0</v>
      </c>
      <c r="M51" s="245">
        <v>0.28000000000000003</v>
      </c>
      <c r="N51" s="245">
        <v>0.2</v>
      </c>
      <c r="O51" s="257">
        <f>SUM(V062A_20[[#This Row],[MPAL]:[CALDERA]])</f>
        <v>0.48000000000000004</v>
      </c>
      <c r="P51" s="319"/>
      <c r="Q51" s="281">
        <f>(Q50-V062A_20[[#This Row],[TOTAL ]])+V062A_20[[#This Row],[FAENA]]</f>
        <v>453.78999999999996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SUM(V062A_20[[#This Row],[MPAL2]:[GI]])</f>
        <v>0</v>
      </c>
      <c r="X51" s="246"/>
      <c r="Y51" s="282">
        <f>(Y50-V062A_20[[#This Row],[TOTAL]])+V062A_20[[#This Row],[FAENA2]]</f>
        <v>81.400000000000006</v>
      </c>
      <c r="Z51" s="245">
        <v>0</v>
      </c>
      <c r="AA51" s="246">
        <v>0</v>
      </c>
      <c r="AB51" s="320">
        <f>(AB50-V062A_20[[#This Row],[CYLINDER MP]])+V062A_20[[#This Row],[FAENA EN LTS]]</f>
        <v>1710</v>
      </c>
      <c r="AC51" s="246">
        <v>0</v>
      </c>
      <c r="AD51" s="246">
        <v>0</v>
      </c>
      <c r="AE51" s="320">
        <f>(AE50-V062A_20[[#This Row],[CARTER MP.]])+V062A_20[[#This Row],[FAENA EN LTS2]]</f>
        <v>3800</v>
      </c>
      <c r="AF51" s="246">
        <v>0</v>
      </c>
      <c r="AG51" s="246">
        <v>0</v>
      </c>
      <c r="AH51" s="320">
        <f>(AH50-V062A_20[[#This Row],[MOT AUX]])+V062A_20[[#This Row],[FAENA EN  LTS]]</f>
        <v>3370</v>
      </c>
      <c r="AI51" s="246">
        <v>0</v>
      </c>
      <c r="AJ51" s="246">
        <v>0</v>
      </c>
      <c r="AK51" s="321">
        <f>(AK50-V062A_20[[#This Row],[HIDRAULICO]])+V062A_20[[#This Row],[FAENA EN LTS3]]</f>
        <v>2350</v>
      </c>
    </row>
    <row r="52" spans="1:37" x14ac:dyDescent="0.25">
      <c r="A52" s="431" t="s">
        <v>253</v>
      </c>
      <c r="B52" s="48">
        <v>44051</v>
      </c>
      <c r="C52" s="362">
        <v>0.33333333333333331</v>
      </c>
      <c r="D52" s="418">
        <f>IF(V062A_20[[#This Row],[FECHA]]-B51=1,((V062A_20[[#This Row],[HORA]]-C51)*24)+24,(V062A_20[[#This Row],[HORA]]-C51)*24)</f>
        <v>17.5</v>
      </c>
      <c r="E52" s="409" t="s">
        <v>45</v>
      </c>
      <c r="F52" s="29" t="s">
        <v>45</v>
      </c>
      <c r="G52" s="324"/>
      <c r="H52" s="306"/>
      <c r="I52" s="259">
        <f>IF(ISERROR(V062A_20[[#This Row],[DISTANCIA POR CARTA]]/V062A_20[[#This Row],[TIEMPO DE NAVEGACION]]),0,V062A_20[[#This Row],[DISTANCIA POR CARTA]]/V062A_20[[#This Row],[TIEMPO DE NAVEGACION]])</f>
        <v>0</v>
      </c>
      <c r="J52" s="242"/>
      <c r="K52" s="325"/>
      <c r="L52" s="245">
        <v>0</v>
      </c>
      <c r="M52" s="245">
        <v>1.31</v>
      </c>
      <c r="N52" s="245">
        <v>1.08</v>
      </c>
      <c r="O52" s="257">
        <f>SUM(V062A_20[[#This Row],[MPAL]:[CALDERA]])</f>
        <v>2.39</v>
      </c>
      <c r="P52" s="319"/>
      <c r="Q52" s="281">
        <f>(Q51-V062A_20[[#This Row],[TOTAL ]])+V062A_20[[#This Row],[FAENA]]</f>
        <v>451.4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SUM(V062A_20[[#This Row],[MPAL2]:[GI]])</f>
        <v>0</v>
      </c>
      <c r="X52" s="246"/>
      <c r="Y52" s="282">
        <f>(Y51-V062A_20[[#This Row],[TOTAL]])+V062A_20[[#This Row],[FAENA2]]</f>
        <v>81.400000000000006</v>
      </c>
      <c r="Z52" s="245">
        <v>0</v>
      </c>
      <c r="AA52" s="246">
        <v>0</v>
      </c>
      <c r="AB52" s="320">
        <f>(AB51-V062A_20[[#This Row],[CYLINDER MP]])+V062A_20[[#This Row],[FAENA EN LTS]]</f>
        <v>1710</v>
      </c>
      <c r="AC52" s="246">
        <v>0</v>
      </c>
      <c r="AD52" s="246">
        <v>0</v>
      </c>
      <c r="AE52" s="320">
        <f>(AE51-V062A_20[[#This Row],[CARTER MP.]])+V062A_20[[#This Row],[FAENA EN LTS2]]</f>
        <v>3800</v>
      </c>
      <c r="AF52" s="246">
        <v>20</v>
      </c>
      <c r="AG52" s="246">
        <v>0</v>
      </c>
      <c r="AH52" s="320">
        <f>(AH51-V062A_20[[#This Row],[MOT AUX]])+V062A_20[[#This Row],[FAENA EN  LTS]]</f>
        <v>3350</v>
      </c>
      <c r="AI52" s="246">
        <v>0</v>
      </c>
      <c r="AJ52" s="246">
        <v>0</v>
      </c>
      <c r="AK52" s="321">
        <f>(AK51-V062A_20[[#This Row],[HIDRAULICO]])+V062A_20[[#This Row],[FAENA EN LTS3]]</f>
        <v>2350</v>
      </c>
    </row>
    <row r="53" spans="1:37" x14ac:dyDescent="0.25">
      <c r="A53" s="431" t="s">
        <v>253</v>
      </c>
      <c r="B53" s="48">
        <v>44052</v>
      </c>
      <c r="C53" s="351">
        <v>0.33333333333333331</v>
      </c>
      <c r="D53" s="418">
        <f>IF(V062A_20[[#This Row],[FECHA]]-B52=1,((V062A_20[[#This Row],[HORA]]-C52)*24)+24,(V062A_20[[#This Row],[HORA]]-C52)*24)</f>
        <v>24</v>
      </c>
      <c r="E53" s="409" t="s">
        <v>45</v>
      </c>
      <c r="F53" s="29" t="s">
        <v>45</v>
      </c>
      <c r="G53" s="324"/>
      <c r="H53" s="306"/>
      <c r="I53" s="259">
        <f>IF(ISERROR(V062A_20[[#This Row],[DISTANCIA POR CARTA]]/V062A_20[[#This Row],[TIEMPO DE NAVEGACION]]),0,V062A_20[[#This Row],[DISTANCIA POR CARTA]]/V062A_20[[#This Row],[TIEMPO DE NAVEGACION]])</f>
        <v>0</v>
      </c>
      <c r="J53" s="242"/>
      <c r="K53" s="325"/>
      <c r="L53" s="245">
        <v>0</v>
      </c>
      <c r="M53" s="245">
        <v>2</v>
      </c>
      <c r="N53" s="245">
        <v>1.8</v>
      </c>
      <c r="O53" s="257">
        <f>SUM(V062A_20[[#This Row],[MPAL]:[CALDERA]])</f>
        <v>3.8</v>
      </c>
      <c r="P53" s="319"/>
      <c r="Q53" s="281">
        <f>(Q52-V062A_20[[#This Row],[TOTAL ]])+V062A_20[[#This Row],[FAENA]]</f>
        <v>447.59999999999997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SUM(V062A_20[[#This Row],[MPAL2]:[GI]])</f>
        <v>0</v>
      </c>
      <c r="X53" s="246"/>
      <c r="Y53" s="282">
        <f>(Y52-V062A_20[[#This Row],[TOTAL]])+V062A_20[[#This Row],[FAENA2]]</f>
        <v>81.400000000000006</v>
      </c>
      <c r="Z53" s="245">
        <v>0</v>
      </c>
      <c r="AA53" s="246">
        <v>0</v>
      </c>
      <c r="AB53" s="320">
        <f>(AB52-V062A_20[[#This Row],[CYLINDER MP]])+V062A_20[[#This Row],[FAENA EN LTS]]</f>
        <v>1710</v>
      </c>
      <c r="AC53" s="246">
        <v>0</v>
      </c>
      <c r="AD53" s="246">
        <v>0</v>
      </c>
      <c r="AE53" s="320">
        <f>(AE52-V062A_20[[#This Row],[CARTER MP.]])+V062A_20[[#This Row],[FAENA EN LTS2]]</f>
        <v>3800</v>
      </c>
      <c r="AF53" s="246">
        <v>20</v>
      </c>
      <c r="AG53" s="246">
        <v>0</v>
      </c>
      <c r="AH53" s="320">
        <f>(AH52-V062A_20[[#This Row],[MOT AUX]])+V062A_20[[#This Row],[FAENA EN  LTS]]</f>
        <v>3330</v>
      </c>
      <c r="AI53" s="246">
        <v>0</v>
      </c>
      <c r="AJ53" s="246">
        <v>0</v>
      </c>
      <c r="AK53" s="321">
        <f>(AK52-V062A_20[[#This Row],[HIDRAULICO]])+V062A_20[[#This Row],[FAENA EN LTS3]]</f>
        <v>2350</v>
      </c>
    </row>
    <row r="54" spans="1:37" x14ac:dyDescent="0.25">
      <c r="A54" s="431" t="s">
        <v>253</v>
      </c>
      <c r="B54" s="48">
        <v>44053</v>
      </c>
      <c r="C54" s="41">
        <v>0.33333333333333331</v>
      </c>
      <c r="D54" s="418">
        <f>IF(V062A_20[[#This Row],[FECHA]]-B53=1,((V062A_20[[#This Row],[HORA]]-C53)*24)+24,(V062A_20[[#This Row],[HORA]]-C53)*24)</f>
        <v>24</v>
      </c>
      <c r="E54" s="409" t="s">
        <v>45</v>
      </c>
      <c r="F54" s="29" t="s">
        <v>45</v>
      </c>
      <c r="G54" s="324"/>
      <c r="H54" s="306"/>
      <c r="I54" s="259">
        <f>IF(ISERROR(V062A_20[[#This Row],[DISTANCIA POR CARTA]]/V062A_20[[#This Row],[TIEMPO DE NAVEGACION]]),0,V062A_20[[#This Row],[DISTANCIA POR CARTA]]/V062A_20[[#This Row],[TIEMPO DE NAVEGACION]])</f>
        <v>0</v>
      </c>
      <c r="J54" s="242"/>
      <c r="K54" s="325"/>
      <c r="L54" s="245">
        <v>0</v>
      </c>
      <c r="M54" s="245">
        <v>2</v>
      </c>
      <c r="N54" s="245">
        <v>1.8</v>
      </c>
      <c r="O54" s="257">
        <f>SUM(V062A_20[[#This Row],[MPAL]:[CALDERA]])</f>
        <v>3.8</v>
      </c>
      <c r="P54" s="319"/>
      <c r="Q54" s="281">
        <f>(Q53-V062A_20[[#This Row],[TOTAL ]])+V062A_20[[#This Row],[FAENA]]</f>
        <v>443.79999999999995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SUM(V062A_20[[#This Row],[MPAL2]:[GI]])</f>
        <v>0</v>
      </c>
      <c r="X54" s="246"/>
      <c r="Y54" s="282">
        <f>(Y53-V062A_20[[#This Row],[TOTAL]])+V062A_20[[#This Row],[FAENA2]]</f>
        <v>81.400000000000006</v>
      </c>
      <c r="Z54" s="245">
        <v>0</v>
      </c>
      <c r="AA54" s="246">
        <v>0</v>
      </c>
      <c r="AB54" s="320">
        <f>(AB53-V062A_20[[#This Row],[CYLINDER MP]])+V062A_20[[#This Row],[FAENA EN LTS]]</f>
        <v>1710</v>
      </c>
      <c r="AC54" s="246">
        <v>0</v>
      </c>
      <c r="AD54" s="246">
        <v>0</v>
      </c>
      <c r="AE54" s="320">
        <f>(AE53-V062A_20[[#This Row],[CARTER MP.]])+V062A_20[[#This Row],[FAENA EN LTS2]]</f>
        <v>3800</v>
      </c>
      <c r="AF54" s="246">
        <v>20</v>
      </c>
      <c r="AG54" s="246">
        <v>0</v>
      </c>
      <c r="AH54" s="320">
        <f>(AH53-V062A_20[[#This Row],[MOT AUX]])+V062A_20[[#This Row],[FAENA EN  LTS]]</f>
        <v>3310</v>
      </c>
      <c r="AI54" s="246">
        <v>0</v>
      </c>
      <c r="AJ54" s="246">
        <v>0</v>
      </c>
      <c r="AK54" s="321">
        <f>(AK53-V062A_20[[#This Row],[HIDRAULICO]])+V062A_20[[#This Row],[FAENA EN LTS3]]</f>
        <v>2350</v>
      </c>
    </row>
    <row r="55" spans="1:37" x14ac:dyDescent="0.25">
      <c r="A55" s="431" t="s">
        <v>253</v>
      </c>
      <c r="B55" s="48">
        <v>44054</v>
      </c>
      <c r="C55" s="41">
        <v>0.33333333333333331</v>
      </c>
      <c r="D55" s="418">
        <f>IF(V062A_20[[#This Row],[FECHA]]-B54=1,((V062A_20[[#This Row],[HORA]]-C54)*24)+24,(V062A_20[[#This Row],[HORA]]-C54)*24)</f>
        <v>24</v>
      </c>
      <c r="E55" s="409" t="s">
        <v>45</v>
      </c>
      <c r="F55" s="29" t="s">
        <v>45</v>
      </c>
      <c r="G55" s="324"/>
      <c r="H55" s="306"/>
      <c r="I55" s="259">
        <f>IF(ISERROR(V062A_20[[#This Row],[DISTANCIA POR CARTA]]/V062A_20[[#This Row],[TIEMPO DE NAVEGACION]]),0,V062A_20[[#This Row],[DISTANCIA POR CARTA]]/V062A_20[[#This Row],[TIEMPO DE NAVEGACION]])</f>
        <v>0</v>
      </c>
      <c r="J55" s="242"/>
      <c r="K55" s="325"/>
      <c r="L55" s="245">
        <v>0</v>
      </c>
      <c r="M55" s="245">
        <v>2</v>
      </c>
      <c r="N55" s="245">
        <v>1.8</v>
      </c>
      <c r="O55" s="257">
        <f>SUM(V062A_20[[#This Row],[MPAL]:[CALDERA]])</f>
        <v>3.8</v>
      </c>
      <c r="P55" s="319"/>
      <c r="Q55" s="281">
        <f>(Q54-V062A_20[[#This Row],[TOTAL ]])+V062A_20[[#This Row],[FAENA]]</f>
        <v>439.99999999999994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SUM(V062A_20[[#This Row],[MPAL2]:[GI]])</f>
        <v>0</v>
      </c>
      <c r="X55" s="246"/>
      <c r="Y55" s="282">
        <f>(Y54-V062A_20[[#This Row],[TOTAL]])+V062A_20[[#This Row],[FAENA2]]</f>
        <v>81.400000000000006</v>
      </c>
      <c r="Z55" s="245">
        <v>0</v>
      </c>
      <c r="AA55" s="246">
        <v>0</v>
      </c>
      <c r="AB55" s="320">
        <f>(AB54-V062A_20[[#This Row],[CYLINDER MP]])+V062A_20[[#This Row],[FAENA EN LTS]]</f>
        <v>1710</v>
      </c>
      <c r="AC55" s="246">
        <v>0</v>
      </c>
      <c r="AD55" s="246">
        <v>0</v>
      </c>
      <c r="AE55" s="320">
        <f>(AE54-V062A_20[[#This Row],[CARTER MP.]])+V062A_20[[#This Row],[FAENA EN LTS2]]</f>
        <v>3800</v>
      </c>
      <c r="AF55" s="246">
        <v>20</v>
      </c>
      <c r="AG55" s="246">
        <v>0</v>
      </c>
      <c r="AH55" s="320">
        <f>(AH54-V062A_20[[#This Row],[MOT AUX]])+V062A_20[[#This Row],[FAENA EN  LTS]]</f>
        <v>3290</v>
      </c>
      <c r="AI55" s="246">
        <v>0</v>
      </c>
      <c r="AJ55" s="246">
        <v>0</v>
      </c>
      <c r="AK55" s="321">
        <f>(AK54-V062A_20[[#This Row],[HIDRAULICO]])+V062A_20[[#This Row],[FAENA EN LTS3]]</f>
        <v>2350</v>
      </c>
    </row>
    <row r="56" spans="1:37" x14ac:dyDescent="0.25">
      <c r="A56" s="431" t="s">
        <v>253</v>
      </c>
      <c r="B56" s="48">
        <v>44054</v>
      </c>
      <c r="C56" s="41">
        <v>1</v>
      </c>
      <c r="D56" s="418">
        <f>IF(V062A_20[[#This Row],[FECHA]]-B55=1,((V062A_20[[#This Row],[HORA]]-C55)*24)+24,(V062A_20[[#This Row],[HORA]]-C55)*24)</f>
        <v>16</v>
      </c>
      <c r="E56" s="409" t="s">
        <v>45</v>
      </c>
      <c r="F56" s="29" t="s">
        <v>261</v>
      </c>
      <c r="G56" s="324"/>
      <c r="H56" s="306"/>
      <c r="I56" s="259">
        <f>IF(ISERROR(V062A_20[[#This Row],[DISTANCIA POR CARTA]]/V062A_20[[#This Row],[TIEMPO DE NAVEGACION]]),0,V062A_20[[#This Row],[DISTANCIA POR CARTA]]/V062A_20[[#This Row],[TIEMPO DE NAVEGACION]])</f>
        <v>0</v>
      </c>
      <c r="J56" s="242"/>
      <c r="K56" s="325"/>
      <c r="L56" s="245">
        <v>0</v>
      </c>
      <c r="M56" s="245">
        <v>1.4</v>
      </c>
      <c r="N56" s="245">
        <v>1.2</v>
      </c>
      <c r="O56" s="257">
        <f>SUM(V062A_20[[#This Row],[MPAL]:[CALDERA]])</f>
        <v>2.5999999999999996</v>
      </c>
      <c r="P56" s="319"/>
      <c r="Q56" s="281">
        <f>(Q55-V062A_20[[#This Row],[TOTAL ]])+V062A_20[[#This Row],[FAENA]]</f>
        <v>437.39999999999992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SUM(V062A_20[[#This Row],[MPAL2]:[GI]])</f>
        <v>0</v>
      </c>
      <c r="X56" s="246"/>
      <c r="Y56" s="282">
        <f>(Y55-V062A_20[[#This Row],[TOTAL]])+V062A_20[[#This Row],[FAENA2]]</f>
        <v>81.400000000000006</v>
      </c>
      <c r="Z56" s="245">
        <v>0</v>
      </c>
      <c r="AA56" s="246">
        <v>0</v>
      </c>
      <c r="AB56" s="320">
        <f>(AB55-V062A_20[[#This Row],[CYLINDER MP]])+V062A_20[[#This Row],[FAENA EN LTS]]</f>
        <v>1710</v>
      </c>
      <c r="AC56" s="246">
        <v>0</v>
      </c>
      <c r="AD56" s="246">
        <v>0</v>
      </c>
      <c r="AE56" s="320">
        <f>(AE55-V062A_20[[#This Row],[CARTER MP.]])+V062A_20[[#This Row],[FAENA EN LTS2]]</f>
        <v>3800</v>
      </c>
      <c r="AF56" s="246">
        <v>0</v>
      </c>
      <c r="AG56" s="246">
        <v>0</v>
      </c>
      <c r="AH56" s="320">
        <f>(AH55-V062A_20[[#This Row],[MOT AUX]])+V062A_20[[#This Row],[FAENA EN  LTS]]</f>
        <v>3290</v>
      </c>
      <c r="AI56" s="246">
        <v>0</v>
      </c>
      <c r="AJ56" s="246">
        <v>0</v>
      </c>
      <c r="AK56" s="321">
        <f>(AK55-V062A_20[[#This Row],[HIDRAULICO]])+V062A_20[[#This Row],[FAENA EN LTS3]]</f>
        <v>2350</v>
      </c>
    </row>
    <row r="57" spans="1:37" x14ac:dyDescent="0.25">
      <c r="A57" s="431" t="s">
        <v>253</v>
      </c>
      <c r="B57" s="48">
        <v>44055</v>
      </c>
      <c r="C57" s="41">
        <v>0.33333333333333331</v>
      </c>
      <c r="D57" s="418">
        <f>IF(V062A_20[[#This Row],[FECHA]]-B56=1,((V062A_20[[#This Row],[HORA]]-C56)*24)+24,(V062A_20[[#This Row],[HORA]]-C56)*24)</f>
        <v>8</v>
      </c>
      <c r="E57" s="409" t="s">
        <v>45</v>
      </c>
      <c r="F57" s="29" t="s">
        <v>45</v>
      </c>
      <c r="G57" s="324"/>
      <c r="H57" s="306"/>
      <c r="I57" s="259">
        <f>IF(ISERROR(V062A_20[[#This Row],[DISTANCIA POR CARTA]]/V062A_20[[#This Row],[TIEMPO DE NAVEGACION]]),0,V062A_20[[#This Row],[DISTANCIA POR CARTA]]/V062A_20[[#This Row],[TIEMPO DE NAVEGACION]])</f>
        <v>0</v>
      </c>
      <c r="J57" s="242"/>
      <c r="K57" s="325"/>
      <c r="L57" s="245">
        <v>0</v>
      </c>
      <c r="M57" s="245">
        <v>0.4</v>
      </c>
      <c r="N57" s="245">
        <v>0</v>
      </c>
      <c r="O57" s="257">
        <f>SUM(V062A_20[[#This Row],[MPAL]:[CALDERA]])</f>
        <v>0.4</v>
      </c>
      <c r="P57" s="319"/>
      <c r="Q57" s="281">
        <f>(Q56-V062A_20[[#This Row],[TOTAL ]])+V062A_20[[#This Row],[FAENA]]</f>
        <v>436.99999999999994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SUM(V062A_20[[#This Row],[MPAL2]:[GI]])</f>
        <v>0</v>
      </c>
      <c r="X57" s="246"/>
      <c r="Y57" s="282">
        <f>(Y56-V062A_20[[#This Row],[TOTAL]])+V062A_20[[#This Row],[FAENA2]]</f>
        <v>81.400000000000006</v>
      </c>
      <c r="Z57" s="245">
        <v>0</v>
      </c>
      <c r="AA57" s="246">
        <v>0</v>
      </c>
      <c r="AB57" s="320">
        <f>(AB56-V062A_20[[#This Row],[CYLINDER MP]])+V062A_20[[#This Row],[FAENA EN LTS]]</f>
        <v>1710</v>
      </c>
      <c r="AC57" s="246">
        <v>0</v>
      </c>
      <c r="AD57" s="246">
        <v>0</v>
      </c>
      <c r="AE57" s="320">
        <f>(AE56-V062A_20[[#This Row],[CARTER MP.]])+V062A_20[[#This Row],[FAENA EN LTS2]]</f>
        <v>3800</v>
      </c>
      <c r="AF57" s="246">
        <v>20</v>
      </c>
      <c r="AG57" s="246">
        <v>0</v>
      </c>
      <c r="AH57" s="320">
        <f>(AH56-V062A_20[[#This Row],[MOT AUX]])+V062A_20[[#This Row],[FAENA EN  LTS]]</f>
        <v>3270</v>
      </c>
      <c r="AI57" s="246">
        <v>0</v>
      </c>
      <c r="AJ57" s="246">
        <v>0</v>
      </c>
      <c r="AK57" s="321">
        <f>(AK56-V062A_20[[#This Row],[HIDRAULICO]])+V062A_20[[#This Row],[FAENA EN LTS3]]</f>
        <v>2350</v>
      </c>
    </row>
    <row r="58" spans="1:37" x14ac:dyDescent="0.25">
      <c r="A58" s="431" t="s">
        <v>253</v>
      </c>
      <c r="B58" s="48">
        <v>44056</v>
      </c>
      <c r="C58" s="41">
        <v>0.33333333333333331</v>
      </c>
      <c r="D58" s="418">
        <f>IF(V062A_20[[#This Row],[FECHA]]-B57=1,((V062A_20[[#This Row],[HORA]]-C57)*24)+24,(V062A_20[[#This Row],[HORA]]-C57)*24)</f>
        <v>24</v>
      </c>
      <c r="E58" s="409" t="s">
        <v>45</v>
      </c>
      <c r="F58" s="29" t="s">
        <v>45</v>
      </c>
      <c r="G58" s="324"/>
      <c r="H58" s="306"/>
      <c r="I58" s="259">
        <f>IF(ISERROR(V062A_20[[#This Row],[DISTANCIA POR CARTA]]/V062A_20[[#This Row],[TIEMPO DE NAVEGACION]]),0,V062A_20[[#This Row],[DISTANCIA POR CARTA]]/V062A_20[[#This Row],[TIEMPO DE NAVEGACION]])</f>
        <v>0</v>
      </c>
      <c r="J58" s="242"/>
      <c r="K58" s="325"/>
      <c r="L58" s="245">
        <v>0</v>
      </c>
      <c r="M58" s="245">
        <v>1.2</v>
      </c>
      <c r="N58" s="245">
        <v>0</v>
      </c>
      <c r="O58" s="257">
        <f>SUM(V062A_20[[#This Row],[MPAL]:[CALDERA]])</f>
        <v>1.2</v>
      </c>
      <c r="P58" s="319"/>
      <c r="Q58" s="281">
        <f>(Q57-V062A_20[[#This Row],[TOTAL ]])+V062A_20[[#This Row],[FAENA]]</f>
        <v>435.79999999999995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SUM(V062A_20[[#This Row],[MPAL2]:[GI]])</f>
        <v>0</v>
      </c>
      <c r="X58" s="246"/>
      <c r="Y58" s="282">
        <f>(Y57-V062A_20[[#This Row],[TOTAL]])+V062A_20[[#This Row],[FAENA2]]</f>
        <v>81.400000000000006</v>
      </c>
      <c r="Z58" s="245">
        <v>0</v>
      </c>
      <c r="AA58" s="246">
        <v>0</v>
      </c>
      <c r="AB58" s="320">
        <f>(AB57-V062A_20[[#This Row],[CYLINDER MP]])+V062A_20[[#This Row],[FAENA EN LTS]]</f>
        <v>1710</v>
      </c>
      <c r="AC58" s="246">
        <v>0</v>
      </c>
      <c r="AD58" s="246">
        <v>0</v>
      </c>
      <c r="AE58" s="320">
        <f>(AE57-V062A_20[[#This Row],[CARTER MP.]])+V062A_20[[#This Row],[FAENA EN LTS2]]</f>
        <v>3800</v>
      </c>
      <c r="AF58" s="246">
        <v>20</v>
      </c>
      <c r="AG58" s="246">
        <v>0</v>
      </c>
      <c r="AH58" s="320">
        <f>(AH57-V062A_20[[#This Row],[MOT AUX]])+V062A_20[[#This Row],[FAENA EN  LTS]]</f>
        <v>3250</v>
      </c>
      <c r="AI58" s="246">
        <v>0</v>
      </c>
      <c r="AJ58" s="246">
        <v>0</v>
      </c>
      <c r="AK58" s="321">
        <f>(AK57-V062A_20[[#This Row],[HIDRAULICO]])+V062A_20[[#This Row],[FAENA EN LTS3]]</f>
        <v>2350</v>
      </c>
    </row>
    <row r="59" spans="1:37" x14ac:dyDescent="0.25">
      <c r="A59" s="431" t="s">
        <v>253</v>
      </c>
      <c r="B59" s="48">
        <v>44057</v>
      </c>
      <c r="C59" s="41">
        <v>0.33333333333333331</v>
      </c>
      <c r="D59" s="418">
        <f>IF(V062A_20[[#This Row],[FECHA]]-B58=1,((V062A_20[[#This Row],[HORA]]-C58)*24)+24,(V062A_20[[#This Row],[HORA]]-C58)*24)</f>
        <v>24</v>
      </c>
      <c r="E59" s="409" t="s">
        <v>45</v>
      </c>
      <c r="F59" s="29" t="s">
        <v>45</v>
      </c>
      <c r="G59" s="324"/>
      <c r="H59" s="306"/>
      <c r="I59" s="259">
        <f>IF(ISERROR(V062A_20[[#This Row],[DISTANCIA POR CARTA]]/V062A_20[[#This Row],[TIEMPO DE NAVEGACION]]),0,V062A_20[[#This Row],[DISTANCIA POR CARTA]]/V062A_20[[#This Row],[TIEMPO DE NAVEGACION]])</f>
        <v>0</v>
      </c>
      <c r="J59" s="242"/>
      <c r="K59" s="325"/>
      <c r="L59" s="245">
        <v>0</v>
      </c>
      <c r="M59" s="245">
        <v>1.2</v>
      </c>
      <c r="N59" s="245">
        <v>0</v>
      </c>
      <c r="O59" s="257">
        <f>SUM(V062A_20[[#This Row],[MPAL]:[CALDERA]])</f>
        <v>1.2</v>
      </c>
      <c r="P59" s="319"/>
      <c r="Q59" s="281">
        <f>(Q58-V062A_20[[#This Row],[TOTAL ]])+V062A_20[[#This Row],[FAENA]]</f>
        <v>434.59999999999997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SUM(V062A_20[[#This Row],[MPAL2]:[GI]])</f>
        <v>0</v>
      </c>
      <c r="X59" s="246"/>
      <c r="Y59" s="282">
        <f>(Y58-V062A_20[[#This Row],[TOTAL]])+V062A_20[[#This Row],[FAENA2]]</f>
        <v>81.400000000000006</v>
      </c>
      <c r="Z59" s="245">
        <v>0</v>
      </c>
      <c r="AA59" s="246">
        <v>0</v>
      </c>
      <c r="AB59" s="320">
        <f>(AB58-V062A_20[[#This Row],[CYLINDER MP]])+V062A_20[[#This Row],[FAENA EN LTS]]</f>
        <v>1710</v>
      </c>
      <c r="AC59" s="246">
        <v>0</v>
      </c>
      <c r="AD59" s="246">
        <v>0</v>
      </c>
      <c r="AE59" s="320">
        <f>(AE58-V062A_20[[#This Row],[CARTER MP.]])+V062A_20[[#This Row],[FAENA EN LTS2]]</f>
        <v>3800</v>
      </c>
      <c r="AF59" s="246">
        <v>20</v>
      </c>
      <c r="AG59" s="246">
        <v>0</v>
      </c>
      <c r="AH59" s="320">
        <f>(AH58-V062A_20[[#This Row],[MOT AUX]])+V062A_20[[#This Row],[FAENA EN  LTS]]</f>
        <v>3230</v>
      </c>
      <c r="AI59" s="246">
        <v>0</v>
      </c>
      <c r="AJ59" s="246">
        <v>0</v>
      </c>
      <c r="AK59" s="321">
        <f>(AK58-V062A_20[[#This Row],[HIDRAULICO]])+V062A_20[[#This Row],[FAENA EN LTS3]]</f>
        <v>2350</v>
      </c>
    </row>
    <row r="60" spans="1:37" x14ac:dyDescent="0.25">
      <c r="A60" s="431" t="s">
        <v>253</v>
      </c>
      <c r="B60" s="48">
        <v>44058</v>
      </c>
      <c r="C60" s="362">
        <v>0.33333333333333331</v>
      </c>
      <c r="D60" s="418">
        <f>IF(V062A_20[[#This Row],[FECHA]]-B59=1,((V062A_20[[#This Row],[HORA]]-C59)*24)+24,(V062A_20[[#This Row],[HORA]]-C59)*24)</f>
        <v>24</v>
      </c>
      <c r="E60" s="409" t="s">
        <v>45</v>
      </c>
      <c r="F60" s="29" t="s">
        <v>45</v>
      </c>
      <c r="G60" s="324"/>
      <c r="H60" s="306"/>
      <c r="I60" s="259">
        <f>IF(ISERROR(V062A_20[[#This Row],[DISTANCIA POR CARTA]]/V062A_20[[#This Row],[TIEMPO DE NAVEGACION]]),0,V062A_20[[#This Row],[DISTANCIA POR CARTA]]/V062A_20[[#This Row],[TIEMPO DE NAVEGACION]])</f>
        <v>0</v>
      </c>
      <c r="J60" s="242"/>
      <c r="K60" s="325"/>
      <c r="L60" s="245">
        <v>0</v>
      </c>
      <c r="M60" s="245">
        <v>1.2</v>
      </c>
      <c r="N60" s="245">
        <v>0</v>
      </c>
      <c r="O60" s="257">
        <f>SUM(V062A_20[[#This Row],[MPAL]:[CALDERA]])</f>
        <v>1.2</v>
      </c>
      <c r="P60" s="319"/>
      <c r="Q60" s="281">
        <f>(Q59-V062A_20[[#This Row],[TOTAL ]])+V062A_20[[#This Row],[FAENA]]</f>
        <v>433.4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SUM(V062A_20[[#This Row],[MPAL2]:[GI]])</f>
        <v>0</v>
      </c>
      <c r="X60" s="246"/>
      <c r="Y60" s="282">
        <f>(Y59-V062A_20[[#This Row],[TOTAL]])+V062A_20[[#This Row],[FAENA2]]</f>
        <v>81.400000000000006</v>
      </c>
      <c r="Z60" s="245">
        <v>0</v>
      </c>
      <c r="AA60" s="246">
        <v>0</v>
      </c>
      <c r="AB60" s="320">
        <f>(AB59-V062A_20[[#This Row],[CYLINDER MP]])+V062A_20[[#This Row],[FAENA EN LTS]]</f>
        <v>1710</v>
      </c>
      <c r="AC60" s="246">
        <v>0</v>
      </c>
      <c r="AD60" s="246">
        <v>0</v>
      </c>
      <c r="AE60" s="320">
        <f>(AE59-V062A_20[[#This Row],[CARTER MP.]])+V062A_20[[#This Row],[FAENA EN LTS2]]</f>
        <v>3800</v>
      </c>
      <c r="AF60" s="246">
        <v>20</v>
      </c>
      <c r="AG60" s="246">
        <v>0</v>
      </c>
      <c r="AH60" s="320">
        <f>(AH59-V062A_20[[#This Row],[MOT AUX]])+V062A_20[[#This Row],[FAENA EN  LTS]]</f>
        <v>3210</v>
      </c>
      <c r="AI60" s="246">
        <v>0</v>
      </c>
      <c r="AJ60" s="246">
        <v>0</v>
      </c>
      <c r="AK60" s="321">
        <f>(AK59-V062A_20[[#This Row],[HIDRAULICO]])+V062A_20[[#This Row],[FAENA EN LTS3]]</f>
        <v>2350</v>
      </c>
    </row>
    <row r="61" spans="1:37" x14ac:dyDescent="0.25">
      <c r="A61" s="431" t="s">
        <v>253</v>
      </c>
      <c r="B61" s="48">
        <v>44059</v>
      </c>
      <c r="C61" s="351">
        <v>0.33333333333333331</v>
      </c>
      <c r="D61" s="418">
        <f>IF(V062A_20[[#This Row],[FECHA]]-B60=1,((V062A_20[[#This Row],[HORA]]-C60)*24)+24,(V062A_20[[#This Row],[HORA]]-C60)*24)</f>
        <v>24</v>
      </c>
      <c r="E61" s="409" t="s">
        <v>45</v>
      </c>
      <c r="F61" s="29" t="s">
        <v>45</v>
      </c>
      <c r="G61" s="324"/>
      <c r="H61" s="306"/>
      <c r="I61" s="259">
        <f>IF(ISERROR(V062A_20[[#This Row],[DISTANCIA POR CARTA]]/V062A_20[[#This Row],[TIEMPO DE NAVEGACION]]),0,V062A_20[[#This Row],[DISTANCIA POR CARTA]]/V062A_20[[#This Row],[TIEMPO DE NAVEGACION]])</f>
        <v>0</v>
      </c>
      <c r="J61" s="242"/>
      <c r="K61" s="325"/>
      <c r="L61" s="245">
        <v>0</v>
      </c>
      <c r="M61" s="245">
        <v>1.2</v>
      </c>
      <c r="N61" s="245">
        <v>0</v>
      </c>
      <c r="O61" s="257">
        <f>SUM(V062A_20[[#This Row],[MPAL]:[CALDERA]])</f>
        <v>1.2</v>
      </c>
      <c r="P61" s="319"/>
      <c r="Q61" s="281">
        <f>(Q60-V062A_20[[#This Row],[TOTAL ]])+V062A_20[[#This Row],[FAENA]]</f>
        <v>432.2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SUM(V062A_20[[#This Row],[MPAL2]:[GI]])</f>
        <v>0</v>
      </c>
      <c r="X61" s="246"/>
      <c r="Y61" s="282">
        <f>(Y60-V062A_20[[#This Row],[TOTAL]])+V062A_20[[#This Row],[FAENA2]]</f>
        <v>81.400000000000006</v>
      </c>
      <c r="Z61" s="245">
        <v>0</v>
      </c>
      <c r="AA61" s="246">
        <v>0</v>
      </c>
      <c r="AB61" s="320">
        <f>(AB60-V062A_20[[#This Row],[CYLINDER MP]])+V062A_20[[#This Row],[FAENA EN LTS]]</f>
        <v>1710</v>
      </c>
      <c r="AC61" s="246">
        <v>0</v>
      </c>
      <c r="AD61" s="246">
        <v>0</v>
      </c>
      <c r="AE61" s="320">
        <f>(AE60-V062A_20[[#This Row],[CARTER MP.]])+V062A_20[[#This Row],[FAENA EN LTS2]]</f>
        <v>3800</v>
      </c>
      <c r="AF61" s="246">
        <v>20</v>
      </c>
      <c r="AG61" s="246">
        <v>0</v>
      </c>
      <c r="AH61" s="320">
        <f>(AH60-V062A_20[[#This Row],[MOT AUX]])+V062A_20[[#This Row],[FAENA EN  LTS]]</f>
        <v>3190</v>
      </c>
      <c r="AI61" s="246">
        <v>0</v>
      </c>
      <c r="AJ61" s="246">
        <v>0</v>
      </c>
      <c r="AK61" s="321">
        <f>(AK60-V062A_20[[#This Row],[HIDRAULICO]])+V062A_20[[#This Row],[FAENA EN LTS3]]</f>
        <v>2350</v>
      </c>
    </row>
    <row r="62" spans="1:37" x14ac:dyDescent="0.25">
      <c r="A62" s="431" t="s">
        <v>253</v>
      </c>
      <c r="B62" s="48">
        <v>44060</v>
      </c>
      <c r="C62" s="362">
        <v>0.33333333333333331</v>
      </c>
      <c r="D62" s="418">
        <f>IF(V062A_20[[#This Row],[FECHA]]-B61=1,((V062A_20[[#This Row],[HORA]]-C61)*24)+24,(V062A_20[[#This Row],[HORA]]-C61)*24)</f>
        <v>24</v>
      </c>
      <c r="E62" s="409" t="s">
        <v>45</v>
      </c>
      <c r="F62" s="29" t="s">
        <v>45</v>
      </c>
      <c r="G62" s="324"/>
      <c r="H62" s="306"/>
      <c r="I62" s="259">
        <f>IF(ISERROR(V062A_20[[#This Row],[DISTANCIA POR CARTA]]/V062A_20[[#This Row],[TIEMPO DE NAVEGACION]]),0,V062A_20[[#This Row],[DISTANCIA POR CARTA]]/V062A_20[[#This Row],[TIEMPO DE NAVEGACION]])</f>
        <v>0</v>
      </c>
      <c r="J62" s="242"/>
      <c r="K62" s="325"/>
      <c r="L62" s="245">
        <v>0</v>
      </c>
      <c r="M62" s="245">
        <v>1.2</v>
      </c>
      <c r="N62" s="245">
        <v>0</v>
      </c>
      <c r="O62" s="257">
        <f>SUM(V062A_20[[#This Row],[MPAL]:[CALDERA]])</f>
        <v>1.2</v>
      </c>
      <c r="P62" s="319"/>
      <c r="Q62" s="281">
        <f>(Q61-V062A_20[[#This Row],[TOTAL ]])+V062A_20[[#This Row],[FAENA]]</f>
        <v>431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SUM(V062A_20[[#This Row],[MPAL2]:[GI]])</f>
        <v>0</v>
      </c>
      <c r="X62" s="246"/>
      <c r="Y62" s="282">
        <f>(Y61-V062A_20[[#This Row],[TOTAL]])+V062A_20[[#This Row],[FAENA2]]</f>
        <v>81.400000000000006</v>
      </c>
      <c r="Z62" s="245">
        <v>0</v>
      </c>
      <c r="AA62" s="246">
        <v>0</v>
      </c>
      <c r="AB62" s="320">
        <f>(AB61-V062A_20[[#This Row],[CYLINDER MP]])+V062A_20[[#This Row],[FAENA EN LTS]]</f>
        <v>1710</v>
      </c>
      <c r="AC62" s="246">
        <v>0</v>
      </c>
      <c r="AD62" s="246">
        <v>0</v>
      </c>
      <c r="AE62" s="320">
        <f>(AE61-V062A_20[[#This Row],[CARTER MP.]])+V062A_20[[#This Row],[FAENA EN LTS2]]</f>
        <v>3800</v>
      </c>
      <c r="AF62" s="246">
        <v>20</v>
      </c>
      <c r="AG62" s="246">
        <v>0</v>
      </c>
      <c r="AH62" s="320">
        <f>(AH61-V062A_20[[#This Row],[MOT AUX]])+V062A_20[[#This Row],[FAENA EN  LTS]]</f>
        <v>3170</v>
      </c>
      <c r="AI62" s="246">
        <v>0</v>
      </c>
      <c r="AJ62" s="246">
        <v>0</v>
      </c>
      <c r="AK62" s="321">
        <f>(AK61-V062A_20[[#This Row],[HIDRAULICO]])+V062A_20[[#This Row],[FAENA EN LTS3]]</f>
        <v>2350</v>
      </c>
    </row>
    <row r="63" spans="1:37" x14ac:dyDescent="0.25">
      <c r="A63" s="431" t="s">
        <v>253</v>
      </c>
      <c r="B63" s="48">
        <v>44061</v>
      </c>
      <c r="C63" s="41">
        <v>0.33333333333333331</v>
      </c>
      <c r="D63" s="418">
        <f>IF(V062A_20[[#This Row],[FECHA]]-B62=1,((V062A_20[[#This Row],[HORA]]-C62)*24)+24,(V062A_20[[#This Row],[HORA]]-C62)*24)</f>
        <v>24</v>
      </c>
      <c r="E63" s="239" t="s">
        <v>45</v>
      </c>
      <c r="F63" s="29" t="s">
        <v>45</v>
      </c>
      <c r="G63" s="324"/>
      <c r="H63" s="306"/>
      <c r="I63" s="259">
        <f>IF(ISERROR(V062A_20[[#This Row],[DISTANCIA POR CARTA]]/V062A_20[[#This Row],[TIEMPO DE NAVEGACION]]),0,V062A_20[[#This Row],[DISTANCIA POR CARTA]]/V062A_20[[#This Row],[TIEMPO DE NAVEGACION]])</f>
        <v>0</v>
      </c>
      <c r="J63" s="380"/>
      <c r="K63" s="325"/>
      <c r="L63" s="245">
        <v>0</v>
      </c>
      <c r="M63" s="245">
        <v>1.2</v>
      </c>
      <c r="N63" s="245">
        <v>0</v>
      </c>
      <c r="O63" s="257">
        <f>SUM(V062A_20[[#This Row],[MPAL]:[CALDERA]])</f>
        <v>1.2</v>
      </c>
      <c r="P63" s="319"/>
      <c r="Q63" s="281">
        <f>(Q62-V062A_20[[#This Row],[TOTAL ]])+V062A_20[[#This Row],[FAENA]]</f>
        <v>429.8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SUM(V062A_20[[#This Row],[MPAL2]:[GI]])</f>
        <v>0</v>
      </c>
      <c r="X63" s="246"/>
      <c r="Y63" s="282">
        <f>(Y62-V062A_20[[#This Row],[TOTAL]])+V062A_20[[#This Row],[FAENA2]]</f>
        <v>81.400000000000006</v>
      </c>
      <c r="Z63" s="245">
        <v>0</v>
      </c>
      <c r="AA63" s="246">
        <v>0</v>
      </c>
      <c r="AB63" s="320">
        <f>(AB62-V062A_20[[#This Row],[CYLINDER MP]])+V062A_20[[#This Row],[FAENA EN LTS]]</f>
        <v>1710</v>
      </c>
      <c r="AC63" s="246">
        <v>0</v>
      </c>
      <c r="AD63" s="246">
        <v>0</v>
      </c>
      <c r="AE63" s="320">
        <f>(AE62-V062A_20[[#This Row],[CARTER MP.]])+V062A_20[[#This Row],[FAENA EN LTS2]]</f>
        <v>3800</v>
      </c>
      <c r="AF63" s="246">
        <v>20</v>
      </c>
      <c r="AG63" s="246">
        <v>0</v>
      </c>
      <c r="AH63" s="320">
        <f>(AH62-V062A_20[[#This Row],[MOT AUX]])+V062A_20[[#This Row],[FAENA EN  LTS]]</f>
        <v>3150</v>
      </c>
      <c r="AI63" s="246">
        <v>0</v>
      </c>
      <c r="AJ63" s="246">
        <v>0</v>
      </c>
      <c r="AK63" s="321">
        <f>(AK62-V062A_20[[#This Row],[HIDRAULICO]])+V062A_20[[#This Row],[FAENA EN LTS3]]</f>
        <v>2350</v>
      </c>
    </row>
    <row r="64" spans="1:37" x14ac:dyDescent="0.25">
      <c r="A64" s="431" t="s">
        <v>253</v>
      </c>
      <c r="B64" s="48">
        <v>44062</v>
      </c>
      <c r="C64" s="41">
        <v>0.33333333333333331</v>
      </c>
      <c r="D64" s="418">
        <f>IF(V062A_20[[#This Row],[FECHA]]-B63=1,((V062A_20[[#This Row],[HORA]]-C63)*24)+24,(V062A_20[[#This Row],[HORA]]-C63)*24)</f>
        <v>24</v>
      </c>
      <c r="E64" s="239" t="s">
        <v>45</v>
      </c>
      <c r="F64" s="29" t="s">
        <v>45</v>
      </c>
      <c r="G64" s="324"/>
      <c r="H64" s="306"/>
      <c r="I64" s="259">
        <f>IF(ISERROR(V062A_20[[#This Row],[DISTANCIA POR CARTA]]/V062A_20[[#This Row],[TIEMPO DE NAVEGACION]]),0,V062A_20[[#This Row],[DISTANCIA POR CARTA]]/V062A_20[[#This Row],[TIEMPO DE NAVEGACION]])</f>
        <v>0</v>
      </c>
      <c r="J64" s="242"/>
      <c r="K64" s="325"/>
      <c r="L64" s="245">
        <v>0</v>
      </c>
      <c r="M64" s="245">
        <v>1.2</v>
      </c>
      <c r="N64" s="245">
        <v>1</v>
      </c>
      <c r="O64" s="257">
        <f>SUM(V062A_20[[#This Row],[MPAL]:[CALDERA]])</f>
        <v>2.2000000000000002</v>
      </c>
      <c r="P64" s="319"/>
      <c r="Q64" s="281">
        <f>(Q63-V062A_20[[#This Row],[TOTAL ]])+V062A_20[[#This Row],[FAENA]]</f>
        <v>427.6</v>
      </c>
      <c r="R64" s="245">
        <v>0</v>
      </c>
      <c r="S64" s="246">
        <v>0.1</v>
      </c>
      <c r="T64" s="246">
        <v>0</v>
      </c>
      <c r="U64" s="246">
        <v>0</v>
      </c>
      <c r="V64" s="246">
        <v>0</v>
      </c>
      <c r="W64" s="257">
        <f>SUM(V062A_20[[#This Row],[MPAL2]:[GI]])</f>
        <v>0.1</v>
      </c>
      <c r="X64" s="246"/>
      <c r="Y64" s="282">
        <f>(Y63-V062A_20[[#This Row],[TOTAL]])+V062A_20[[#This Row],[FAENA2]]</f>
        <v>81.300000000000011</v>
      </c>
      <c r="Z64" s="245">
        <v>0</v>
      </c>
      <c r="AA64" s="246">
        <v>0</v>
      </c>
      <c r="AB64" s="320">
        <f>(AB63-V062A_20[[#This Row],[CYLINDER MP]])+V062A_20[[#This Row],[FAENA EN LTS]]</f>
        <v>1710</v>
      </c>
      <c r="AC64" s="246">
        <v>0</v>
      </c>
      <c r="AD64" s="246">
        <v>0</v>
      </c>
      <c r="AE64" s="320">
        <f>(AE63-V062A_20[[#This Row],[CARTER MP.]])+V062A_20[[#This Row],[FAENA EN LTS2]]</f>
        <v>3800</v>
      </c>
      <c r="AF64" s="246">
        <v>20</v>
      </c>
      <c r="AG64" s="246">
        <v>0</v>
      </c>
      <c r="AH64" s="320">
        <f>(AH63-V062A_20[[#This Row],[MOT AUX]])+V062A_20[[#This Row],[FAENA EN  LTS]]</f>
        <v>3130</v>
      </c>
      <c r="AI64" s="246">
        <v>0</v>
      </c>
      <c r="AJ64" s="246">
        <v>0</v>
      </c>
      <c r="AK64" s="321">
        <f>(AK63-V062A_20[[#This Row],[HIDRAULICO]])+V062A_20[[#This Row],[FAENA EN LTS3]]</f>
        <v>2350</v>
      </c>
    </row>
    <row r="65" spans="1:37" x14ac:dyDescent="0.25">
      <c r="A65" s="431" t="s">
        <v>253</v>
      </c>
      <c r="B65" s="48">
        <v>44063</v>
      </c>
      <c r="C65" s="351">
        <v>0.33333333333333331</v>
      </c>
      <c r="D65" s="418">
        <f>IF(V062A_20[[#This Row],[FECHA]]-B64=1,((V062A_20[[#This Row],[HORA]]-C64)*24)+24,(V062A_20[[#This Row],[HORA]]-C64)*24)</f>
        <v>24</v>
      </c>
      <c r="E65" s="409" t="s">
        <v>45</v>
      </c>
      <c r="F65" s="29" t="s">
        <v>45</v>
      </c>
      <c r="G65" s="324"/>
      <c r="H65" s="306"/>
      <c r="I65" s="259">
        <f>IF(ISERROR(V062A_20[[#This Row],[DISTANCIA POR CARTA]]/V062A_20[[#This Row],[TIEMPO DE NAVEGACION]]),0,V062A_20[[#This Row],[DISTANCIA POR CARTA]]/V062A_20[[#This Row],[TIEMPO DE NAVEGACION]])</f>
        <v>0</v>
      </c>
      <c r="J65" s="242"/>
      <c r="K65" s="325"/>
      <c r="L65" s="245">
        <v>0</v>
      </c>
      <c r="M65" s="245">
        <v>1.2</v>
      </c>
      <c r="N65" s="245">
        <v>1</v>
      </c>
      <c r="O65" s="257">
        <f>SUM(V062A_20[[#This Row],[MPAL]:[CALDERA]])</f>
        <v>2.2000000000000002</v>
      </c>
      <c r="P65" s="319"/>
      <c r="Q65" s="281">
        <f>(Q64-V062A_20[[#This Row],[TOTAL ]])+V062A_20[[#This Row],[FAENA]]</f>
        <v>425.40000000000003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SUM(V062A_20[[#This Row],[MPAL2]:[GI]])</f>
        <v>0</v>
      </c>
      <c r="X65" s="246"/>
      <c r="Y65" s="282">
        <f>(Y64-V062A_20[[#This Row],[TOTAL]])+V062A_20[[#This Row],[FAENA2]]</f>
        <v>81.300000000000011</v>
      </c>
      <c r="Z65" s="245">
        <v>0</v>
      </c>
      <c r="AA65" s="246">
        <v>0</v>
      </c>
      <c r="AB65" s="320">
        <f>(AB64-V062A_20[[#This Row],[CYLINDER MP]])+V062A_20[[#This Row],[FAENA EN LTS]]</f>
        <v>1710</v>
      </c>
      <c r="AC65" s="246">
        <v>0</v>
      </c>
      <c r="AD65" s="246">
        <v>0</v>
      </c>
      <c r="AE65" s="320">
        <f>(AE64-V062A_20[[#This Row],[CARTER MP.]])+V062A_20[[#This Row],[FAENA EN LTS2]]</f>
        <v>3800</v>
      </c>
      <c r="AF65" s="246">
        <v>20</v>
      </c>
      <c r="AG65" s="246">
        <v>0</v>
      </c>
      <c r="AH65" s="320">
        <f>(AH64-V062A_20[[#This Row],[MOT AUX]])+V062A_20[[#This Row],[FAENA EN  LTS]]</f>
        <v>3110</v>
      </c>
      <c r="AI65" s="246">
        <v>0</v>
      </c>
      <c r="AJ65" s="246">
        <v>0</v>
      </c>
      <c r="AK65" s="321">
        <f>(AK64-V062A_20[[#This Row],[HIDRAULICO]])+V062A_20[[#This Row],[FAENA EN LTS3]]</f>
        <v>2350</v>
      </c>
    </row>
    <row r="66" spans="1:37" x14ac:dyDescent="0.25">
      <c r="A66" s="431" t="s">
        <v>253</v>
      </c>
      <c r="B66" s="48">
        <v>44064</v>
      </c>
      <c r="C66" s="41">
        <v>0.33333333333333331</v>
      </c>
      <c r="D66" s="418">
        <f>IF(V062A_20[[#This Row],[FECHA]]-B65=1,((V062A_20[[#This Row],[HORA]]-C65)*24)+24,(V062A_20[[#This Row],[HORA]]-C65)*24)</f>
        <v>24</v>
      </c>
      <c r="E66" s="409" t="s">
        <v>45</v>
      </c>
      <c r="F66" s="29" t="s">
        <v>45</v>
      </c>
      <c r="G66" s="324"/>
      <c r="H66" s="306"/>
      <c r="I66" s="259">
        <f>IF(ISERROR(V062A_20[[#This Row],[DISTANCIA POR CARTA]]/V062A_20[[#This Row],[TIEMPO DE NAVEGACION]]),0,V062A_20[[#This Row],[DISTANCIA POR CARTA]]/V062A_20[[#This Row],[TIEMPO DE NAVEGACION]])</f>
        <v>0</v>
      </c>
      <c r="J66" s="242"/>
      <c r="K66" s="325"/>
      <c r="L66" s="245">
        <v>0</v>
      </c>
      <c r="M66" s="245">
        <v>1.2</v>
      </c>
      <c r="N66" s="245">
        <v>1.1000000000000001</v>
      </c>
      <c r="O66" s="257">
        <f>SUM(V062A_20[[#This Row],[MPAL]:[CALDERA]])</f>
        <v>2.2999999999999998</v>
      </c>
      <c r="P66" s="319"/>
      <c r="Q66" s="281">
        <f>(Q65-V062A_20[[#This Row],[TOTAL ]])+V062A_20[[#This Row],[FAENA]]</f>
        <v>423.1</v>
      </c>
      <c r="R66" s="245">
        <v>0</v>
      </c>
      <c r="S66" s="246">
        <v>0.1</v>
      </c>
      <c r="T66" s="246">
        <v>0</v>
      </c>
      <c r="U66" s="246">
        <v>0</v>
      </c>
      <c r="V66" s="246">
        <v>5</v>
      </c>
      <c r="W66" s="257">
        <f>SUM(V062A_20[[#This Row],[MPAL2]:[GI]])</f>
        <v>5.0999999999999996</v>
      </c>
      <c r="X66" s="246"/>
      <c r="Y66" s="282">
        <f>(Y65-V062A_20[[#This Row],[TOTAL]])+V062A_20[[#This Row],[FAENA2]]</f>
        <v>76.200000000000017</v>
      </c>
      <c r="Z66" s="245">
        <v>0</v>
      </c>
      <c r="AA66" s="246">
        <v>0</v>
      </c>
      <c r="AB66" s="320">
        <f>(AB65-V062A_20[[#This Row],[CYLINDER MP]])+V062A_20[[#This Row],[FAENA EN LTS]]</f>
        <v>1710</v>
      </c>
      <c r="AC66" s="246">
        <v>0</v>
      </c>
      <c r="AD66" s="246">
        <v>0</v>
      </c>
      <c r="AE66" s="320">
        <f>(AE65-V062A_20[[#This Row],[CARTER MP.]])+V062A_20[[#This Row],[FAENA EN LTS2]]</f>
        <v>3800</v>
      </c>
      <c r="AF66" s="246">
        <v>20</v>
      </c>
      <c r="AG66" s="246">
        <v>0</v>
      </c>
      <c r="AH66" s="320">
        <f>(AH65-V062A_20[[#This Row],[MOT AUX]])+V062A_20[[#This Row],[FAENA EN  LTS]]</f>
        <v>3090</v>
      </c>
      <c r="AI66" s="246">
        <v>0</v>
      </c>
      <c r="AJ66" s="246">
        <v>0</v>
      </c>
      <c r="AK66" s="321">
        <f>(AK65-V062A_20[[#This Row],[HIDRAULICO]])+V062A_20[[#This Row],[FAENA EN LTS3]]</f>
        <v>2350</v>
      </c>
    </row>
    <row r="67" spans="1:37" x14ac:dyDescent="0.25">
      <c r="A67" s="431" t="s">
        <v>253</v>
      </c>
      <c r="B67" s="48">
        <v>44064</v>
      </c>
      <c r="C67" s="41">
        <v>0.57916666666666672</v>
      </c>
      <c r="D67" s="418">
        <f>IF(V062A_20[[#This Row],[FECHA]]-B66=1,((V062A_20[[#This Row],[HORA]]-C66)*24)+24,(V062A_20[[#This Row],[HORA]]-C66)*24)</f>
        <v>5.9000000000000021</v>
      </c>
      <c r="E67" s="239" t="s">
        <v>45</v>
      </c>
      <c r="F67" s="29" t="s">
        <v>45</v>
      </c>
      <c r="G67" s="324"/>
      <c r="H67" s="306"/>
      <c r="I67" s="259">
        <f>IF(ISERROR(V062A_20[[#This Row],[DISTANCIA POR CARTA]]/V062A_20[[#This Row],[TIEMPO DE NAVEGACION]]),0,V062A_20[[#This Row],[DISTANCIA POR CARTA]]/V062A_20[[#This Row],[TIEMPO DE NAVEGACION]])</f>
        <v>0</v>
      </c>
      <c r="J67" s="242"/>
      <c r="K67" s="325"/>
      <c r="L67" s="245">
        <v>0</v>
      </c>
      <c r="M67" s="245">
        <v>0.3</v>
      </c>
      <c r="N67" s="245">
        <v>0.25</v>
      </c>
      <c r="O67" s="257">
        <f>SUM(V062A_20[[#This Row],[MPAL]:[CALDERA]])</f>
        <v>0.55000000000000004</v>
      </c>
      <c r="P67" s="319"/>
      <c r="Q67" s="281">
        <f>(Q66-V062A_20[[#This Row],[TOTAL ]])+V062A_20[[#This Row],[FAENA]]</f>
        <v>422.55</v>
      </c>
      <c r="R67" s="245">
        <v>0</v>
      </c>
      <c r="S67" s="246">
        <v>0</v>
      </c>
      <c r="T67" s="246">
        <v>0</v>
      </c>
      <c r="U67" s="246">
        <v>0</v>
      </c>
      <c r="V67" s="246">
        <v>1.5</v>
      </c>
      <c r="W67" s="257">
        <f>SUM(V062A_20[[#This Row],[MPAL2]:[GI]])</f>
        <v>1.5</v>
      </c>
      <c r="X67" s="246"/>
      <c r="Y67" s="282">
        <f>(Y66-V062A_20[[#This Row],[TOTAL]])+V062A_20[[#This Row],[FAENA2]]</f>
        <v>74.700000000000017</v>
      </c>
      <c r="Z67" s="245">
        <v>0</v>
      </c>
      <c r="AA67" s="246">
        <v>0</v>
      </c>
      <c r="AB67" s="320">
        <f>(AB66-V062A_20[[#This Row],[CYLINDER MP]])+V062A_20[[#This Row],[FAENA EN LTS]]</f>
        <v>1710</v>
      </c>
      <c r="AC67" s="246">
        <v>0</v>
      </c>
      <c r="AD67" s="246">
        <v>0</v>
      </c>
      <c r="AE67" s="320">
        <f>(AE66-V062A_20[[#This Row],[CARTER MP.]])+V062A_20[[#This Row],[FAENA EN LTS2]]</f>
        <v>3800</v>
      </c>
      <c r="AF67" s="246">
        <v>20</v>
      </c>
      <c r="AG67" s="246">
        <v>0</v>
      </c>
      <c r="AH67" s="320">
        <f>(AH66-V062A_20[[#This Row],[MOT AUX]])+V062A_20[[#This Row],[FAENA EN  LTS]]</f>
        <v>3070</v>
      </c>
      <c r="AI67" s="246">
        <v>0</v>
      </c>
      <c r="AJ67" s="246">
        <v>0</v>
      </c>
      <c r="AK67" s="321">
        <f>(AK66-V062A_20[[#This Row],[HIDRAULICO]])+V062A_20[[#This Row],[FAENA EN LTS3]]</f>
        <v>2350</v>
      </c>
    </row>
    <row r="68" spans="1:37" x14ac:dyDescent="0.25">
      <c r="A68" s="431" t="s">
        <v>253</v>
      </c>
      <c r="B68" s="48"/>
      <c r="C68" s="41"/>
      <c r="D68" s="418">
        <f>IF(V062A_20[[#This Row],[FECHA]]-B67=1,((V062A_20[[#This Row],[HORA]]-C67)*24)+24,(V062A_20[[#This Row],[HORA]]-C67)*24)</f>
        <v>-13.900000000000002</v>
      </c>
      <c r="E68" s="239"/>
      <c r="F68" s="29"/>
      <c r="G68" s="324"/>
      <c r="H68" s="306"/>
      <c r="I68" s="259">
        <f>IF(ISERROR(V062A_20[[#This Row],[DISTANCIA POR CARTA]]/V062A_20[[#This Row],[TIEMPO DE NAVEGACION]]),0,V062A_20[[#This Row],[DISTANCIA POR CARTA]]/V062A_20[[#This Row],[TIEMPO DE NAVEGACION]])</f>
        <v>0</v>
      </c>
      <c r="J68" s="242"/>
      <c r="K68" s="325"/>
      <c r="L68" s="245"/>
      <c r="M68" s="245"/>
      <c r="N68" s="245"/>
      <c r="O68" s="257">
        <f>SUM(V062A_20[[#This Row],[MPAL]:[CALDERA]])</f>
        <v>0</v>
      </c>
      <c r="P68" s="319"/>
      <c r="Q68" s="281">
        <f>(Q67-V062A_20[[#This Row],[TOTAL ]])+V062A_20[[#This Row],[FAENA]]</f>
        <v>422.55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SUM(V062A_20[[#This Row],[MPAL2]:[GI]])</f>
        <v>0</v>
      </c>
      <c r="X68" s="246"/>
      <c r="Y68" s="282">
        <f>(Y67-V062A_20[[#This Row],[TOTAL]])+V062A_20[[#This Row],[FAENA2]]</f>
        <v>74.700000000000017</v>
      </c>
      <c r="Z68" s="245"/>
      <c r="AA68" s="246"/>
      <c r="AB68" s="320">
        <f>(AB67-V062A_20[[#This Row],[CYLINDER MP]])+V062A_20[[#This Row],[FAENA EN LTS]]</f>
        <v>1710</v>
      </c>
      <c r="AC68" s="246"/>
      <c r="AD68" s="246"/>
      <c r="AE68" s="320">
        <f>(AE67-V062A_20[[#This Row],[CARTER MP.]])+V062A_20[[#This Row],[FAENA EN LTS2]]</f>
        <v>3800</v>
      </c>
      <c r="AF68" s="246"/>
      <c r="AG68" s="246"/>
      <c r="AH68" s="320">
        <f>(AH67-V062A_20[[#This Row],[MOT AUX]])+V062A_20[[#This Row],[FAENA EN  LTS]]</f>
        <v>3070</v>
      </c>
      <c r="AI68" s="246">
        <v>0</v>
      </c>
      <c r="AJ68" s="246">
        <v>0</v>
      </c>
      <c r="AK68" s="321">
        <f>(AK67-V062A_20[[#This Row],[HIDRAULICO]])+V062A_20[[#This Row],[FAENA EN LTS3]]</f>
        <v>2350</v>
      </c>
    </row>
    <row r="69" spans="1:37" x14ac:dyDescent="0.25">
      <c r="A69" s="431" t="s">
        <v>253</v>
      </c>
      <c r="B69" s="48"/>
      <c r="C69" s="351"/>
      <c r="D69" s="418">
        <f>IF(V062A_20[[#This Row],[FECHA]]-B68=1,((V062A_20[[#This Row],[HORA]]-C68)*24)+24,(V062A_20[[#This Row],[HORA]]-C68)*24)</f>
        <v>0</v>
      </c>
      <c r="E69" s="239"/>
      <c r="F69" s="29"/>
      <c r="G69" s="324"/>
      <c r="H69" s="306"/>
      <c r="I69" s="259">
        <f>IF(ISERROR(V062A_20[[#This Row],[DISTANCIA POR CARTA]]/V062A_20[[#This Row],[TIEMPO DE NAVEGACION]]),0,V062A_20[[#This Row],[DISTANCIA POR CARTA]]/V062A_20[[#This Row],[TIEMPO DE NAVEGACION]])</f>
        <v>0</v>
      </c>
      <c r="J69" s="242"/>
      <c r="K69" s="325"/>
      <c r="L69" s="245"/>
      <c r="M69" s="245"/>
      <c r="N69" s="245"/>
      <c r="O69" s="257">
        <f>SUM(V062A_20[[#This Row],[MPAL]:[CALDERA]])</f>
        <v>0</v>
      </c>
      <c r="P69" s="319"/>
      <c r="Q69" s="281">
        <f>(Q68-V062A_20[[#This Row],[TOTAL ]])+V062A_20[[#This Row],[FAENA]]</f>
        <v>422.55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SUM(V062A_20[[#This Row],[MPAL2]:[GI]])</f>
        <v>0</v>
      </c>
      <c r="X69" s="246"/>
      <c r="Y69" s="282">
        <f>(Y68-V062A_20[[#This Row],[TOTAL]])+V062A_20[[#This Row],[FAENA2]]</f>
        <v>74.700000000000017</v>
      </c>
      <c r="Z69" s="245"/>
      <c r="AA69" s="246"/>
      <c r="AB69" s="320">
        <f>(AB68-V062A_20[[#This Row],[CYLINDER MP]])+V062A_20[[#This Row],[FAENA EN LTS]]</f>
        <v>1710</v>
      </c>
      <c r="AC69" s="246"/>
      <c r="AD69" s="246"/>
      <c r="AE69" s="320">
        <f>(AE68-V062A_20[[#This Row],[CARTER MP.]])+V062A_20[[#This Row],[FAENA EN LTS2]]</f>
        <v>3800</v>
      </c>
      <c r="AF69" s="246"/>
      <c r="AG69" s="246"/>
      <c r="AH69" s="320">
        <f>(AH68-V062A_20[[#This Row],[MOT AUX]])+V062A_20[[#This Row],[FAENA EN  LTS]]</f>
        <v>3070</v>
      </c>
      <c r="AI69" s="246">
        <v>0</v>
      </c>
      <c r="AJ69" s="246">
        <v>0</v>
      </c>
      <c r="AK69" s="321">
        <f>(AK68-V062A_20[[#This Row],[HIDRAULICO]])+V062A_20[[#This Row],[FAENA EN LTS3]]</f>
        <v>2350</v>
      </c>
    </row>
    <row r="70" spans="1:37" x14ac:dyDescent="0.25">
      <c r="A70" s="431" t="s">
        <v>253</v>
      </c>
      <c r="B70" s="48"/>
      <c r="C70" s="362"/>
      <c r="D70" s="418">
        <f>IF(V062A_20[[#This Row],[FECHA]]-B69=1,((V062A_20[[#This Row],[HORA]]-C69)*24)+24,(V062A_20[[#This Row],[HORA]]-C69)*24)</f>
        <v>0</v>
      </c>
      <c r="E70" s="239"/>
      <c r="F70" s="29"/>
      <c r="G70" s="324"/>
      <c r="H70" s="306"/>
      <c r="I70" s="259">
        <f>IF(ISERROR(V062A_20[[#This Row],[DISTANCIA POR CARTA]]/V062A_20[[#This Row],[TIEMPO DE NAVEGACION]]),0,V062A_20[[#This Row],[DISTANCIA POR CARTA]]/V062A_20[[#This Row],[TIEMPO DE NAVEGACION]])</f>
        <v>0</v>
      </c>
      <c r="J70" s="242"/>
      <c r="K70" s="325"/>
      <c r="L70" s="245"/>
      <c r="M70" s="245"/>
      <c r="N70" s="245"/>
      <c r="O70" s="257">
        <f>SUM(V062A_20[[#This Row],[MPAL]:[CALDERA]])</f>
        <v>0</v>
      </c>
      <c r="P70" s="319"/>
      <c r="Q70" s="281">
        <f>(Q69-V062A_20[[#This Row],[TOTAL ]])+V062A_20[[#This Row],[FAENA]]</f>
        <v>422.55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SUM(V062A_20[[#This Row],[MPAL2]:[GI]])</f>
        <v>0</v>
      </c>
      <c r="X70" s="246"/>
      <c r="Y70" s="282">
        <f>(Y69-V062A_20[[#This Row],[TOTAL]])+V062A_20[[#This Row],[FAENA2]]</f>
        <v>74.700000000000017</v>
      </c>
      <c r="Z70" s="245"/>
      <c r="AA70" s="246"/>
      <c r="AB70" s="320">
        <f>(AB69-V062A_20[[#This Row],[CYLINDER MP]])+V062A_20[[#This Row],[FAENA EN LTS]]</f>
        <v>1710</v>
      </c>
      <c r="AC70" s="246"/>
      <c r="AD70" s="246"/>
      <c r="AE70" s="320">
        <f>(AE69-V062A_20[[#This Row],[CARTER MP.]])+V062A_20[[#This Row],[FAENA EN LTS2]]</f>
        <v>3800</v>
      </c>
      <c r="AF70" s="246"/>
      <c r="AG70" s="246"/>
      <c r="AH70" s="320">
        <f>(AH69-V062A_20[[#This Row],[MOT AUX]])+V062A_20[[#This Row],[FAENA EN  LTS]]</f>
        <v>3070</v>
      </c>
      <c r="AI70" s="246">
        <v>0</v>
      </c>
      <c r="AJ70" s="246">
        <v>0</v>
      </c>
      <c r="AK70" s="321">
        <f>(AK69-V062A_20[[#This Row],[HIDRAULICO]])+V062A_20[[#This Row],[FAENA EN LTS3]]</f>
        <v>2350</v>
      </c>
    </row>
    <row r="71" spans="1:37" x14ac:dyDescent="0.25">
      <c r="A71" s="431" t="s">
        <v>253</v>
      </c>
      <c r="B71" s="236"/>
      <c r="C71" s="237"/>
      <c r="D71" s="418">
        <f>IF(V062A_20[[#This Row],[FECHA]]-B70=1,((V062A_20[[#This Row],[HORA]]-C70)*24)+24,(V062A_20[[#This Row],[HORA]]-C70)*24)</f>
        <v>0</v>
      </c>
      <c r="E71" s="239"/>
      <c r="F71" s="378"/>
      <c r="G71" s="324"/>
      <c r="H71" s="306"/>
      <c r="I71" s="259">
        <f>IF(ISERROR(V062A_20[[#This Row],[DISTANCIA POR CARTA]]/V062A_20[[#This Row],[TIEMPO DE NAVEGACION]]),0,V062A_20[[#This Row],[DISTANCIA POR CARTA]]/V062A_20[[#This Row],[TIEMPO DE NAVEGACION]])</f>
        <v>0</v>
      </c>
      <c r="J71" s="242"/>
      <c r="K71" s="325"/>
      <c r="L71" s="245"/>
      <c r="M71" s="245"/>
      <c r="N71" s="245"/>
      <c r="O71" s="257">
        <f>SUM(V062A_20[[#This Row],[MPAL]:[CALDERA]])</f>
        <v>0</v>
      </c>
      <c r="P71" s="319"/>
      <c r="Q71" s="281">
        <f>(Q70-V062A_20[[#This Row],[TOTAL ]])+V062A_20[[#This Row],[FAENA]]</f>
        <v>422.55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SUM(V062A_20[[#This Row],[MPAL2]:[GI]])</f>
        <v>0</v>
      </c>
      <c r="X71" s="246"/>
      <c r="Y71" s="282">
        <f>(Y70-V062A_20[[#This Row],[TOTAL]])+V062A_20[[#This Row],[FAENA2]]</f>
        <v>74.700000000000017</v>
      </c>
      <c r="Z71" s="245"/>
      <c r="AA71" s="246"/>
      <c r="AB71" s="320">
        <f>(AB70-V062A_20[[#This Row],[CYLINDER MP]])+V062A_20[[#This Row],[FAENA EN LTS]]</f>
        <v>1710</v>
      </c>
      <c r="AC71" s="246"/>
      <c r="AD71" s="246"/>
      <c r="AE71" s="320">
        <f>(AE70-V062A_20[[#This Row],[CARTER MP.]])+V062A_20[[#This Row],[FAENA EN LTS2]]</f>
        <v>3800</v>
      </c>
      <c r="AF71" s="246"/>
      <c r="AG71" s="246"/>
      <c r="AH71" s="320">
        <f>(AH70-V062A_20[[#This Row],[MOT AUX]])+V062A_20[[#This Row],[FAENA EN  LTS]]</f>
        <v>3070</v>
      </c>
      <c r="AI71" s="246">
        <v>0</v>
      </c>
      <c r="AJ71" s="246">
        <v>0</v>
      </c>
      <c r="AK71" s="321">
        <f>(AK70-V062A_20[[#This Row],[HIDRAULICO]])+V062A_20[[#This Row],[FAENA EN LTS3]]</f>
        <v>2350</v>
      </c>
    </row>
    <row r="72" spans="1:37" x14ac:dyDescent="0.25">
      <c r="A72" s="431" t="s">
        <v>253</v>
      </c>
      <c r="B72" s="236"/>
      <c r="C72" s="237"/>
      <c r="D72" s="418">
        <f>IF(V062A_20[[#This Row],[FECHA]]-B71=1,((V062A_20[[#This Row],[HORA]]-C71)*24)+24,(V062A_20[[#This Row],[HORA]]-C71)*24)</f>
        <v>0</v>
      </c>
      <c r="E72" s="239"/>
      <c r="F72" s="378"/>
      <c r="G72" s="324"/>
      <c r="H72" s="306"/>
      <c r="I72" s="259">
        <f>IF(ISERROR(V062A_20[[#This Row],[DISTANCIA POR CARTA]]/V062A_20[[#This Row],[TIEMPO DE NAVEGACION]]),0,V062A_20[[#This Row],[DISTANCIA POR CARTA]]/V062A_20[[#This Row],[TIEMPO DE NAVEGACION]])</f>
        <v>0</v>
      </c>
      <c r="J72" s="242"/>
      <c r="K72" s="325"/>
      <c r="L72" s="245"/>
      <c r="M72" s="245"/>
      <c r="N72" s="245"/>
      <c r="O72" s="257">
        <f>SUM(V062A_20[[#This Row],[MPAL]:[CALDERA]])</f>
        <v>0</v>
      </c>
      <c r="P72" s="319"/>
      <c r="Q72" s="281">
        <f>(Q71-V062A_20[[#This Row],[TOTAL ]])+V062A_20[[#This Row],[FAENA]]</f>
        <v>422.55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SUM(V062A_20[[#This Row],[MPAL2]:[GI]])</f>
        <v>0</v>
      </c>
      <c r="X72" s="246"/>
      <c r="Y72" s="282">
        <f>(Y71-V062A_20[[#This Row],[TOTAL]])+V062A_20[[#This Row],[FAENA2]]</f>
        <v>74.700000000000017</v>
      </c>
      <c r="Z72" s="245"/>
      <c r="AA72" s="246"/>
      <c r="AB72" s="320">
        <f>(AB71-V062A_20[[#This Row],[CYLINDER MP]])+V062A_20[[#This Row],[FAENA EN LTS]]</f>
        <v>1710</v>
      </c>
      <c r="AC72" s="246"/>
      <c r="AD72" s="246"/>
      <c r="AE72" s="320">
        <f>(AE71-V062A_20[[#This Row],[CARTER MP.]])+V062A_20[[#This Row],[FAENA EN LTS2]]</f>
        <v>3800</v>
      </c>
      <c r="AF72" s="246"/>
      <c r="AG72" s="246"/>
      <c r="AH72" s="320">
        <f>(AH71-V062A_20[[#This Row],[MOT AUX]])+V062A_20[[#This Row],[FAENA EN  LTS]]</f>
        <v>3070</v>
      </c>
      <c r="AI72" s="246">
        <v>0</v>
      </c>
      <c r="AJ72" s="246">
        <v>0</v>
      </c>
      <c r="AK72" s="321">
        <f>(AK71-V062A_20[[#This Row],[HIDRAULICO]])+V062A_20[[#This Row],[FAENA EN LTS3]]</f>
        <v>2350</v>
      </c>
    </row>
    <row r="73" spans="1:37" x14ac:dyDescent="0.25">
      <c r="A73" s="431" t="s">
        <v>253</v>
      </c>
      <c r="B73" s="236"/>
      <c r="C73" s="237"/>
      <c r="D73" s="418">
        <f>IF(V062A_20[[#This Row],[FECHA]]-B72=1,((V062A_20[[#This Row],[HORA]]-C72)*24)+24,(V062A_20[[#This Row],[HORA]]-C72)*24)</f>
        <v>0</v>
      </c>
      <c r="E73" s="239"/>
      <c r="F73" s="378"/>
      <c r="G73" s="324"/>
      <c r="H73" s="306"/>
      <c r="I73" s="259">
        <f>IF(ISERROR(V062A_20[[#This Row],[DISTANCIA POR CARTA]]/V062A_20[[#This Row],[TIEMPO DE NAVEGACION]]),0,V062A_20[[#This Row],[DISTANCIA POR CARTA]]/V062A_20[[#This Row],[TIEMPO DE NAVEGACION]])</f>
        <v>0</v>
      </c>
      <c r="J73" s="380"/>
      <c r="K73" s="325"/>
      <c r="L73" s="245"/>
      <c r="M73" s="245"/>
      <c r="N73" s="245"/>
      <c r="O73" s="257">
        <f>SUM(V062A_20[[#This Row],[MPAL]:[CALDERA]])</f>
        <v>0</v>
      </c>
      <c r="P73" s="319"/>
      <c r="Q73" s="281">
        <f>(Q72-V062A_20[[#This Row],[TOTAL ]])+V062A_20[[#This Row],[FAENA]]</f>
        <v>422.55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SUM(V062A_20[[#This Row],[MPAL2]:[GI]])</f>
        <v>0</v>
      </c>
      <c r="X73" s="246"/>
      <c r="Y73" s="282">
        <f>(Y72-V062A_20[[#This Row],[TOTAL]])+V062A_20[[#This Row],[FAENA2]]</f>
        <v>74.700000000000017</v>
      </c>
      <c r="Z73" s="245"/>
      <c r="AA73" s="246"/>
      <c r="AB73" s="320">
        <f>(AB72-V062A_20[[#This Row],[CYLINDER MP]])+V062A_20[[#This Row],[FAENA EN LTS]]</f>
        <v>1710</v>
      </c>
      <c r="AC73" s="246"/>
      <c r="AD73" s="246"/>
      <c r="AE73" s="320">
        <f>(AE72-V062A_20[[#This Row],[CARTER MP.]])+V062A_20[[#This Row],[FAENA EN LTS2]]</f>
        <v>3800</v>
      </c>
      <c r="AF73" s="246"/>
      <c r="AG73" s="246"/>
      <c r="AH73" s="320">
        <f>(AH72-V062A_20[[#This Row],[MOT AUX]])+V062A_20[[#This Row],[FAENA EN  LTS]]</f>
        <v>3070</v>
      </c>
      <c r="AI73" s="246">
        <v>0</v>
      </c>
      <c r="AJ73" s="246">
        <v>0</v>
      </c>
      <c r="AK73" s="321">
        <f>(AK72-V062A_20[[#This Row],[HIDRAULICO]])+V062A_20[[#This Row],[FAENA EN LTS3]]</f>
        <v>2350</v>
      </c>
    </row>
    <row r="74" spans="1:37" x14ac:dyDescent="0.25">
      <c r="D74" s="132">
        <f>SUBTOTAL(109,V062A_20[TIEMPO Hrs])</f>
        <v>1052.5</v>
      </c>
      <c r="L74" s="68">
        <f>SUBTOTAL(109,V062A_20[MPAL])</f>
        <v>229.79999999999998</v>
      </c>
      <c r="M74" s="68">
        <f>SUBTOTAL(109,V062A_20[AUX.])</f>
        <v>61.35000000000003</v>
      </c>
      <c r="N74" s="68">
        <f>SUBTOTAL(109,V062A_20[CALDERA])</f>
        <v>22.7</v>
      </c>
    </row>
    <row r="75" spans="1:37" x14ac:dyDescent="0.25">
      <c r="O75" s="67">
        <f>SUM(L74:N74)</f>
        <v>313.85000000000002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0</v>
      </c>
      <c r="E79" s="279"/>
      <c r="F79" s="288"/>
      <c r="G79" s="137"/>
      <c r="H79" s="84">
        <f t="shared" ref="H79:H86" si="1">SUMIF($E$6:$E$73,C79,$L$6:$L$73)+SUMIF($E$6:$E$73,C79,$M$6:$M$73)+SUMIF($E$6:$E$73,C79,$N$6:$N$73)</f>
        <v>0</v>
      </c>
      <c r="I79" s="139">
        <f t="shared" ref="I79:I86" si="2">IF(ISERROR(H79*24/D79),0,H79*24/D79)</f>
        <v>0</v>
      </c>
      <c r="J79" s="137">
        <v>4.5</v>
      </c>
      <c r="K79" s="80"/>
      <c r="L79" s="38">
        <f>D79*J79/24</f>
        <v>0</v>
      </c>
      <c r="M79" s="80">
        <f t="shared" ref="M79:M86" si="3">L79-H79</f>
        <v>0</v>
      </c>
      <c r="N79" s="86"/>
      <c r="Q79" s="82"/>
      <c r="R79" s="83" t="s">
        <v>105</v>
      </c>
      <c r="S79" s="228">
        <f>SUM(V5:V73)</f>
        <v>6.5</v>
      </c>
      <c r="T79" s="84">
        <f>S79*24/($D$80+$D$86)</f>
        <v>0.46318289786223277</v>
      </c>
      <c r="U79" s="84">
        <v>6</v>
      </c>
      <c r="V79" s="85">
        <f>($D$80+$D$86)*U79/24</f>
        <v>84.2</v>
      </c>
      <c r="W79" s="86">
        <f>V79-S79</f>
        <v>77.7</v>
      </c>
    </row>
    <row r="80" spans="1:37" x14ac:dyDescent="0.25">
      <c r="C80" s="87" t="s">
        <v>51</v>
      </c>
      <c r="D80" s="264">
        <f t="shared" si="0"/>
        <v>0</v>
      </c>
      <c r="E80" s="264"/>
      <c r="F80" s="289"/>
      <c r="G80" s="139"/>
      <c r="H80" s="88">
        <f t="shared" si="1"/>
        <v>0</v>
      </c>
      <c r="I80" s="139">
        <f t="shared" si="2"/>
        <v>0</v>
      </c>
      <c r="J80" s="139">
        <v>4.5</v>
      </c>
      <c r="K80" s="88"/>
      <c r="L80" s="418">
        <f t="shared" ref="L80:L86" si="4">D80*J80/24</f>
        <v>0</v>
      </c>
      <c r="M80" s="88">
        <f t="shared" si="3"/>
        <v>0</v>
      </c>
      <c r="N80" s="121"/>
      <c r="R80" s="90" t="s">
        <v>106</v>
      </c>
      <c r="S80" s="286">
        <f>SUM(S5:S73)</f>
        <v>2.2000000000000002</v>
      </c>
      <c r="T80" s="84">
        <f>S80*24/($D$80+$D$86)</f>
        <v>0.15676959619952494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249.5</v>
      </c>
      <c r="E81" s="264">
        <f>SUMIF($E$6:$E$73,C81,$G$6:$G$73)</f>
        <v>3016</v>
      </c>
      <c r="F81" s="289">
        <f>E81/D81</f>
        <v>12.08817635270541</v>
      </c>
      <c r="G81" s="139">
        <v>12.5</v>
      </c>
      <c r="H81" s="88">
        <f t="shared" si="1"/>
        <v>254.69000000000003</v>
      </c>
      <c r="I81" s="139">
        <f t="shared" si="2"/>
        <v>24.499238476953909</v>
      </c>
      <c r="J81" s="139">
        <v>30.5</v>
      </c>
      <c r="K81" s="88">
        <f>E81/G81</f>
        <v>241.28</v>
      </c>
      <c r="L81" s="418">
        <f>K81*J81/24</f>
        <v>306.62666666666667</v>
      </c>
      <c r="M81" s="88">
        <f t="shared" si="3"/>
        <v>51.936666666666639</v>
      </c>
      <c r="N81" s="121">
        <f>K81-D81</f>
        <v>-8.2199999999999989</v>
      </c>
      <c r="R81" s="90" t="s">
        <v>20</v>
      </c>
      <c r="S81" s="286">
        <f>SUM(T5:T73)</f>
        <v>3</v>
      </c>
      <c r="T81" s="84">
        <f>S81*24/($D$80+$D$86)</f>
        <v>0.21377672209026127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0</v>
      </c>
      <c r="E82" s="264">
        <f>SUMIF($E$6:$E$73,C82,$G$6:$G$73)</f>
        <v>0</v>
      </c>
      <c r="F82" s="289" t="e">
        <f>E82/D82</f>
        <v>#DIV/0!</v>
      </c>
      <c r="G82" s="139">
        <v>12</v>
      </c>
      <c r="H82" s="88">
        <f t="shared" si="1"/>
        <v>0</v>
      </c>
      <c r="I82" s="139">
        <f t="shared" si="2"/>
        <v>0</v>
      </c>
      <c r="J82" s="139">
        <v>30.5</v>
      </c>
      <c r="K82" s="88">
        <f>E82/G82</f>
        <v>0</v>
      </c>
      <c r="L82" s="418">
        <f>K82*J82/24</f>
        <v>0</v>
      </c>
      <c r="M82" s="88">
        <f t="shared" si="3"/>
        <v>0</v>
      </c>
      <c r="N82" s="121">
        <f>K82-D82</f>
        <v>0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31.5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472.4</v>
      </c>
      <c r="E84" s="264"/>
      <c r="F84" s="289"/>
      <c r="G84" s="139"/>
      <c r="H84" s="88">
        <f t="shared" si="1"/>
        <v>55.259999999999991</v>
      </c>
      <c r="I84" s="139">
        <f t="shared" si="2"/>
        <v>2.8074513124470784</v>
      </c>
      <c r="J84" s="139">
        <v>4.5</v>
      </c>
      <c r="K84" s="88"/>
      <c r="L84" s="418">
        <f t="shared" si="4"/>
        <v>88.574999999999989</v>
      </c>
      <c r="M84" s="88">
        <f t="shared" si="3"/>
        <v>33.314999999999998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7.7</v>
      </c>
      <c r="E85" s="264"/>
      <c r="F85" s="289"/>
      <c r="G85" s="139"/>
      <c r="H85" s="88">
        <f t="shared" si="1"/>
        <v>2.4000000000000004</v>
      </c>
      <c r="I85" s="139">
        <f t="shared" si="2"/>
        <v>7.4805194805194812</v>
      </c>
      <c r="J85" s="139">
        <v>4.5</v>
      </c>
      <c r="K85" s="88"/>
      <c r="L85" s="418">
        <f t="shared" si="4"/>
        <v>1.4437499999999999</v>
      </c>
      <c r="M85" s="88">
        <f t="shared" si="3"/>
        <v>-0.95625000000000049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336.8</v>
      </c>
      <c r="E86" s="290"/>
      <c r="F86" s="291"/>
      <c r="G86" s="140"/>
      <c r="H86" s="98">
        <f t="shared" si="1"/>
        <v>1.5</v>
      </c>
      <c r="I86" s="141">
        <f t="shared" si="2"/>
        <v>0.10688836104513064</v>
      </c>
      <c r="J86" s="141">
        <v>4.5</v>
      </c>
      <c r="K86" s="98"/>
      <c r="L86" s="99">
        <f t="shared" si="4"/>
        <v>63.150000000000006</v>
      </c>
      <c r="M86" s="98">
        <f t="shared" si="3"/>
        <v>61.650000000000006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1066.4000000000001</v>
      </c>
      <c r="E88" s="284">
        <f>SUM(E79:E85)</f>
        <v>3016</v>
      </c>
      <c r="F88" s="284" t="e">
        <f>SUM(F79:F85)/2</f>
        <v>#DIV/0!</v>
      </c>
      <c r="H88" s="101">
        <f>SUM(H79:H86)</f>
        <v>313.85000000000002</v>
      </c>
      <c r="K88" s="142"/>
      <c r="L88" s="104">
        <f>SUM(L79:L86)</f>
        <v>459.79541666666671</v>
      </c>
      <c r="M88" s="101">
        <f>SUM(M79:M86)</f>
        <v>145.94541666666663</v>
      </c>
      <c r="N88" s="101">
        <f>SUM(N79:N86)</f>
        <v>-8.2199999999999989</v>
      </c>
      <c r="R88" s="100" t="s">
        <v>29</v>
      </c>
      <c r="S88" s="101">
        <f>SUM(S79:S83)</f>
        <v>11.7</v>
      </c>
      <c r="T88" s="101">
        <f>SUM(T79:T83)</f>
        <v>0.83372921615201889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714" priority="5" operator="greaterThan">
      <formula>"S5"</formula>
    </cfRule>
  </conditionalFormatting>
  <conditionalFormatting sqref="I54:I73">
    <cfRule type="cellIs" dxfId="713" priority="4" operator="greaterThan">
      <formula>0</formula>
    </cfRule>
  </conditionalFormatting>
  <conditionalFormatting sqref="J6:J9">
    <cfRule type="cellIs" dxfId="712" priority="3" operator="greaterThan">
      <formula>"S5"</formula>
    </cfRule>
  </conditionalFormatting>
  <conditionalFormatting sqref="I6:I9">
    <cfRule type="cellIs" dxfId="711" priority="2" operator="greaterThan">
      <formula>0</formula>
    </cfRule>
  </conditionalFormatting>
  <conditionalFormatting sqref="I10:I53">
    <cfRule type="cellIs" dxfId="710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P7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92" sqref="F92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44064</v>
      </c>
      <c r="C4" s="341">
        <v>0.62916666666666665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425.46100000000001</v>
      </c>
      <c r="R4" s="553" t="s">
        <v>183</v>
      </c>
      <c r="S4" s="554"/>
      <c r="T4" s="554"/>
      <c r="U4" s="554"/>
      <c r="V4" s="554"/>
      <c r="W4" s="554"/>
      <c r="X4" s="555"/>
      <c r="Y4" s="283">
        <v>75.88</v>
      </c>
      <c r="Z4" s="6"/>
      <c r="AA4" s="7" t="s">
        <v>184</v>
      </c>
      <c r="AB4" s="304">
        <v>1710</v>
      </c>
      <c r="AC4" s="9"/>
      <c r="AD4" s="7" t="s">
        <v>184</v>
      </c>
      <c r="AE4" s="304">
        <v>3800</v>
      </c>
      <c r="AG4" s="7" t="s">
        <v>184</v>
      </c>
      <c r="AH4" s="304">
        <v>3070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269</v>
      </c>
      <c r="B6" s="48">
        <v>44064</v>
      </c>
      <c r="C6" s="41">
        <v>0.62916666666666665</v>
      </c>
      <c r="D6" s="418">
        <v>0</v>
      </c>
      <c r="E6" s="239" t="s">
        <v>47</v>
      </c>
      <c r="F6" s="29" t="s">
        <v>212</v>
      </c>
      <c r="G6" s="324"/>
      <c r="H6" s="306"/>
      <c r="I6" s="259">
        <f>IF(ISERROR(V062A_2030[[#This Row],[DISTANCIA POR CARTA]]/V062A_2030[[#This Row],[TIEMPO DE NAVEGACION]]),0,V062A_2030[[#This Row],[DISTANCIA POR CARTA]]/V062A_2030[[#This Row],[TIEMPO DE NAVEGACION]])</f>
        <v>0</v>
      </c>
      <c r="J6" s="242"/>
      <c r="K6" s="325"/>
      <c r="L6" s="418">
        <v>0.5</v>
      </c>
      <c r="M6" s="245">
        <v>0.05</v>
      </c>
      <c r="N6" s="245">
        <v>0.05</v>
      </c>
      <c r="O6" s="257">
        <f>SUM(V062A_2030[[#This Row],[MPAL]:[CALDERA]])</f>
        <v>0.60000000000000009</v>
      </c>
      <c r="P6" s="319"/>
      <c r="Q6" s="281">
        <f>(Q4-V062A_2030[[#This Row],[TOTAL ]])+V062A_2030[[#This Row],[FAENA]]</f>
        <v>424.86099999999999</v>
      </c>
      <c r="R6" s="245">
        <v>0</v>
      </c>
      <c r="S6" s="246">
        <v>0</v>
      </c>
      <c r="T6" s="246">
        <v>0</v>
      </c>
      <c r="U6" s="246">
        <v>0</v>
      </c>
      <c r="V6" s="246">
        <v>0.4</v>
      </c>
      <c r="W6" s="257">
        <f>SUM(V062A_2030[[#This Row],[MPAL2]:[GI]])</f>
        <v>0.4</v>
      </c>
      <c r="X6" s="246"/>
      <c r="Y6" s="282">
        <f>(Y4-V062A_2030[[#This Row],[TOTAL]])+V062A_2030[[#This Row],[FAENA2]]</f>
        <v>75.47999999999999</v>
      </c>
      <c r="Z6" s="245">
        <v>20</v>
      </c>
      <c r="AA6" s="246">
        <v>3600</v>
      </c>
      <c r="AB6" s="320">
        <f>(AB4-V062A_2030[[#This Row],[CYLINDER MP]])+V062A_2030[[#This Row],[FAENA EN LTS]]</f>
        <v>5290</v>
      </c>
      <c r="AC6" s="246">
        <v>500</v>
      </c>
      <c r="AD6" s="246">
        <v>400</v>
      </c>
      <c r="AE6" s="320">
        <f>(AE4-V062A_2030[[#This Row],[CARTER MP.]])+V062A_2030[[#This Row],[FAENA EN LTS2]]</f>
        <v>3700</v>
      </c>
      <c r="AF6" s="246">
        <v>20</v>
      </c>
      <c r="AG6" s="246">
        <v>0</v>
      </c>
      <c r="AH6" s="320">
        <f>(AH4-V062A_2030[[#This Row],[MOT AUX]])+V062A_2030[[#This Row],[FAENA EN  LTS]]</f>
        <v>3050</v>
      </c>
      <c r="AI6" s="246">
        <v>0</v>
      </c>
      <c r="AJ6" s="246">
        <v>200</v>
      </c>
      <c r="AK6" s="321">
        <f>(AK4-V062A_2030[[#This Row],[HIDRAULICO]])+V062A_2030[[#This Row],[FAENA EN LTS3]]</f>
        <v>2550</v>
      </c>
    </row>
    <row r="7" spans="1:37" x14ac:dyDescent="0.25">
      <c r="A7" s="431" t="s">
        <v>269</v>
      </c>
      <c r="B7" s="48">
        <v>44064</v>
      </c>
      <c r="C7" s="41">
        <v>0.77430555555555547</v>
      </c>
      <c r="D7" s="418">
        <f>IF(V062A_2030[[#This Row],[FECHA]]-B6=1,((V062A_2030[[#This Row],[HORA]]-C6)*24)+24,(V062A_2030[[#This Row],[HORA]]-C6)*24)</f>
        <v>3.4833333333333316</v>
      </c>
      <c r="E7" s="239" t="s">
        <v>61</v>
      </c>
      <c r="F7" s="29" t="s">
        <v>271</v>
      </c>
      <c r="G7" s="324">
        <v>30</v>
      </c>
      <c r="H7" s="306">
        <v>2.5</v>
      </c>
      <c r="I7" s="259">
        <f>IF(ISERROR(V062A_2030[[#This Row],[DISTANCIA POR CARTA]]/V062A_2030[[#This Row],[TIEMPO DE NAVEGACION]]),0,V062A_2030[[#This Row],[DISTANCIA POR CARTA]]/V062A_2030[[#This Row],[TIEMPO DE NAVEGACION]])</f>
        <v>12</v>
      </c>
      <c r="J7" s="242">
        <v>4</v>
      </c>
      <c r="K7" s="325">
        <v>97</v>
      </c>
      <c r="L7" s="418">
        <v>2.4</v>
      </c>
      <c r="M7" s="245">
        <v>0.13</v>
      </c>
      <c r="N7" s="245">
        <v>0.1</v>
      </c>
      <c r="O7" s="257">
        <f>SUM(V062A_2030[[#This Row],[MPAL]:[CALDERA]])</f>
        <v>2.63</v>
      </c>
      <c r="P7" s="319"/>
      <c r="Q7" s="281">
        <f>(Q6-V062A_2030[[#This Row],[TOTAL ]])+V062A_2030[[#This Row],[FAENA]]</f>
        <v>422.23099999999999</v>
      </c>
      <c r="R7" s="245">
        <v>0</v>
      </c>
      <c r="S7" s="246">
        <v>0</v>
      </c>
      <c r="T7" s="246">
        <v>0</v>
      </c>
      <c r="U7" s="246">
        <v>0</v>
      </c>
      <c r="V7" s="246">
        <v>0.7</v>
      </c>
      <c r="W7" s="257">
        <f>SUM(V062A_2030[[#This Row],[MPAL2]:[GI]])</f>
        <v>0.7</v>
      </c>
      <c r="X7" s="246"/>
      <c r="Y7" s="282">
        <f>(Y6-V062A_2030[[#This Row],[TOTAL]])+V062A_2030[[#This Row],[FAENA2]]</f>
        <v>74.779999999999987</v>
      </c>
      <c r="Z7" s="245">
        <v>32</v>
      </c>
      <c r="AA7" s="246">
        <v>0</v>
      </c>
      <c r="AB7" s="320">
        <f>(AB6-V062A_2030[[#This Row],[CYLINDER MP]])+V062A_2030[[#This Row],[FAENA EN LTS]]</f>
        <v>5258</v>
      </c>
      <c r="AC7" s="246">
        <v>0</v>
      </c>
      <c r="AD7" s="246">
        <v>0</v>
      </c>
      <c r="AE7" s="320">
        <f>(AE6-V062A_2030[[#This Row],[CARTER MP.]])+V062A_2030[[#This Row],[FAENA EN LTS2]]</f>
        <v>3700</v>
      </c>
      <c r="AF7" s="246">
        <v>0</v>
      </c>
      <c r="AG7" s="246">
        <v>0</v>
      </c>
      <c r="AH7" s="320">
        <f>(AH6-V062A_2030[[#This Row],[MOT AUX]])+V062A_2030[[#This Row],[FAENA EN  LTS]]</f>
        <v>3050</v>
      </c>
      <c r="AI7" s="246">
        <v>0</v>
      </c>
      <c r="AJ7" s="246">
        <v>0</v>
      </c>
      <c r="AK7" s="321">
        <f>(AK6-V062A_2030[[#This Row],[HIDRAULICO]])+V062A_2030[[#This Row],[FAENA EN LTS3]]</f>
        <v>2550</v>
      </c>
    </row>
    <row r="8" spans="1:37" x14ac:dyDescent="0.25">
      <c r="A8" s="431" t="s">
        <v>269</v>
      </c>
      <c r="B8" s="48">
        <v>44064</v>
      </c>
      <c r="C8" s="41">
        <v>0.83333333333333337</v>
      </c>
      <c r="D8" s="418">
        <f>IF(V062A_2030[[#This Row],[FECHA]]-B7=1,((V062A_2030[[#This Row],[HORA]]-C7)*24)+24,(V062A_2030[[#This Row],[HORA]]-C7)*24)</f>
        <v>1.4166666666666696</v>
      </c>
      <c r="E8" s="239" t="s">
        <v>47</v>
      </c>
      <c r="F8" s="29" t="s">
        <v>47</v>
      </c>
      <c r="G8" s="324"/>
      <c r="H8" s="306"/>
      <c r="I8" s="259">
        <f>IF(ISERROR(V062A_2030[[#This Row],[DISTANCIA POR CARTA]]/V062A_2030[[#This Row],[TIEMPO DE NAVEGACION]]),0,V062A_2030[[#This Row],[DISTANCIA POR CARTA]]/V062A_2030[[#This Row],[TIEMPO DE NAVEGACION]])</f>
        <v>0</v>
      </c>
      <c r="J8" s="380"/>
      <c r="K8" s="325"/>
      <c r="L8" s="418">
        <v>1</v>
      </c>
      <c r="M8" s="245">
        <v>0.12</v>
      </c>
      <c r="N8" s="245">
        <v>0.1</v>
      </c>
      <c r="O8" s="257">
        <f>SUM(V062A_2030[[#This Row],[MPAL]:[CALDERA]])</f>
        <v>1.2200000000000002</v>
      </c>
      <c r="P8" s="319"/>
      <c r="Q8" s="281">
        <f>(Q7-V062A_2030[[#This Row],[TOTAL ]])+V062A_2030[[#This Row],[FAENA]]</f>
        <v>421.01099999999997</v>
      </c>
      <c r="R8" s="245">
        <v>0</v>
      </c>
      <c r="S8" s="246">
        <v>0</v>
      </c>
      <c r="T8" s="246">
        <v>0</v>
      </c>
      <c r="U8" s="246">
        <v>0</v>
      </c>
      <c r="V8" s="246">
        <v>0.6</v>
      </c>
      <c r="W8" s="257">
        <f>SUM(V062A_2030[[#This Row],[MPAL2]:[GI]])</f>
        <v>0.6</v>
      </c>
      <c r="X8" s="246"/>
      <c r="Y8" s="282">
        <f>(Y7-V062A_2030[[#This Row],[TOTAL]])+V062A_2030[[#This Row],[FAENA2]]</f>
        <v>74.179999999999993</v>
      </c>
      <c r="Z8" s="245">
        <v>30</v>
      </c>
      <c r="AA8" s="246">
        <v>0</v>
      </c>
      <c r="AB8" s="320">
        <f>(AB7-V062A_2030[[#This Row],[CYLINDER MP]])+V062A_2030[[#This Row],[FAENA EN LTS]]</f>
        <v>5228</v>
      </c>
      <c r="AC8" s="246">
        <v>0</v>
      </c>
      <c r="AD8" s="246">
        <v>0</v>
      </c>
      <c r="AE8" s="320">
        <f>(AE7-V062A_2030[[#This Row],[CARTER MP.]])+V062A_2030[[#This Row],[FAENA EN LTS2]]</f>
        <v>3700</v>
      </c>
      <c r="AF8" s="246">
        <v>0</v>
      </c>
      <c r="AG8" s="246">
        <v>0</v>
      </c>
      <c r="AH8" s="320">
        <f>(AH7-V062A_2030[[#This Row],[MOT AUX]])+V062A_2030[[#This Row],[FAENA EN  LTS]]</f>
        <v>3050</v>
      </c>
      <c r="AI8" s="246">
        <v>0</v>
      </c>
      <c r="AJ8" s="246">
        <v>0</v>
      </c>
      <c r="AK8" s="321">
        <f>(AK7-V062A_2030[[#This Row],[HIDRAULICO]])+V062A_2030[[#This Row],[FAENA EN LTS3]]</f>
        <v>2550</v>
      </c>
    </row>
    <row r="9" spans="1:37" x14ac:dyDescent="0.25">
      <c r="A9" s="431" t="s">
        <v>269</v>
      </c>
      <c r="B9" s="48">
        <v>44065</v>
      </c>
      <c r="C9" s="41">
        <v>0.33333333333333331</v>
      </c>
      <c r="D9" s="418">
        <f>IF(V062A_2030[[#This Row],[FECHA]]-B8=1,((V062A_2030[[#This Row],[HORA]]-C8)*24)+24,(V062A_2030[[#This Row],[HORA]]-C8)*24)</f>
        <v>12</v>
      </c>
      <c r="E9" s="239" t="s">
        <v>71</v>
      </c>
      <c r="F9" s="29" t="s">
        <v>262</v>
      </c>
      <c r="G9" s="324"/>
      <c r="H9" s="306"/>
      <c r="I9" s="259">
        <f>IF(ISERROR(V062A_2030[[#This Row],[DISTANCIA POR CARTA]]/V062A_2030[[#This Row],[TIEMPO DE NAVEGACION]]),0,V062A_2030[[#This Row],[DISTANCIA POR CARTA]]/V062A_2030[[#This Row],[TIEMPO DE NAVEGACION]])</f>
        <v>0</v>
      </c>
      <c r="J9" s="242"/>
      <c r="K9" s="325"/>
      <c r="L9" s="418">
        <f>+IF(I9="","",(I9/24)*G9)</f>
        <v>0</v>
      </c>
      <c r="M9" s="245">
        <v>0.6</v>
      </c>
      <c r="N9" s="245">
        <v>0.5</v>
      </c>
      <c r="O9" s="257">
        <f>SUM(V062A_2030[[#This Row],[MPAL]:[CALDERA]])</f>
        <v>1.1000000000000001</v>
      </c>
      <c r="P9" s="319"/>
      <c r="Q9" s="281">
        <f>(Q8-V062A_2030[[#This Row],[TOTAL ]])+V062A_2030[[#This Row],[FAENA]]</f>
        <v>419.91099999999994</v>
      </c>
      <c r="R9" s="245">
        <v>0</v>
      </c>
      <c r="S9" s="246">
        <v>0</v>
      </c>
      <c r="T9" s="246">
        <v>0</v>
      </c>
      <c r="U9" s="246">
        <v>0</v>
      </c>
      <c r="V9" s="246">
        <v>1.3</v>
      </c>
      <c r="W9" s="257">
        <f>SUM(V062A_2030[[#This Row],[MPAL2]:[GI]])</f>
        <v>1.3</v>
      </c>
      <c r="X9" s="246"/>
      <c r="Y9" s="282">
        <f>(Y8-V062A_2030[[#This Row],[TOTAL]])+V062A_2030[[#This Row],[FAENA2]]</f>
        <v>72.88</v>
      </c>
      <c r="Z9" s="245">
        <v>0</v>
      </c>
      <c r="AA9" s="246">
        <v>0</v>
      </c>
      <c r="AB9" s="320">
        <f>(AB8-V062A_2030[[#This Row],[CYLINDER MP]])+V062A_2030[[#This Row],[FAENA EN LTS]]</f>
        <v>5228</v>
      </c>
      <c r="AC9" s="246">
        <v>0</v>
      </c>
      <c r="AD9" s="246">
        <v>0</v>
      </c>
      <c r="AE9" s="320">
        <f>(AE8-V062A_2030[[#This Row],[CARTER MP.]])+V062A_2030[[#This Row],[FAENA EN LTS2]]</f>
        <v>3700</v>
      </c>
      <c r="AF9" s="246">
        <v>0</v>
      </c>
      <c r="AG9" s="246">
        <v>0</v>
      </c>
      <c r="AH9" s="320">
        <f>(AH8-V062A_2030[[#This Row],[MOT AUX]])+V062A_2030[[#This Row],[FAENA EN  LTS]]</f>
        <v>3050</v>
      </c>
      <c r="AI9" s="246">
        <v>0</v>
      </c>
      <c r="AJ9" s="246">
        <v>0</v>
      </c>
      <c r="AK9" s="321">
        <f>(AK8-V062A_2030[[#This Row],[HIDRAULICO]])+V062A_2030[[#This Row],[FAENA EN LTS3]]</f>
        <v>2550</v>
      </c>
    </row>
    <row r="10" spans="1:37" x14ac:dyDescent="0.25">
      <c r="A10" s="431" t="s">
        <v>269</v>
      </c>
      <c r="B10" s="48">
        <v>44066</v>
      </c>
      <c r="C10" s="41">
        <v>0.33333333333333331</v>
      </c>
      <c r="D10" s="418">
        <f>IF(V062A_2030[[#This Row],[FECHA]]-B9=1,((V062A_2030[[#This Row],[HORA]]-C9)*24)+24,(V062A_2030[[#This Row],[HORA]]-C9)*24)</f>
        <v>24</v>
      </c>
      <c r="E10" s="239" t="s">
        <v>71</v>
      </c>
      <c r="F10" s="29" t="s">
        <v>262</v>
      </c>
      <c r="G10" s="324"/>
      <c r="H10" s="306"/>
      <c r="I10" s="259">
        <f>IF(ISERROR(V062A_2030[[#This Row],[DISTANCIA POR CARTA]]/V062A_2030[[#This Row],[TIEMPO DE NAVEGACION]]),0,V062A_2030[[#This Row],[DISTANCIA POR CARTA]]/V062A_2030[[#This Row],[TIEMPO DE NAVEGACION]])</f>
        <v>0</v>
      </c>
      <c r="J10" s="242"/>
      <c r="K10" s="325"/>
      <c r="L10" s="245">
        <v>0</v>
      </c>
      <c r="M10" s="245">
        <v>1.3</v>
      </c>
      <c r="N10" s="245">
        <v>1</v>
      </c>
      <c r="O10" s="257">
        <f>SUM(V062A_2030[[#This Row],[MPAL]:[CALDERA]])</f>
        <v>2.2999999999999998</v>
      </c>
      <c r="P10" s="319"/>
      <c r="Q10" s="281">
        <f>(Q9-V062A_2030[[#This Row],[TOTAL ]])+V062A_2030[[#This Row],[FAENA]]</f>
        <v>417.61099999999993</v>
      </c>
      <c r="R10" s="245">
        <v>0</v>
      </c>
      <c r="S10" s="246">
        <v>0.1</v>
      </c>
      <c r="T10" s="246">
        <v>0</v>
      </c>
      <c r="U10" s="246">
        <v>0</v>
      </c>
      <c r="V10" s="246">
        <v>0</v>
      </c>
      <c r="W10" s="257">
        <f>SUM(V062A_2030[[#This Row],[MPAL2]:[GI]])</f>
        <v>0.1</v>
      </c>
      <c r="X10" s="246"/>
      <c r="Y10" s="282">
        <f>(Y9-V062A_2030[[#This Row],[TOTAL]])+V062A_2030[[#This Row],[FAENA2]]</f>
        <v>72.78</v>
      </c>
      <c r="Z10" s="245">
        <v>0</v>
      </c>
      <c r="AA10" s="246">
        <v>0</v>
      </c>
      <c r="AB10" s="320">
        <f>(AB9-V062A_2030[[#This Row],[CYLINDER MP]])+V062A_2030[[#This Row],[FAENA EN LTS]]</f>
        <v>5228</v>
      </c>
      <c r="AC10" s="246">
        <v>0</v>
      </c>
      <c r="AD10" s="246">
        <v>0</v>
      </c>
      <c r="AE10" s="320">
        <f>(AE9-V062A_2030[[#This Row],[CARTER MP.]])+V062A_2030[[#This Row],[FAENA EN LTS2]]</f>
        <v>3700</v>
      </c>
      <c r="AF10" s="246">
        <v>40</v>
      </c>
      <c r="AG10" s="246">
        <v>0</v>
      </c>
      <c r="AH10" s="320">
        <f>(AH9-V062A_2030[[#This Row],[MOT AUX]])+V062A_2030[[#This Row],[FAENA EN  LTS]]</f>
        <v>3010</v>
      </c>
      <c r="AI10" s="246">
        <v>0</v>
      </c>
      <c r="AJ10" s="246">
        <v>0</v>
      </c>
      <c r="AK10" s="321">
        <f>(AK9-V062A_2030[[#This Row],[HIDRAULICO]])+V062A_2030[[#This Row],[FAENA EN LTS3]]</f>
        <v>2550</v>
      </c>
    </row>
    <row r="11" spans="1:37" x14ac:dyDescent="0.25">
      <c r="A11" s="431" t="s">
        <v>269</v>
      </c>
      <c r="B11" s="48">
        <v>44067</v>
      </c>
      <c r="C11" s="41">
        <v>0.33333333333333331</v>
      </c>
      <c r="D11" s="418">
        <f>IF(V062A_2030[[#This Row],[FECHA]]-B10=1,((V062A_2030[[#This Row],[HORA]]-C10)*24)+24,(V062A_2030[[#This Row],[HORA]]-C10)*24)</f>
        <v>24</v>
      </c>
      <c r="E11" s="239" t="s">
        <v>71</v>
      </c>
      <c r="F11" s="29" t="s">
        <v>262</v>
      </c>
      <c r="G11" s="324"/>
      <c r="H11" s="306"/>
      <c r="I11" s="259">
        <f>IF(ISERROR(V062A_2030[[#This Row],[DISTANCIA POR CARTA]]/V062A_2030[[#This Row],[TIEMPO DE NAVEGACION]]),0,V062A_2030[[#This Row],[DISTANCIA POR CARTA]]/V062A_2030[[#This Row],[TIEMPO DE NAVEGACION]])</f>
        <v>0</v>
      </c>
      <c r="J11" s="242"/>
      <c r="K11" s="325"/>
      <c r="L11" s="245">
        <v>0</v>
      </c>
      <c r="M11" s="245">
        <v>1.2</v>
      </c>
      <c r="N11" s="245">
        <v>1</v>
      </c>
      <c r="O11" s="257">
        <f>SUM(V062A_2030[[#This Row],[MPAL]:[CALDERA]])</f>
        <v>2.2000000000000002</v>
      </c>
      <c r="P11" s="319"/>
      <c r="Q11" s="281">
        <f>(Q10-V062A_2030[[#This Row],[TOTAL ]])+V062A_2030[[#This Row],[FAENA]]</f>
        <v>415.41099999999994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SUM(V062A_2030[[#This Row],[MPAL2]:[GI]])</f>
        <v>0</v>
      </c>
      <c r="X11" s="246"/>
      <c r="Y11" s="282">
        <f>(Y10-V062A_2030[[#This Row],[TOTAL]])+V062A_2030[[#This Row],[FAENA2]]</f>
        <v>72.78</v>
      </c>
      <c r="Z11" s="245">
        <v>0</v>
      </c>
      <c r="AA11" s="246">
        <v>0</v>
      </c>
      <c r="AB11" s="320">
        <f>(AB10-V062A_2030[[#This Row],[CYLINDER MP]])+V062A_2030[[#This Row],[FAENA EN LTS]]</f>
        <v>5228</v>
      </c>
      <c r="AC11" s="246">
        <v>0</v>
      </c>
      <c r="AD11" s="246">
        <v>0</v>
      </c>
      <c r="AE11" s="320">
        <f>(AE10-V062A_2030[[#This Row],[CARTER MP.]])+V062A_2030[[#This Row],[FAENA EN LTS2]]</f>
        <v>3700</v>
      </c>
      <c r="AF11" s="246">
        <v>40</v>
      </c>
      <c r="AG11" s="246">
        <v>0</v>
      </c>
      <c r="AH11" s="320">
        <f>(AH10-V062A_2030[[#This Row],[MOT AUX]])+V062A_2030[[#This Row],[FAENA EN  LTS]]</f>
        <v>2970</v>
      </c>
      <c r="AI11" s="246">
        <v>0</v>
      </c>
      <c r="AJ11" s="246">
        <v>0</v>
      </c>
      <c r="AK11" s="321">
        <f>(AK10-V062A_2030[[#This Row],[HIDRAULICO]])+V062A_2030[[#This Row],[FAENA EN LTS3]]</f>
        <v>2550</v>
      </c>
    </row>
    <row r="12" spans="1:37" x14ac:dyDescent="0.25">
      <c r="A12" s="431" t="s">
        <v>269</v>
      </c>
      <c r="B12" s="48">
        <v>44068</v>
      </c>
      <c r="C12" s="41">
        <v>0.25</v>
      </c>
      <c r="D12" s="418">
        <f>IF(V062A_2030[[#This Row],[FECHA]]-B11=1,((V062A_2030[[#This Row],[HORA]]-C11)*24)+24,(V062A_2030[[#This Row],[HORA]]-C11)*24)</f>
        <v>22</v>
      </c>
      <c r="E12" s="239" t="s">
        <v>71</v>
      </c>
      <c r="F12" s="29" t="s">
        <v>262</v>
      </c>
      <c r="G12" s="324"/>
      <c r="H12" s="306"/>
      <c r="I12" s="259">
        <f>IF(ISERROR(V062A_2030[[#This Row],[DISTANCIA POR CARTA]]/V062A_2030[[#This Row],[TIEMPO DE NAVEGACION]]),0,V062A_2030[[#This Row],[DISTANCIA POR CARTA]]/V062A_2030[[#This Row],[TIEMPO DE NAVEGACION]])</f>
        <v>0</v>
      </c>
      <c r="J12" s="380"/>
      <c r="K12" s="325"/>
      <c r="L12" s="245">
        <v>0</v>
      </c>
      <c r="M12" s="245">
        <v>1.1000000000000001</v>
      </c>
      <c r="N12" s="245">
        <v>0.92</v>
      </c>
      <c r="O12" s="257">
        <f>SUM(V062A_2030[[#This Row],[MPAL]:[CALDERA]])</f>
        <v>2.02</v>
      </c>
      <c r="P12" s="319">
        <v>498</v>
      </c>
      <c r="Q12" s="281">
        <f>(Q11-V062A_2030[[#This Row],[TOTAL ]])+V062A_2030[[#This Row],[FAENA]]</f>
        <v>911.39099999999996</v>
      </c>
      <c r="R12" s="245">
        <v>0</v>
      </c>
      <c r="S12" s="246">
        <v>0.1</v>
      </c>
      <c r="T12" s="246">
        <v>0</v>
      </c>
      <c r="U12" s="246">
        <v>0</v>
      </c>
      <c r="V12" s="246">
        <v>0</v>
      </c>
      <c r="W12" s="257">
        <f>SUM(V062A_2030[[#This Row],[MPAL2]:[GI]])</f>
        <v>0.1</v>
      </c>
      <c r="X12" s="246"/>
      <c r="Y12" s="282">
        <f>(Y11-V062A_2030[[#This Row],[TOTAL]])+V062A_2030[[#This Row],[FAENA2]]</f>
        <v>72.680000000000007</v>
      </c>
      <c r="Z12" s="245">
        <v>0</v>
      </c>
      <c r="AA12" s="246">
        <v>0</v>
      </c>
      <c r="AB12" s="320">
        <f>(AB11-V062A_2030[[#This Row],[CYLINDER MP]])+V062A_2030[[#This Row],[FAENA EN LTS]]</f>
        <v>5228</v>
      </c>
      <c r="AC12" s="246">
        <v>0</v>
      </c>
      <c r="AD12" s="246">
        <v>0</v>
      </c>
      <c r="AE12" s="320">
        <f>(AE11-V062A_2030[[#This Row],[CARTER MP.]])+V062A_2030[[#This Row],[FAENA EN LTS2]]</f>
        <v>3700</v>
      </c>
      <c r="AF12" s="246">
        <v>40</v>
      </c>
      <c r="AG12" s="246">
        <v>0</v>
      </c>
      <c r="AH12" s="320">
        <f>(AH11-V062A_2030[[#This Row],[MOT AUX]])+V062A_2030[[#This Row],[FAENA EN  LTS]]</f>
        <v>2930</v>
      </c>
      <c r="AI12" s="246">
        <v>0</v>
      </c>
      <c r="AJ12" s="246">
        <v>0</v>
      </c>
      <c r="AK12" s="321">
        <f>(AK11-V062A_2030[[#This Row],[HIDRAULICO]])+V062A_2030[[#This Row],[FAENA EN LTS3]]</f>
        <v>2550</v>
      </c>
    </row>
    <row r="13" spans="1:37" x14ac:dyDescent="0.25">
      <c r="A13" s="431" t="s">
        <v>269</v>
      </c>
      <c r="B13" s="48">
        <v>44068</v>
      </c>
      <c r="C13" s="351">
        <v>0.33333333333333331</v>
      </c>
      <c r="D13" s="418">
        <f>IF(V062A_2030[[#This Row],[FECHA]]-B12=1,((V062A_2030[[#This Row],[HORA]]-C12)*24)+24,(V062A_2030[[#This Row],[HORA]]-C12)*24)</f>
        <v>1.9999999999999996</v>
      </c>
      <c r="E13" s="239" t="s">
        <v>51</v>
      </c>
      <c r="F13" s="29" t="s">
        <v>263</v>
      </c>
      <c r="G13" s="324"/>
      <c r="H13" s="306"/>
      <c r="I13" s="259">
        <f>IF(ISERROR(V062A_2030[[#This Row],[DISTANCIA POR CARTA]]/V062A_2030[[#This Row],[TIEMPO DE NAVEGACION]]),0,V062A_2030[[#This Row],[DISTANCIA POR CARTA]]/V062A_2030[[#This Row],[TIEMPO DE NAVEGACION]])</f>
        <v>0</v>
      </c>
      <c r="J13" s="380"/>
      <c r="K13" s="325"/>
      <c r="L13" s="245">
        <v>0</v>
      </c>
      <c r="M13" s="245">
        <v>0.18</v>
      </c>
      <c r="N13" s="245">
        <v>0.08</v>
      </c>
      <c r="O13" s="257">
        <f>SUM(V062A_2030[[#This Row],[MPAL]:[CALDERA]])</f>
        <v>0.26</v>
      </c>
      <c r="P13" s="319"/>
      <c r="Q13" s="281">
        <f>(Q12-V062A_2030[[#This Row],[TOTAL ]])+V062A_2030[[#This Row],[FAENA]]</f>
        <v>911.13099999999997</v>
      </c>
      <c r="R13" s="245">
        <v>0</v>
      </c>
      <c r="S13" s="246">
        <v>0</v>
      </c>
      <c r="T13" s="246">
        <v>0</v>
      </c>
      <c r="U13" s="246">
        <v>0</v>
      </c>
      <c r="V13" s="246">
        <v>1.3</v>
      </c>
      <c r="W13" s="257">
        <f>SUM(V062A_2030[[#This Row],[MPAL2]:[GI]])</f>
        <v>1.3</v>
      </c>
      <c r="X13" s="246"/>
      <c r="Y13" s="282">
        <f>(Y12-V062A_2030[[#This Row],[TOTAL]])+V062A_2030[[#This Row],[FAENA2]]</f>
        <v>71.38000000000001</v>
      </c>
      <c r="Z13" s="245">
        <v>0</v>
      </c>
      <c r="AA13" s="246">
        <v>0</v>
      </c>
      <c r="AB13" s="320">
        <f>(AB12-V062A_2030[[#This Row],[CYLINDER MP]])+V062A_2030[[#This Row],[FAENA EN LTS]]</f>
        <v>5228</v>
      </c>
      <c r="AC13" s="246">
        <v>0</v>
      </c>
      <c r="AD13" s="246">
        <v>0</v>
      </c>
      <c r="AE13" s="320">
        <f>(AE12-V062A_2030[[#This Row],[CARTER MP.]])+V062A_2030[[#This Row],[FAENA EN LTS2]]</f>
        <v>3700</v>
      </c>
      <c r="AF13" s="246">
        <v>20</v>
      </c>
      <c r="AG13" s="246">
        <v>0</v>
      </c>
      <c r="AH13" s="320">
        <f>(AH12-V062A_2030[[#This Row],[MOT AUX]])+V062A_2030[[#This Row],[FAENA EN  LTS]]</f>
        <v>2910</v>
      </c>
      <c r="AI13" s="246">
        <v>0</v>
      </c>
      <c r="AJ13" s="246">
        <v>0</v>
      </c>
      <c r="AK13" s="321">
        <f>(AK12-V062A_2030[[#This Row],[HIDRAULICO]])+V062A_2030[[#This Row],[FAENA EN LTS3]]</f>
        <v>2550</v>
      </c>
    </row>
    <row r="14" spans="1:37" x14ac:dyDescent="0.25">
      <c r="A14" s="431" t="s">
        <v>269</v>
      </c>
      <c r="B14" s="48">
        <v>44068</v>
      </c>
      <c r="C14" s="41">
        <v>0.64236111111111105</v>
      </c>
      <c r="D14" s="418">
        <f>IF(V062A_2030[[#This Row],[FECHA]]-B13=1,((V062A_2030[[#This Row],[HORA]]-C13)*24)+24,(V062A_2030[[#This Row],[HORA]]-C13)*24)</f>
        <v>7.4166666666666661</v>
      </c>
      <c r="E14" s="239" t="s">
        <v>51</v>
      </c>
      <c r="F14" s="29" t="s">
        <v>52</v>
      </c>
      <c r="G14" s="324"/>
      <c r="H14" s="306"/>
      <c r="I14" s="259">
        <f>IF(ISERROR(V062A_2030[[#This Row],[DISTANCIA POR CARTA]]/V062A_2030[[#This Row],[TIEMPO DE NAVEGACION]]),0,V062A_2030[[#This Row],[DISTANCIA POR CARTA]]/V062A_2030[[#This Row],[TIEMPO DE NAVEGACION]])</f>
        <v>0</v>
      </c>
      <c r="J14" s="380"/>
      <c r="K14" s="325"/>
      <c r="L14" s="245">
        <v>0</v>
      </c>
      <c r="M14" s="245">
        <v>0.65</v>
      </c>
      <c r="N14" s="245">
        <v>0.31</v>
      </c>
      <c r="O14" s="257">
        <f>SUM(V062A_2030[[#This Row],[MPAL]:[CALDERA]])</f>
        <v>0.96</v>
      </c>
      <c r="P14" s="319"/>
      <c r="Q14" s="281">
        <f>(Q13-V062A_2030[[#This Row],[TOTAL ]])+V062A_2030[[#This Row],[FAENA]]</f>
        <v>910.17099999999994</v>
      </c>
      <c r="R14" s="245">
        <v>0</v>
      </c>
      <c r="S14" s="246">
        <v>0</v>
      </c>
      <c r="T14" s="246">
        <v>0</v>
      </c>
      <c r="U14" s="246">
        <v>0</v>
      </c>
      <c r="V14" s="246">
        <v>2</v>
      </c>
      <c r="W14" s="257">
        <f>SUM(V062A_2030[[#This Row],[MPAL2]:[GI]])</f>
        <v>2</v>
      </c>
      <c r="X14" s="246"/>
      <c r="Y14" s="282">
        <f>(Y13-V062A_2030[[#This Row],[TOTAL]])+V062A_2030[[#This Row],[FAENA2]]</f>
        <v>69.38000000000001</v>
      </c>
      <c r="Z14" s="245">
        <v>0</v>
      </c>
      <c r="AA14" s="246">
        <v>0</v>
      </c>
      <c r="AB14" s="320">
        <f>(AB13-V062A_2030[[#This Row],[CYLINDER MP]])+V062A_2030[[#This Row],[FAENA EN LTS]]</f>
        <v>5228</v>
      </c>
      <c r="AC14" s="246">
        <v>0</v>
      </c>
      <c r="AD14" s="246">
        <v>0</v>
      </c>
      <c r="AE14" s="320">
        <f>(AE13-V062A_2030[[#This Row],[CARTER MP.]])+V062A_2030[[#This Row],[FAENA EN LTS2]]</f>
        <v>3700</v>
      </c>
      <c r="AF14" s="246">
        <v>40</v>
      </c>
      <c r="AG14" s="246">
        <v>0</v>
      </c>
      <c r="AH14" s="320">
        <f>(AH13-V062A_2030[[#This Row],[MOT AUX]])+V062A_2030[[#This Row],[FAENA EN  LTS]]</f>
        <v>2870</v>
      </c>
      <c r="AI14" s="246">
        <v>0</v>
      </c>
      <c r="AJ14" s="246">
        <v>0</v>
      </c>
      <c r="AK14" s="321">
        <f>(AK13-V062A_2030[[#This Row],[HIDRAULICO]])+V062A_2030[[#This Row],[FAENA EN LTS3]]</f>
        <v>2550</v>
      </c>
    </row>
    <row r="15" spans="1:37" x14ac:dyDescent="0.25">
      <c r="A15" s="431" t="s">
        <v>269</v>
      </c>
      <c r="B15" s="48">
        <v>44068</v>
      </c>
      <c r="C15" s="41">
        <v>0.9291666666666667</v>
      </c>
      <c r="D15" s="418">
        <f>IF(V062A_2030[[#This Row],[FECHA]]-B14=1,((V062A_2030[[#This Row],[HORA]]-C14)*24)+24,(V062A_2030[[#This Row],[HORA]]-C14)*24)</f>
        <v>6.8833333333333355</v>
      </c>
      <c r="E15" s="409" t="s">
        <v>49</v>
      </c>
      <c r="F15" s="29" t="s">
        <v>264</v>
      </c>
      <c r="G15" s="324"/>
      <c r="H15" s="306"/>
      <c r="I15" s="259">
        <f>IF(ISERROR(V062A_2030[[#This Row],[DISTANCIA POR CARTA]]/V062A_2030[[#This Row],[TIEMPO DE NAVEGACION]]),0,V062A_2030[[#This Row],[DISTANCIA POR CARTA]]/V062A_2030[[#This Row],[TIEMPO DE NAVEGACION]])</f>
        <v>0</v>
      </c>
      <c r="J15" s="380"/>
      <c r="K15" s="325"/>
      <c r="L15" s="245">
        <v>0</v>
      </c>
      <c r="M15" s="245">
        <v>0.34</v>
      </c>
      <c r="N15" s="245">
        <v>0.28999999999999998</v>
      </c>
      <c r="O15" s="257">
        <f>SUM(V062A_2030[[#This Row],[MPAL]:[CALDERA]])</f>
        <v>0.63</v>
      </c>
      <c r="P15" s="319"/>
      <c r="Q15" s="281">
        <f>(Q14-V062A_2030[[#This Row],[TOTAL ]])+V062A_2030[[#This Row],[FAENA]]</f>
        <v>909.54099999999994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SUM(V062A_2030[[#This Row],[MPAL2]:[GI]])</f>
        <v>0</v>
      </c>
      <c r="X15" s="246"/>
      <c r="Y15" s="282">
        <f>(Y14-V062A_2030[[#This Row],[TOTAL]])+V062A_2030[[#This Row],[FAENA2]]</f>
        <v>69.38000000000001</v>
      </c>
      <c r="Z15" s="245">
        <v>0</v>
      </c>
      <c r="AA15" s="246">
        <v>0</v>
      </c>
      <c r="AB15" s="320">
        <f>(AB14-V062A_2030[[#This Row],[CYLINDER MP]])+V062A_2030[[#This Row],[FAENA EN LTS]]</f>
        <v>5228</v>
      </c>
      <c r="AC15" s="246">
        <v>0</v>
      </c>
      <c r="AD15" s="246">
        <v>0</v>
      </c>
      <c r="AE15" s="320">
        <f>(AE14-V062A_2030[[#This Row],[CARTER MP.]])+V062A_2030[[#This Row],[FAENA EN LTS2]]</f>
        <v>3700</v>
      </c>
      <c r="AF15" s="246">
        <v>0</v>
      </c>
      <c r="AG15" s="246">
        <v>0</v>
      </c>
      <c r="AH15" s="320">
        <f>(AH14-V062A_2030[[#This Row],[MOT AUX]])+V062A_2030[[#This Row],[FAENA EN  LTS]]</f>
        <v>2870</v>
      </c>
      <c r="AI15" s="246">
        <v>0</v>
      </c>
      <c r="AJ15" s="246">
        <v>0</v>
      </c>
      <c r="AK15" s="321">
        <f>(AK14-V062A_2030[[#This Row],[HIDRAULICO]])+V062A_2030[[#This Row],[FAENA EN LTS3]]</f>
        <v>2550</v>
      </c>
    </row>
    <row r="16" spans="1:37" x14ac:dyDescent="0.25">
      <c r="A16" s="431" t="s">
        <v>269</v>
      </c>
      <c r="B16" s="48">
        <v>44068</v>
      </c>
      <c r="C16" s="41">
        <v>0.9458333333333333</v>
      </c>
      <c r="D16" s="418">
        <f>IF(V062A_2030[[#This Row],[FECHA]]-B15=1,((V062A_2030[[#This Row],[HORA]]-C15)*24)+24,(V062A_2030[[#This Row],[HORA]]-C15)*24)</f>
        <v>0.39999999999999858</v>
      </c>
      <c r="E16" s="409" t="s">
        <v>47</v>
      </c>
      <c r="F16" s="29" t="s">
        <v>265</v>
      </c>
      <c r="G16" s="324"/>
      <c r="H16" s="306"/>
      <c r="I16" s="259">
        <f>IF(ISERROR(V062A_2030[[#This Row],[DISTANCIA POR CARTA]]/V062A_2030[[#This Row],[TIEMPO DE NAVEGACION]]),0,V062A_2030[[#This Row],[DISTANCIA POR CARTA]]/V062A_2030[[#This Row],[TIEMPO DE NAVEGACION]])</f>
        <v>0</v>
      </c>
      <c r="J16" s="380"/>
      <c r="K16" s="325"/>
      <c r="L16" s="245">
        <v>0.17</v>
      </c>
      <c r="M16" s="245">
        <v>0.02</v>
      </c>
      <c r="N16" s="245">
        <v>0.02</v>
      </c>
      <c r="O16" s="257">
        <f>SUM(V062A_2030[[#This Row],[MPAL]:[CALDERA]])</f>
        <v>0.21</v>
      </c>
      <c r="P16" s="246"/>
      <c r="Q16" s="281">
        <f>(Q15-V062A_2030[[#This Row],[TOTAL ]])+V062A_2030[[#This Row],[FAENA]]</f>
        <v>909.3309999999999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SUM(V062A_2030[[#This Row],[MPAL2]:[GI]])</f>
        <v>0</v>
      </c>
      <c r="X16" s="246"/>
      <c r="Y16" s="282">
        <f>(Y15-V062A_2030[[#This Row],[TOTAL]])+V062A_2030[[#This Row],[FAENA2]]</f>
        <v>69.38000000000001</v>
      </c>
      <c r="Z16" s="245">
        <v>20</v>
      </c>
      <c r="AA16" s="246">
        <v>0</v>
      </c>
      <c r="AB16" s="320">
        <f>(AB15-V062A_2030[[#This Row],[CYLINDER MP]])+V062A_2030[[#This Row],[FAENA EN LTS]]</f>
        <v>5208</v>
      </c>
      <c r="AC16" s="246">
        <v>0</v>
      </c>
      <c r="AD16" s="246">
        <v>0</v>
      </c>
      <c r="AE16" s="320">
        <f>(AE15-V062A_2030[[#This Row],[CARTER MP.]])+V062A_2030[[#This Row],[FAENA EN LTS2]]</f>
        <v>3700</v>
      </c>
      <c r="AF16" s="246">
        <v>0</v>
      </c>
      <c r="AG16" s="246">
        <v>0</v>
      </c>
      <c r="AH16" s="320">
        <f>(AH15-V062A_2030[[#This Row],[MOT AUX]])+V062A_2030[[#This Row],[FAENA EN  LTS]]</f>
        <v>2870</v>
      </c>
      <c r="AI16" s="246">
        <v>0</v>
      </c>
      <c r="AJ16" s="246">
        <v>0</v>
      </c>
      <c r="AK16" s="321">
        <f>(AK15-V062A_2030[[#This Row],[HIDRAULICO]])+V062A_2030[[#This Row],[FAENA EN LTS3]]</f>
        <v>2550</v>
      </c>
    </row>
    <row r="17" spans="1:37" x14ac:dyDescent="0.25">
      <c r="A17" s="431" t="s">
        <v>269</v>
      </c>
      <c r="B17" s="48">
        <v>44069</v>
      </c>
      <c r="C17" s="351">
        <v>0.16666666666666666</v>
      </c>
      <c r="D17" s="418">
        <f>IF(V062A_2030[[#This Row],[FECHA]]-B16=1,((V062A_2030[[#This Row],[HORA]]-C16)*24)+24,(V062A_2030[[#This Row],[HORA]]-C16)*24)</f>
        <v>5.3000000000000007</v>
      </c>
      <c r="E17" s="409" t="s">
        <v>45</v>
      </c>
      <c r="F17" s="29" t="s">
        <v>74</v>
      </c>
      <c r="G17" s="324"/>
      <c r="H17" s="306"/>
      <c r="I17" s="259">
        <f>IF(ISERROR(V062A_2030[[#This Row],[DISTANCIA POR CARTA]]/V062A_2030[[#This Row],[TIEMPO DE NAVEGACION]]),0,V062A_2030[[#This Row],[DISTANCIA POR CARTA]]/V062A_2030[[#This Row],[TIEMPO DE NAVEGACION]])</f>
        <v>0</v>
      </c>
      <c r="J17" s="380"/>
      <c r="K17" s="325"/>
      <c r="L17" s="245">
        <v>0</v>
      </c>
      <c r="M17" s="245">
        <v>0.27</v>
      </c>
      <c r="N17" s="245">
        <v>0.22</v>
      </c>
      <c r="O17" s="257">
        <f>SUM(V062A_2030[[#This Row],[MPAL]:[CALDERA]])</f>
        <v>0.49</v>
      </c>
      <c r="P17" s="319"/>
      <c r="Q17" s="281">
        <f>(Q16-V062A_2030[[#This Row],[TOTAL ]])+V062A_2030[[#This Row],[FAENA]]</f>
        <v>908.84099999999989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SUM(V062A_2030[[#This Row],[MPAL2]:[GI]])</f>
        <v>0</v>
      </c>
      <c r="X17" s="246"/>
      <c r="Y17" s="282">
        <f>(Y16-V062A_2030[[#This Row],[TOTAL]])+V062A_2030[[#This Row],[FAENA2]]</f>
        <v>69.38000000000001</v>
      </c>
      <c r="Z17" s="245">
        <v>0</v>
      </c>
      <c r="AA17" s="246">
        <v>0</v>
      </c>
      <c r="AB17" s="320">
        <f>(AB16-V062A_2030[[#This Row],[CYLINDER MP]])+V062A_2030[[#This Row],[FAENA EN LTS]]</f>
        <v>5208</v>
      </c>
      <c r="AC17" s="246">
        <v>0</v>
      </c>
      <c r="AD17" s="246">
        <v>0</v>
      </c>
      <c r="AE17" s="320">
        <f>(AE16-V062A_2030[[#This Row],[CARTER MP.]])+V062A_2030[[#This Row],[FAENA EN LTS2]]</f>
        <v>3700</v>
      </c>
      <c r="AF17" s="246">
        <v>0</v>
      </c>
      <c r="AG17" s="246">
        <v>0</v>
      </c>
      <c r="AH17" s="320">
        <f>(AH16-V062A_2030[[#This Row],[MOT AUX]])+V062A_2030[[#This Row],[FAENA EN  LTS]]</f>
        <v>2870</v>
      </c>
      <c r="AI17" s="246">
        <v>0</v>
      </c>
      <c r="AJ17" s="246">
        <v>0</v>
      </c>
      <c r="AK17" s="321">
        <f>(AK16-V062A_2030[[#This Row],[HIDRAULICO]])+V062A_2030[[#This Row],[FAENA EN LTS3]]</f>
        <v>2550</v>
      </c>
    </row>
    <row r="18" spans="1:37" x14ac:dyDescent="0.25">
      <c r="A18" s="431" t="s">
        <v>269</v>
      </c>
      <c r="B18" s="48">
        <v>44069</v>
      </c>
      <c r="C18" s="41">
        <v>0.1875</v>
      </c>
      <c r="D18" s="418">
        <f>IF(V062A_2030[[#This Row],[FECHA]]-B17=1,((V062A_2030[[#This Row],[HORA]]-C17)*24)+24,(V062A_2030[[#This Row],[HORA]]-C17)*24)</f>
        <v>0.50000000000000022</v>
      </c>
      <c r="E18" s="409" t="s">
        <v>47</v>
      </c>
      <c r="F18" s="29" t="s">
        <v>272</v>
      </c>
      <c r="G18" s="324"/>
      <c r="H18" s="306"/>
      <c r="I18" s="259">
        <f>IF(ISERROR(V062A_2030[[#This Row],[DISTANCIA POR CARTA]]/V062A_2030[[#This Row],[TIEMPO DE NAVEGACION]]),0,V062A_2030[[#This Row],[DISTANCIA POR CARTA]]/V062A_2030[[#This Row],[TIEMPO DE NAVEGACION]])</f>
        <v>0</v>
      </c>
      <c r="J18" s="380"/>
      <c r="K18" s="325"/>
      <c r="L18" s="245">
        <v>0.21</v>
      </c>
      <c r="M18" s="245">
        <v>0.03</v>
      </c>
      <c r="N18" s="245">
        <v>0.02</v>
      </c>
      <c r="O18" s="257">
        <f>SUM(V062A_2030[[#This Row],[MPAL]:[CALDERA]])</f>
        <v>0.26</v>
      </c>
      <c r="P18" s="319"/>
      <c r="Q18" s="281">
        <f>(Q17-V062A_2030[[#This Row],[TOTAL ]])+V062A_2030[[#This Row],[FAENA]]</f>
        <v>908.5809999999999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SUM(V062A_2030[[#This Row],[MPAL2]:[GI]])</f>
        <v>0</v>
      </c>
      <c r="X18" s="246"/>
      <c r="Y18" s="282">
        <f>(Y17-V062A_2030[[#This Row],[TOTAL]])+V062A_2030[[#This Row],[FAENA2]]</f>
        <v>69.38000000000001</v>
      </c>
      <c r="Z18" s="245">
        <v>0</v>
      </c>
      <c r="AA18" s="246">
        <v>0</v>
      </c>
      <c r="AB18" s="320">
        <f>(AB17-V062A_2030[[#This Row],[CYLINDER MP]])+V062A_2030[[#This Row],[FAENA EN LTS]]</f>
        <v>5208</v>
      </c>
      <c r="AC18" s="246">
        <v>0</v>
      </c>
      <c r="AD18" s="246">
        <v>0</v>
      </c>
      <c r="AE18" s="320">
        <f>(AE17-V062A_2030[[#This Row],[CARTER MP.]])+V062A_2030[[#This Row],[FAENA EN LTS2]]</f>
        <v>3700</v>
      </c>
      <c r="AF18" s="246">
        <v>0</v>
      </c>
      <c r="AG18" s="246">
        <v>0</v>
      </c>
      <c r="AH18" s="320">
        <f>(AH17-V062A_2030[[#This Row],[MOT AUX]])+V062A_2030[[#This Row],[FAENA EN  LTS]]</f>
        <v>2870</v>
      </c>
      <c r="AI18" s="246">
        <v>0</v>
      </c>
      <c r="AJ18" s="246">
        <v>0</v>
      </c>
      <c r="AK18" s="321">
        <f>(AK17-V062A_2030[[#This Row],[HIDRAULICO]])+V062A_2030[[#This Row],[FAENA EN LTS3]]</f>
        <v>2550</v>
      </c>
    </row>
    <row r="19" spans="1:37" x14ac:dyDescent="0.25">
      <c r="A19" s="431" t="s">
        <v>269</v>
      </c>
      <c r="B19" s="48">
        <v>44069</v>
      </c>
      <c r="C19" s="41">
        <v>0.27916666666666667</v>
      </c>
      <c r="D19" s="418">
        <f>IF(V062A_2030[[#This Row],[FECHA]]-B18=1,((V062A_2030[[#This Row],[HORA]]-C18)*24)+24,(V062A_2030[[#This Row],[HORA]]-C18)*24)</f>
        <v>2.2000000000000002</v>
      </c>
      <c r="E19" s="239" t="s">
        <v>55</v>
      </c>
      <c r="F19" s="29" t="s">
        <v>62</v>
      </c>
      <c r="G19" s="324">
        <v>30</v>
      </c>
      <c r="H19" s="306">
        <v>2.2000000000000002</v>
      </c>
      <c r="I19" s="259">
        <f>IF(ISERROR(V062A_2030[[#This Row],[DISTANCIA POR CARTA]]/V062A_2030[[#This Row],[TIEMPO DE NAVEGACION]]),0,V062A_2030[[#This Row],[DISTANCIA POR CARTA]]/V062A_2030[[#This Row],[TIEMPO DE NAVEGACION]])</f>
        <v>13.636363636363635</v>
      </c>
      <c r="J19" s="380">
        <v>3</v>
      </c>
      <c r="K19" s="325">
        <v>97</v>
      </c>
      <c r="L19" s="245">
        <v>2.02</v>
      </c>
      <c r="M19" s="245">
        <v>0.11</v>
      </c>
      <c r="N19" s="245">
        <v>0.09</v>
      </c>
      <c r="O19" s="257">
        <f>SUM(V062A_2030[[#This Row],[MPAL]:[CALDERA]])</f>
        <v>2.2199999999999998</v>
      </c>
      <c r="P19" s="319"/>
      <c r="Q19" s="281">
        <f>(Q18-V062A_2030[[#This Row],[TOTAL ]])+V062A_2030[[#This Row],[FAENA]]</f>
        <v>906.36099999999988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SUM(V062A_2030[[#This Row],[MPAL2]:[GI]])</f>
        <v>0</v>
      </c>
      <c r="X19" s="246"/>
      <c r="Y19" s="282">
        <f>(Y18-V062A_2030[[#This Row],[TOTAL]])+V062A_2030[[#This Row],[FAENA2]]</f>
        <v>69.38000000000001</v>
      </c>
      <c r="Z19" s="245">
        <v>60</v>
      </c>
      <c r="AA19" s="246">
        <v>0</v>
      </c>
      <c r="AB19" s="320">
        <f>(AB18-V062A_2030[[#This Row],[CYLINDER MP]])+V062A_2030[[#This Row],[FAENA EN LTS]]</f>
        <v>5148</v>
      </c>
      <c r="AC19" s="246">
        <v>0</v>
      </c>
      <c r="AD19" s="246">
        <v>0</v>
      </c>
      <c r="AE19" s="320">
        <f>(AE18-V062A_2030[[#This Row],[CARTER MP.]])+V062A_2030[[#This Row],[FAENA EN LTS2]]</f>
        <v>3700</v>
      </c>
      <c r="AF19" s="246">
        <v>0</v>
      </c>
      <c r="AG19" s="246">
        <v>0</v>
      </c>
      <c r="AH19" s="320">
        <f>(AH18-V062A_2030[[#This Row],[MOT AUX]])+V062A_2030[[#This Row],[FAENA EN  LTS]]</f>
        <v>2870</v>
      </c>
      <c r="AI19" s="246">
        <v>0</v>
      </c>
      <c r="AJ19" s="246">
        <v>0</v>
      </c>
      <c r="AK19" s="321">
        <f>(AK18-V062A_2030[[#This Row],[HIDRAULICO]])+V062A_2030[[#This Row],[FAENA EN LTS3]]</f>
        <v>2550</v>
      </c>
    </row>
    <row r="20" spans="1:37" x14ac:dyDescent="0.25">
      <c r="A20" s="431" t="s">
        <v>269</v>
      </c>
      <c r="B20" s="48">
        <v>44069</v>
      </c>
      <c r="C20" s="41">
        <v>0.33333333333333331</v>
      </c>
      <c r="D20" s="418">
        <f>IF(V062A_2030[[#This Row],[FECHA]]-B19=1,((V062A_2030[[#This Row],[HORA]]-C19)*24)+24,(V062A_2030[[#This Row],[HORA]]-C19)*24)</f>
        <v>1.2999999999999994</v>
      </c>
      <c r="E20" s="239" t="s">
        <v>47</v>
      </c>
      <c r="F20" s="29" t="s">
        <v>47</v>
      </c>
      <c r="G20" s="324"/>
      <c r="H20" s="306"/>
      <c r="I20" s="259">
        <f>IF(ISERROR(V062A_2030[[#This Row],[DISTANCIA POR CARTA]]/V062A_2030[[#This Row],[TIEMPO DE NAVEGACION]]),0,V062A_2030[[#This Row],[DISTANCIA POR CARTA]]/V062A_2030[[#This Row],[TIEMPO DE NAVEGACION]])</f>
        <v>0</v>
      </c>
      <c r="J20" s="380"/>
      <c r="K20" s="325"/>
      <c r="L20" s="245">
        <v>0.54</v>
      </c>
      <c r="M20" s="245">
        <v>0.08</v>
      </c>
      <c r="N20" s="245">
        <v>0.05</v>
      </c>
      <c r="O20" s="257">
        <f>SUM(V062A_2030[[#This Row],[MPAL]:[CALDERA]])</f>
        <v>0.67</v>
      </c>
      <c r="P20" s="319"/>
      <c r="Q20" s="281">
        <f>(Q19-V062A_2030[[#This Row],[TOTAL ]])+V062A_2030[[#This Row],[FAENA]]</f>
        <v>905.69099999999992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SUM(V062A_2030[[#This Row],[MPAL2]:[GI]])</f>
        <v>0</v>
      </c>
      <c r="X20" s="246"/>
      <c r="Y20" s="282">
        <f>(Y19-V062A_2030[[#This Row],[TOTAL]])+V062A_2030[[#This Row],[FAENA2]]</f>
        <v>69.38000000000001</v>
      </c>
      <c r="Z20" s="245">
        <v>0</v>
      </c>
      <c r="AA20" s="246">
        <v>0</v>
      </c>
      <c r="AB20" s="320">
        <f>(AB19-V062A_2030[[#This Row],[CYLINDER MP]])+V062A_2030[[#This Row],[FAENA EN LTS]]</f>
        <v>5148</v>
      </c>
      <c r="AC20" s="246">
        <v>0</v>
      </c>
      <c r="AD20" s="246">
        <v>0</v>
      </c>
      <c r="AE20" s="320">
        <f>(AE19-V062A_2030[[#This Row],[CARTER MP.]])+V062A_2030[[#This Row],[FAENA EN LTS2]]</f>
        <v>3700</v>
      </c>
      <c r="AF20" s="246">
        <v>20</v>
      </c>
      <c r="AG20" s="246">
        <v>0</v>
      </c>
      <c r="AH20" s="320">
        <f>(AH19-V062A_2030[[#This Row],[MOT AUX]])+V062A_2030[[#This Row],[FAENA EN  LTS]]</f>
        <v>2850</v>
      </c>
      <c r="AI20" s="246">
        <v>0</v>
      </c>
      <c r="AJ20" s="246">
        <v>0</v>
      </c>
      <c r="AK20" s="321">
        <f>(AK19-V062A_2030[[#This Row],[HIDRAULICO]])+V062A_2030[[#This Row],[FAENA EN LTS3]]</f>
        <v>2550</v>
      </c>
    </row>
    <row r="21" spans="1:37" x14ac:dyDescent="0.25">
      <c r="A21" s="431" t="s">
        <v>269</v>
      </c>
      <c r="B21" s="48">
        <v>44069</v>
      </c>
      <c r="C21" s="41">
        <v>0.46666666666666662</v>
      </c>
      <c r="D21" s="418">
        <f>IF(V062A_2030[[#This Row],[FECHA]]-B20=1,((V062A_2030[[#This Row],[HORA]]-C20)*24)+24,(V062A_2030[[#This Row],[HORA]]-C20)*24)</f>
        <v>3.1999999999999993</v>
      </c>
      <c r="E21" s="239" t="s">
        <v>47</v>
      </c>
      <c r="F21" s="29" t="s">
        <v>208</v>
      </c>
      <c r="G21" s="324"/>
      <c r="H21" s="306"/>
      <c r="I21" s="259">
        <f>IF(ISERROR(V062A_2030[[#This Row],[DISTANCIA POR CARTA]]/V062A_2030[[#This Row],[TIEMPO DE NAVEGACION]]),0,V062A_2030[[#This Row],[DISTANCIA POR CARTA]]/V062A_2030[[#This Row],[TIEMPO DE NAVEGACION]])</f>
        <v>0</v>
      </c>
      <c r="J21" s="380"/>
      <c r="K21" s="325"/>
      <c r="L21" s="245">
        <v>1.33</v>
      </c>
      <c r="M21" s="245">
        <v>0.19</v>
      </c>
      <c r="N21" s="245">
        <v>0.13</v>
      </c>
      <c r="O21" s="257">
        <f>SUM(V062A_2030[[#This Row],[MPAL]:[CALDERA]])</f>
        <v>1.65</v>
      </c>
      <c r="P21" s="319"/>
      <c r="Q21" s="281">
        <f>(Q20-V062A_2030[[#This Row],[TOTAL ]])+V062A_2030[[#This Row],[FAENA]]</f>
        <v>904.04099999999994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SUM(V062A_2030[[#This Row],[MPAL2]:[GI]])</f>
        <v>0</v>
      </c>
      <c r="X21" s="246"/>
      <c r="Y21" s="282">
        <f>(Y20-V062A_2030[[#This Row],[TOTAL]])+V062A_2030[[#This Row],[FAENA2]]</f>
        <v>69.38000000000001</v>
      </c>
      <c r="Z21" s="245">
        <v>0</v>
      </c>
      <c r="AA21" s="246">
        <v>0</v>
      </c>
      <c r="AB21" s="320">
        <f>(AB20-V062A_2030[[#This Row],[CYLINDER MP]])+V062A_2030[[#This Row],[FAENA EN LTS]]</f>
        <v>5148</v>
      </c>
      <c r="AC21" s="246">
        <v>0</v>
      </c>
      <c r="AD21" s="246">
        <v>0</v>
      </c>
      <c r="AE21" s="320">
        <f>(AE20-V062A_2030[[#This Row],[CARTER MP.]])+V062A_2030[[#This Row],[FAENA EN LTS2]]</f>
        <v>3700</v>
      </c>
      <c r="AF21" s="246">
        <v>0</v>
      </c>
      <c r="AG21" s="246">
        <v>0</v>
      </c>
      <c r="AH21" s="320">
        <f>(AH20-V062A_2030[[#This Row],[MOT AUX]])+V062A_2030[[#This Row],[FAENA EN  LTS]]</f>
        <v>2850</v>
      </c>
      <c r="AI21" s="246">
        <v>0</v>
      </c>
      <c r="AJ21" s="246">
        <v>0</v>
      </c>
      <c r="AK21" s="321">
        <f>(AK20-V062A_2030[[#This Row],[HIDRAULICO]])+V062A_2030[[#This Row],[FAENA EN LTS3]]</f>
        <v>2550</v>
      </c>
    </row>
    <row r="22" spans="1:37" x14ac:dyDescent="0.25">
      <c r="A22" s="431" t="s">
        <v>269</v>
      </c>
      <c r="B22" s="48">
        <v>44070</v>
      </c>
      <c r="C22" s="362">
        <v>0.33333333333333331</v>
      </c>
      <c r="D22" s="418">
        <f>IF(V062A_2030[[#This Row],[FECHA]]-B21=1,((V062A_2030[[#This Row],[HORA]]-C21)*24)+24,(V062A_2030[[#This Row],[HORA]]-C21)*24)</f>
        <v>20.8</v>
      </c>
      <c r="E22" s="409" t="s">
        <v>45</v>
      </c>
      <c r="F22" s="29" t="s">
        <v>208</v>
      </c>
      <c r="G22" s="324"/>
      <c r="H22" s="306"/>
      <c r="I22" s="259">
        <f>IF(ISERROR(V062A_2030[[#This Row],[DISTANCIA POR CARTA]]/V062A_2030[[#This Row],[TIEMPO DE NAVEGACION]]),0,V062A_2030[[#This Row],[DISTANCIA POR CARTA]]/V062A_2030[[#This Row],[TIEMPO DE NAVEGACION]])</f>
        <v>0</v>
      </c>
      <c r="J22" s="380"/>
      <c r="K22" s="325"/>
      <c r="L22" s="245">
        <v>0</v>
      </c>
      <c r="M22" s="245">
        <v>1.04</v>
      </c>
      <c r="N22" s="245">
        <v>0.87</v>
      </c>
      <c r="O22" s="257">
        <f>SUM(V062A_2030[[#This Row],[MPAL]:[CALDERA]])</f>
        <v>1.9100000000000001</v>
      </c>
      <c r="P22" s="319"/>
      <c r="Q22" s="281">
        <f>(Q21-V062A_2030[[#This Row],[TOTAL ]])+V062A_2030[[#This Row],[FAENA]]</f>
        <v>902.13099999999997</v>
      </c>
      <c r="R22" s="245">
        <v>0</v>
      </c>
      <c r="S22" s="246">
        <v>0.1</v>
      </c>
      <c r="T22" s="246">
        <v>0</v>
      </c>
      <c r="U22" s="246">
        <v>0</v>
      </c>
      <c r="V22" s="246">
        <v>0</v>
      </c>
      <c r="W22" s="257">
        <f>SUM(V062A_2030[[#This Row],[MPAL2]:[GI]])</f>
        <v>0.1</v>
      </c>
      <c r="X22" s="246"/>
      <c r="Y22" s="282">
        <f>(Y21-V062A_2030[[#This Row],[TOTAL]])+V062A_2030[[#This Row],[FAENA2]]</f>
        <v>69.280000000000015</v>
      </c>
      <c r="Z22" s="245">
        <v>0</v>
      </c>
      <c r="AA22" s="246">
        <v>0</v>
      </c>
      <c r="AB22" s="320">
        <f>(AB21-V062A_2030[[#This Row],[CYLINDER MP]])+V062A_2030[[#This Row],[FAENA EN LTS]]</f>
        <v>5148</v>
      </c>
      <c r="AC22" s="246">
        <v>0</v>
      </c>
      <c r="AD22" s="246">
        <v>0</v>
      </c>
      <c r="AE22" s="320">
        <f>(AE21-V062A_2030[[#This Row],[CARTER MP.]])+V062A_2030[[#This Row],[FAENA EN LTS2]]</f>
        <v>3700</v>
      </c>
      <c r="AF22" s="246">
        <v>20</v>
      </c>
      <c r="AG22" s="246">
        <v>0</v>
      </c>
      <c r="AH22" s="320">
        <f>(AH21-V062A_2030[[#This Row],[MOT AUX]])+V062A_2030[[#This Row],[FAENA EN  LTS]]</f>
        <v>2830</v>
      </c>
      <c r="AI22" s="246">
        <v>0</v>
      </c>
      <c r="AJ22" s="246">
        <v>0</v>
      </c>
      <c r="AK22" s="321">
        <f>(AK21-V062A_2030[[#This Row],[HIDRAULICO]])+V062A_2030[[#This Row],[FAENA EN LTS3]]</f>
        <v>2550</v>
      </c>
    </row>
    <row r="23" spans="1:37" x14ac:dyDescent="0.25">
      <c r="A23" s="431" t="s">
        <v>269</v>
      </c>
      <c r="B23" s="48">
        <v>44070</v>
      </c>
      <c r="C23" s="351">
        <v>0.46249999999999997</v>
      </c>
      <c r="D23" s="418">
        <f>IF(V062A_2030[[#This Row],[FECHA]]-B22=1,((V062A_2030[[#This Row],[HORA]]-C22)*24)+24,(V062A_2030[[#This Row],[HORA]]-C22)*24)</f>
        <v>3.0999999999999996</v>
      </c>
      <c r="E23" s="409" t="s">
        <v>45</v>
      </c>
      <c r="F23" s="29" t="s">
        <v>46</v>
      </c>
      <c r="G23" s="324"/>
      <c r="H23" s="306"/>
      <c r="I23" s="259">
        <f>IF(ISERROR(V062A_2030[[#This Row],[DISTANCIA POR CARTA]]/V062A_2030[[#This Row],[TIEMPO DE NAVEGACION]]),0,V062A_2030[[#This Row],[DISTANCIA POR CARTA]]/V062A_2030[[#This Row],[TIEMPO DE NAVEGACION]])</f>
        <v>0</v>
      </c>
      <c r="J23" s="380"/>
      <c r="K23" s="325"/>
      <c r="L23" s="418">
        <v>0</v>
      </c>
      <c r="M23" s="245">
        <v>0.16</v>
      </c>
      <c r="N23" s="245">
        <v>0.13</v>
      </c>
      <c r="O23" s="257">
        <f>SUM(V062A_2030[[#This Row],[MPAL]:[CALDERA]])</f>
        <v>0.29000000000000004</v>
      </c>
      <c r="P23" s="319"/>
      <c r="Q23" s="281">
        <f>(Q22-V062A_2030[[#This Row],[TOTAL ]])+V062A_2030[[#This Row],[FAENA]]</f>
        <v>901.84100000000001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SUM(V062A_2030[[#This Row],[MPAL2]:[GI]])</f>
        <v>0</v>
      </c>
      <c r="X23" s="246"/>
      <c r="Y23" s="282">
        <f>(Y22-V062A_2030[[#This Row],[TOTAL]])+V062A_2030[[#This Row],[FAENA2]]</f>
        <v>69.280000000000015</v>
      </c>
      <c r="Z23" s="245">
        <v>0</v>
      </c>
      <c r="AA23" s="246">
        <v>0</v>
      </c>
      <c r="AB23" s="320">
        <f>(AB22-V062A_2030[[#This Row],[CYLINDER MP]])+V062A_2030[[#This Row],[FAENA EN LTS]]</f>
        <v>5148</v>
      </c>
      <c r="AC23" s="246">
        <v>0</v>
      </c>
      <c r="AD23" s="246">
        <v>0</v>
      </c>
      <c r="AE23" s="320">
        <f>(AE22-V062A_2030[[#This Row],[CARTER MP.]])+V062A_2030[[#This Row],[FAENA EN LTS2]]</f>
        <v>3700</v>
      </c>
      <c r="AF23" s="246">
        <v>0</v>
      </c>
      <c r="AG23" s="246">
        <v>0</v>
      </c>
      <c r="AH23" s="320">
        <f>(AH22-V062A_2030[[#This Row],[MOT AUX]])+V062A_2030[[#This Row],[FAENA EN  LTS]]</f>
        <v>2830</v>
      </c>
      <c r="AI23" s="246">
        <v>0</v>
      </c>
      <c r="AJ23" s="246">
        <v>0</v>
      </c>
      <c r="AK23" s="321">
        <f>(AK22-V062A_2030[[#This Row],[HIDRAULICO]])+V062A_2030[[#This Row],[FAENA EN LTS3]]</f>
        <v>2550</v>
      </c>
    </row>
    <row r="24" spans="1:37" x14ac:dyDescent="0.25">
      <c r="A24" s="431" t="s">
        <v>269</v>
      </c>
      <c r="B24" s="48">
        <v>44070</v>
      </c>
      <c r="C24" s="41">
        <v>0.58333333333333337</v>
      </c>
      <c r="D24" s="418">
        <f>IF(V062A_2030[[#This Row],[FECHA]]-B23=1,((V062A_2030[[#This Row],[HORA]]-C23)*24)+24,(V062A_2030[[#This Row],[HORA]]-C23)*24)</f>
        <v>2.9000000000000017</v>
      </c>
      <c r="E24" s="409" t="s">
        <v>47</v>
      </c>
      <c r="F24" s="29" t="s">
        <v>266</v>
      </c>
      <c r="G24" s="324"/>
      <c r="H24" s="306"/>
      <c r="I24" s="259">
        <f>IF(ISERROR(V062A_2030[[#This Row],[DISTANCIA POR CARTA]]/V062A_2030[[#This Row],[TIEMPO DE NAVEGACION]]),0,V062A_2030[[#This Row],[DISTANCIA POR CARTA]]/V062A_2030[[#This Row],[TIEMPO DE NAVEGACION]])</f>
        <v>0</v>
      </c>
      <c r="J24" s="242"/>
      <c r="K24" s="325"/>
      <c r="L24" s="418">
        <v>1.21</v>
      </c>
      <c r="M24" s="245">
        <v>0.17</v>
      </c>
      <c r="N24" s="245">
        <v>0.12</v>
      </c>
      <c r="O24" s="257">
        <f>SUM(V062A_2030[[#This Row],[MPAL]:[CALDERA]])</f>
        <v>1.5</v>
      </c>
      <c r="P24" s="319"/>
      <c r="Q24" s="281">
        <f>(Q23-V062A_2030[[#This Row],[TOTAL ]])+V062A_2030[[#This Row],[FAENA]]</f>
        <v>900.34100000000001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SUM(V062A_2030[[#This Row],[MPAL2]:[GI]])</f>
        <v>0</v>
      </c>
      <c r="X24" s="246"/>
      <c r="Y24" s="282">
        <f>(Y23-V062A_2030[[#This Row],[TOTAL]])+V062A_2030[[#This Row],[FAENA2]]</f>
        <v>69.280000000000015</v>
      </c>
      <c r="Z24" s="245">
        <v>40</v>
      </c>
      <c r="AA24" s="246">
        <v>0</v>
      </c>
      <c r="AB24" s="320">
        <f>(AB23-V062A_2030[[#This Row],[CYLINDER MP]])+V062A_2030[[#This Row],[FAENA EN LTS]]</f>
        <v>5108</v>
      </c>
      <c r="AC24" s="246">
        <v>0</v>
      </c>
      <c r="AD24" s="246">
        <v>0</v>
      </c>
      <c r="AE24" s="320">
        <f>(AE23-V062A_2030[[#This Row],[CARTER MP.]])+V062A_2030[[#This Row],[FAENA EN LTS2]]</f>
        <v>3700</v>
      </c>
      <c r="AF24" s="246">
        <v>40</v>
      </c>
      <c r="AG24" s="246">
        <v>0</v>
      </c>
      <c r="AH24" s="320">
        <f>(AH23-V062A_2030[[#This Row],[MOT AUX]])+V062A_2030[[#This Row],[FAENA EN  LTS]]</f>
        <v>2790</v>
      </c>
      <c r="AI24" s="246">
        <v>0</v>
      </c>
      <c r="AJ24" s="246">
        <v>0</v>
      </c>
      <c r="AK24" s="321">
        <f>(AK23-V062A_2030[[#This Row],[HIDRAULICO]])+V062A_2030[[#This Row],[FAENA EN LTS3]]</f>
        <v>2550</v>
      </c>
    </row>
    <row r="25" spans="1:37" x14ac:dyDescent="0.25">
      <c r="A25" s="431" t="s">
        <v>269</v>
      </c>
      <c r="B25" s="48">
        <v>44071</v>
      </c>
      <c r="C25" s="41">
        <v>7.9861111111111105E-2</v>
      </c>
      <c r="D25" s="418">
        <f>IF(V062A_2030[[#This Row],[FECHA]]-B24=1,((V062A_2030[[#This Row],[HORA]]-C24)*24)+24,(V062A_2030[[#This Row],[HORA]]-C24)*24)</f>
        <v>11.916666666666664</v>
      </c>
      <c r="E25" s="239" t="s">
        <v>49</v>
      </c>
      <c r="F25" s="29" t="s">
        <v>46</v>
      </c>
      <c r="G25" s="324"/>
      <c r="H25" s="306"/>
      <c r="I25" s="259">
        <f>IF(ISERROR(V062A_2030[[#This Row],[DISTANCIA POR CARTA]]/V062A_2030[[#This Row],[TIEMPO DE NAVEGACION]]),0,V062A_2030[[#This Row],[DISTANCIA POR CARTA]]/V062A_2030[[#This Row],[TIEMPO DE NAVEGACION]])</f>
        <v>0</v>
      </c>
      <c r="J25" s="242"/>
      <c r="K25" s="325"/>
      <c r="L25" s="418">
        <v>0</v>
      </c>
      <c r="M25" s="245">
        <v>0.6</v>
      </c>
      <c r="N25" s="245">
        <v>0.5</v>
      </c>
      <c r="O25" s="257">
        <f>SUM(V062A_2030[[#This Row],[MPAL]:[CALDERA]])</f>
        <v>1.1000000000000001</v>
      </c>
      <c r="P25" s="319"/>
      <c r="Q25" s="281">
        <f>(Q24-V062A_2030[[#This Row],[TOTAL ]])+V062A_2030[[#This Row],[FAENA]]</f>
        <v>899.24099999999999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SUM(V062A_2030[[#This Row],[MPAL2]:[GI]])</f>
        <v>0</v>
      </c>
      <c r="X25" s="246"/>
      <c r="Y25" s="282">
        <f>(Y24-V062A_2030[[#This Row],[TOTAL]])+V062A_2030[[#This Row],[FAENA2]]</f>
        <v>69.280000000000015</v>
      </c>
      <c r="Z25" s="245">
        <v>0</v>
      </c>
      <c r="AA25" s="246">
        <v>0</v>
      </c>
      <c r="AB25" s="320">
        <f>(AB24-V062A_2030[[#This Row],[CYLINDER MP]])+V062A_2030[[#This Row],[FAENA EN LTS]]</f>
        <v>5108</v>
      </c>
      <c r="AC25" s="246">
        <v>0</v>
      </c>
      <c r="AD25" s="246">
        <v>0</v>
      </c>
      <c r="AE25" s="320">
        <f>(AE24-V062A_2030[[#This Row],[CARTER MP.]])+V062A_2030[[#This Row],[FAENA EN LTS2]]</f>
        <v>3700</v>
      </c>
      <c r="AF25" s="246">
        <v>0</v>
      </c>
      <c r="AG25" s="246">
        <v>0</v>
      </c>
      <c r="AH25" s="320">
        <f>(AH24-V062A_2030[[#This Row],[MOT AUX]])+V062A_2030[[#This Row],[FAENA EN  LTS]]</f>
        <v>2790</v>
      </c>
      <c r="AI25" s="246">
        <v>0</v>
      </c>
      <c r="AJ25" s="246">
        <v>0</v>
      </c>
      <c r="AK25" s="321">
        <f>(AK24-V062A_2030[[#This Row],[HIDRAULICO]])+V062A_2030[[#This Row],[FAENA EN LTS3]]</f>
        <v>2550</v>
      </c>
    </row>
    <row r="26" spans="1:37" x14ac:dyDescent="0.25">
      <c r="A26" s="431" t="s">
        <v>269</v>
      </c>
      <c r="B26" s="48">
        <v>44071</v>
      </c>
      <c r="C26" s="362">
        <v>0.15</v>
      </c>
      <c r="D26" s="418">
        <f>IF(V062A_2030[[#This Row],[FECHA]]-B25=1,((V062A_2030[[#This Row],[HORA]]-C25)*24)+24,(V062A_2030[[#This Row],[HORA]]-C25)*24)</f>
        <v>1.6833333333333333</v>
      </c>
      <c r="E26" s="239" t="s">
        <v>45</v>
      </c>
      <c r="F26" s="29" t="s">
        <v>267</v>
      </c>
      <c r="G26" s="324"/>
      <c r="H26" s="306"/>
      <c r="I26" s="259">
        <f>IF(ISERROR(V062A_2030[[#This Row],[DISTANCIA POR CARTA]]/V062A_2030[[#This Row],[TIEMPO DE NAVEGACION]]),0,V062A_2030[[#This Row],[DISTANCIA POR CARTA]]/V062A_2030[[#This Row],[TIEMPO DE NAVEGACION]])</f>
        <v>0</v>
      </c>
      <c r="J26" s="242"/>
      <c r="K26" s="325"/>
      <c r="L26" s="418">
        <v>0.7</v>
      </c>
      <c r="M26" s="245">
        <v>0.09</v>
      </c>
      <c r="N26" s="245">
        <v>7.0000000000000007E-2</v>
      </c>
      <c r="O26" s="257">
        <f>SUM(V062A_2030[[#This Row],[MPAL]:[CALDERA]])</f>
        <v>0.85999999999999988</v>
      </c>
      <c r="P26" s="319"/>
      <c r="Q26" s="281">
        <f>(Q25-V062A_2030[[#This Row],[TOTAL ]])+V062A_2030[[#This Row],[FAENA]]</f>
        <v>898.38099999999997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SUM(V062A_2030[[#This Row],[MPAL2]:[GI]])</f>
        <v>0</v>
      </c>
      <c r="X26" s="246"/>
      <c r="Y26" s="282">
        <f>(Y25-V062A_2030[[#This Row],[TOTAL]])+V062A_2030[[#This Row],[FAENA2]]</f>
        <v>69.280000000000015</v>
      </c>
      <c r="Z26" s="245">
        <v>40</v>
      </c>
      <c r="AA26" s="246">
        <v>0</v>
      </c>
      <c r="AB26" s="320">
        <f>(AB25-V062A_2030[[#This Row],[CYLINDER MP]])+V062A_2030[[#This Row],[FAENA EN LTS]]</f>
        <v>5068</v>
      </c>
      <c r="AC26" s="246">
        <v>0</v>
      </c>
      <c r="AD26" s="246">
        <v>0</v>
      </c>
      <c r="AE26" s="320">
        <f>(AE25-V062A_2030[[#This Row],[CARTER MP.]])+V062A_2030[[#This Row],[FAENA EN LTS2]]</f>
        <v>3700</v>
      </c>
      <c r="AF26" s="246">
        <v>0</v>
      </c>
      <c r="AG26" s="246">
        <v>0</v>
      </c>
      <c r="AH26" s="320">
        <f>(AH25-V062A_2030[[#This Row],[MOT AUX]])+V062A_2030[[#This Row],[FAENA EN  LTS]]</f>
        <v>2790</v>
      </c>
      <c r="AI26" s="246">
        <v>200</v>
      </c>
      <c r="AJ26" s="246">
        <v>0</v>
      </c>
      <c r="AK26" s="321">
        <f>(AK25-V062A_2030[[#This Row],[HIDRAULICO]])+V062A_2030[[#This Row],[FAENA EN LTS3]]</f>
        <v>2350</v>
      </c>
    </row>
    <row r="27" spans="1:37" x14ac:dyDescent="0.25">
      <c r="A27" s="431" t="s">
        <v>269</v>
      </c>
      <c r="B27" s="48">
        <v>44071</v>
      </c>
      <c r="C27" s="351">
        <v>0.33333333333333331</v>
      </c>
      <c r="D27" s="418">
        <f>IF(V062A_2030[[#This Row],[FECHA]]-B26=1,((V062A_2030[[#This Row],[HORA]]-C26)*24)+24,(V062A_2030[[#This Row],[HORA]]-C26)*24)</f>
        <v>4.3999999999999995</v>
      </c>
      <c r="E27" s="239" t="s">
        <v>45</v>
      </c>
      <c r="F27" s="29" t="s">
        <v>208</v>
      </c>
      <c r="G27" s="324"/>
      <c r="H27" s="306"/>
      <c r="I27" s="259">
        <f>IF(ISERROR(V062A_2030[[#This Row],[DISTANCIA POR CARTA]]/V062A_2030[[#This Row],[TIEMPO DE NAVEGACION]]),0,V062A_2030[[#This Row],[DISTANCIA POR CARTA]]/V062A_2030[[#This Row],[TIEMPO DE NAVEGACION]])</f>
        <v>0</v>
      </c>
      <c r="J27" s="242"/>
      <c r="K27" s="325"/>
      <c r="L27" s="418">
        <v>0</v>
      </c>
      <c r="M27" s="245">
        <v>0.22</v>
      </c>
      <c r="N27" s="245">
        <v>0.18</v>
      </c>
      <c r="O27" s="257">
        <f>SUM(V062A_2030[[#This Row],[MPAL]:[CALDERA]])</f>
        <v>0.4</v>
      </c>
      <c r="P27" s="319"/>
      <c r="Q27" s="281">
        <f>(Q26-V062A_2030[[#This Row],[TOTAL ]])+V062A_2030[[#This Row],[FAENA]]</f>
        <v>897.98099999999999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SUM(V062A_2030[[#This Row],[MPAL2]:[GI]])</f>
        <v>0</v>
      </c>
      <c r="X27" s="246"/>
      <c r="Y27" s="282">
        <f>(Y26-V062A_2030[[#This Row],[TOTAL]])+V062A_2030[[#This Row],[FAENA2]]</f>
        <v>69.280000000000015</v>
      </c>
      <c r="Z27" s="245">
        <v>0</v>
      </c>
      <c r="AA27" s="246">
        <v>0</v>
      </c>
      <c r="AB27" s="320">
        <f>(AB26-V062A_2030[[#This Row],[CYLINDER MP]])+V062A_2030[[#This Row],[FAENA EN LTS]]</f>
        <v>5068</v>
      </c>
      <c r="AC27" s="246">
        <v>0</v>
      </c>
      <c r="AD27" s="246">
        <v>0</v>
      </c>
      <c r="AE27" s="320">
        <f>(AE26-V062A_2030[[#This Row],[CARTER MP.]])+V062A_2030[[#This Row],[FAENA EN LTS2]]</f>
        <v>3700</v>
      </c>
      <c r="AF27" s="246">
        <v>0</v>
      </c>
      <c r="AG27" s="246">
        <v>0</v>
      </c>
      <c r="AH27" s="320">
        <f>(AH26-V062A_2030[[#This Row],[MOT AUX]])+V062A_2030[[#This Row],[FAENA EN  LTS]]</f>
        <v>2790</v>
      </c>
      <c r="AI27" s="246">
        <v>0</v>
      </c>
      <c r="AJ27" s="246">
        <v>0</v>
      </c>
      <c r="AK27" s="321">
        <f>(AK26-V062A_2030[[#This Row],[HIDRAULICO]])+V062A_2030[[#This Row],[FAENA EN LTS3]]</f>
        <v>2350</v>
      </c>
    </row>
    <row r="28" spans="1:37" x14ac:dyDescent="0.25">
      <c r="A28" s="431" t="s">
        <v>269</v>
      </c>
      <c r="B28" s="48">
        <v>44072</v>
      </c>
      <c r="C28" s="362">
        <v>0.33333333333333331</v>
      </c>
      <c r="D28" s="418">
        <f>IF(V062A_2030[[#This Row],[FECHA]]-B27=1,((V062A_2030[[#This Row],[HORA]]-C27)*24)+24,(V062A_2030[[#This Row],[HORA]]-C27)*24)</f>
        <v>24</v>
      </c>
      <c r="E28" s="409" t="s">
        <v>45</v>
      </c>
      <c r="F28" s="29" t="s">
        <v>208</v>
      </c>
      <c r="G28" s="324"/>
      <c r="H28" s="306"/>
      <c r="I28" s="259">
        <f>IF(ISERROR(V062A_2030[[#This Row],[DISTANCIA POR CARTA]]/V062A_2030[[#This Row],[TIEMPO DE NAVEGACION]]),0,V062A_2030[[#This Row],[DISTANCIA POR CARTA]]/V062A_2030[[#This Row],[TIEMPO DE NAVEGACION]])</f>
        <v>0</v>
      </c>
      <c r="J28" s="380"/>
      <c r="K28" s="325"/>
      <c r="L28" s="418">
        <v>0</v>
      </c>
      <c r="M28" s="245">
        <v>1.2</v>
      </c>
      <c r="N28" s="245">
        <v>1</v>
      </c>
      <c r="O28" s="257">
        <f>SUM(V062A_2030[[#This Row],[MPAL]:[CALDERA]])</f>
        <v>2.2000000000000002</v>
      </c>
      <c r="P28" s="319"/>
      <c r="Q28" s="281">
        <f>(Q27-V062A_2030[[#This Row],[TOTAL ]])+V062A_2030[[#This Row],[FAENA]]</f>
        <v>895.78099999999995</v>
      </c>
      <c r="R28" s="245">
        <v>0</v>
      </c>
      <c r="S28" s="246">
        <v>0.1</v>
      </c>
      <c r="T28" s="246">
        <v>0</v>
      </c>
      <c r="U28" s="246">
        <v>0</v>
      </c>
      <c r="V28" s="246">
        <v>0</v>
      </c>
      <c r="W28" s="257">
        <f>SUM(V062A_2030[[#This Row],[MPAL2]:[GI]])</f>
        <v>0.1</v>
      </c>
      <c r="X28" s="246"/>
      <c r="Y28" s="282">
        <f>(Y27-V062A_2030[[#This Row],[TOTAL]])+V062A_2030[[#This Row],[FAENA2]]</f>
        <v>69.180000000000021</v>
      </c>
      <c r="Z28" s="245">
        <v>0</v>
      </c>
      <c r="AA28" s="246">
        <v>0</v>
      </c>
      <c r="AB28" s="320">
        <f>(AB27-V062A_2030[[#This Row],[CYLINDER MP]])+V062A_2030[[#This Row],[FAENA EN LTS]]</f>
        <v>5068</v>
      </c>
      <c r="AC28" s="246">
        <v>0</v>
      </c>
      <c r="AD28" s="246">
        <v>0</v>
      </c>
      <c r="AE28" s="320">
        <f>(AE27-V062A_2030[[#This Row],[CARTER MP.]])+V062A_2030[[#This Row],[FAENA EN LTS2]]</f>
        <v>3700</v>
      </c>
      <c r="AF28" s="246">
        <v>20</v>
      </c>
      <c r="AG28" s="246">
        <v>0</v>
      </c>
      <c r="AH28" s="320">
        <f>(AH27-V062A_2030[[#This Row],[MOT AUX]])+V062A_2030[[#This Row],[FAENA EN  LTS]]</f>
        <v>2770</v>
      </c>
      <c r="AI28" s="246">
        <v>0</v>
      </c>
      <c r="AJ28" s="246">
        <v>0</v>
      </c>
      <c r="AK28" s="321">
        <f>(AK27-V062A_2030[[#This Row],[HIDRAULICO]])+V062A_2030[[#This Row],[FAENA EN LTS3]]</f>
        <v>2350</v>
      </c>
    </row>
    <row r="29" spans="1:37" x14ac:dyDescent="0.25">
      <c r="A29" s="431" t="s">
        <v>269</v>
      </c>
      <c r="B29" s="48">
        <v>44072</v>
      </c>
      <c r="C29" s="351">
        <v>0.41666666666666669</v>
      </c>
      <c r="D29" s="418">
        <f>IF(V062A_2030[[#This Row],[FECHA]]-B28=1,((V062A_2030[[#This Row],[HORA]]-C28)*24)+24,(V062A_2030[[#This Row],[HORA]]-C28)*24)</f>
        <v>2.0000000000000009</v>
      </c>
      <c r="E29" s="409" t="s">
        <v>45</v>
      </c>
      <c r="F29" s="29" t="s">
        <v>46</v>
      </c>
      <c r="G29" s="324"/>
      <c r="H29" s="306"/>
      <c r="I29" s="259">
        <f>IF(ISERROR(V062A_2030[[#This Row],[DISTANCIA POR CARTA]]/V062A_2030[[#This Row],[TIEMPO DE NAVEGACION]]),0,V062A_2030[[#This Row],[DISTANCIA POR CARTA]]/V062A_2030[[#This Row],[TIEMPO DE NAVEGACION]])</f>
        <v>0</v>
      </c>
      <c r="J29" s="242"/>
      <c r="K29" s="325"/>
      <c r="L29" s="418">
        <v>0</v>
      </c>
      <c r="M29" s="245">
        <v>0.1</v>
      </c>
      <c r="N29" s="245">
        <v>0.08</v>
      </c>
      <c r="O29" s="257">
        <f>SUM(V062A_2030[[#This Row],[MPAL]:[CALDERA]])</f>
        <v>0.18</v>
      </c>
      <c r="P29" s="319"/>
      <c r="Q29" s="281">
        <f>(Q28-V062A_2030[[#This Row],[TOTAL ]])+V062A_2030[[#This Row],[FAENA]]</f>
        <v>895.601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SUM(V062A_2030[[#This Row],[MPAL2]:[GI]])</f>
        <v>0</v>
      </c>
      <c r="X29" s="246"/>
      <c r="Y29" s="282">
        <f>(Y28-V062A_2030[[#This Row],[TOTAL]])+V062A_2030[[#This Row],[FAENA2]]</f>
        <v>69.180000000000021</v>
      </c>
      <c r="Z29" s="245">
        <v>0</v>
      </c>
      <c r="AA29" s="246">
        <v>0</v>
      </c>
      <c r="AB29" s="320">
        <f>(AB28-V062A_2030[[#This Row],[CYLINDER MP]])+V062A_2030[[#This Row],[FAENA EN LTS]]</f>
        <v>5068</v>
      </c>
      <c r="AC29" s="246">
        <v>0</v>
      </c>
      <c r="AD29" s="246">
        <v>0</v>
      </c>
      <c r="AE29" s="320">
        <f>(AE28-V062A_2030[[#This Row],[CARTER MP.]])+V062A_2030[[#This Row],[FAENA EN LTS2]]</f>
        <v>3700</v>
      </c>
      <c r="AF29" s="246">
        <v>20</v>
      </c>
      <c r="AG29" s="246">
        <v>0</v>
      </c>
      <c r="AH29" s="320">
        <f>(AH28-V062A_2030[[#This Row],[MOT AUX]])+V062A_2030[[#This Row],[FAENA EN  LTS]]</f>
        <v>2750</v>
      </c>
      <c r="AI29" s="246">
        <v>0</v>
      </c>
      <c r="AJ29" s="246">
        <v>0</v>
      </c>
      <c r="AK29" s="321">
        <f>(AK28-V062A_2030[[#This Row],[HIDRAULICO]])+V062A_2030[[#This Row],[FAENA EN LTS3]]</f>
        <v>2350</v>
      </c>
    </row>
    <row r="30" spans="1:37" x14ac:dyDescent="0.25">
      <c r="A30" s="431" t="s">
        <v>269</v>
      </c>
      <c r="B30" s="48">
        <v>44072</v>
      </c>
      <c r="C30" s="362">
        <v>0.53125</v>
      </c>
      <c r="D30" s="418">
        <f>IF(V062A_2030[[#This Row],[FECHA]]-B29=1,((V062A_2030[[#This Row],[HORA]]-C29)*24)+24,(V062A_2030[[#This Row],[HORA]]-C29)*24)</f>
        <v>2.7499999999999996</v>
      </c>
      <c r="E30" s="409" t="s">
        <v>47</v>
      </c>
      <c r="F30" s="29" t="s">
        <v>266</v>
      </c>
      <c r="G30" s="324"/>
      <c r="H30" s="306"/>
      <c r="I30" s="259">
        <f>IF(ISERROR(V062A_2030[[#This Row],[DISTANCIA POR CARTA]]/V062A_2030[[#This Row],[TIEMPO DE NAVEGACION]]),0,V062A_2030[[#This Row],[DISTANCIA POR CARTA]]/V062A_2030[[#This Row],[TIEMPO DE NAVEGACION]])</f>
        <v>0</v>
      </c>
      <c r="J30" s="380"/>
      <c r="K30" s="325"/>
      <c r="L30" s="418">
        <v>1.1499999999999999</v>
      </c>
      <c r="M30" s="245">
        <v>0.15</v>
      </c>
      <c r="N30" s="245">
        <v>0.11</v>
      </c>
      <c r="O30" s="257">
        <f>SUM(V062A_2030[[#This Row],[MPAL]:[CALDERA]])</f>
        <v>1.41</v>
      </c>
      <c r="P30" s="319"/>
      <c r="Q30" s="281">
        <f>(Q29-V062A_2030[[#This Row],[TOTAL ]])+V062A_2030[[#This Row],[FAENA]]</f>
        <v>894.19100000000003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SUM(V062A_2030[[#This Row],[MPAL2]:[GI]])</f>
        <v>0</v>
      </c>
      <c r="X30" s="246"/>
      <c r="Y30" s="282">
        <f>(Y29-V062A_2030[[#This Row],[TOTAL]])+V062A_2030[[#This Row],[FAENA2]]</f>
        <v>69.180000000000021</v>
      </c>
      <c r="Z30" s="245">
        <v>60</v>
      </c>
      <c r="AA30" s="246">
        <v>0</v>
      </c>
      <c r="AB30" s="320">
        <f>(AB29-V062A_2030[[#This Row],[CYLINDER MP]])+V062A_2030[[#This Row],[FAENA EN LTS]]</f>
        <v>5008</v>
      </c>
      <c r="AC30" s="246">
        <v>0</v>
      </c>
      <c r="AD30" s="246">
        <v>0</v>
      </c>
      <c r="AE30" s="320">
        <f>(AE29-V062A_2030[[#This Row],[CARTER MP.]])+V062A_2030[[#This Row],[FAENA EN LTS2]]</f>
        <v>3700</v>
      </c>
      <c r="AF30" s="246">
        <v>20</v>
      </c>
      <c r="AG30" s="246">
        <v>0</v>
      </c>
      <c r="AH30" s="320">
        <f>(AH29-V062A_2030[[#This Row],[MOT AUX]])+V062A_2030[[#This Row],[FAENA EN  LTS]]</f>
        <v>2730</v>
      </c>
      <c r="AI30" s="246">
        <v>0</v>
      </c>
      <c r="AJ30" s="246">
        <v>0</v>
      </c>
      <c r="AK30" s="321">
        <f>(AK29-V062A_2030[[#This Row],[HIDRAULICO]])+V062A_2030[[#This Row],[FAENA EN LTS3]]</f>
        <v>2350</v>
      </c>
    </row>
    <row r="31" spans="1:37" x14ac:dyDescent="0.25">
      <c r="A31" s="431" t="s">
        <v>269</v>
      </c>
      <c r="B31" s="48">
        <v>44072</v>
      </c>
      <c r="C31" s="351">
        <v>0.625</v>
      </c>
      <c r="D31" s="418">
        <f>IF(V062A_2030[[#This Row],[FECHA]]-B30=1,((V062A_2030[[#This Row],[HORA]]-C30)*24)+24,(V062A_2030[[#This Row],[HORA]]-C30)*24)</f>
        <v>2.25</v>
      </c>
      <c r="E31" s="409" t="s">
        <v>49</v>
      </c>
      <c r="F31" s="29" t="s">
        <v>50</v>
      </c>
      <c r="G31" s="324"/>
      <c r="H31" s="306"/>
      <c r="I31" s="259">
        <f>IF(ISERROR(V062A_2030[[#This Row],[DISTANCIA POR CARTA]]/V062A_2030[[#This Row],[TIEMPO DE NAVEGACION]]),0,V062A_2030[[#This Row],[DISTANCIA POR CARTA]]/V062A_2030[[#This Row],[TIEMPO DE NAVEGACION]])</f>
        <v>0</v>
      </c>
      <c r="J31" s="242"/>
      <c r="K31" s="325"/>
      <c r="L31" s="418">
        <v>0</v>
      </c>
      <c r="M31" s="245">
        <v>0.11</v>
      </c>
      <c r="N31" s="245">
        <v>0.09</v>
      </c>
      <c r="O31" s="257">
        <f>SUM(V062A_2030[[#This Row],[MPAL]:[CALDERA]])</f>
        <v>0.2</v>
      </c>
      <c r="P31" s="319"/>
      <c r="Q31" s="281">
        <f>(Q30-V062A_2030[[#This Row],[TOTAL ]])+V062A_2030[[#This Row],[FAENA]]</f>
        <v>893.99099999999999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SUM(V062A_2030[[#This Row],[MPAL2]:[GI]])</f>
        <v>0</v>
      </c>
      <c r="X31" s="246"/>
      <c r="Y31" s="282">
        <f>(Y30-V062A_2030[[#This Row],[TOTAL]])+V062A_2030[[#This Row],[FAENA2]]</f>
        <v>69.180000000000021</v>
      </c>
      <c r="Z31" s="245">
        <v>0</v>
      </c>
      <c r="AA31" s="246">
        <v>0</v>
      </c>
      <c r="AB31" s="320">
        <f>(AB30-V062A_2030[[#This Row],[CYLINDER MP]])+V062A_2030[[#This Row],[FAENA EN LTS]]</f>
        <v>5008</v>
      </c>
      <c r="AC31" s="246">
        <v>0</v>
      </c>
      <c r="AD31" s="246">
        <v>0</v>
      </c>
      <c r="AE31" s="320">
        <f>(AE30-V062A_2030[[#This Row],[CARTER MP.]])+V062A_2030[[#This Row],[FAENA EN LTS2]]</f>
        <v>3700</v>
      </c>
      <c r="AF31" s="246">
        <v>0</v>
      </c>
      <c r="AG31" s="246">
        <v>0</v>
      </c>
      <c r="AH31" s="320">
        <f>(AH30-V062A_2030[[#This Row],[MOT AUX]])+V062A_2030[[#This Row],[FAENA EN  LTS]]</f>
        <v>2730</v>
      </c>
      <c r="AI31" s="246">
        <v>0</v>
      </c>
      <c r="AJ31" s="246">
        <v>0</v>
      </c>
      <c r="AK31" s="321">
        <f>(AK30-V062A_2030[[#This Row],[HIDRAULICO]])+V062A_2030[[#This Row],[FAENA EN LTS3]]</f>
        <v>2350</v>
      </c>
    </row>
    <row r="32" spans="1:37" x14ac:dyDescent="0.25">
      <c r="A32" s="431" t="s">
        <v>269</v>
      </c>
      <c r="B32" s="48">
        <v>44073</v>
      </c>
      <c r="C32" s="362">
        <v>0.33333333333333331</v>
      </c>
      <c r="D32" s="418">
        <f>IF(V062A_2030[[#This Row],[FECHA]]-B31=1,((V062A_2030[[#This Row],[HORA]]-C31)*24)+24,(V062A_2030[[#This Row],[HORA]]-C31)*24)</f>
        <v>17</v>
      </c>
      <c r="E32" s="409" t="s">
        <v>51</v>
      </c>
      <c r="F32" s="29" t="s">
        <v>268</v>
      </c>
      <c r="G32" s="324"/>
      <c r="H32" s="306"/>
      <c r="I32" s="259">
        <f>IF(ISERROR(V062A_2030[[#This Row],[DISTANCIA POR CARTA]]/V062A_2030[[#This Row],[TIEMPO DE NAVEGACION]]),0,V062A_2030[[#This Row],[DISTANCIA POR CARTA]]/V062A_2030[[#This Row],[TIEMPO DE NAVEGACION]])</f>
        <v>0</v>
      </c>
      <c r="J32" s="242"/>
      <c r="K32" s="325"/>
      <c r="L32" s="418">
        <v>0</v>
      </c>
      <c r="M32" s="245">
        <v>1.42</v>
      </c>
      <c r="N32" s="245">
        <v>0.71</v>
      </c>
      <c r="O32" s="257">
        <f>SUM(V062A_2030[[#This Row],[MPAL]:[CALDERA]])</f>
        <v>2.13</v>
      </c>
      <c r="P32" s="319"/>
      <c r="Q32" s="281">
        <f>(Q31-V062A_2030[[#This Row],[TOTAL ]])+V062A_2030[[#This Row],[FAENA]]</f>
        <v>891.86099999999999</v>
      </c>
      <c r="R32" s="245">
        <v>0</v>
      </c>
      <c r="S32" s="246">
        <v>0</v>
      </c>
      <c r="T32" s="246">
        <v>0</v>
      </c>
      <c r="U32" s="246">
        <v>0</v>
      </c>
      <c r="V32" s="246">
        <v>4.5</v>
      </c>
      <c r="W32" s="257">
        <f>SUM(V062A_2030[[#This Row],[MPAL2]:[GI]])</f>
        <v>4.5</v>
      </c>
      <c r="X32" s="246"/>
      <c r="Y32" s="282">
        <f>(Y31-V062A_2030[[#This Row],[TOTAL]])+V062A_2030[[#This Row],[FAENA2]]</f>
        <v>64.680000000000021</v>
      </c>
      <c r="Z32" s="245">
        <v>0</v>
      </c>
      <c r="AA32" s="246">
        <v>0</v>
      </c>
      <c r="AB32" s="320">
        <f>(AB31-V062A_2030[[#This Row],[CYLINDER MP]])+V062A_2030[[#This Row],[FAENA EN LTS]]</f>
        <v>5008</v>
      </c>
      <c r="AC32" s="246">
        <v>0</v>
      </c>
      <c r="AD32" s="246">
        <v>0</v>
      </c>
      <c r="AE32" s="320">
        <f>(AE31-V062A_2030[[#This Row],[CARTER MP.]])+V062A_2030[[#This Row],[FAENA EN LTS2]]</f>
        <v>3700</v>
      </c>
      <c r="AF32" s="246">
        <v>0</v>
      </c>
      <c r="AG32" s="246">
        <v>0</v>
      </c>
      <c r="AH32" s="320">
        <f>(AH31-V062A_2030[[#This Row],[MOT AUX]])+V062A_2030[[#This Row],[FAENA EN  LTS]]</f>
        <v>2730</v>
      </c>
      <c r="AI32" s="246">
        <v>0</v>
      </c>
      <c r="AJ32" s="246">
        <v>0</v>
      </c>
      <c r="AK32" s="321">
        <f>(AK31-V062A_2030[[#This Row],[HIDRAULICO]])+V062A_2030[[#This Row],[FAENA EN LTS3]]</f>
        <v>2350</v>
      </c>
    </row>
    <row r="33" spans="1:37" x14ac:dyDescent="0.25">
      <c r="A33" s="431" t="s">
        <v>269</v>
      </c>
      <c r="B33" s="48">
        <v>44073</v>
      </c>
      <c r="C33" s="351">
        <v>0.96666666666666667</v>
      </c>
      <c r="D33" s="418">
        <f>IF(V062A_2030[[#This Row],[FECHA]]-B32=1,((V062A_2030[[#This Row],[HORA]]-C32)*24)+24,(V062A_2030[[#This Row],[HORA]]-C32)*24)</f>
        <v>15.2</v>
      </c>
      <c r="E33" s="409" t="s">
        <v>51</v>
      </c>
      <c r="F33" s="29" t="s">
        <v>52</v>
      </c>
      <c r="G33" s="324"/>
      <c r="H33" s="306"/>
      <c r="I33" s="259">
        <f>IF(ISERROR(V062A_2030[[#This Row],[DISTANCIA POR CARTA]]/V062A_2030[[#This Row],[TIEMPO DE NAVEGACION]]),0,V062A_2030[[#This Row],[DISTANCIA POR CARTA]]/V062A_2030[[#This Row],[TIEMPO DE NAVEGACION]])</f>
        <v>0</v>
      </c>
      <c r="J33" s="242"/>
      <c r="K33" s="325"/>
      <c r="L33" s="418">
        <v>0</v>
      </c>
      <c r="M33" s="245">
        <v>1.39</v>
      </c>
      <c r="N33" s="245">
        <v>0.63</v>
      </c>
      <c r="O33" s="257">
        <f>SUM(V062A_2030[[#This Row],[MPAL]:[CALDERA]])</f>
        <v>2.02</v>
      </c>
      <c r="P33" s="319"/>
      <c r="Q33" s="281">
        <f>(Q32-V062A_2030[[#This Row],[TOTAL ]])+V062A_2030[[#This Row],[FAENA]]</f>
        <v>889.84100000000001</v>
      </c>
      <c r="R33" s="245">
        <v>0</v>
      </c>
      <c r="S33" s="246">
        <v>0</v>
      </c>
      <c r="T33" s="246">
        <v>0</v>
      </c>
      <c r="U33" s="246">
        <v>0</v>
      </c>
      <c r="V33" s="246">
        <v>4</v>
      </c>
      <c r="W33" s="257">
        <f>SUM(V062A_2030[[#This Row],[MPAL2]:[GI]])</f>
        <v>4</v>
      </c>
      <c r="X33" s="246"/>
      <c r="Y33" s="282">
        <f>(Y32-V062A_2030[[#This Row],[TOTAL]])+V062A_2030[[#This Row],[FAENA2]]</f>
        <v>60.680000000000021</v>
      </c>
      <c r="Z33" s="245">
        <v>0</v>
      </c>
      <c r="AA33" s="246">
        <v>0</v>
      </c>
      <c r="AB33" s="320">
        <f>(AB32-V062A_2030[[#This Row],[CYLINDER MP]])+V062A_2030[[#This Row],[FAENA EN LTS]]</f>
        <v>5008</v>
      </c>
      <c r="AC33" s="246">
        <v>0</v>
      </c>
      <c r="AD33" s="246">
        <v>0</v>
      </c>
      <c r="AE33" s="320">
        <f>(AE32-V062A_2030[[#This Row],[CARTER MP.]])+V062A_2030[[#This Row],[FAENA EN LTS2]]</f>
        <v>3700</v>
      </c>
      <c r="AF33" s="246">
        <v>40</v>
      </c>
      <c r="AG33" s="246">
        <v>0</v>
      </c>
      <c r="AH33" s="320">
        <f>(AH32-V062A_2030[[#This Row],[MOT AUX]])+V062A_2030[[#This Row],[FAENA EN  LTS]]</f>
        <v>2690</v>
      </c>
      <c r="AI33" s="246">
        <v>0</v>
      </c>
      <c r="AJ33" s="246">
        <v>0</v>
      </c>
      <c r="AK33" s="321">
        <f>(AK32-V062A_2030[[#This Row],[HIDRAULICO]])+V062A_2030[[#This Row],[FAENA EN LTS3]]</f>
        <v>2350</v>
      </c>
    </row>
    <row r="34" spans="1:37" x14ac:dyDescent="0.25">
      <c r="A34" s="431" t="s">
        <v>269</v>
      </c>
      <c r="B34" s="48">
        <v>44074</v>
      </c>
      <c r="C34" s="362">
        <v>0.15625</v>
      </c>
      <c r="D34" s="418">
        <f>IF(V062A_2030[[#This Row],[FECHA]]-B33=1,((V062A_2030[[#This Row],[HORA]]-C33)*24)+24,(V062A_2030[[#This Row],[HORA]]-C33)*24)</f>
        <v>4.5500000000000007</v>
      </c>
      <c r="E34" s="409" t="s">
        <v>49</v>
      </c>
      <c r="F34" s="29" t="s">
        <v>74</v>
      </c>
      <c r="G34" s="324"/>
      <c r="H34" s="306"/>
      <c r="I34" s="259">
        <f>IF(ISERROR(V062A_2030[[#This Row],[DISTANCIA POR CARTA]]/V062A_2030[[#This Row],[TIEMPO DE NAVEGACION]]),0,V062A_2030[[#This Row],[DISTANCIA POR CARTA]]/V062A_2030[[#This Row],[TIEMPO DE NAVEGACION]])</f>
        <v>0</v>
      </c>
      <c r="J34" s="242"/>
      <c r="K34" s="325"/>
      <c r="L34" s="418">
        <v>0</v>
      </c>
      <c r="M34" s="245">
        <v>0.27</v>
      </c>
      <c r="N34" s="245">
        <v>0.19</v>
      </c>
      <c r="O34" s="257">
        <f>SUM(V062A_2030[[#This Row],[MPAL]:[CALDERA]])</f>
        <v>0.46</v>
      </c>
      <c r="P34" s="319"/>
      <c r="Q34" s="281">
        <f>(Q33-V062A_2030[[#This Row],[TOTAL ]])+V062A_2030[[#This Row],[FAENA]]</f>
        <v>889.38099999999997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SUM(V062A_2030[[#This Row],[MPAL2]:[GI]])</f>
        <v>0</v>
      </c>
      <c r="X34" s="246"/>
      <c r="Y34" s="282">
        <f>(Y33-V062A_2030[[#This Row],[TOTAL]])+V062A_2030[[#This Row],[FAENA2]]</f>
        <v>60.680000000000021</v>
      </c>
      <c r="Z34" s="245">
        <v>0</v>
      </c>
      <c r="AA34" s="246">
        <v>0</v>
      </c>
      <c r="AB34" s="320">
        <f>(AB33-V062A_2030[[#This Row],[CYLINDER MP]])+V062A_2030[[#This Row],[FAENA EN LTS]]</f>
        <v>5008</v>
      </c>
      <c r="AC34" s="246">
        <v>0</v>
      </c>
      <c r="AD34" s="246">
        <v>0</v>
      </c>
      <c r="AE34" s="320">
        <f>(AE33-V062A_2030[[#This Row],[CARTER MP.]])+V062A_2030[[#This Row],[FAENA EN LTS2]]</f>
        <v>3700</v>
      </c>
      <c r="AF34" s="246">
        <v>0</v>
      </c>
      <c r="AG34" s="246">
        <v>0</v>
      </c>
      <c r="AH34" s="320">
        <f>(AH33-V062A_2030[[#This Row],[MOT AUX]])+V062A_2030[[#This Row],[FAENA EN  LTS]]</f>
        <v>2690</v>
      </c>
      <c r="AI34" s="246">
        <v>0</v>
      </c>
      <c r="AJ34" s="246">
        <v>0</v>
      </c>
      <c r="AK34" s="321">
        <f>(AK33-V062A_2030[[#This Row],[HIDRAULICO]])+V062A_2030[[#This Row],[FAENA EN LTS3]]</f>
        <v>2350</v>
      </c>
    </row>
    <row r="35" spans="1:37" x14ac:dyDescent="0.25">
      <c r="A35" s="431" t="s">
        <v>269</v>
      </c>
      <c r="B35" s="48">
        <v>44074</v>
      </c>
      <c r="C35" s="351">
        <v>0.20833333333333334</v>
      </c>
      <c r="D35" s="418">
        <f>IF(V062A_2030[[#This Row],[FECHA]]-B34=1,((V062A_2030[[#This Row],[HORA]]-C34)*24)+24,(V062A_2030[[#This Row],[HORA]]-C34)*24)</f>
        <v>1.2500000000000002</v>
      </c>
      <c r="E35" s="409" t="s">
        <v>47</v>
      </c>
      <c r="F35" s="29" t="s">
        <v>212</v>
      </c>
      <c r="G35" s="324"/>
      <c r="H35" s="306"/>
      <c r="I35" s="259">
        <f>IF(ISERROR(V062A_2030[[#This Row],[DISTANCIA POR CARTA]]/V062A_2030[[#This Row],[TIEMPO DE NAVEGACION]]),0,V062A_2030[[#This Row],[DISTANCIA POR CARTA]]/V062A_2030[[#This Row],[TIEMPO DE NAVEGACION]])</f>
        <v>0</v>
      </c>
      <c r="J35" s="242"/>
      <c r="K35" s="325"/>
      <c r="L35" s="418">
        <v>0.52</v>
      </c>
      <c r="M35" s="245">
        <v>7.0000000000000007E-2</v>
      </c>
      <c r="N35" s="245">
        <v>0.21</v>
      </c>
      <c r="O35" s="257">
        <f>SUM(V062A_2030[[#This Row],[MPAL]:[CALDERA]])</f>
        <v>0.8</v>
      </c>
      <c r="P35" s="319"/>
      <c r="Q35" s="281">
        <f>(Q34-V062A_2030[[#This Row],[TOTAL ]])+V062A_2030[[#This Row],[FAENA]]</f>
        <v>888.58100000000002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SUM(V062A_2030[[#This Row],[MPAL2]:[GI]])</f>
        <v>0</v>
      </c>
      <c r="X35" s="246"/>
      <c r="Y35" s="282">
        <f>(Y34-V062A_2030[[#This Row],[TOTAL]])+V062A_2030[[#This Row],[FAENA2]]</f>
        <v>60.680000000000021</v>
      </c>
      <c r="Z35" s="245">
        <v>30</v>
      </c>
      <c r="AA35" s="246">
        <v>0</v>
      </c>
      <c r="AB35" s="320">
        <f>(AB34-V062A_2030[[#This Row],[CYLINDER MP]])+V062A_2030[[#This Row],[FAENA EN LTS]]</f>
        <v>4978</v>
      </c>
      <c r="AC35" s="246">
        <v>300</v>
      </c>
      <c r="AD35" s="246">
        <v>0</v>
      </c>
      <c r="AE35" s="320">
        <f>(AE34-V062A_2030[[#This Row],[CARTER MP.]])+V062A_2030[[#This Row],[FAENA EN LTS2]]</f>
        <v>3400</v>
      </c>
      <c r="AF35" s="246">
        <v>0</v>
      </c>
      <c r="AG35" s="246">
        <v>0</v>
      </c>
      <c r="AH35" s="320">
        <f>(AH34-V062A_2030[[#This Row],[MOT AUX]])+V062A_2030[[#This Row],[FAENA EN  LTS]]</f>
        <v>2690</v>
      </c>
      <c r="AI35" s="246">
        <v>0</v>
      </c>
      <c r="AJ35" s="246">
        <v>0</v>
      </c>
      <c r="AK35" s="321">
        <f>(AK34-V062A_2030[[#This Row],[HIDRAULICO]])+V062A_2030[[#This Row],[FAENA EN LTS3]]</f>
        <v>2350</v>
      </c>
    </row>
    <row r="36" spans="1:37" x14ac:dyDescent="0.25">
      <c r="A36" s="431" t="s">
        <v>269</v>
      </c>
      <c r="B36" s="48">
        <v>44074</v>
      </c>
      <c r="C36" s="362">
        <v>0.33333333333333331</v>
      </c>
      <c r="D36" s="418">
        <f>IF(V062A_2030[[#This Row],[FECHA]]-B35=1,((V062A_2030[[#This Row],[HORA]]-C35)*24)+24,(V062A_2030[[#This Row],[HORA]]-C35)*24)</f>
        <v>2.9999999999999991</v>
      </c>
      <c r="E36" s="409" t="s">
        <v>55</v>
      </c>
      <c r="F36" s="29" t="s">
        <v>56</v>
      </c>
      <c r="G36" s="324">
        <v>36</v>
      </c>
      <c r="H36" s="306">
        <v>3</v>
      </c>
      <c r="I36" s="259">
        <f>IF(ISERROR(V062A_2030[[#This Row],[DISTANCIA POR CARTA]]/V062A_2030[[#This Row],[TIEMPO DE NAVEGACION]]),0,V062A_2030[[#This Row],[DISTANCIA POR CARTA]]/V062A_2030[[#This Row],[TIEMPO DE NAVEGACION]])</f>
        <v>12</v>
      </c>
      <c r="J36" s="242">
        <v>3</v>
      </c>
      <c r="K36" s="325">
        <v>97</v>
      </c>
      <c r="L36" s="245">
        <v>5.2761904761905197E-2</v>
      </c>
      <c r="M36" s="245">
        <v>0.15</v>
      </c>
      <c r="N36" s="245">
        <v>0.13</v>
      </c>
      <c r="O36" s="257">
        <f>SUM(V062A_2030[[#This Row],[MPAL]:[CALDERA]])</f>
        <v>0.3327619047619052</v>
      </c>
      <c r="P36" s="319"/>
      <c r="Q36" s="281">
        <f>(Q35-V062A_2030[[#This Row],[TOTAL ]])+V062A_2030[[#This Row],[FAENA]]</f>
        <v>888.24823809523809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SUM(V062A_2030[[#This Row],[MPAL2]:[GI]])</f>
        <v>0</v>
      </c>
      <c r="X36" s="246"/>
      <c r="Y36" s="282">
        <f>(Y35-V062A_2030[[#This Row],[TOTAL]])+V062A_2030[[#This Row],[FAENA2]]</f>
        <v>60.680000000000021</v>
      </c>
      <c r="Z36" s="245">
        <v>40</v>
      </c>
      <c r="AA36" s="246">
        <v>0</v>
      </c>
      <c r="AB36" s="320">
        <f>(AB35-V062A_2030[[#This Row],[CYLINDER MP]])+V062A_2030[[#This Row],[FAENA EN LTS]]</f>
        <v>4938</v>
      </c>
      <c r="AC36" s="246">
        <v>0</v>
      </c>
      <c r="AD36" s="246">
        <v>0</v>
      </c>
      <c r="AE36" s="320">
        <f>(AE35-V062A_2030[[#This Row],[CARTER MP.]])+V062A_2030[[#This Row],[FAENA EN LTS2]]</f>
        <v>3400</v>
      </c>
      <c r="AF36" s="246">
        <v>0</v>
      </c>
      <c r="AG36" s="246">
        <v>0</v>
      </c>
      <c r="AH36" s="320">
        <f>(AH35-V062A_2030[[#This Row],[MOT AUX]])+V062A_2030[[#This Row],[FAENA EN  LTS]]</f>
        <v>2690</v>
      </c>
      <c r="AI36" s="246">
        <v>0</v>
      </c>
      <c r="AJ36" s="246">
        <v>0</v>
      </c>
      <c r="AK36" s="321">
        <f>(AK35-V062A_2030[[#This Row],[HIDRAULICO]])+V062A_2030[[#This Row],[FAENA EN LTS3]]</f>
        <v>2350</v>
      </c>
    </row>
    <row r="37" spans="1:37" x14ac:dyDescent="0.25">
      <c r="A37" s="431" t="s">
        <v>269</v>
      </c>
      <c r="B37" s="48">
        <v>44074</v>
      </c>
      <c r="C37" s="351">
        <v>0.625</v>
      </c>
      <c r="D37" s="418">
        <f>IF(V062A_2030[[#This Row],[FECHA]]-B36=1,((V062A_2030[[#This Row],[HORA]]-C36)*24)+24,(V062A_2030[[#This Row],[HORA]]-C36)*24)</f>
        <v>7</v>
      </c>
      <c r="E37" s="409" t="s">
        <v>55</v>
      </c>
      <c r="F37" s="29" t="s">
        <v>219</v>
      </c>
      <c r="G37" s="324">
        <v>94</v>
      </c>
      <c r="H37" s="306">
        <v>7</v>
      </c>
      <c r="I37" s="259">
        <f>IF(ISERROR(V062A_2030[[#This Row],[DISTANCIA POR CARTA]]/V062A_2030[[#This Row],[TIEMPO DE NAVEGACION]]),0,V062A_2030[[#This Row],[DISTANCIA POR CARTA]]/V062A_2030[[#This Row],[TIEMPO DE NAVEGACION]])</f>
        <v>13.428571428571429</v>
      </c>
      <c r="J37" s="380">
        <v>3</v>
      </c>
      <c r="K37" s="325">
        <v>97</v>
      </c>
      <c r="L37" s="418">
        <v>14.76</v>
      </c>
      <c r="M37" s="245">
        <v>0.77</v>
      </c>
      <c r="N37" s="245">
        <v>0.64</v>
      </c>
      <c r="O37" s="257">
        <f>SUM(V062A_2030[[#This Row],[MPAL]:[CALDERA]])</f>
        <v>16.169999999999998</v>
      </c>
      <c r="P37" s="319"/>
      <c r="Q37" s="281">
        <f>(Q36-V062A_2030[[#This Row],[TOTAL ]])+V062A_2030[[#This Row],[FAENA]]</f>
        <v>872.07823809523813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SUM(V062A_2030[[#This Row],[MPAL2]:[GI]])</f>
        <v>0</v>
      </c>
      <c r="X37" s="246"/>
      <c r="Y37" s="282">
        <f>(Y36-V062A_2030[[#This Row],[TOTAL]])+V062A_2030[[#This Row],[FAENA2]]</f>
        <v>60.680000000000021</v>
      </c>
      <c r="Z37" s="245">
        <v>195</v>
      </c>
      <c r="AA37" s="246">
        <v>0</v>
      </c>
      <c r="AB37" s="320">
        <f>(AB36-V062A_2030[[#This Row],[CYLINDER MP]])+V062A_2030[[#This Row],[FAENA EN LTS]]</f>
        <v>4743</v>
      </c>
      <c r="AC37" s="246">
        <v>50</v>
      </c>
      <c r="AD37" s="246">
        <v>0</v>
      </c>
      <c r="AE37" s="320">
        <f>(AE36-V062A_2030[[#This Row],[CARTER MP.]])+V062A_2030[[#This Row],[FAENA EN LTS2]]</f>
        <v>3350</v>
      </c>
      <c r="AF37" s="246">
        <v>20</v>
      </c>
      <c r="AG37" s="246">
        <v>0</v>
      </c>
      <c r="AH37" s="320">
        <f>(AH36-V062A_2030[[#This Row],[MOT AUX]])+V062A_2030[[#This Row],[FAENA EN  LTS]]</f>
        <v>2670</v>
      </c>
      <c r="AI37" s="246">
        <v>0</v>
      </c>
      <c r="AJ37" s="246">
        <v>0</v>
      </c>
      <c r="AK37" s="321">
        <f>(AK36-V062A_2030[[#This Row],[HIDRAULICO]])+V062A_2030[[#This Row],[FAENA EN LTS3]]</f>
        <v>2350</v>
      </c>
    </row>
    <row r="38" spans="1:37" x14ac:dyDescent="0.25">
      <c r="A38" s="431" t="s">
        <v>269</v>
      </c>
      <c r="B38" s="48">
        <v>44074</v>
      </c>
      <c r="C38" s="362">
        <v>0.71666666666666667</v>
      </c>
      <c r="D38" s="418">
        <f>IF(V062A_2030[[#This Row],[FECHA]]-B37=1,((V062A_2030[[#This Row],[HORA]]-C37)*24)+24,(V062A_2030[[#This Row],[HORA]]-C37)*24)</f>
        <v>2.2000000000000002</v>
      </c>
      <c r="E38" s="409" t="s">
        <v>49</v>
      </c>
      <c r="F38" s="29" t="s">
        <v>234</v>
      </c>
      <c r="G38" s="324"/>
      <c r="H38" s="306"/>
      <c r="I38" s="259">
        <f>IF(ISERROR(V062A_2030[[#This Row],[DISTANCIA POR CARTA]]/V062A_2030[[#This Row],[TIEMPO DE NAVEGACION]]),0,V062A_2030[[#This Row],[DISTANCIA POR CARTA]]/V062A_2030[[#This Row],[TIEMPO DE NAVEGACION]])</f>
        <v>0</v>
      </c>
      <c r="J38" s="242"/>
      <c r="K38" s="325"/>
      <c r="L38" s="418">
        <v>0.75</v>
      </c>
      <c r="M38" s="245">
        <v>0.09</v>
      </c>
      <c r="N38" s="245">
        <v>0.08</v>
      </c>
      <c r="O38" s="257">
        <f>SUM(V062A_2030[[#This Row],[MPAL]:[CALDERA]])</f>
        <v>0.91999999999999993</v>
      </c>
      <c r="P38" s="319"/>
      <c r="Q38" s="281">
        <f>(Q37-V062A_2030[[#This Row],[TOTAL ]])+V062A_2030[[#This Row],[FAENA]]</f>
        <v>871.15823809523818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SUM(V062A_2030[[#This Row],[MPAL2]:[GI]])</f>
        <v>0</v>
      </c>
      <c r="X38" s="246"/>
      <c r="Y38" s="282">
        <f>(Y37-V062A_2030[[#This Row],[TOTAL]])+V062A_2030[[#This Row],[FAENA2]]</f>
        <v>60.680000000000021</v>
      </c>
      <c r="Z38" s="245">
        <v>30</v>
      </c>
      <c r="AA38" s="246">
        <v>0</v>
      </c>
      <c r="AB38" s="320">
        <f>(AB37-V062A_2030[[#This Row],[CYLINDER MP]])+V062A_2030[[#This Row],[FAENA EN LTS]]</f>
        <v>4713</v>
      </c>
      <c r="AC38" s="246">
        <v>0</v>
      </c>
      <c r="AD38" s="246">
        <v>0</v>
      </c>
      <c r="AE38" s="320">
        <f>(AE37-V062A_2030[[#This Row],[CARTER MP.]])+V062A_2030[[#This Row],[FAENA EN LTS2]]</f>
        <v>3350</v>
      </c>
      <c r="AF38" s="246">
        <v>0</v>
      </c>
      <c r="AG38" s="246">
        <v>0</v>
      </c>
      <c r="AH38" s="320">
        <f>(AH37-V062A_2030[[#This Row],[MOT AUX]])+V062A_2030[[#This Row],[FAENA EN  LTS]]</f>
        <v>2670</v>
      </c>
      <c r="AI38" s="246">
        <v>0</v>
      </c>
      <c r="AJ38" s="246">
        <v>0</v>
      </c>
      <c r="AK38" s="321">
        <f>(AK37-V062A_2030[[#This Row],[HIDRAULICO]])+V062A_2030[[#This Row],[FAENA EN LTS3]]</f>
        <v>2350</v>
      </c>
    </row>
    <row r="39" spans="1:37" x14ac:dyDescent="0.25">
      <c r="A39" s="431" t="s">
        <v>269</v>
      </c>
      <c r="B39" s="48">
        <v>44075</v>
      </c>
      <c r="C39" s="351">
        <v>0.16666666666666666</v>
      </c>
      <c r="D39" s="418">
        <f>IF(V062A_2030[[#This Row],[FECHA]]-B38=1,((V062A_2030[[#This Row],[HORA]]-C38)*24)+24,(V062A_2030[[#This Row],[HORA]]-C38)*24)</f>
        <v>10.799999999999999</v>
      </c>
      <c r="E39" s="409" t="s">
        <v>51</v>
      </c>
      <c r="F39" s="29" t="s">
        <v>46</v>
      </c>
      <c r="G39" s="324"/>
      <c r="H39" s="306"/>
      <c r="I39" s="259">
        <f>IF(ISERROR(V062A_2030[[#This Row],[DISTANCIA POR CARTA]]/V062A_2030[[#This Row],[TIEMPO DE NAVEGACION]]),0,V062A_2030[[#This Row],[DISTANCIA POR CARTA]]/V062A_2030[[#This Row],[TIEMPO DE NAVEGACION]])</f>
        <v>0</v>
      </c>
      <c r="J39" s="242"/>
      <c r="K39" s="325"/>
      <c r="L39" s="245">
        <v>0</v>
      </c>
      <c r="M39" s="245">
        <v>0.63</v>
      </c>
      <c r="N39" s="245">
        <v>0.45</v>
      </c>
      <c r="O39" s="257">
        <f>SUM(V062A_2030[[#This Row],[MPAL]:[CALDERA]])</f>
        <v>1.08</v>
      </c>
      <c r="P39" s="319"/>
      <c r="Q39" s="281">
        <f>(Q38-V062A_2030[[#This Row],[TOTAL ]])+V062A_2030[[#This Row],[FAENA]]</f>
        <v>870.07823809523813</v>
      </c>
      <c r="R39" s="245">
        <v>0</v>
      </c>
      <c r="S39" s="246">
        <v>0</v>
      </c>
      <c r="T39" s="246">
        <v>0</v>
      </c>
      <c r="U39" s="246">
        <v>0</v>
      </c>
      <c r="V39" s="246">
        <v>2.5</v>
      </c>
      <c r="W39" s="257">
        <f>SUM(V062A_2030[[#This Row],[MPAL2]:[GI]])</f>
        <v>2.5</v>
      </c>
      <c r="X39" s="246"/>
      <c r="Y39" s="282">
        <f>(Y38-V062A_2030[[#This Row],[TOTAL]])+V062A_2030[[#This Row],[FAENA2]]</f>
        <v>58.180000000000021</v>
      </c>
      <c r="Z39" s="245">
        <v>0</v>
      </c>
      <c r="AA39" s="246">
        <v>0</v>
      </c>
      <c r="AB39" s="320">
        <f>(AB38-V062A_2030[[#This Row],[CYLINDER MP]])+V062A_2030[[#This Row],[FAENA EN LTS]]</f>
        <v>4713</v>
      </c>
      <c r="AC39" s="246">
        <v>0</v>
      </c>
      <c r="AD39" s="246">
        <v>0</v>
      </c>
      <c r="AE39" s="320">
        <f>(AE38-V062A_2030[[#This Row],[CARTER MP.]])+V062A_2030[[#This Row],[FAENA EN LTS2]]</f>
        <v>3350</v>
      </c>
      <c r="AF39" s="246">
        <v>20</v>
      </c>
      <c r="AG39" s="246">
        <v>0</v>
      </c>
      <c r="AH39" s="320">
        <f>(AH38-V062A_2030[[#This Row],[MOT AUX]])+V062A_2030[[#This Row],[FAENA EN  LTS]]</f>
        <v>2650</v>
      </c>
      <c r="AI39" s="246">
        <v>0</v>
      </c>
      <c r="AJ39" s="246">
        <v>0</v>
      </c>
      <c r="AK39" s="321">
        <f>(AK38-V062A_2030[[#This Row],[HIDRAULICO]])+V062A_2030[[#This Row],[FAENA EN LTS3]]</f>
        <v>2350</v>
      </c>
    </row>
    <row r="40" spans="1:37" x14ac:dyDescent="0.25">
      <c r="A40" s="431" t="s">
        <v>269</v>
      </c>
      <c r="B40" s="48">
        <v>44075</v>
      </c>
      <c r="C40" s="362">
        <v>0.25</v>
      </c>
      <c r="D40" s="418">
        <f>IF(V062A_2030[[#This Row],[FECHA]]-B39=1,((V062A_2030[[#This Row],[HORA]]-C39)*24)+24,(V062A_2030[[#This Row],[HORA]]-C39)*24)</f>
        <v>2</v>
      </c>
      <c r="E40" s="409" t="s">
        <v>47</v>
      </c>
      <c r="F40" s="29" t="s">
        <v>220</v>
      </c>
      <c r="G40" s="324"/>
      <c r="H40" s="306"/>
      <c r="I40" s="259">
        <f>IF(ISERROR(V062A_2030[[#This Row],[DISTANCIA POR CARTA]]/V062A_2030[[#This Row],[TIEMPO DE NAVEGACION]]),0,V062A_2030[[#This Row],[DISTANCIA POR CARTA]]/V062A_2030[[#This Row],[TIEMPO DE NAVEGACION]])</f>
        <v>0</v>
      </c>
      <c r="J40" s="242"/>
      <c r="K40" s="325"/>
      <c r="L40" s="245">
        <v>0.83</v>
      </c>
      <c r="M40" s="245">
        <v>0.1</v>
      </c>
      <c r="N40" s="245">
        <v>0.08</v>
      </c>
      <c r="O40" s="257">
        <f>SUM(V062A_2030[[#This Row],[MPAL]:[CALDERA]])</f>
        <v>1.01</v>
      </c>
      <c r="P40" s="319"/>
      <c r="Q40" s="281">
        <f>(Q39-V062A_2030[[#This Row],[TOTAL ]])+V062A_2030[[#This Row],[FAENA]]</f>
        <v>869.06823809523814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SUM(V062A_2030[[#This Row],[MPAL2]:[GI]])</f>
        <v>0</v>
      </c>
      <c r="X40" s="246"/>
      <c r="Y40" s="282">
        <f>(Y39-V062A_2030[[#This Row],[TOTAL]])+V062A_2030[[#This Row],[FAENA2]]</f>
        <v>58.180000000000021</v>
      </c>
      <c r="Z40" s="245">
        <v>20</v>
      </c>
      <c r="AA40" s="246">
        <v>0</v>
      </c>
      <c r="AB40" s="320">
        <f>(AB39-V062A_2030[[#This Row],[CYLINDER MP]])+V062A_2030[[#This Row],[FAENA EN LTS]]</f>
        <v>4693</v>
      </c>
      <c r="AC40" s="246">
        <v>0</v>
      </c>
      <c r="AD40" s="246">
        <v>0</v>
      </c>
      <c r="AE40" s="320">
        <f>(AE39-V062A_2030[[#This Row],[CARTER MP.]])+V062A_2030[[#This Row],[FAENA EN LTS2]]</f>
        <v>3350</v>
      </c>
      <c r="AF40" s="246">
        <v>20</v>
      </c>
      <c r="AG40" s="246">
        <v>0</v>
      </c>
      <c r="AH40" s="320">
        <f>(AH39-V062A_2030[[#This Row],[MOT AUX]])+V062A_2030[[#This Row],[FAENA EN  LTS]]</f>
        <v>2630</v>
      </c>
      <c r="AI40" s="246">
        <v>0</v>
      </c>
      <c r="AJ40" s="246">
        <v>0</v>
      </c>
      <c r="AK40" s="321">
        <f>(AK39-V062A_2030[[#This Row],[HIDRAULICO]])+V062A_2030[[#This Row],[FAENA EN LTS3]]</f>
        <v>2350</v>
      </c>
    </row>
    <row r="41" spans="1:37" x14ac:dyDescent="0.25">
      <c r="A41" s="431" t="s">
        <v>269</v>
      </c>
      <c r="B41" s="48">
        <v>44075</v>
      </c>
      <c r="C41" s="351">
        <v>0.33333333333333331</v>
      </c>
      <c r="D41" s="418">
        <f>IF(V062A_2030[[#This Row],[FECHA]]-B40=1,((V062A_2030[[#This Row],[HORA]]-C40)*24)+24,(V062A_2030[[#This Row],[HORA]]-C40)*24)</f>
        <v>1.9999999999999996</v>
      </c>
      <c r="E41" s="239" t="s">
        <v>55</v>
      </c>
      <c r="F41" s="29" t="s">
        <v>56</v>
      </c>
      <c r="G41" s="324">
        <v>27.4</v>
      </c>
      <c r="H41" s="306">
        <v>2</v>
      </c>
      <c r="I41" s="259">
        <f>IF(ISERROR(V062A_2030[[#This Row],[DISTANCIA POR CARTA]]/V062A_2030[[#This Row],[TIEMPO DE NAVEGACION]]),0,V062A_2030[[#This Row],[DISTANCIA POR CARTA]]/V062A_2030[[#This Row],[TIEMPO DE NAVEGACION]])</f>
        <v>13.7</v>
      </c>
      <c r="J41" s="242">
        <v>2</v>
      </c>
      <c r="K41" s="325">
        <v>97</v>
      </c>
      <c r="L41" s="245">
        <v>1.92</v>
      </c>
      <c r="M41" s="245">
        <v>0.1</v>
      </c>
      <c r="N41" s="245">
        <v>0.08</v>
      </c>
      <c r="O41" s="257">
        <f>SUM(V062A_2030[[#This Row],[MPAL]:[CALDERA]])</f>
        <v>2.1</v>
      </c>
      <c r="P41" s="319"/>
      <c r="Q41" s="281">
        <f>(Q40-V062A_2030[[#This Row],[TOTAL ]])+V062A_2030[[#This Row],[FAENA]]</f>
        <v>866.96823809523812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SUM(V062A_2030[[#This Row],[MPAL2]:[GI]])</f>
        <v>0</v>
      </c>
      <c r="X41" s="246"/>
      <c r="Y41" s="282">
        <f>(Y40-V062A_2030[[#This Row],[TOTAL]])+V062A_2030[[#This Row],[FAENA2]]</f>
        <v>58.180000000000021</v>
      </c>
      <c r="Z41" s="245">
        <v>30</v>
      </c>
      <c r="AA41" s="246">
        <v>0</v>
      </c>
      <c r="AB41" s="320">
        <f>(AB40-V062A_2030[[#This Row],[CYLINDER MP]])+V062A_2030[[#This Row],[FAENA EN LTS]]</f>
        <v>4663</v>
      </c>
      <c r="AC41" s="246">
        <v>0</v>
      </c>
      <c r="AD41" s="246">
        <v>0</v>
      </c>
      <c r="AE41" s="320">
        <f>(AE40-V062A_2030[[#This Row],[CARTER MP.]])+V062A_2030[[#This Row],[FAENA EN LTS2]]</f>
        <v>3350</v>
      </c>
      <c r="AF41" s="246">
        <v>0</v>
      </c>
      <c r="AG41" s="246">
        <v>0</v>
      </c>
      <c r="AH41" s="320">
        <f>(AH40-V062A_2030[[#This Row],[MOT AUX]])+V062A_2030[[#This Row],[FAENA EN  LTS]]</f>
        <v>2630</v>
      </c>
      <c r="AI41" s="246">
        <v>0</v>
      </c>
      <c r="AJ41" s="246">
        <v>0</v>
      </c>
      <c r="AK41" s="321">
        <f>(AK40-V062A_2030[[#This Row],[HIDRAULICO]])+V062A_2030[[#This Row],[FAENA EN LTS3]]</f>
        <v>2350</v>
      </c>
    </row>
    <row r="42" spans="1:37" x14ac:dyDescent="0.25">
      <c r="A42" s="431" t="s">
        <v>269</v>
      </c>
      <c r="B42" s="48">
        <v>44076</v>
      </c>
      <c r="C42" s="362">
        <v>0.33333333333333331</v>
      </c>
      <c r="D42" s="418">
        <f>IF(V062A_2030[[#This Row],[FECHA]]-B41=1,((V062A_2030[[#This Row],[HORA]]-C41)*24)+24,(V062A_2030[[#This Row],[HORA]]-C41)*24)</f>
        <v>24</v>
      </c>
      <c r="E42" s="239" t="s">
        <v>55</v>
      </c>
      <c r="F42" s="29" t="s">
        <v>56</v>
      </c>
      <c r="G42" s="324">
        <v>323</v>
      </c>
      <c r="H42" s="306">
        <v>24</v>
      </c>
      <c r="I42" s="259">
        <f>IF(ISERROR(V062A_2030[[#This Row],[DISTANCIA POR CARTA]]/V062A_2030[[#This Row],[TIEMPO DE NAVEGACION]]),0,V062A_2030[[#This Row],[DISTANCIA POR CARTA]]/V062A_2030[[#This Row],[TIEMPO DE NAVEGACION]])</f>
        <v>13.458333333333334</v>
      </c>
      <c r="J42" s="242">
        <v>2</v>
      </c>
      <c r="K42" s="325">
        <v>97</v>
      </c>
      <c r="L42" s="245">
        <v>22</v>
      </c>
      <c r="M42" s="245">
        <v>1.2</v>
      </c>
      <c r="N42" s="245">
        <v>2</v>
      </c>
      <c r="O42" s="257">
        <f>SUM(V062A_2030[[#This Row],[MPAL]:[CALDERA]])</f>
        <v>25.2</v>
      </c>
      <c r="P42" s="319"/>
      <c r="Q42" s="281">
        <f>(Q41-V062A_2030[[#This Row],[TOTAL ]])+V062A_2030[[#This Row],[FAENA]]</f>
        <v>841.76823809523808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SUM(V062A_2030[[#This Row],[MPAL2]:[GI]])</f>
        <v>0</v>
      </c>
      <c r="X42" s="246"/>
      <c r="Y42" s="282">
        <f>(Y41-V062A_2030[[#This Row],[TOTAL]])+V062A_2030[[#This Row],[FAENA2]]</f>
        <v>58.180000000000021</v>
      </c>
      <c r="Z42" s="245">
        <v>300</v>
      </c>
      <c r="AA42" s="246">
        <v>0</v>
      </c>
      <c r="AB42" s="320">
        <f>(AB41-V062A_2030[[#This Row],[CYLINDER MP]])+V062A_2030[[#This Row],[FAENA EN LTS]]</f>
        <v>4363</v>
      </c>
      <c r="AC42" s="246">
        <v>0</v>
      </c>
      <c r="AD42" s="246">
        <v>0</v>
      </c>
      <c r="AE42" s="320">
        <f>(AE41-V062A_2030[[#This Row],[CARTER MP.]])+V062A_2030[[#This Row],[FAENA EN LTS2]]</f>
        <v>3350</v>
      </c>
      <c r="AF42" s="246">
        <v>20</v>
      </c>
      <c r="AG42" s="246">
        <v>0</v>
      </c>
      <c r="AH42" s="320">
        <f>(AH41-V062A_2030[[#This Row],[MOT AUX]])+V062A_2030[[#This Row],[FAENA EN  LTS]]</f>
        <v>2610</v>
      </c>
      <c r="AI42" s="246">
        <v>0</v>
      </c>
      <c r="AJ42" s="246">
        <v>0</v>
      </c>
      <c r="AK42" s="321">
        <f>(AK41-V062A_2030[[#This Row],[HIDRAULICO]])+V062A_2030[[#This Row],[FAENA EN LTS3]]</f>
        <v>2350</v>
      </c>
    </row>
    <row r="43" spans="1:37" x14ac:dyDescent="0.25">
      <c r="A43" s="431" t="s">
        <v>269</v>
      </c>
      <c r="B43" s="48">
        <v>44076</v>
      </c>
      <c r="C43" s="41">
        <v>0.41666666666666669</v>
      </c>
      <c r="D43" s="418">
        <f>IF(V062A_2030[[#This Row],[FECHA]]-B42=1,((V062A_2030[[#This Row],[HORA]]-C42)*24)+24,(V062A_2030[[#This Row],[HORA]]-C42)*24)</f>
        <v>2.0000000000000009</v>
      </c>
      <c r="E43" s="239" t="s">
        <v>55</v>
      </c>
      <c r="F43" s="29" t="s">
        <v>57</v>
      </c>
      <c r="G43" s="324">
        <v>24.6</v>
      </c>
      <c r="H43" s="306">
        <v>2</v>
      </c>
      <c r="I43" s="259">
        <f>IF(ISERROR(V062A_2030[[#This Row],[DISTANCIA POR CARTA]]/V062A_2030[[#This Row],[TIEMPO DE NAVEGACION]]),0,V062A_2030[[#This Row],[DISTANCIA POR CARTA]]/V062A_2030[[#This Row],[TIEMPO DE NAVEGACION]])</f>
        <v>12.3</v>
      </c>
      <c r="J43" s="242">
        <v>3</v>
      </c>
      <c r="K43" s="325">
        <v>97</v>
      </c>
      <c r="L43" s="245">
        <v>1.83</v>
      </c>
      <c r="M43" s="245">
        <v>0.1</v>
      </c>
      <c r="N43" s="245">
        <v>0.17</v>
      </c>
      <c r="O43" s="257">
        <f>SUM(V062A_2030[[#This Row],[MPAL]:[CALDERA]])</f>
        <v>2.1</v>
      </c>
      <c r="P43" s="319"/>
      <c r="Q43" s="281">
        <f>(Q42-V062A_2030[[#This Row],[TOTAL ]])+V062A_2030[[#This Row],[FAENA]]</f>
        <v>839.66823809523805</v>
      </c>
      <c r="R43" s="245">
        <v>0</v>
      </c>
      <c r="S43" s="246">
        <v>0.1</v>
      </c>
      <c r="T43" s="246">
        <v>0</v>
      </c>
      <c r="U43" s="246">
        <v>0</v>
      </c>
      <c r="V43" s="246">
        <v>0</v>
      </c>
      <c r="W43" s="257">
        <f>SUM(V062A_2030[[#This Row],[MPAL2]:[GI]])</f>
        <v>0.1</v>
      </c>
      <c r="X43" s="246"/>
      <c r="Y43" s="282">
        <f>(Y42-V062A_2030[[#This Row],[TOTAL]])+V062A_2030[[#This Row],[FAENA2]]</f>
        <v>58.08000000000002</v>
      </c>
      <c r="Z43" s="245">
        <v>30</v>
      </c>
      <c r="AA43" s="246">
        <v>0</v>
      </c>
      <c r="AB43" s="320">
        <f>(AB42-V062A_2030[[#This Row],[CYLINDER MP]])+V062A_2030[[#This Row],[FAENA EN LTS]]</f>
        <v>4333</v>
      </c>
      <c r="AC43" s="246">
        <v>0</v>
      </c>
      <c r="AD43" s="246">
        <v>0</v>
      </c>
      <c r="AE43" s="320">
        <f>(AE42-V062A_2030[[#This Row],[CARTER MP.]])+V062A_2030[[#This Row],[FAENA EN LTS2]]</f>
        <v>3350</v>
      </c>
      <c r="AF43" s="246">
        <v>0</v>
      </c>
      <c r="AG43" s="246">
        <v>0</v>
      </c>
      <c r="AH43" s="320">
        <f>(AH42-V062A_2030[[#This Row],[MOT AUX]])+V062A_2030[[#This Row],[FAENA EN  LTS]]</f>
        <v>2610</v>
      </c>
      <c r="AI43" s="246">
        <v>0</v>
      </c>
      <c r="AJ43" s="246">
        <v>0</v>
      </c>
      <c r="AK43" s="321">
        <f>(AK42-V062A_2030[[#This Row],[HIDRAULICO]])+V062A_2030[[#This Row],[FAENA EN LTS3]]</f>
        <v>2350</v>
      </c>
    </row>
    <row r="44" spans="1:37" x14ac:dyDescent="0.25">
      <c r="A44" s="431" t="s">
        <v>269</v>
      </c>
      <c r="B44" s="48">
        <v>44076</v>
      </c>
      <c r="C44" s="41">
        <v>0.47500000000000003</v>
      </c>
      <c r="D44" s="418">
        <f>IF(V062A_2030[[#This Row],[FECHA]]-B43=1,((V062A_2030[[#This Row],[HORA]]-C43)*24)+24,(V062A_2030[[#This Row],[HORA]]-C43)*24)</f>
        <v>1.4000000000000004</v>
      </c>
      <c r="E44" s="239" t="s">
        <v>47</v>
      </c>
      <c r="F44" s="29" t="s">
        <v>270</v>
      </c>
      <c r="G44" s="324"/>
      <c r="H44" s="306"/>
      <c r="I44" s="259">
        <f>IF(ISERROR(V062A_2030[[#This Row],[DISTANCIA POR CARTA]]/V062A_2030[[#This Row],[TIEMPO DE NAVEGACION]]),0,V062A_2030[[#This Row],[DISTANCIA POR CARTA]]/V062A_2030[[#This Row],[TIEMPO DE NAVEGACION]])</f>
        <v>0</v>
      </c>
      <c r="J44" s="380"/>
      <c r="K44" s="325"/>
      <c r="L44" s="245">
        <v>0.57999999999999996</v>
      </c>
      <c r="M44" s="245">
        <v>7.0000000000000007E-2</v>
      </c>
      <c r="N44" s="245">
        <v>7.0000000000000007E-2</v>
      </c>
      <c r="O44" s="257">
        <f>SUM(V062A_2030[[#This Row],[MPAL]:[CALDERA]])</f>
        <v>0.72</v>
      </c>
      <c r="P44" s="319"/>
      <c r="Q44" s="281">
        <f>(Q43-V062A_2030[[#This Row],[TOTAL ]])+V062A_2030[[#This Row],[FAENA]]</f>
        <v>838.94823809523803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SUM(V062A_2030[[#This Row],[MPAL2]:[GI]])</f>
        <v>0</v>
      </c>
      <c r="X44" s="246"/>
      <c r="Y44" s="282">
        <f>(Y43-V062A_2030[[#This Row],[TOTAL]])+V062A_2030[[#This Row],[FAENA2]]</f>
        <v>58.08000000000002</v>
      </c>
      <c r="Z44" s="245">
        <v>30</v>
      </c>
      <c r="AA44" s="246">
        <v>0</v>
      </c>
      <c r="AB44" s="320">
        <f>(AB43-V062A_2030[[#This Row],[CYLINDER MP]])+V062A_2030[[#This Row],[FAENA EN LTS]]</f>
        <v>4303</v>
      </c>
      <c r="AC44" s="246">
        <v>50</v>
      </c>
      <c r="AD44" s="246">
        <v>0</v>
      </c>
      <c r="AE44" s="320">
        <f>(AE43-V062A_2030[[#This Row],[CARTER MP.]])+V062A_2030[[#This Row],[FAENA EN LTS2]]</f>
        <v>3300</v>
      </c>
      <c r="AF44" s="246">
        <v>0</v>
      </c>
      <c r="AG44" s="246">
        <v>0</v>
      </c>
      <c r="AH44" s="320">
        <f>(AH43-V062A_2030[[#This Row],[MOT AUX]])+V062A_2030[[#This Row],[FAENA EN  LTS]]</f>
        <v>2610</v>
      </c>
      <c r="AI44" s="246">
        <v>0</v>
      </c>
      <c r="AJ44" s="246">
        <v>0</v>
      </c>
      <c r="AK44" s="321">
        <f>(AK43-V062A_2030[[#This Row],[HIDRAULICO]])+V062A_2030[[#This Row],[FAENA EN LTS3]]</f>
        <v>2350</v>
      </c>
    </row>
    <row r="45" spans="1:37" x14ac:dyDescent="0.25">
      <c r="A45" s="431" t="s">
        <v>269</v>
      </c>
      <c r="B45" s="48">
        <v>44077</v>
      </c>
      <c r="C45" s="41">
        <v>0.33333333333333331</v>
      </c>
      <c r="D45" s="418">
        <f>IF(V062A_2030[[#This Row],[FECHA]]-B44=1,((V062A_2030[[#This Row],[HORA]]-C44)*24)+24,(V062A_2030[[#This Row],[HORA]]-C44)*24)</f>
        <v>20.599999999999998</v>
      </c>
      <c r="E45" s="409" t="s">
        <v>45</v>
      </c>
      <c r="F45" s="29" t="s">
        <v>45</v>
      </c>
      <c r="G45" s="324"/>
      <c r="H45" s="306"/>
      <c r="I45" s="259">
        <f>IF(ISERROR(V062A_2030[[#This Row],[DISTANCIA POR CARTA]]/V062A_2030[[#This Row],[TIEMPO DE NAVEGACION]]),0,V062A_2030[[#This Row],[DISTANCIA POR CARTA]]/V062A_2030[[#This Row],[TIEMPO DE NAVEGACION]])</f>
        <v>0</v>
      </c>
      <c r="J45" s="380"/>
      <c r="K45" s="325"/>
      <c r="L45" s="245">
        <v>0</v>
      </c>
      <c r="M45" s="245">
        <v>1.03</v>
      </c>
      <c r="N45" s="245">
        <v>0.86</v>
      </c>
      <c r="O45" s="257">
        <f>SUM(V062A_2030[[#This Row],[MPAL]:[CALDERA]])</f>
        <v>1.8900000000000001</v>
      </c>
      <c r="P45" s="319"/>
      <c r="Q45" s="281">
        <f>(Q44-V062A_2030[[#This Row],[TOTAL ]])+V062A_2030[[#This Row],[FAENA]]</f>
        <v>837.05823809523804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SUM(V062A_2030[[#This Row],[MPAL2]:[GI]])</f>
        <v>0</v>
      </c>
      <c r="X45" s="246"/>
      <c r="Y45" s="282">
        <f>(Y44-V062A_2030[[#This Row],[TOTAL]])+V062A_2030[[#This Row],[FAENA2]]</f>
        <v>58.08000000000002</v>
      </c>
      <c r="Z45" s="245">
        <v>0</v>
      </c>
      <c r="AA45" s="246">
        <v>0</v>
      </c>
      <c r="AB45" s="320">
        <f>(AB44-V062A_2030[[#This Row],[CYLINDER MP]])+V062A_2030[[#This Row],[FAENA EN LTS]]</f>
        <v>4303</v>
      </c>
      <c r="AC45" s="246">
        <v>0</v>
      </c>
      <c r="AD45" s="246">
        <v>0</v>
      </c>
      <c r="AE45" s="320">
        <f>(AE44-V062A_2030[[#This Row],[CARTER MP.]])+V062A_2030[[#This Row],[FAENA EN LTS2]]</f>
        <v>3300</v>
      </c>
      <c r="AF45" s="246">
        <v>20</v>
      </c>
      <c r="AG45" s="246">
        <v>0</v>
      </c>
      <c r="AH45" s="320">
        <f>(AH44-V062A_2030[[#This Row],[MOT AUX]])+V062A_2030[[#This Row],[FAENA EN  LTS]]</f>
        <v>2590</v>
      </c>
      <c r="AI45" s="246">
        <v>0</v>
      </c>
      <c r="AJ45" s="246">
        <v>0</v>
      </c>
      <c r="AK45" s="321">
        <f>(AK44-V062A_2030[[#This Row],[HIDRAULICO]])+V062A_2030[[#This Row],[FAENA EN LTS3]]</f>
        <v>2350</v>
      </c>
    </row>
    <row r="46" spans="1:37" x14ac:dyDescent="0.25">
      <c r="A46" s="431" t="s">
        <v>269</v>
      </c>
      <c r="B46" s="48">
        <v>44078</v>
      </c>
      <c r="C46" s="41">
        <v>0.33333333333333331</v>
      </c>
      <c r="D46" s="418">
        <f>IF(V062A_2030[[#This Row],[FECHA]]-B45=1,((V062A_2030[[#This Row],[HORA]]-C45)*24)+24,(V062A_2030[[#This Row],[HORA]]-C45)*24)</f>
        <v>24</v>
      </c>
      <c r="E46" s="239" t="s">
        <v>45</v>
      </c>
      <c r="F46" s="29" t="s">
        <v>45</v>
      </c>
      <c r="G46" s="324"/>
      <c r="H46" s="306"/>
      <c r="I46" s="259">
        <f>IF(ISERROR(V062A_2030[[#This Row],[DISTANCIA POR CARTA]]/V062A_2030[[#This Row],[TIEMPO DE NAVEGACION]]),0,V062A_2030[[#This Row],[DISTANCIA POR CARTA]]/V062A_2030[[#This Row],[TIEMPO DE NAVEGACION]])</f>
        <v>0</v>
      </c>
      <c r="J46" s="380"/>
      <c r="K46" s="325"/>
      <c r="L46" s="245">
        <v>0</v>
      </c>
      <c r="M46" s="245">
        <v>1.2</v>
      </c>
      <c r="N46" s="245">
        <v>1.2</v>
      </c>
      <c r="O46" s="257">
        <f>SUM(V062A_2030[[#This Row],[MPAL]:[CALDERA]])</f>
        <v>2.4</v>
      </c>
      <c r="P46" s="319"/>
      <c r="Q46" s="281">
        <f>(Q45-V062A_2030[[#This Row],[TOTAL ]])+V062A_2030[[#This Row],[FAENA]]</f>
        <v>834.65823809523806</v>
      </c>
      <c r="R46" s="245">
        <v>0</v>
      </c>
      <c r="S46" s="246">
        <v>0.1</v>
      </c>
      <c r="T46" s="246">
        <v>0</v>
      </c>
      <c r="U46" s="246">
        <v>0</v>
      </c>
      <c r="V46" s="246">
        <v>0</v>
      </c>
      <c r="W46" s="257">
        <f>SUM(V062A_2030[[#This Row],[MPAL2]:[GI]])</f>
        <v>0.1</v>
      </c>
      <c r="X46" s="246"/>
      <c r="Y46" s="282">
        <f>(Y45-V062A_2030[[#This Row],[TOTAL]])+V062A_2030[[#This Row],[FAENA2]]</f>
        <v>57.980000000000018</v>
      </c>
      <c r="Z46" s="245">
        <v>0</v>
      </c>
      <c r="AA46" s="246">
        <v>0</v>
      </c>
      <c r="AB46" s="320">
        <f>(AB45-V062A_2030[[#This Row],[CYLINDER MP]])+V062A_2030[[#This Row],[FAENA EN LTS]]</f>
        <v>4303</v>
      </c>
      <c r="AC46" s="246">
        <v>0</v>
      </c>
      <c r="AD46" s="246">
        <v>0</v>
      </c>
      <c r="AE46" s="320">
        <f>(AE45-V062A_2030[[#This Row],[CARTER MP.]])+V062A_2030[[#This Row],[FAENA EN LTS2]]</f>
        <v>3300</v>
      </c>
      <c r="AF46" s="246">
        <v>20</v>
      </c>
      <c r="AG46" s="246">
        <v>0</v>
      </c>
      <c r="AH46" s="320">
        <f>(AH45-V062A_2030[[#This Row],[MOT AUX]])+V062A_2030[[#This Row],[FAENA EN  LTS]]</f>
        <v>2570</v>
      </c>
      <c r="AI46" s="246">
        <v>0</v>
      </c>
      <c r="AJ46" s="246">
        <v>0</v>
      </c>
      <c r="AK46" s="321">
        <f>(AK45-V062A_2030[[#This Row],[HIDRAULICO]])+V062A_2030[[#This Row],[FAENA EN LTS3]]</f>
        <v>2350</v>
      </c>
    </row>
    <row r="47" spans="1:37" x14ac:dyDescent="0.25">
      <c r="A47" s="431" t="s">
        <v>269</v>
      </c>
      <c r="B47" s="48">
        <v>44079</v>
      </c>
      <c r="C47" s="41">
        <v>0.33333333333333331</v>
      </c>
      <c r="D47" s="418">
        <f>IF(V062A_2030[[#This Row],[FECHA]]-B46=1,((V062A_2030[[#This Row],[HORA]]-C46)*24)+24,(V062A_2030[[#This Row],[HORA]]-C46)*24)</f>
        <v>24</v>
      </c>
      <c r="E47" s="409" t="s">
        <v>45</v>
      </c>
      <c r="F47" s="29" t="s">
        <v>45</v>
      </c>
      <c r="G47" s="324"/>
      <c r="H47" s="306"/>
      <c r="I47" s="259">
        <f>IF(ISERROR(V062A_2030[[#This Row],[DISTANCIA POR CARTA]]/V062A_2030[[#This Row],[TIEMPO DE NAVEGACION]]),0,V062A_2030[[#This Row],[DISTANCIA POR CARTA]]/V062A_2030[[#This Row],[TIEMPO DE NAVEGACION]])</f>
        <v>0</v>
      </c>
      <c r="J47" s="380"/>
      <c r="K47" s="325"/>
      <c r="L47" s="245">
        <v>0</v>
      </c>
      <c r="M47" s="245">
        <v>1.2</v>
      </c>
      <c r="N47" s="245">
        <v>1.2</v>
      </c>
      <c r="O47" s="257">
        <f>SUM(V062A_2030[[#This Row],[MPAL]:[CALDERA]])</f>
        <v>2.4</v>
      </c>
      <c r="P47" s="319"/>
      <c r="Q47" s="281">
        <f>(Q46-V062A_2030[[#This Row],[TOTAL ]])+V062A_2030[[#This Row],[FAENA]]</f>
        <v>832.25823809523808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SUM(V062A_2030[[#This Row],[MPAL2]:[GI]])</f>
        <v>0</v>
      </c>
      <c r="X47" s="246"/>
      <c r="Y47" s="282">
        <f>(Y46-V062A_2030[[#This Row],[TOTAL]])+V062A_2030[[#This Row],[FAENA2]]</f>
        <v>57.980000000000018</v>
      </c>
      <c r="Z47" s="245">
        <v>0</v>
      </c>
      <c r="AA47" s="246">
        <v>0</v>
      </c>
      <c r="AB47" s="320">
        <f>(AB46-V062A_2030[[#This Row],[CYLINDER MP]])+V062A_2030[[#This Row],[FAENA EN LTS]]</f>
        <v>4303</v>
      </c>
      <c r="AC47" s="246">
        <v>0</v>
      </c>
      <c r="AD47" s="246">
        <v>0</v>
      </c>
      <c r="AE47" s="320">
        <f>(AE46-V062A_2030[[#This Row],[CARTER MP.]])+V062A_2030[[#This Row],[FAENA EN LTS2]]</f>
        <v>3300</v>
      </c>
      <c r="AF47" s="246">
        <v>20</v>
      </c>
      <c r="AG47" s="246">
        <v>0</v>
      </c>
      <c r="AH47" s="320">
        <f>(AH46-V062A_2030[[#This Row],[MOT AUX]])+V062A_2030[[#This Row],[FAENA EN  LTS]]</f>
        <v>2550</v>
      </c>
      <c r="AI47" s="246">
        <v>0</v>
      </c>
      <c r="AJ47" s="246">
        <v>0</v>
      </c>
      <c r="AK47" s="321">
        <f>(AK46-V062A_2030[[#This Row],[HIDRAULICO]])+V062A_2030[[#This Row],[FAENA EN LTS3]]</f>
        <v>2350</v>
      </c>
    </row>
    <row r="48" spans="1:37" x14ac:dyDescent="0.25">
      <c r="A48" s="431" t="s">
        <v>269</v>
      </c>
      <c r="B48" s="48">
        <v>44079</v>
      </c>
      <c r="C48" s="41">
        <v>0.96250000000000002</v>
      </c>
      <c r="D48" s="418">
        <f>IF(V062A_2030[[#This Row],[FECHA]]-B47=1,((V062A_2030[[#This Row],[HORA]]-C47)*24)+24,(V062A_2030[[#This Row],[HORA]]-C47)*24)</f>
        <v>15.1</v>
      </c>
      <c r="E48" s="409" t="s">
        <v>45</v>
      </c>
      <c r="F48" s="29" t="s">
        <v>46</v>
      </c>
      <c r="G48" s="324"/>
      <c r="H48" s="306"/>
      <c r="I48" s="259">
        <f>IF(ISERROR(V062A_2030[[#This Row],[DISTANCIA POR CARTA]]/V062A_2030[[#This Row],[TIEMPO DE NAVEGACION]]),0,V062A_2030[[#This Row],[DISTANCIA POR CARTA]]/V062A_2030[[#This Row],[TIEMPO DE NAVEGACION]])</f>
        <v>0</v>
      </c>
      <c r="J48" s="380"/>
      <c r="K48" s="325"/>
      <c r="L48" s="245">
        <v>0</v>
      </c>
      <c r="M48" s="245">
        <v>0.76</v>
      </c>
      <c r="N48" s="245">
        <v>0.63</v>
      </c>
      <c r="O48" s="257">
        <f>SUM(V062A_2030[[#This Row],[MPAL]:[CALDERA]])</f>
        <v>1.3900000000000001</v>
      </c>
      <c r="P48" s="319"/>
      <c r="Q48" s="281">
        <f>(Q47-V062A_2030[[#This Row],[TOTAL ]])+V062A_2030[[#This Row],[FAENA]]</f>
        <v>830.8682380952381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SUM(V062A_2030[[#This Row],[MPAL2]:[GI]])</f>
        <v>0</v>
      </c>
      <c r="X48" s="246"/>
      <c r="Y48" s="282">
        <f>(Y47-V062A_2030[[#This Row],[TOTAL]])+V062A_2030[[#This Row],[FAENA2]]</f>
        <v>57.980000000000018</v>
      </c>
      <c r="Z48" s="245">
        <v>0</v>
      </c>
      <c r="AA48" s="246">
        <v>0</v>
      </c>
      <c r="AB48" s="320">
        <f>(AB47-V062A_2030[[#This Row],[CYLINDER MP]])+V062A_2030[[#This Row],[FAENA EN LTS]]</f>
        <v>4303</v>
      </c>
      <c r="AC48" s="246">
        <v>0</v>
      </c>
      <c r="AD48" s="246">
        <v>0</v>
      </c>
      <c r="AE48" s="320">
        <f>(AE47-V062A_2030[[#This Row],[CARTER MP.]])+V062A_2030[[#This Row],[FAENA EN LTS2]]</f>
        <v>3300</v>
      </c>
      <c r="AF48" s="246">
        <v>20</v>
      </c>
      <c r="AG48" s="246">
        <v>0</v>
      </c>
      <c r="AH48" s="320">
        <f>(AH47-V062A_2030[[#This Row],[MOT AUX]])+V062A_2030[[#This Row],[FAENA EN  LTS]]</f>
        <v>2530</v>
      </c>
      <c r="AI48" s="246">
        <v>0</v>
      </c>
      <c r="AJ48" s="246">
        <v>0</v>
      </c>
      <c r="AK48" s="321">
        <f>(AK47-V062A_2030[[#This Row],[HIDRAULICO]])+V062A_2030[[#This Row],[FAENA EN LTS3]]</f>
        <v>2350</v>
      </c>
    </row>
    <row r="49" spans="1:37" x14ac:dyDescent="0.25">
      <c r="A49" s="431" t="s">
        <v>269</v>
      </c>
      <c r="B49" s="48">
        <v>44080</v>
      </c>
      <c r="C49" s="41">
        <v>2.9166666666666664E-2</v>
      </c>
      <c r="D49" s="418">
        <f>IF(V062A_2030[[#This Row],[FECHA]]-B48=1,((V062A_2030[[#This Row],[HORA]]-C48)*24)+24,(V062A_2030[[#This Row],[HORA]]-C48)*24)</f>
        <v>1.6000000000000014</v>
      </c>
      <c r="E49" s="409" t="s">
        <v>47</v>
      </c>
      <c r="F49" s="29" t="s">
        <v>126</v>
      </c>
      <c r="G49" s="324"/>
      <c r="H49" s="306"/>
      <c r="I49" s="259">
        <f>IF(ISERROR(V062A_2030[[#This Row],[DISTANCIA POR CARTA]]/V062A_2030[[#This Row],[TIEMPO DE NAVEGACION]]),0,V062A_2030[[#This Row],[DISTANCIA POR CARTA]]/V062A_2030[[#This Row],[TIEMPO DE NAVEGACION]])</f>
        <v>0</v>
      </c>
      <c r="J49" s="380"/>
      <c r="K49" s="325"/>
      <c r="L49" s="245">
        <v>0.67</v>
      </c>
      <c r="M49" s="245">
        <v>0.08</v>
      </c>
      <c r="N49" s="245">
        <v>7.0000000000000007E-2</v>
      </c>
      <c r="O49" s="257">
        <f>SUM(V062A_2030[[#This Row],[MPAL]:[CALDERA]])</f>
        <v>0.82000000000000006</v>
      </c>
      <c r="P49" s="319"/>
      <c r="Q49" s="281">
        <f>(Q48-V062A_2030[[#This Row],[TOTAL ]])+V062A_2030[[#This Row],[FAENA]]</f>
        <v>830.04823809523805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SUM(V062A_2030[[#This Row],[MPAL2]:[GI]])</f>
        <v>0</v>
      </c>
      <c r="X49" s="246"/>
      <c r="Y49" s="282">
        <f>(Y48-V062A_2030[[#This Row],[TOTAL]])+V062A_2030[[#This Row],[FAENA2]]</f>
        <v>57.980000000000018</v>
      </c>
      <c r="Z49" s="245">
        <v>40</v>
      </c>
      <c r="AA49" s="246">
        <v>0</v>
      </c>
      <c r="AB49" s="320">
        <f>(AB48-V062A_2030[[#This Row],[CYLINDER MP]])+V062A_2030[[#This Row],[FAENA EN LTS]]</f>
        <v>4263</v>
      </c>
      <c r="AC49" s="246">
        <v>0</v>
      </c>
      <c r="AD49" s="246">
        <v>0</v>
      </c>
      <c r="AE49" s="320">
        <f>(AE48-V062A_2030[[#This Row],[CARTER MP.]])+V062A_2030[[#This Row],[FAENA EN LTS2]]</f>
        <v>3300</v>
      </c>
      <c r="AF49" s="246">
        <v>0</v>
      </c>
      <c r="AG49" s="246">
        <v>0</v>
      </c>
      <c r="AH49" s="320">
        <f>(AH48-V062A_2030[[#This Row],[MOT AUX]])+V062A_2030[[#This Row],[FAENA EN  LTS]]</f>
        <v>2530</v>
      </c>
      <c r="AI49" s="246">
        <v>0</v>
      </c>
      <c r="AJ49" s="246">
        <v>0</v>
      </c>
      <c r="AK49" s="321">
        <f>(AK48-V062A_2030[[#This Row],[HIDRAULICO]])+V062A_2030[[#This Row],[FAENA EN LTS3]]</f>
        <v>2350</v>
      </c>
    </row>
    <row r="50" spans="1:37" x14ac:dyDescent="0.25">
      <c r="A50" s="431" t="s">
        <v>269</v>
      </c>
      <c r="B50" s="48">
        <v>44080</v>
      </c>
      <c r="C50" s="362">
        <v>8.3333333333333329E-2</v>
      </c>
      <c r="D50" s="418">
        <f>IF(V062A_2030[[#This Row],[FECHA]]-B49=1,((V062A_2030[[#This Row],[HORA]]-C49)*24)+24,(V062A_2030[[#This Row],[HORA]]-C49)*24)</f>
        <v>1.3</v>
      </c>
      <c r="E50" s="239" t="s">
        <v>49</v>
      </c>
      <c r="F50" s="29" t="s">
        <v>50</v>
      </c>
      <c r="G50" s="324"/>
      <c r="H50" s="306"/>
      <c r="I50" s="259">
        <f>IF(ISERROR(V062A_2030[[#This Row],[DISTANCIA POR CARTA]]/V062A_2030[[#This Row],[TIEMPO DE NAVEGACION]]),0,V062A_2030[[#This Row],[DISTANCIA POR CARTA]]/V062A_2030[[#This Row],[TIEMPO DE NAVEGACION]])</f>
        <v>0</v>
      </c>
      <c r="J50" s="242"/>
      <c r="K50" s="325"/>
      <c r="L50" s="245">
        <v>0</v>
      </c>
      <c r="M50" s="245">
        <v>0.11</v>
      </c>
      <c r="N50" s="245">
        <v>7.0000000000000007E-2</v>
      </c>
      <c r="O50" s="257">
        <f>SUM(V062A_2030[[#This Row],[MPAL]:[CALDERA]])</f>
        <v>0.18</v>
      </c>
      <c r="P50" s="319"/>
      <c r="Q50" s="281">
        <f>(Q49-V062A_2030[[#This Row],[TOTAL ]])+V062A_2030[[#This Row],[FAENA]]</f>
        <v>829.8682380952381</v>
      </c>
      <c r="R50" s="245">
        <v>0</v>
      </c>
      <c r="S50" s="246">
        <v>0.1</v>
      </c>
      <c r="T50" s="246">
        <v>0</v>
      </c>
      <c r="U50" s="246">
        <v>0</v>
      </c>
      <c r="V50" s="246">
        <v>0</v>
      </c>
      <c r="W50" s="257">
        <f>SUM(V062A_2030[[#This Row],[MPAL2]:[GI]])</f>
        <v>0.1</v>
      </c>
      <c r="X50" s="246"/>
      <c r="Y50" s="282">
        <f>(Y49-V062A_2030[[#This Row],[TOTAL]])+V062A_2030[[#This Row],[FAENA2]]</f>
        <v>57.880000000000017</v>
      </c>
      <c r="Z50" s="245">
        <v>0</v>
      </c>
      <c r="AA50" s="246">
        <v>0</v>
      </c>
      <c r="AB50" s="320">
        <f>(AB49-V062A_2030[[#This Row],[CYLINDER MP]])+V062A_2030[[#This Row],[FAENA EN LTS]]</f>
        <v>4263</v>
      </c>
      <c r="AC50" s="246">
        <v>0</v>
      </c>
      <c r="AD50" s="246">
        <v>0</v>
      </c>
      <c r="AE50" s="320">
        <f>(AE49-V062A_2030[[#This Row],[CARTER MP.]])+V062A_2030[[#This Row],[FAENA EN LTS2]]</f>
        <v>3300</v>
      </c>
      <c r="AF50" s="246">
        <v>40</v>
      </c>
      <c r="AG50" s="246">
        <v>0</v>
      </c>
      <c r="AH50" s="320">
        <f>(AH49-V062A_2030[[#This Row],[MOT AUX]])+V062A_2030[[#This Row],[FAENA EN  LTS]]</f>
        <v>2490</v>
      </c>
      <c r="AI50" s="246">
        <v>0</v>
      </c>
      <c r="AJ50" s="246">
        <v>0</v>
      </c>
      <c r="AK50" s="321">
        <f>(AK49-V062A_2030[[#This Row],[HIDRAULICO]])+V062A_2030[[#This Row],[FAENA EN LTS3]]</f>
        <v>2350</v>
      </c>
    </row>
    <row r="51" spans="1:37" x14ac:dyDescent="0.25">
      <c r="A51" s="431" t="s">
        <v>269</v>
      </c>
      <c r="B51" s="48">
        <v>44080</v>
      </c>
      <c r="C51" s="351">
        <v>0.33333333333333331</v>
      </c>
      <c r="D51" s="418">
        <f>IF(V062A_2030[[#This Row],[FECHA]]-B50=1,((V062A_2030[[#This Row],[HORA]]-C50)*24)+24,(V062A_2030[[#This Row],[HORA]]-C50)*24)</f>
        <v>6</v>
      </c>
      <c r="E51" s="239" t="s">
        <v>51</v>
      </c>
      <c r="F51" s="29" t="s">
        <v>51</v>
      </c>
      <c r="G51" s="324"/>
      <c r="H51" s="306"/>
      <c r="I51" s="259">
        <f>IF(ISERROR(V062A_2030[[#This Row],[DISTANCIA POR CARTA]]/V062A_2030[[#This Row],[TIEMPO DE NAVEGACION]]),0,V062A_2030[[#This Row],[DISTANCIA POR CARTA]]/V062A_2030[[#This Row],[TIEMPO DE NAVEGACION]])</f>
        <v>0</v>
      </c>
      <c r="J51" s="242"/>
      <c r="K51" s="325"/>
      <c r="L51" s="245">
        <v>0</v>
      </c>
      <c r="M51" s="245">
        <v>0.55000000000000004</v>
      </c>
      <c r="N51" s="245">
        <v>0.3</v>
      </c>
      <c r="O51" s="257">
        <f>SUM(V062A_2030[[#This Row],[MPAL]:[CALDERA]])</f>
        <v>0.85000000000000009</v>
      </c>
      <c r="P51" s="319"/>
      <c r="Q51" s="281">
        <f>(Q50-V062A_2030[[#This Row],[TOTAL ]])+V062A_2030[[#This Row],[FAENA]]</f>
        <v>829.01823809523808</v>
      </c>
      <c r="R51" s="245">
        <v>0</v>
      </c>
      <c r="S51" s="246">
        <v>0</v>
      </c>
      <c r="T51" s="246">
        <v>0</v>
      </c>
      <c r="U51" s="246">
        <v>0</v>
      </c>
      <c r="V51" s="246">
        <v>1.6</v>
      </c>
      <c r="W51" s="257">
        <f>SUM(V062A_2030[[#This Row],[MPAL2]:[GI]])</f>
        <v>1.6</v>
      </c>
      <c r="X51" s="246"/>
      <c r="Y51" s="282">
        <f>(Y50-V062A_2030[[#This Row],[TOTAL]])+V062A_2030[[#This Row],[FAENA2]]</f>
        <v>56.280000000000015</v>
      </c>
      <c r="Z51" s="245">
        <v>0</v>
      </c>
      <c r="AA51" s="246">
        <v>0</v>
      </c>
      <c r="AB51" s="320">
        <f>(AB50-V062A_2030[[#This Row],[CYLINDER MP]])+V062A_2030[[#This Row],[FAENA EN LTS]]</f>
        <v>4263</v>
      </c>
      <c r="AC51" s="246">
        <v>0</v>
      </c>
      <c r="AD51" s="246">
        <v>0</v>
      </c>
      <c r="AE51" s="320">
        <f>(AE50-V062A_2030[[#This Row],[CARTER MP.]])+V062A_2030[[#This Row],[FAENA EN LTS2]]</f>
        <v>3300</v>
      </c>
      <c r="AF51" s="246">
        <v>0</v>
      </c>
      <c r="AG51" s="246">
        <v>0</v>
      </c>
      <c r="AH51" s="320">
        <f>(AH50-V062A_2030[[#This Row],[MOT AUX]])+V062A_2030[[#This Row],[FAENA EN  LTS]]</f>
        <v>2490</v>
      </c>
      <c r="AI51" s="246">
        <v>0</v>
      </c>
      <c r="AJ51" s="246">
        <v>0</v>
      </c>
      <c r="AK51" s="321">
        <f>(AK50-V062A_2030[[#This Row],[HIDRAULICO]])+V062A_2030[[#This Row],[FAENA EN LTS3]]</f>
        <v>2350</v>
      </c>
    </row>
    <row r="52" spans="1:37" x14ac:dyDescent="0.25">
      <c r="A52" s="431" t="s">
        <v>269</v>
      </c>
      <c r="B52" s="48">
        <v>44080</v>
      </c>
      <c r="C52" s="362">
        <v>0.3972222222222222</v>
      </c>
      <c r="D52" s="418">
        <f>IF(V062A_2030[[#This Row],[FECHA]]-B51=1,((V062A_2030[[#This Row],[HORA]]-C51)*24)+24,(V062A_2030[[#This Row],[HORA]]-C51)*24)</f>
        <v>1.5333333333333332</v>
      </c>
      <c r="E52" s="409" t="s">
        <v>51</v>
      </c>
      <c r="F52" s="29" t="s">
        <v>52</v>
      </c>
      <c r="G52" s="324"/>
      <c r="H52" s="306"/>
      <c r="I52" s="259">
        <f>IF(ISERROR(V062A_2030[[#This Row],[DISTANCIA POR CARTA]]/V062A_2030[[#This Row],[TIEMPO DE NAVEGACION]]),0,V062A_2030[[#This Row],[DISTANCIA POR CARTA]]/V062A_2030[[#This Row],[TIEMPO DE NAVEGACION]])</f>
        <v>0</v>
      </c>
      <c r="J52" s="242"/>
      <c r="K52" s="325"/>
      <c r="L52" s="245">
        <v>0</v>
      </c>
      <c r="M52" s="245">
        <v>0.14000000000000001</v>
      </c>
      <c r="N52" s="245">
        <v>7.0000000000000007E-2</v>
      </c>
      <c r="O52" s="257">
        <f>SUM(V062A_2030[[#This Row],[MPAL]:[CALDERA]])</f>
        <v>0.21000000000000002</v>
      </c>
      <c r="P52" s="319"/>
      <c r="Q52" s="281">
        <f>(Q51-V062A_2030[[#This Row],[TOTAL ]])+V062A_2030[[#This Row],[FAENA]]</f>
        <v>828.80823809523804</v>
      </c>
      <c r="R52" s="245">
        <v>0</v>
      </c>
      <c r="S52" s="246">
        <v>0</v>
      </c>
      <c r="T52" s="246">
        <v>0</v>
      </c>
      <c r="U52" s="246">
        <v>0</v>
      </c>
      <c r="V52" s="246">
        <v>0.4</v>
      </c>
      <c r="W52" s="257">
        <f>SUM(V062A_2030[[#This Row],[MPAL2]:[GI]])</f>
        <v>0.4</v>
      </c>
      <c r="X52" s="246"/>
      <c r="Y52" s="282">
        <f>(Y51-V062A_2030[[#This Row],[TOTAL]])+V062A_2030[[#This Row],[FAENA2]]</f>
        <v>55.880000000000017</v>
      </c>
      <c r="Z52" s="245">
        <v>0</v>
      </c>
      <c r="AA52" s="246">
        <v>0</v>
      </c>
      <c r="AB52" s="320">
        <f>(AB51-V062A_2030[[#This Row],[CYLINDER MP]])+V062A_2030[[#This Row],[FAENA EN LTS]]</f>
        <v>4263</v>
      </c>
      <c r="AC52" s="246">
        <v>0</v>
      </c>
      <c r="AD52" s="246">
        <v>0</v>
      </c>
      <c r="AE52" s="320">
        <f>(AE51-V062A_2030[[#This Row],[CARTER MP.]])+V062A_2030[[#This Row],[FAENA EN LTS2]]</f>
        <v>3300</v>
      </c>
      <c r="AF52" s="246">
        <v>0</v>
      </c>
      <c r="AG52" s="246">
        <v>0</v>
      </c>
      <c r="AH52" s="320">
        <f>(AH51-V062A_2030[[#This Row],[MOT AUX]])+V062A_2030[[#This Row],[FAENA EN  LTS]]</f>
        <v>2490</v>
      </c>
      <c r="AI52" s="246">
        <v>0</v>
      </c>
      <c r="AJ52" s="246">
        <v>0</v>
      </c>
      <c r="AK52" s="321">
        <f>(AK51-V062A_2030[[#This Row],[HIDRAULICO]])+V062A_2030[[#This Row],[FAENA EN LTS3]]</f>
        <v>2350</v>
      </c>
    </row>
    <row r="53" spans="1:37" x14ac:dyDescent="0.25">
      <c r="A53" s="431" t="s">
        <v>269</v>
      </c>
      <c r="B53" s="48">
        <v>44080</v>
      </c>
      <c r="C53" s="351">
        <v>0.52916666666666667</v>
      </c>
      <c r="D53" s="418">
        <f>IF(V062A_2030[[#This Row],[FECHA]]-B52=1,((V062A_2030[[#This Row],[HORA]]-C52)*24)+24,(V062A_2030[[#This Row],[HORA]]-C52)*24)</f>
        <v>3.1666666666666674</v>
      </c>
      <c r="E53" s="409" t="s">
        <v>49</v>
      </c>
      <c r="F53" s="29" t="s">
        <v>46</v>
      </c>
      <c r="G53" s="324"/>
      <c r="H53" s="306"/>
      <c r="I53" s="259">
        <f>IF(ISERROR(V062A_2030[[#This Row],[DISTANCIA POR CARTA]]/V062A_2030[[#This Row],[TIEMPO DE NAVEGACION]]),0,V062A_2030[[#This Row],[DISTANCIA POR CARTA]]/V062A_2030[[#This Row],[TIEMPO DE NAVEGACION]])</f>
        <v>0</v>
      </c>
      <c r="J53" s="242"/>
      <c r="K53" s="325"/>
      <c r="L53" s="245">
        <v>0</v>
      </c>
      <c r="M53" s="245">
        <v>0.28999999999999998</v>
      </c>
      <c r="N53" s="245">
        <v>0.16</v>
      </c>
      <c r="O53" s="257">
        <f>SUM(V062A_2030[[#This Row],[MPAL]:[CALDERA]])</f>
        <v>0.44999999999999996</v>
      </c>
      <c r="P53" s="319"/>
      <c r="Q53" s="281">
        <f>(Q52-V062A_2030[[#This Row],[TOTAL ]])+V062A_2030[[#This Row],[FAENA]]</f>
        <v>828.35823809523799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SUM(V062A_2030[[#This Row],[MPAL2]:[GI]])</f>
        <v>0</v>
      </c>
      <c r="X53" s="246"/>
      <c r="Y53" s="282">
        <f>(Y52-V062A_2030[[#This Row],[TOTAL]])+V062A_2030[[#This Row],[FAENA2]]</f>
        <v>55.880000000000017</v>
      </c>
      <c r="Z53" s="245">
        <v>0</v>
      </c>
      <c r="AA53" s="246">
        <v>0</v>
      </c>
      <c r="AB53" s="320">
        <f>(AB52-V062A_2030[[#This Row],[CYLINDER MP]])+V062A_2030[[#This Row],[FAENA EN LTS]]</f>
        <v>4263</v>
      </c>
      <c r="AC53" s="246">
        <v>0</v>
      </c>
      <c r="AD53" s="246">
        <v>0</v>
      </c>
      <c r="AE53" s="320">
        <f>(AE52-V062A_2030[[#This Row],[CARTER MP.]])+V062A_2030[[#This Row],[FAENA EN LTS2]]</f>
        <v>3300</v>
      </c>
      <c r="AF53" s="246">
        <v>0</v>
      </c>
      <c r="AG53" s="246">
        <v>0</v>
      </c>
      <c r="AH53" s="320">
        <f>(AH52-V062A_2030[[#This Row],[MOT AUX]])+V062A_2030[[#This Row],[FAENA EN  LTS]]</f>
        <v>2490</v>
      </c>
      <c r="AI53" s="246">
        <v>0</v>
      </c>
      <c r="AJ53" s="246">
        <v>0</v>
      </c>
      <c r="AK53" s="321">
        <f>(AK52-V062A_2030[[#This Row],[HIDRAULICO]])+V062A_2030[[#This Row],[FAENA EN LTS3]]</f>
        <v>2350</v>
      </c>
    </row>
    <row r="54" spans="1:37" x14ac:dyDescent="0.25">
      <c r="A54" s="431" t="s">
        <v>269</v>
      </c>
      <c r="B54" s="48">
        <v>44080</v>
      </c>
      <c r="C54" s="41">
        <v>0.5625</v>
      </c>
      <c r="D54" s="418">
        <f>IF(V062A_2030[[#This Row],[FECHA]]-B53=1,((V062A_2030[[#This Row],[HORA]]-C53)*24)+24,(V062A_2030[[#This Row],[HORA]]-C53)*24)</f>
        <v>0.79999999999999982</v>
      </c>
      <c r="E54" s="409" t="s">
        <v>47</v>
      </c>
      <c r="F54" s="29" t="s">
        <v>273</v>
      </c>
      <c r="G54" s="324"/>
      <c r="H54" s="306"/>
      <c r="I54" s="259">
        <f>IF(ISERROR(V062A_2030[[#This Row],[DISTANCIA POR CARTA]]/V062A_2030[[#This Row],[TIEMPO DE NAVEGACION]]),0,V062A_2030[[#This Row],[DISTANCIA POR CARTA]]/V062A_2030[[#This Row],[TIEMPO DE NAVEGACION]])</f>
        <v>0</v>
      </c>
      <c r="J54" s="242"/>
      <c r="K54" s="325"/>
      <c r="L54" s="245">
        <v>0.33</v>
      </c>
      <c r="M54" s="245">
        <v>7.0000000000000007E-2</v>
      </c>
      <c r="N54" s="245">
        <v>0.04</v>
      </c>
      <c r="O54" s="257">
        <f>SUM(V062A_2030[[#This Row],[MPAL]:[CALDERA]])</f>
        <v>0.44</v>
      </c>
      <c r="P54" s="319"/>
      <c r="Q54" s="281">
        <f>(Q53-V062A_2030[[#This Row],[TOTAL ]])+V062A_2030[[#This Row],[FAENA]]</f>
        <v>827.91823809523794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SUM(V062A_2030[[#This Row],[MPAL2]:[GI]])</f>
        <v>0</v>
      </c>
      <c r="X54" s="246"/>
      <c r="Y54" s="282">
        <f>(Y53-V062A_2030[[#This Row],[TOTAL]])+V062A_2030[[#This Row],[FAENA2]]</f>
        <v>55.880000000000017</v>
      </c>
      <c r="Z54" s="245">
        <v>20</v>
      </c>
      <c r="AA54" s="246">
        <v>0</v>
      </c>
      <c r="AB54" s="320">
        <f>(AB53-V062A_2030[[#This Row],[CYLINDER MP]])+V062A_2030[[#This Row],[FAENA EN LTS]]</f>
        <v>4243</v>
      </c>
      <c r="AC54" s="246">
        <v>0</v>
      </c>
      <c r="AD54" s="246">
        <v>0</v>
      </c>
      <c r="AE54" s="320">
        <f>(AE53-V062A_2030[[#This Row],[CARTER MP.]])+V062A_2030[[#This Row],[FAENA EN LTS2]]</f>
        <v>3300</v>
      </c>
      <c r="AF54" s="246">
        <v>0</v>
      </c>
      <c r="AG54" s="246">
        <v>0</v>
      </c>
      <c r="AH54" s="320">
        <f>(AH53-V062A_2030[[#This Row],[MOT AUX]])+V062A_2030[[#This Row],[FAENA EN  LTS]]</f>
        <v>2490</v>
      </c>
      <c r="AI54" s="246">
        <v>0</v>
      </c>
      <c r="AJ54" s="246">
        <v>0</v>
      </c>
      <c r="AK54" s="321">
        <f>(AK53-V062A_2030[[#This Row],[HIDRAULICO]])+V062A_2030[[#This Row],[FAENA EN LTS3]]</f>
        <v>2350</v>
      </c>
    </row>
    <row r="55" spans="1:37" x14ac:dyDescent="0.25">
      <c r="A55" s="431" t="s">
        <v>269</v>
      </c>
      <c r="B55" s="48">
        <v>44081</v>
      </c>
      <c r="C55" s="41">
        <v>0.33333333333333331</v>
      </c>
      <c r="D55" s="418">
        <f>IF(V062A_2030[[#This Row],[FECHA]]-B54=1,((V062A_2030[[#This Row],[HORA]]-C54)*24)+24,(V062A_2030[[#This Row],[HORA]]-C54)*24)</f>
        <v>18.5</v>
      </c>
      <c r="E55" s="409" t="s">
        <v>55</v>
      </c>
      <c r="F55" s="29" t="s">
        <v>56</v>
      </c>
      <c r="G55" s="324">
        <v>255.1</v>
      </c>
      <c r="H55" s="306">
        <v>18.5</v>
      </c>
      <c r="I55" s="259">
        <f>IF(ISERROR(V062A_2030[[#This Row],[DISTANCIA POR CARTA]]/V062A_2030[[#This Row],[TIEMPO DE NAVEGACION]]),0,V062A_2030[[#This Row],[DISTANCIA POR CARTA]]/V062A_2030[[#This Row],[TIEMPO DE NAVEGACION]])</f>
        <v>13.789189189189189</v>
      </c>
      <c r="J55" s="242">
        <v>3</v>
      </c>
      <c r="K55" s="325">
        <v>97</v>
      </c>
      <c r="L55" s="245">
        <v>16.96</v>
      </c>
      <c r="M55" s="245">
        <v>0.93</v>
      </c>
      <c r="N55" s="245">
        <v>0.93</v>
      </c>
      <c r="O55" s="257">
        <f>SUM(V062A_2030[[#This Row],[MPAL]:[CALDERA]])</f>
        <v>18.82</v>
      </c>
      <c r="P55" s="319"/>
      <c r="Q55" s="281">
        <f>(Q54-V062A_2030[[#This Row],[TOTAL ]])+V062A_2030[[#This Row],[FAENA]]</f>
        <v>809.09823809523789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SUM(V062A_2030[[#This Row],[MPAL2]:[GI]])</f>
        <v>0</v>
      </c>
      <c r="X55" s="246"/>
      <c r="Y55" s="282">
        <f>(Y54-V062A_2030[[#This Row],[TOTAL]])+V062A_2030[[#This Row],[FAENA2]]</f>
        <v>55.880000000000017</v>
      </c>
      <c r="Z55" s="245">
        <v>240</v>
      </c>
      <c r="AA55" s="246">
        <v>0</v>
      </c>
      <c r="AB55" s="320">
        <f>(AB54-V062A_2030[[#This Row],[CYLINDER MP]])+V062A_2030[[#This Row],[FAENA EN LTS]]</f>
        <v>4003</v>
      </c>
      <c r="AC55" s="246">
        <v>50</v>
      </c>
      <c r="AD55" s="246">
        <v>0</v>
      </c>
      <c r="AE55" s="320">
        <f>(AE54-V062A_2030[[#This Row],[CARTER MP.]])+V062A_2030[[#This Row],[FAENA EN LTS2]]</f>
        <v>3250</v>
      </c>
      <c r="AF55" s="246">
        <v>20</v>
      </c>
      <c r="AG55" s="246">
        <v>0</v>
      </c>
      <c r="AH55" s="320">
        <f>(AH54-V062A_2030[[#This Row],[MOT AUX]])+V062A_2030[[#This Row],[FAENA EN  LTS]]</f>
        <v>2470</v>
      </c>
      <c r="AI55" s="246">
        <v>0</v>
      </c>
      <c r="AJ55" s="246">
        <v>0</v>
      </c>
      <c r="AK55" s="321">
        <f>(AK54-V062A_2030[[#This Row],[HIDRAULICO]])+V062A_2030[[#This Row],[FAENA EN LTS3]]</f>
        <v>2350</v>
      </c>
    </row>
    <row r="56" spans="1:37" x14ac:dyDescent="0.25">
      <c r="A56" s="431" t="s">
        <v>269</v>
      </c>
      <c r="B56" s="48">
        <v>44081</v>
      </c>
      <c r="C56" s="41">
        <v>0.41666666666666669</v>
      </c>
      <c r="D56" s="418">
        <f>IF(V062A_2030[[#This Row],[FECHA]]-B55=1,((V062A_2030[[#This Row],[HORA]]-C55)*24)+24,(V062A_2030[[#This Row],[HORA]]-C55)*24)</f>
        <v>2.0000000000000009</v>
      </c>
      <c r="E56" s="409" t="s">
        <v>55</v>
      </c>
      <c r="F56" s="29" t="s">
        <v>160</v>
      </c>
      <c r="G56" s="324">
        <v>29.9</v>
      </c>
      <c r="H56" s="306">
        <v>2</v>
      </c>
      <c r="I56" s="259">
        <f>IF(ISERROR(V062A_2030[[#This Row],[DISTANCIA POR CARTA]]/V062A_2030[[#This Row],[TIEMPO DE NAVEGACION]]),0,V062A_2030[[#This Row],[DISTANCIA POR CARTA]]/V062A_2030[[#This Row],[TIEMPO DE NAVEGACION]])</f>
        <v>14.95</v>
      </c>
      <c r="J56" s="242">
        <v>1</v>
      </c>
      <c r="K56" s="325">
        <v>97</v>
      </c>
      <c r="L56" s="245">
        <v>1.83</v>
      </c>
      <c r="M56" s="245">
        <v>0.1</v>
      </c>
      <c r="N56" s="245">
        <v>0.08</v>
      </c>
      <c r="O56" s="257">
        <f>SUM(V062A_2030[[#This Row],[MPAL]:[CALDERA]])</f>
        <v>2.0100000000000002</v>
      </c>
      <c r="P56" s="319"/>
      <c r="Q56" s="281">
        <f>(Q55-V062A_2030[[#This Row],[TOTAL ]])+V062A_2030[[#This Row],[FAENA]]</f>
        <v>807.0882380952379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SUM(V062A_2030[[#This Row],[MPAL2]:[GI]])</f>
        <v>0</v>
      </c>
      <c r="X56" s="246"/>
      <c r="Y56" s="282">
        <f>(Y55-V062A_2030[[#This Row],[TOTAL]])+V062A_2030[[#This Row],[FAENA2]]</f>
        <v>55.880000000000017</v>
      </c>
      <c r="Z56" s="245">
        <v>40</v>
      </c>
      <c r="AA56" s="246">
        <v>0</v>
      </c>
      <c r="AB56" s="320">
        <f>(AB55-V062A_2030[[#This Row],[CYLINDER MP]])+V062A_2030[[#This Row],[FAENA EN LTS]]</f>
        <v>3963</v>
      </c>
      <c r="AC56" s="246">
        <v>0</v>
      </c>
      <c r="AD56" s="246">
        <v>0</v>
      </c>
      <c r="AE56" s="320">
        <f>(AE55-V062A_2030[[#This Row],[CARTER MP.]])+V062A_2030[[#This Row],[FAENA EN LTS2]]</f>
        <v>3250</v>
      </c>
      <c r="AF56" s="246">
        <v>0</v>
      </c>
      <c r="AG56" s="246">
        <v>0</v>
      </c>
      <c r="AH56" s="320">
        <f>(AH55-V062A_2030[[#This Row],[MOT AUX]])+V062A_2030[[#This Row],[FAENA EN  LTS]]</f>
        <v>2470</v>
      </c>
      <c r="AI56" s="246">
        <v>0</v>
      </c>
      <c r="AJ56" s="246">
        <v>0</v>
      </c>
      <c r="AK56" s="321">
        <f>(AK55-V062A_2030[[#This Row],[HIDRAULICO]])+V062A_2030[[#This Row],[FAENA EN LTS3]]</f>
        <v>2350</v>
      </c>
    </row>
    <row r="57" spans="1:37" x14ac:dyDescent="0.25">
      <c r="A57" s="431"/>
      <c r="B57" s="48"/>
      <c r="C57" s="41"/>
      <c r="D57" s="418">
        <v>0</v>
      </c>
      <c r="E57" s="409"/>
      <c r="F57" s="29"/>
      <c r="G57" s="324"/>
      <c r="H57" s="306"/>
      <c r="I57" s="259">
        <f>IF(ISERROR(V062A_2030[[#This Row],[DISTANCIA POR CARTA]]/V062A_2030[[#This Row],[TIEMPO DE NAVEGACION]]),0,V062A_2030[[#This Row],[DISTANCIA POR CARTA]]/V062A_2030[[#This Row],[TIEMPO DE NAVEGACION]])</f>
        <v>0</v>
      </c>
      <c r="J57" s="242"/>
      <c r="K57" s="325"/>
      <c r="L57" s="245"/>
      <c r="M57" s="245"/>
      <c r="N57" s="245"/>
      <c r="O57" s="257">
        <f>SUM(V062A_2030[[#This Row],[MPAL]:[CALDERA]])</f>
        <v>0</v>
      </c>
      <c r="P57" s="319"/>
      <c r="Q57" s="281">
        <f>(Q56-V062A_2030[[#This Row],[TOTAL ]])+V062A_2030[[#This Row],[FAENA]]</f>
        <v>807.0882380952379</v>
      </c>
      <c r="R57" s="245"/>
      <c r="S57" s="246"/>
      <c r="T57" s="246"/>
      <c r="U57" s="246"/>
      <c r="V57" s="246"/>
      <c r="W57" s="257">
        <f>SUM(V062A_2030[[#This Row],[MPAL2]:[GI]])</f>
        <v>0</v>
      </c>
      <c r="X57" s="246"/>
      <c r="Y57" s="282">
        <f>(Y56-V062A_2030[[#This Row],[TOTAL]])+V062A_2030[[#This Row],[FAENA2]]</f>
        <v>55.880000000000017</v>
      </c>
      <c r="Z57" s="245"/>
      <c r="AA57" s="246"/>
      <c r="AB57" s="320">
        <f>(AB56-V062A_2030[[#This Row],[CYLINDER MP]])+V062A_2030[[#This Row],[FAENA EN LTS]]</f>
        <v>3963</v>
      </c>
      <c r="AC57" s="246"/>
      <c r="AD57" s="246"/>
      <c r="AE57" s="320">
        <f>(AE56-V062A_2030[[#This Row],[CARTER MP.]])+V062A_2030[[#This Row],[FAENA EN LTS2]]</f>
        <v>3250</v>
      </c>
      <c r="AF57" s="246"/>
      <c r="AG57" s="246"/>
      <c r="AH57" s="320">
        <f>(AH56-V062A_2030[[#This Row],[MOT AUX]])+V062A_2030[[#This Row],[FAENA EN  LTS]]</f>
        <v>2470</v>
      </c>
      <c r="AI57" s="246"/>
      <c r="AJ57" s="246"/>
      <c r="AK57" s="321">
        <f>(AK56-V062A_2030[[#This Row],[HIDRAULICO]])+V062A_2030[[#This Row],[FAENA EN LTS3]]</f>
        <v>2350</v>
      </c>
    </row>
    <row r="58" spans="1:37" x14ac:dyDescent="0.25">
      <c r="A58" s="431"/>
      <c r="B58" s="48"/>
      <c r="C58" s="41"/>
      <c r="D58" s="418">
        <f>IF(V062A_2030[[#This Row],[FECHA]]-B57=1,((V062A_2030[[#This Row],[HORA]]-C57)*24)+24,(V062A_2030[[#This Row],[HORA]]-C57)*24)</f>
        <v>0</v>
      </c>
      <c r="E58" s="409"/>
      <c r="F58" s="29"/>
      <c r="G58" s="324"/>
      <c r="H58" s="306"/>
      <c r="I58" s="259">
        <f>IF(ISERROR(V062A_2030[[#This Row],[DISTANCIA POR CARTA]]/V062A_2030[[#This Row],[TIEMPO DE NAVEGACION]]),0,V062A_2030[[#This Row],[DISTANCIA POR CARTA]]/V062A_2030[[#This Row],[TIEMPO DE NAVEGACION]])</f>
        <v>0</v>
      </c>
      <c r="J58" s="242"/>
      <c r="K58" s="325"/>
      <c r="L58" s="245"/>
      <c r="M58" s="245"/>
      <c r="N58" s="245"/>
      <c r="O58" s="257">
        <f>SUM(V062A_2030[[#This Row],[MPAL]:[CALDERA]])</f>
        <v>0</v>
      </c>
      <c r="P58" s="319"/>
      <c r="Q58" s="281">
        <f>(Q57-V062A_2030[[#This Row],[TOTAL ]])+V062A_2030[[#This Row],[FAENA]]</f>
        <v>807.0882380952379</v>
      </c>
      <c r="R58" s="245"/>
      <c r="S58" s="246"/>
      <c r="T58" s="246"/>
      <c r="U58" s="246"/>
      <c r="V58" s="246"/>
      <c r="W58" s="257">
        <f>SUM(V062A_2030[[#This Row],[MPAL2]:[GI]])</f>
        <v>0</v>
      </c>
      <c r="X58" s="246"/>
      <c r="Y58" s="282">
        <f>(Y57-V062A_2030[[#This Row],[TOTAL]])+V062A_2030[[#This Row],[FAENA2]]</f>
        <v>55.880000000000017</v>
      </c>
      <c r="Z58" s="245"/>
      <c r="AA58" s="246"/>
      <c r="AB58" s="320">
        <f>(AB57-V062A_2030[[#This Row],[CYLINDER MP]])+V062A_2030[[#This Row],[FAENA EN LTS]]</f>
        <v>3963</v>
      </c>
      <c r="AC58" s="246"/>
      <c r="AD58" s="246"/>
      <c r="AE58" s="320">
        <f>(AE57-V062A_2030[[#This Row],[CARTER MP.]])+V062A_2030[[#This Row],[FAENA EN LTS2]]</f>
        <v>3250</v>
      </c>
      <c r="AF58" s="246"/>
      <c r="AG58" s="246"/>
      <c r="AH58" s="320">
        <f>(AH57-V062A_2030[[#This Row],[MOT AUX]])+V062A_2030[[#This Row],[FAENA EN  LTS]]</f>
        <v>2470</v>
      </c>
      <c r="AI58" s="246"/>
      <c r="AJ58" s="246"/>
      <c r="AK58" s="321">
        <f>(AK57-V062A_2030[[#This Row],[HIDRAULICO]])+V062A_2030[[#This Row],[FAENA EN LTS3]]</f>
        <v>2350</v>
      </c>
    </row>
    <row r="59" spans="1:37" x14ac:dyDescent="0.25">
      <c r="A59" s="431"/>
      <c r="B59" s="48"/>
      <c r="C59" s="41"/>
      <c r="D59" s="418">
        <f>IF(V062A_2030[[#This Row],[FECHA]]-B58=1,((V062A_2030[[#This Row],[HORA]]-C58)*24)+24,(V062A_2030[[#This Row],[HORA]]-C58)*24)</f>
        <v>0</v>
      </c>
      <c r="E59" s="409"/>
      <c r="F59" s="29"/>
      <c r="G59" s="324"/>
      <c r="H59" s="306"/>
      <c r="I59" s="259">
        <f>IF(ISERROR(V062A_2030[[#This Row],[DISTANCIA POR CARTA]]/V062A_2030[[#This Row],[TIEMPO DE NAVEGACION]]),0,V062A_2030[[#This Row],[DISTANCIA POR CARTA]]/V062A_2030[[#This Row],[TIEMPO DE NAVEGACION]])</f>
        <v>0</v>
      </c>
      <c r="J59" s="242"/>
      <c r="K59" s="325"/>
      <c r="L59" s="245"/>
      <c r="M59" s="245"/>
      <c r="N59" s="245"/>
      <c r="O59" s="257">
        <f>SUM(V062A_2030[[#This Row],[MPAL]:[CALDERA]])</f>
        <v>0</v>
      </c>
      <c r="P59" s="319"/>
      <c r="Q59" s="281">
        <f>(Q58-V062A_2030[[#This Row],[TOTAL ]])+V062A_2030[[#This Row],[FAENA]]</f>
        <v>807.0882380952379</v>
      </c>
      <c r="R59" s="245"/>
      <c r="S59" s="246"/>
      <c r="T59" s="246"/>
      <c r="U59" s="246"/>
      <c r="V59" s="246"/>
      <c r="W59" s="257">
        <f>SUM(V062A_2030[[#This Row],[MPAL2]:[GI]])</f>
        <v>0</v>
      </c>
      <c r="X59" s="246"/>
      <c r="Y59" s="282">
        <f>(Y58-V062A_2030[[#This Row],[TOTAL]])+V062A_2030[[#This Row],[FAENA2]]</f>
        <v>55.880000000000017</v>
      </c>
      <c r="Z59" s="245"/>
      <c r="AA59" s="246"/>
      <c r="AB59" s="320">
        <f>(AB58-V062A_2030[[#This Row],[CYLINDER MP]])+V062A_2030[[#This Row],[FAENA EN LTS]]</f>
        <v>3963</v>
      </c>
      <c r="AC59" s="246"/>
      <c r="AD59" s="246"/>
      <c r="AE59" s="320">
        <f>(AE58-V062A_2030[[#This Row],[CARTER MP.]])+V062A_2030[[#This Row],[FAENA EN LTS2]]</f>
        <v>3250</v>
      </c>
      <c r="AF59" s="246"/>
      <c r="AG59" s="246"/>
      <c r="AH59" s="320">
        <f>(AH58-V062A_2030[[#This Row],[MOT AUX]])+V062A_2030[[#This Row],[FAENA EN  LTS]]</f>
        <v>2470</v>
      </c>
      <c r="AI59" s="246"/>
      <c r="AJ59" s="246"/>
      <c r="AK59" s="321">
        <f>(AK58-V062A_2030[[#This Row],[HIDRAULICO]])+V062A_2030[[#This Row],[FAENA EN LTS3]]</f>
        <v>2350</v>
      </c>
    </row>
    <row r="60" spans="1:37" x14ac:dyDescent="0.25">
      <c r="A60" s="431"/>
      <c r="B60" s="48"/>
      <c r="C60" s="362"/>
      <c r="D60" s="418">
        <f>IF(V062A_2030[[#This Row],[FECHA]]-B59=1,((V062A_2030[[#This Row],[HORA]]-C59)*24)+24,(V062A_2030[[#This Row],[HORA]]-C59)*24)</f>
        <v>0</v>
      </c>
      <c r="E60" s="409"/>
      <c r="F60" s="29"/>
      <c r="G60" s="324"/>
      <c r="H60" s="306"/>
      <c r="I60" s="259">
        <f>IF(ISERROR(V062A_2030[[#This Row],[DISTANCIA POR CARTA]]/V062A_2030[[#This Row],[TIEMPO DE NAVEGACION]]),0,V062A_2030[[#This Row],[DISTANCIA POR CARTA]]/V062A_2030[[#This Row],[TIEMPO DE NAVEGACION]])</f>
        <v>0</v>
      </c>
      <c r="J60" s="242"/>
      <c r="K60" s="325"/>
      <c r="L60" s="245"/>
      <c r="M60" s="245"/>
      <c r="N60" s="245"/>
      <c r="O60" s="257">
        <f>SUM(V062A_2030[[#This Row],[MPAL]:[CALDERA]])</f>
        <v>0</v>
      </c>
      <c r="P60" s="319"/>
      <c r="Q60" s="281">
        <f>(Q59-V062A_2030[[#This Row],[TOTAL ]])+V062A_2030[[#This Row],[FAENA]]</f>
        <v>807.0882380952379</v>
      </c>
      <c r="R60" s="245"/>
      <c r="S60" s="246"/>
      <c r="T60" s="246"/>
      <c r="U60" s="246"/>
      <c r="V60" s="246"/>
      <c r="W60" s="257">
        <f>SUM(V062A_2030[[#This Row],[MPAL2]:[GI]])</f>
        <v>0</v>
      </c>
      <c r="X60" s="246"/>
      <c r="Y60" s="282">
        <f>(Y59-V062A_2030[[#This Row],[TOTAL]])+V062A_2030[[#This Row],[FAENA2]]</f>
        <v>55.880000000000017</v>
      </c>
      <c r="Z60" s="245"/>
      <c r="AA60" s="246"/>
      <c r="AB60" s="320">
        <f>(AB59-V062A_2030[[#This Row],[CYLINDER MP]])+V062A_2030[[#This Row],[FAENA EN LTS]]</f>
        <v>3963</v>
      </c>
      <c r="AC60" s="246"/>
      <c r="AD60" s="246"/>
      <c r="AE60" s="320">
        <f>(AE59-V062A_2030[[#This Row],[CARTER MP.]])+V062A_2030[[#This Row],[FAENA EN LTS2]]</f>
        <v>3250</v>
      </c>
      <c r="AF60" s="246"/>
      <c r="AG60" s="246"/>
      <c r="AH60" s="320">
        <f>(AH59-V062A_2030[[#This Row],[MOT AUX]])+V062A_2030[[#This Row],[FAENA EN  LTS]]</f>
        <v>2470</v>
      </c>
      <c r="AI60" s="246"/>
      <c r="AJ60" s="246"/>
      <c r="AK60" s="321">
        <f>(AK59-V062A_2030[[#This Row],[HIDRAULICO]])+V062A_2030[[#This Row],[FAENA EN LTS3]]</f>
        <v>2350</v>
      </c>
    </row>
    <row r="61" spans="1:37" x14ac:dyDescent="0.25">
      <c r="A61" s="431"/>
      <c r="B61" s="48"/>
      <c r="C61" s="351"/>
      <c r="D61" s="418">
        <f>IF(V062A_2030[[#This Row],[FECHA]]-B60=1,((V062A_2030[[#This Row],[HORA]]-C60)*24)+24,(V062A_2030[[#This Row],[HORA]]-C60)*24)</f>
        <v>0</v>
      </c>
      <c r="E61" s="409"/>
      <c r="F61" s="29"/>
      <c r="G61" s="324"/>
      <c r="H61" s="306"/>
      <c r="I61" s="259">
        <f>IF(ISERROR(V062A_2030[[#This Row],[DISTANCIA POR CARTA]]/V062A_2030[[#This Row],[TIEMPO DE NAVEGACION]]),0,V062A_2030[[#This Row],[DISTANCIA POR CARTA]]/V062A_2030[[#This Row],[TIEMPO DE NAVEGACION]])</f>
        <v>0</v>
      </c>
      <c r="J61" s="242"/>
      <c r="K61" s="325"/>
      <c r="L61" s="245"/>
      <c r="M61" s="245"/>
      <c r="N61" s="245"/>
      <c r="O61" s="257">
        <f>SUM(V062A_2030[[#This Row],[MPAL]:[CALDERA]])</f>
        <v>0</v>
      </c>
      <c r="P61" s="319"/>
      <c r="Q61" s="281">
        <f>(Q60-V062A_2030[[#This Row],[TOTAL ]])+V062A_2030[[#This Row],[FAENA]]</f>
        <v>807.0882380952379</v>
      </c>
      <c r="R61" s="245"/>
      <c r="S61" s="246"/>
      <c r="T61" s="246"/>
      <c r="U61" s="246"/>
      <c r="V61" s="246"/>
      <c r="W61" s="257">
        <f>SUM(V062A_2030[[#This Row],[MPAL2]:[GI]])</f>
        <v>0</v>
      </c>
      <c r="X61" s="246"/>
      <c r="Y61" s="282">
        <f>(Y60-V062A_2030[[#This Row],[TOTAL]])+V062A_2030[[#This Row],[FAENA2]]</f>
        <v>55.880000000000017</v>
      </c>
      <c r="Z61" s="245"/>
      <c r="AA61" s="246"/>
      <c r="AB61" s="320">
        <f>(AB60-V062A_2030[[#This Row],[CYLINDER MP]])+V062A_2030[[#This Row],[FAENA EN LTS]]</f>
        <v>3963</v>
      </c>
      <c r="AC61" s="246"/>
      <c r="AD61" s="246"/>
      <c r="AE61" s="320">
        <f>(AE60-V062A_2030[[#This Row],[CARTER MP.]])+V062A_2030[[#This Row],[FAENA EN LTS2]]</f>
        <v>3250</v>
      </c>
      <c r="AF61" s="246"/>
      <c r="AG61" s="246"/>
      <c r="AH61" s="320">
        <f>(AH60-V062A_2030[[#This Row],[MOT AUX]])+V062A_2030[[#This Row],[FAENA EN  LTS]]</f>
        <v>2470</v>
      </c>
      <c r="AI61" s="246"/>
      <c r="AJ61" s="246"/>
      <c r="AK61" s="321">
        <f>(AK60-V062A_2030[[#This Row],[HIDRAULICO]])+V062A_2030[[#This Row],[FAENA EN LTS3]]</f>
        <v>2350</v>
      </c>
    </row>
    <row r="62" spans="1:37" x14ac:dyDescent="0.25">
      <c r="A62" s="431"/>
      <c r="B62" s="48"/>
      <c r="C62" s="362"/>
      <c r="D62" s="418">
        <f>IF(V062A_2030[[#This Row],[FECHA]]-B61=1,((V062A_2030[[#This Row],[HORA]]-C61)*24)+24,(V062A_2030[[#This Row],[HORA]]-C61)*24)</f>
        <v>0</v>
      </c>
      <c r="E62" s="409"/>
      <c r="F62" s="29"/>
      <c r="G62" s="324"/>
      <c r="H62" s="306"/>
      <c r="I62" s="259">
        <f>IF(ISERROR(V062A_2030[[#This Row],[DISTANCIA POR CARTA]]/V062A_2030[[#This Row],[TIEMPO DE NAVEGACION]]),0,V062A_2030[[#This Row],[DISTANCIA POR CARTA]]/V062A_2030[[#This Row],[TIEMPO DE NAVEGACION]])</f>
        <v>0</v>
      </c>
      <c r="J62" s="242"/>
      <c r="K62" s="325"/>
      <c r="L62" s="245"/>
      <c r="M62" s="245"/>
      <c r="N62" s="245"/>
      <c r="O62" s="257">
        <f>SUM(V062A_2030[[#This Row],[MPAL]:[CALDERA]])</f>
        <v>0</v>
      </c>
      <c r="P62" s="319"/>
      <c r="Q62" s="281">
        <f>(Q61-V062A_2030[[#This Row],[TOTAL ]])+V062A_2030[[#This Row],[FAENA]]</f>
        <v>807.0882380952379</v>
      </c>
      <c r="R62" s="245"/>
      <c r="S62" s="246"/>
      <c r="T62" s="246"/>
      <c r="U62" s="246"/>
      <c r="V62" s="246"/>
      <c r="W62" s="257">
        <f>SUM(V062A_2030[[#This Row],[MPAL2]:[GI]])</f>
        <v>0</v>
      </c>
      <c r="X62" s="246"/>
      <c r="Y62" s="282">
        <f>(Y61-V062A_2030[[#This Row],[TOTAL]])+V062A_2030[[#This Row],[FAENA2]]</f>
        <v>55.880000000000017</v>
      </c>
      <c r="Z62" s="245"/>
      <c r="AA62" s="246"/>
      <c r="AB62" s="320">
        <f>(AB61-V062A_2030[[#This Row],[CYLINDER MP]])+V062A_2030[[#This Row],[FAENA EN LTS]]</f>
        <v>3963</v>
      </c>
      <c r="AC62" s="246"/>
      <c r="AD62" s="246"/>
      <c r="AE62" s="320">
        <f>(AE61-V062A_2030[[#This Row],[CARTER MP.]])+V062A_2030[[#This Row],[FAENA EN LTS2]]</f>
        <v>3250</v>
      </c>
      <c r="AF62" s="246"/>
      <c r="AG62" s="246"/>
      <c r="AH62" s="320">
        <f>(AH61-V062A_2030[[#This Row],[MOT AUX]])+V062A_2030[[#This Row],[FAENA EN  LTS]]</f>
        <v>2470</v>
      </c>
      <c r="AI62" s="246"/>
      <c r="AJ62" s="246"/>
      <c r="AK62" s="321">
        <f>(AK61-V062A_2030[[#This Row],[HIDRAULICO]])+V062A_2030[[#This Row],[FAENA EN LTS3]]</f>
        <v>2350</v>
      </c>
    </row>
    <row r="63" spans="1:37" x14ac:dyDescent="0.25">
      <c r="A63" s="431"/>
      <c r="B63" s="48"/>
      <c r="C63" s="41"/>
      <c r="D63" s="418">
        <f>IF(V062A_2030[[#This Row],[FECHA]]-B62=1,((V062A_2030[[#This Row],[HORA]]-C62)*24)+24,(V062A_2030[[#This Row],[HORA]]-C62)*24)</f>
        <v>0</v>
      </c>
      <c r="E63" s="239"/>
      <c r="F63" s="29"/>
      <c r="G63" s="324"/>
      <c r="H63" s="306"/>
      <c r="I63" s="259">
        <f>IF(ISERROR(V062A_2030[[#This Row],[DISTANCIA POR CARTA]]/V062A_2030[[#This Row],[TIEMPO DE NAVEGACION]]),0,V062A_2030[[#This Row],[DISTANCIA POR CARTA]]/V062A_2030[[#This Row],[TIEMPO DE NAVEGACION]])</f>
        <v>0</v>
      </c>
      <c r="J63" s="380"/>
      <c r="K63" s="325"/>
      <c r="L63" s="245"/>
      <c r="M63" s="245"/>
      <c r="N63" s="245"/>
      <c r="O63" s="257">
        <f>SUM(V062A_2030[[#This Row],[MPAL]:[CALDERA]])</f>
        <v>0</v>
      </c>
      <c r="P63" s="319"/>
      <c r="Q63" s="281">
        <f>(Q62-V062A_2030[[#This Row],[TOTAL ]])+V062A_2030[[#This Row],[FAENA]]</f>
        <v>807.0882380952379</v>
      </c>
      <c r="R63" s="245"/>
      <c r="S63" s="246"/>
      <c r="T63" s="246"/>
      <c r="U63" s="246"/>
      <c r="V63" s="246"/>
      <c r="W63" s="257">
        <f>SUM(V062A_2030[[#This Row],[MPAL2]:[GI]])</f>
        <v>0</v>
      </c>
      <c r="X63" s="246"/>
      <c r="Y63" s="282">
        <f>(Y62-V062A_2030[[#This Row],[TOTAL]])+V062A_2030[[#This Row],[FAENA2]]</f>
        <v>55.880000000000017</v>
      </c>
      <c r="Z63" s="245"/>
      <c r="AA63" s="246"/>
      <c r="AB63" s="320">
        <f>(AB62-V062A_2030[[#This Row],[CYLINDER MP]])+V062A_2030[[#This Row],[FAENA EN LTS]]</f>
        <v>3963</v>
      </c>
      <c r="AC63" s="246"/>
      <c r="AD63" s="246"/>
      <c r="AE63" s="320">
        <f>(AE62-V062A_2030[[#This Row],[CARTER MP.]])+V062A_2030[[#This Row],[FAENA EN LTS2]]</f>
        <v>3250</v>
      </c>
      <c r="AF63" s="246"/>
      <c r="AG63" s="246"/>
      <c r="AH63" s="320">
        <f>(AH62-V062A_2030[[#This Row],[MOT AUX]])+V062A_2030[[#This Row],[FAENA EN  LTS]]</f>
        <v>2470</v>
      </c>
      <c r="AI63" s="246"/>
      <c r="AJ63" s="246"/>
      <c r="AK63" s="321">
        <f>(AK62-V062A_2030[[#This Row],[HIDRAULICO]])+V062A_2030[[#This Row],[FAENA EN LTS3]]</f>
        <v>2350</v>
      </c>
    </row>
    <row r="64" spans="1:37" x14ac:dyDescent="0.25">
      <c r="A64" s="431"/>
      <c r="B64" s="48"/>
      <c r="C64" s="41"/>
      <c r="D64" s="418">
        <f>IF(V062A_2030[[#This Row],[FECHA]]-B63=1,((V062A_2030[[#This Row],[HORA]]-C63)*24)+24,(V062A_2030[[#This Row],[HORA]]-C63)*24)</f>
        <v>0</v>
      </c>
      <c r="E64" s="239"/>
      <c r="F64" s="29"/>
      <c r="G64" s="324"/>
      <c r="H64" s="306"/>
      <c r="I64" s="259">
        <f>IF(ISERROR(V062A_2030[[#This Row],[DISTANCIA POR CARTA]]/V062A_2030[[#This Row],[TIEMPO DE NAVEGACION]]),0,V062A_2030[[#This Row],[DISTANCIA POR CARTA]]/V062A_2030[[#This Row],[TIEMPO DE NAVEGACION]])</f>
        <v>0</v>
      </c>
      <c r="J64" s="242"/>
      <c r="K64" s="325"/>
      <c r="L64" s="245"/>
      <c r="M64" s="245"/>
      <c r="N64" s="245"/>
      <c r="O64" s="257">
        <f>SUM(V062A_2030[[#This Row],[MPAL]:[CALDERA]])</f>
        <v>0</v>
      </c>
      <c r="P64" s="319"/>
      <c r="Q64" s="281">
        <f>(Q63-V062A_2030[[#This Row],[TOTAL ]])+V062A_2030[[#This Row],[FAENA]]</f>
        <v>807.0882380952379</v>
      </c>
      <c r="R64" s="245"/>
      <c r="S64" s="246"/>
      <c r="T64" s="246"/>
      <c r="U64" s="246"/>
      <c r="V64" s="246"/>
      <c r="W64" s="257">
        <f>SUM(V062A_2030[[#This Row],[MPAL2]:[GI]])</f>
        <v>0</v>
      </c>
      <c r="X64" s="246"/>
      <c r="Y64" s="282">
        <f>(Y63-V062A_2030[[#This Row],[TOTAL]])+V062A_2030[[#This Row],[FAENA2]]</f>
        <v>55.880000000000017</v>
      </c>
      <c r="Z64" s="245"/>
      <c r="AA64" s="246"/>
      <c r="AB64" s="320">
        <f>(AB63-V062A_2030[[#This Row],[CYLINDER MP]])+V062A_2030[[#This Row],[FAENA EN LTS]]</f>
        <v>3963</v>
      </c>
      <c r="AC64" s="246"/>
      <c r="AD64" s="246"/>
      <c r="AE64" s="320">
        <f>(AE63-V062A_2030[[#This Row],[CARTER MP.]])+V062A_2030[[#This Row],[FAENA EN LTS2]]</f>
        <v>3250</v>
      </c>
      <c r="AF64" s="246"/>
      <c r="AG64" s="246"/>
      <c r="AH64" s="320">
        <f>(AH63-V062A_2030[[#This Row],[MOT AUX]])+V062A_2030[[#This Row],[FAENA EN  LTS]]</f>
        <v>2470</v>
      </c>
      <c r="AI64" s="246"/>
      <c r="AJ64" s="246"/>
      <c r="AK64" s="321">
        <f>(AK63-V062A_2030[[#This Row],[HIDRAULICO]])+V062A_2030[[#This Row],[FAENA EN LTS3]]</f>
        <v>2350</v>
      </c>
    </row>
    <row r="65" spans="1:37" x14ac:dyDescent="0.25">
      <c r="A65" s="431"/>
      <c r="B65" s="48"/>
      <c r="C65" s="351"/>
      <c r="D65" s="418">
        <f>IF(V062A_2030[[#This Row],[FECHA]]-B64=1,((V062A_2030[[#This Row],[HORA]]-C64)*24)+24,(V062A_2030[[#This Row],[HORA]]-C64)*24)</f>
        <v>0</v>
      </c>
      <c r="E65" s="239"/>
      <c r="F65" s="29"/>
      <c r="G65" s="324"/>
      <c r="H65" s="306"/>
      <c r="I65" s="259">
        <f>IF(ISERROR(V062A_2030[[#This Row],[DISTANCIA POR CARTA]]/V062A_2030[[#This Row],[TIEMPO DE NAVEGACION]]),0,V062A_2030[[#This Row],[DISTANCIA POR CARTA]]/V062A_2030[[#This Row],[TIEMPO DE NAVEGACION]])</f>
        <v>0</v>
      </c>
      <c r="J65" s="242"/>
      <c r="K65" s="325"/>
      <c r="L65" s="245"/>
      <c r="M65" s="245"/>
      <c r="N65" s="245"/>
      <c r="O65" s="257">
        <f>SUM(V062A_2030[[#This Row],[MPAL]:[CALDERA]])</f>
        <v>0</v>
      </c>
      <c r="P65" s="319"/>
      <c r="Q65" s="281">
        <f>(Q64-V062A_2030[[#This Row],[TOTAL ]])+V062A_2030[[#This Row],[FAENA]]</f>
        <v>807.0882380952379</v>
      </c>
      <c r="R65" s="245"/>
      <c r="S65" s="246"/>
      <c r="T65" s="246"/>
      <c r="U65" s="246"/>
      <c r="V65" s="246"/>
      <c r="W65" s="257">
        <f>SUM(V062A_2030[[#This Row],[MPAL2]:[GI]])</f>
        <v>0</v>
      </c>
      <c r="X65" s="246"/>
      <c r="Y65" s="282">
        <f>(Y64-V062A_2030[[#This Row],[TOTAL]])+V062A_2030[[#This Row],[FAENA2]]</f>
        <v>55.880000000000017</v>
      </c>
      <c r="Z65" s="245"/>
      <c r="AA65" s="246"/>
      <c r="AB65" s="320">
        <f>(AB64-V062A_2030[[#This Row],[CYLINDER MP]])+V062A_2030[[#This Row],[FAENA EN LTS]]</f>
        <v>3963</v>
      </c>
      <c r="AC65" s="246"/>
      <c r="AD65" s="246"/>
      <c r="AE65" s="320">
        <f>(AE64-V062A_2030[[#This Row],[CARTER MP.]])+V062A_2030[[#This Row],[FAENA EN LTS2]]</f>
        <v>3250</v>
      </c>
      <c r="AF65" s="246"/>
      <c r="AG65" s="246"/>
      <c r="AH65" s="320">
        <f>(AH64-V062A_2030[[#This Row],[MOT AUX]])+V062A_2030[[#This Row],[FAENA EN  LTS]]</f>
        <v>2470</v>
      </c>
      <c r="AI65" s="246"/>
      <c r="AJ65" s="246"/>
      <c r="AK65" s="321">
        <f>(AK64-V062A_2030[[#This Row],[HIDRAULICO]])+V062A_2030[[#This Row],[FAENA EN LTS3]]</f>
        <v>2350</v>
      </c>
    </row>
    <row r="66" spans="1:37" x14ac:dyDescent="0.25">
      <c r="A66" s="431"/>
      <c r="B66" s="48"/>
      <c r="C66" s="41"/>
      <c r="D66" s="418">
        <f>IF(V062A_2030[[#This Row],[FECHA]]-B65=1,((V062A_2030[[#This Row],[HORA]]-C65)*24)+24,(V062A_2030[[#This Row],[HORA]]-C65)*24)</f>
        <v>0</v>
      </c>
      <c r="E66" s="239"/>
      <c r="F66" s="29"/>
      <c r="G66" s="324"/>
      <c r="H66" s="306"/>
      <c r="I66" s="259">
        <f>IF(ISERROR(V062A_2030[[#This Row],[DISTANCIA POR CARTA]]/V062A_2030[[#This Row],[TIEMPO DE NAVEGACION]]),0,V062A_2030[[#This Row],[DISTANCIA POR CARTA]]/V062A_2030[[#This Row],[TIEMPO DE NAVEGACION]])</f>
        <v>0</v>
      </c>
      <c r="J66" s="242"/>
      <c r="K66" s="325"/>
      <c r="L66" s="245"/>
      <c r="M66" s="245"/>
      <c r="N66" s="245"/>
      <c r="O66" s="257">
        <f>SUM(V062A_2030[[#This Row],[MPAL]:[CALDERA]])</f>
        <v>0</v>
      </c>
      <c r="P66" s="319"/>
      <c r="Q66" s="281">
        <f>(Q65-V062A_2030[[#This Row],[TOTAL ]])+V062A_2030[[#This Row],[FAENA]]</f>
        <v>807.0882380952379</v>
      </c>
      <c r="R66" s="245"/>
      <c r="S66" s="246"/>
      <c r="T66" s="246"/>
      <c r="U66" s="246"/>
      <c r="V66" s="246"/>
      <c r="W66" s="257">
        <f>SUM(V062A_2030[[#This Row],[MPAL2]:[GI]])</f>
        <v>0</v>
      </c>
      <c r="X66" s="246"/>
      <c r="Y66" s="282">
        <f>(Y65-V062A_2030[[#This Row],[TOTAL]])+V062A_2030[[#This Row],[FAENA2]]</f>
        <v>55.880000000000017</v>
      </c>
      <c r="Z66" s="245"/>
      <c r="AA66" s="246"/>
      <c r="AB66" s="320">
        <f>(AB65-V062A_2030[[#This Row],[CYLINDER MP]])+V062A_2030[[#This Row],[FAENA EN LTS]]</f>
        <v>3963</v>
      </c>
      <c r="AC66" s="246"/>
      <c r="AD66" s="246"/>
      <c r="AE66" s="320">
        <f>(AE65-V062A_2030[[#This Row],[CARTER MP.]])+V062A_2030[[#This Row],[FAENA EN LTS2]]</f>
        <v>3250</v>
      </c>
      <c r="AF66" s="246"/>
      <c r="AG66" s="246"/>
      <c r="AH66" s="320">
        <f>(AH65-V062A_2030[[#This Row],[MOT AUX]])+V062A_2030[[#This Row],[FAENA EN  LTS]]</f>
        <v>2470</v>
      </c>
      <c r="AI66" s="246"/>
      <c r="AJ66" s="246"/>
      <c r="AK66" s="321">
        <f>(AK65-V062A_2030[[#This Row],[HIDRAULICO]])+V062A_2030[[#This Row],[FAENA EN LTS3]]</f>
        <v>2350</v>
      </c>
    </row>
    <row r="67" spans="1:37" x14ac:dyDescent="0.25">
      <c r="A67" s="431"/>
      <c r="B67" s="48"/>
      <c r="C67" s="41"/>
      <c r="D67" s="418">
        <f>IF(V062A_2030[[#This Row],[FECHA]]-B66=1,((V062A_2030[[#This Row],[HORA]]-C66)*24)+24,(V062A_2030[[#This Row],[HORA]]-C66)*24)</f>
        <v>0</v>
      </c>
      <c r="E67" s="239"/>
      <c r="F67" s="29"/>
      <c r="G67" s="324"/>
      <c r="H67" s="306"/>
      <c r="I67" s="259">
        <f>IF(ISERROR(V062A_2030[[#This Row],[DISTANCIA POR CARTA]]/V062A_2030[[#This Row],[TIEMPO DE NAVEGACION]]),0,V062A_2030[[#This Row],[DISTANCIA POR CARTA]]/V062A_2030[[#This Row],[TIEMPO DE NAVEGACION]])</f>
        <v>0</v>
      </c>
      <c r="J67" s="242"/>
      <c r="K67" s="325"/>
      <c r="L67" s="245"/>
      <c r="M67" s="245"/>
      <c r="N67" s="245"/>
      <c r="O67" s="257">
        <f>SUM(V062A_2030[[#This Row],[MPAL]:[CALDERA]])</f>
        <v>0</v>
      </c>
      <c r="P67" s="319"/>
      <c r="Q67" s="281">
        <f>(Q66-V062A_2030[[#This Row],[TOTAL ]])+V062A_2030[[#This Row],[FAENA]]</f>
        <v>807.0882380952379</v>
      </c>
      <c r="R67" s="245"/>
      <c r="S67" s="246"/>
      <c r="T67" s="246"/>
      <c r="U67" s="246"/>
      <c r="V67" s="246"/>
      <c r="W67" s="257">
        <f>SUM(V062A_2030[[#This Row],[MPAL2]:[GI]])</f>
        <v>0</v>
      </c>
      <c r="X67" s="246"/>
      <c r="Y67" s="282">
        <f>(Y66-V062A_2030[[#This Row],[TOTAL]])+V062A_2030[[#This Row],[FAENA2]]</f>
        <v>55.880000000000017</v>
      </c>
      <c r="Z67" s="245"/>
      <c r="AA67" s="246"/>
      <c r="AB67" s="320">
        <f>(AB66-V062A_2030[[#This Row],[CYLINDER MP]])+V062A_2030[[#This Row],[FAENA EN LTS]]</f>
        <v>3963</v>
      </c>
      <c r="AC67" s="246"/>
      <c r="AD67" s="246"/>
      <c r="AE67" s="320">
        <f>(AE66-V062A_2030[[#This Row],[CARTER MP.]])+V062A_2030[[#This Row],[FAENA EN LTS2]]</f>
        <v>3250</v>
      </c>
      <c r="AF67" s="246"/>
      <c r="AG67" s="246"/>
      <c r="AH67" s="320">
        <f>(AH66-V062A_2030[[#This Row],[MOT AUX]])+V062A_2030[[#This Row],[FAENA EN  LTS]]</f>
        <v>2470</v>
      </c>
      <c r="AI67" s="246"/>
      <c r="AJ67" s="246"/>
      <c r="AK67" s="321">
        <f>(AK66-V062A_2030[[#This Row],[HIDRAULICO]])+V062A_2030[[#This Row],[FAENA EN LTS3]]</f>
        <v>2350</v>
      </c>
    </row>
    <row r="68" spans="1:37" x14ac:dyDescent="0.25">
      <c r="A68" s="431"/>
      <c r="B68" s="48"/>
      <c r="C68" s="41"/>
      <c r="D68" s="418">
        <f>IF(V062A_2030[[#This Row],[FECHA]]-B67=1,((V062A_2030[[#This Row],[HORA]]-C67)*24)+24,(V062A_2030[[#This Row],[HORA]]-C67)*24)</f>
        <v>0</v>
      </c>
      <c r="E68" s="239"/>
      <c r="F68" s="29"/>
      <c r="G68" s="324"/>
      <c r="H68" s="306"/>
      <c r="I68" s="259">
        <f>IF(ISERROR(V062A_2030[[#This Row],[DISTANCIA POR CARTA]]/V062A_2030[[#This Row],[TIEMPO DE NAVEGACION]]),0,V062A_2030[[#This Row],[DISTANCIA POR CARTA]]/V062A_2030[[#This Row],[TIEMPO DE NAVEGACION]])</f>
        <v>0</v>
      </c>
      <c r="J68" s="242"/>
      <c r="K68" s="325"/>
      <c r="L68" s="245"/>
      <c r="M68" s="245"/>
      <c r="N68" s="245"/>
      <c r="O68" s="257">
        <f>SUM(V062A_2030[[#This Row],[MPAL]:[CALDERA]])</f>
        <v>0</v>
      </c>
      <c r="P68" s="319"/>
      <c r="Q68" s="281">
        <f>(Q67-V062A_2030[[#This Row],[TOTAL ]])+V062A_2030[[#This Row],[FAENA]]</f>
        <v>807.0882380952379</v>
      </c>
      <c r="R68" s="245"/>
      <c r="S68" s="246"/>
      <c r="T68" s="246"/>
      <c r="U68" s="246"/>
      <c r="V68" s="246"/>
      <c r="W68" s="257">
        <f>SUM(V062A_2030[[#This Row],[MPAL2]:[GI]])</f>
        <v>0</v>
      </c>
      <c r="X68" s="246"/>
      <c r="Y68" s="282">
        <f>(Y67-V062A_2030[[#This Row],[TOTAL]])+V062A_2030[[#This Row],[FAENA2]]</f>
        <v>55.880000000000017</v>
      </c>
      <c r="Z68" s="245"/>
      <c r="AA68" s="246"/>
      <c r="AB68" s="320">
        <f>(AB67-V062A_2030[[#This Row],[CYLINDER MP]])+V062A_2030[[#This Row],[FAENA EN LTS]]</f>
        <v>3963</v>
      </c>
      <c r="AC68" s="246"/>
      <c r="AD68" s="246"/>
      <c r="AE68" s="320">
        <f>(AE67-V062A_2030[[#This Row],[CARTER MP.]])+V062A_2030[[#This Row],[FAENA EN LTS2]]</f>
        <v>3250</v>
      </c>
      <c r="AF68" s="246"/>
      <c r="AG68" s="246"/>
      <c r="AH68" s="320">
        <f>(AH67-V062A_2030[[#This Row],[MOT AUX]])+V062A_2030[[#This Row],[FAENA EN  LTS]]</f>
        <v>2470</v>
      </c>
      <c r="AI68" s="246"/>
      <c r="AJ68" s="246"/>
      <c r="AK68" s="321">
        <f>(AK67-V062A_2030[[#This Row],[HIDRAULICO]])+V062A_2030[[#This Row],[FAENA EN LTS3]]</f>
        <v>2350</v>
      </c>
    </row>
    <row r="69" spans="1:37" x14ac:dyDescent="0.25">
      <c r="A69" s="431"/>
      <c r="B69" s="48"/>
      <c r="C69" s="351"/>
      <c r="D69" s="418">
        <f>IF(V062A_2030[[#This Row],[FECHA]]-B68=1,((V062A_2030[[#This Row],[HORA]]-C68)*24)+24,(V062A_2030[[#This Row],[HORA]]-C68)*24)</f>
        <v>0</v>
      </c>
      <c r="E69" s="239"/>
      <c r="F69" s="29"/>
      <c r="G69" s="324"/>
      <c r="H69" s="306"/>
      <c r="I69" s="259">
        <f>IF(ISERROR(V062A_2030[[#This Row],[DISTANCIA POR CARTA]]/V062A_2030[[#This Row],[TIEMPO DE NAVEGACION]]),0,V062A_2030[[#This Row],[DISTANCIA POR CARTA]]/V062A_2030[[#This Row],[TIEMPO DE NAVEGACION]])</f>
        <v>0</v>
      </c>
      <c r="J69" s="242"/>
      <c r="K69" s="325"/>
      <c r="L69" s="245"/>
      <c r="M69" s="245"/>
      <c r="N69" s="245"/>
      <c r="O69" s="257">
        <f>SUM(V062A_2030[[#This Row],[MPAL]:[CALDERA]])</f>
        <v>0</v>
      </c>
      <c r="P69" s="319"/>
      <c r="Q69" s="281">
        <f>(Q68-V062A_2030[[#This Row],[TOTAL ]])+V062A_2030[[#This Row],[FAENA]]</f>
        <v>807.0882380952379</v>
      </c>
      <c r="R69" s="245"/>
      <c r="S69" s="246"/>
      <c r="T69" s="246"/>
      <c r="U69" s="246"/>
      <c r="V69" s="246"/>
      <c r="W69" s="257">
        <f>SUM(V062A_2030[[#This Row],[MPAL2]:[GI]])</f>
        <v>0</v>
      </c>
      <c r="X69" s="246"/>
      <c r="Y69" s="282">
        <f>(Y68-V062A_2030[[#This Row],[TOTAL]])+V062A_2030[[#This Row],[FAENA2]]</f>
        <v>55.880000000000017</v>
      </c>
      <c r="Z69" s="245"/>
      <c r="AA69" s="246"/>
      <c r="AB69" s="320">
        <f>(AB68-V062A_2030[[#This Row],[CYLINDER MP]])+V062A_2030[[#This Row],[FAENA EN LTS]]</f>
        <v>3963</v>
      </c>
      <c r="AC69" s="246"/>
      <c r="AD69" s="246"/>
      <c r="AE69" s="320">
        <f>(AE68-V062A_2030[[#This Row],[CARTER MP.]])+V062A_2030[[#This Row],[FAENA EN LTS2]]</f>
        <v>3250</v>
      </c>
      <c r="AF69" s="246"/>
      <c r="AG69" s="246"/>
      <c r="AH69" s="320">
        <f>(AH68-V062A_2030[[#This Row],[MOT AUX]])+V062A_2030[[#This Row],[FAENA EN  LTS]]</f>
        <v>2470</v>
      </c>
      <c r="AI69" s="246"/>
      <c r="AJ69" s="246"/>
      <c r="AK69" s="321">
        <f>(AK68-V062A_2030[[#This Row],[HIDRAULICO]])+V062A_2030[[#This Row],[FAENA EN LTS3]]</f>
        <v>2350</v>
      </c>
    </row>
    <row r="70" spans="1:37" x14ac:dyDescent="0.25">
      <c r="A70" s="431"/>
      <c r="B70" s="48"/>
      <c r="C70" s="362"/>
      <c r="D70" s="418">
        <f>IF(V062A_2030[[#This Row],[FECHA]]-B69=1,((V062A_2030[[#This Row],[HORA]]-C69)*24)+24,(V062A_2030[[#This Row],[HORA]]-C69)*24)</f>
        <v>0</v>
      </c>
      <c r="E70" s="239"/>
      <c r="F70" s="29"/>
      <c r="G70" s="324"/>
      <c r="H70" s="306"/>
      <c r="I70" s="259">
        <f>IF(ISERROR(V062A_2030[[#This Row],[DISTANCIA POR CARTA]]/V062A_2030[[#This Row],[TIEMPO DE NAVEGACION]]),0,V062A_2030[[#This Row],[DISTANCIA POR CARTA]]/V062A_2030[[#This Row],[TIEMPO DE NAVEGACION]])</f>
        <v>0</v>
      </c>
      <c r="J70" s="242"/>
      <c r="K70" s="325"/>
      <c r="L70" s="245"/>
      <c r="M70" s="245"/>
      <c r="N70" s="245"/>
      <c r="O70" s="257">
        <f>SUM(V062A_2030[[#This Row],[MPAL]:[CALDERA]])</f>
        <v>0</v>
      </c>
      <c r="P70" s="319"/>
      <c r="Q70" s="281">
        <f>(Q69-V062A_2030[[#This Row],[TOTAL ]])+V062A_2030[[#This Row],[FAENA]]</f>
        <v>807.0882380952379</v>
      </c>
      <c r="R70" s="245"/>
      <c r="S70" s="246"/>
      <c r="T70" s="246"/>
      <c r="U70" s="246"/>
      <c r="V70" s="246"/>
      <c r="W70" s="257">
        <f>SUM(V062A_2030[[#This Row],[MPAL2]:[GI]])</f>
        <v>0</v>
      </c>
      <c r="X70" s="246"/>
      <c r="Y70" s="282">
        <f>(Y69-V062A_2030[[#This Row],[TOTAL]])+V062A_2030[[#This Row],[FAENA2]]</f>
        <v>55.880000000000017</v>
      </c>
      <c r="Z70" s="245"/>
      <c r="AA70" s="246"/>
      <c r="AB70" s="320">
        <f>(AB69-V062A_2030[[#This Row],[CYLINDER MP]])+V062A_2030[[#This Row],[FAENA EN LTS]]</f>
        <v>3963</v>
      </c>
      <c r="AC70" s="246"/>
      <c r="AD70" s="246"/>
      <c r="AE70" s="320">
        <f>(AE69-V062A_2030[[#This Row],[CARTER MP.]])+V062A_2030[[#This Row],[FAENA EN LTS2]]</f>
        <v>3250</v>
      </c>
      <c r="AF70" s="246"/>
      <c r="AG70" s="246"/>
      <c r="AH70" s="320">
        <f>(AH69-V062A_2030[[#This Row],[MOT AUX]])+V062A_2030[[#This Row],[FAENA EN  LTS]]</f>
        <v>2470</v>
      </c>
      <c r="AI70" s="246"/>
      <c r="AJ70" s="246"/>
      <c r="AK70" s="321">
        <f>(AK69-V062A_2030[[#This Row],[HIDRAULICO]])+V062A_2030[[#This Row],[FAENA EN LTS3]]</f>
        <v>2350</v>
      </c>
    </row>
    <row r="71" spans="1:37" x14ac:dyDescent="0.25">
      <c r="A71" s="431"/>
      <c r="B71" s="236"/>
      <c r="C71" s="237"/>
      <c r="D71" s="418">
        <f>IF(V062A_2030[[#This Row],[FECHA]]-B70=1,((V062A_2030[[#This Row],[HORA]]-C70)*24)+24,(V062A_2030[[#This Row],[HORA]]-C70)*24)</f>
        <v>0</v>
      </c>
      <c r="E71" s="239"/>
      <c r="F71" s="378"/>
      <c r="G71" s="324"/>
      <c r="H71" s="306"/>
      <c r="I71" s="259">
        <f>IF(ISERROR(V062A_2030[[#This Row],[DISTANCIA POR CARTA]]/V062A_2030[[#This Row],[TIEMPO DE NAVEGACION]]),0,V062A_2030[[#This Row],[DISTANCIA POR CARTA]]/V062A_2030[[#This Row],[TIEMPO DE NAVEGACION]])</f>
        <v>0</v>
      </c>
      <c r="J71" s="242"/>
      <c r="K71" s="325"/>
      <c r="L71" s="245"/>
      <c r="M71" s="245"/>
      <c r="N71" s="245"/>
      <c r="O71" s="257">
        <f>SUM(V062A_2030[[#This Row],[MPAL]:[CALDERA]])</f>
        <v>0</v>
      </c>
      <c r="P71" s="319"/>
      <c r="Q71" s="281">
        <f>(Q70-V062A_2030[[#This Row],[TOTAL ]])+V062A_2030[[#This Row],[FAENA]]</f>
        <v>807.0882380952379</v>
      </c>
      <c r="R71" s="245"/>
      <c r="S71" s="246"/>
      <c r="T71" s="246"/>
      <c r="U71" s="246"/>
      <c r="V71" s="246"/>
      <c r="W71" s="257">
        <f>SUM(V062A_2030[[#This Row],[MPAL2]:[GI]])</f>
        <v>0</v>
      </c>
      <c r="X71" s="246"/>
      <c r="Y71" s="282">
        <f>(Y70-V062A_2030[[#This Row],[TOTAL]])+V062A_2030[[#This Row],[FAENA2]]</f>
        <v>55.880000000000017</v>
      </c>
      <c r="Z71" s="245"/>
      <c r="AA71" s="246"/>
      <c r="AB71" s="320">
        <f>(AB70-V062A_2030[[#This Row],[CYLINDER MP]])+V062A_2030[[#This Row],[FAENA EN LTS]]</f>
        <v>3963</v>
      </c>
      <c r="AC71" s="246"/>
      <c r="AD71" s="246"/>
      <c r="AE71" s="320">
        <f>(AE70-V062A_2030[[#This Row],[CARTER MP.]])+V062A_2030[[#This Row],[FAENA EN LTS2]]</f>
        <v>3250</v>
      </c>
      <c r="AF71" s="246"/>
      <c r="AG71" s="246"/>
      <c r="AH71" s="320">
        <f>(AH70-V062A_2030[[#This Row],[MOT AUX]])+V062A_2030[[#This Row],[FAENA EN  LTS]]</f>
        <v>2470</v>
      </c>
      <c r="AI71" s="246"/>
      <c r="AJ71" s="246"/>
      <c r="AK71" s="321">
        <f>(AK70-V062A_2030[[#This Row],[HIDRAULICO]])+V062A_2030[[#This Row],[FAENA EN LTS3]]</f>
        <v>2350</v>
      </c>
    </row>
    <row r="72" spans="1:37" x14ac:dyDescent="0.25">
      <c r="A72" s="431"/>
      <c r="B72" s="236"/>
      <c r="C72" s="237"/>
      <c r="D72" s="418">
        <f>IF(V062A_2030[[#This Row],[FECHA]]-B71=1,((V062A_2030[[#This Row],[HORA]]-C71)*24)+24,(V062A_2030[[#This Row],[HORA]]-C71)*24)</f>
        <v>0</v>
      </c>
      <c r="E72" s="239"/>
      <c r="F72" s="378"/>
      <c r="G72" s="324"/>
      <c r="H72" s="306"/>
      <c r="I72" s="259">
        <f>IF(ISERROR(V062A_2030[[#This Row],[DISTANCIA POR CARTA]]/V062A_2030[[#This Row],[TIEMPO DE NAVEGACION]]),0,V062A_2030[[#This Row],[DISTANCIA POR CARTA]]/V062A_2030[[#This Row],[TIEMPO DE NAVEGACION]])</f>
        <v>0</v>
      </c>
      <c r="J72" s="242"/>
      <c r="K72" s="325"/>
      <c r="L72" s="245"/>
      <c r="M72" s="245"/>
      <c r="N72" s="245"/>
      <c r="O72" s="257">
        <f>SUM(V062A_2030[[#This Row],[MPAL]:[CALDERA]])</f>
        <v>0</v>
      </c>
      <c r="P72" s="319"/>
      <c r="Q72" s="281">
        <f>(Q71-V062A_2030[[#This Row],[TOTAL ]])+V062A_2030[[#This Row],[FAENA]]</f>
        <v>807.0882380952379</v>
      </c>
      <c r="R72" s="245"/>
      <c r="S72" s="246"/>
      <c r="T72" s="246"/>
      <c r="U72" s="246"/>
      <c r="V72" s="246"/>
      <c r="W72" s="257">
        <f>SUM(V062A_2030[[#This Row],[MPAL2]:[GI]])</f>
        <v>0</v>
      </c>
      <c r="X72" s="246"/>
      <c r="Y72" s="282">
        <f>(Y71-V062A_2030[[#This Row],[TOTAL]])+V062A_2030[[#This Row],[FAENA2]]</f>
        <v>55.880000000000017</v>
      </c>
      <c r="Z72" s="245"/>
      <c r="AA72" s="246"/>
      <c r="AB72" s="320">
        <f>(AB71-V062A_2030[[#This Row],[CYLINDER MP]])+V062A_2030[[#This Row],[FAENA EN LTS]]</f>
        <v>3963</v>
      </c>
      <c r="AC72" s="246"/>
      <c r="AD72" s="246"/>
      <c r="AE72" s="320">
        <f>(AE71-V062A_2030[[#This Row],[CARTER MP.]])+V062A_2030[[#This Row],[FAENA EN LTS2]]</f>
        <v>3250</v>
      </c>
      <c r="AF72" s="246"/>
      <c r="AG72" s="246"/>
      <c r="AH72" s="320">
        <f>(AH71-V062A_2030[[#This Row],[MOT AUX]])+V062A_2030[[#This Row],[FAENA EN  LTS]]</f>
        <v>2470</v>
      </c>
      <c r="AI72" s="246"/>
      <c r="AJ72" s="246"/>
      <c r="AK72" s="321">
        <f>(AK71-V062A_2030[[#This Row],[HIDRAULICO]])+V062A_2030[[#This Row],[FAENA EN LTS3]]</f>
        <v>2350</v>
      </c>
    </row>
    <row r="73" spans="1:37" x14ac:dyDescent="0.25">
      <c r="A73" s="431"/>
      <c r="B73" s="236"/>
      <c r="C73" s="237"/>
      <c r="D73" s="418">
        <f>IF(V062A_2030[[#This Row],[FECHA]]-B72=1,((V062A_2030[[#This Row],[HORA]]-C72)*24)+24,(V062A_2030[[#This Row],[HORA]]-C72)*24)</f>
        <v>0</v>
      </c>
      <c r="E73" s="239"/>
      <c r="F73" s="378"/>
      <c r="G73" s="324"/>
      <c r="H73" s="306"/>
      <c r="I73" s="259">
        <f>IF(ISERROR(V062A_2030[[#This Row],[DISTANCIA POR CARTA]]/V062A_2030[[#This Row],[TIEMPO DE NAVEGACION]]),0,V062A_2030[[#This Row],[DISTANCIA POR CARTA]]/V062A_2030[[#This Row],[TIEMPO DE NAVEGACION]])</f>
        <v>0</v>
      </c>
      <c r="J73" s="380"/>
      <c r="K73" s="325"/>
      <c r="L73" s="245"/>
      <c r="M73" s="245"/>
      <c r="N73" s="245"/>
      <c r="O73" s="257">
        <f>SUM(V062A_2030[[#This Row],[MPAL]:[CALDERA]])</f>
        <v>0</v>
      </c>
      <c r="P73" s="319"/>
      <c r="Q73" s="281">
        <f>(Q72-V062A_2030[[#This Row],[TOTAL ]])+V062A_2030[[#This Row],[FAENA]]</f>
        <v>807.0882380952379</v>
      </c>
      <c r="R73" s="245"/>
      <c r="S73" s="246"/>
      <c r="T73" s="246"/>
      <c r="U73" s="246"/>
      <c r="V73" s="246"/>
      <c r="W73" s="257">
        <f>SUM(V062A_2030[[#This Row],[MPAL2]:[GI]])</f>
        <v>0</v>
      </c>
      <c r="X73" s="246"/>
      <c r="Y73" s="282">
        <f>(Y72-V062A_2030[[#This Row],[TOTAL]])+V062A_2030[[#This Row],[FAENA2]]</f>
        <v>55.880000000000017</v>
      </c>
      <c r="Z73" s="245"/>
      <c r="AA73" s="246"/>
      <c r="AB73" s="320">
        <f>(AB72-V062A_2030[[#This Row],[CYLINDER MP]])+V062A_2030[[#This Row],[FAENA EN LTS]]</f>
        <v>3963</v>
      </c>
      <c r="AC73" s="246"/>
      <c r="AD73" s="246"/>
      <c r="AE73" s="320">
        <f>(AE72-V062A_2030[[#This Row],[CARTER MP.]])+V062A_2030[[#This Row],[FAENA EN LTS2]]</f>
        <v>3250</v>
      </c>
      <c r="AF73" s="246"/>
      <c r="AG73" s="246"/>
      <c r="AH73" s="320">
        <f>(AH72-V062A_2030[[#This Row],[MOT AUX]])+V062A_2030[[#This Row],[FAENA EN  LTS]]</f>
        <v>2470</v>
      </c>
      <c r="AI73" s="246"/>
      <c r="AJ73" s="246"/>
      <c r="AK73" s="321">
        <f>(AK72-V062A_2030[[#This Row],[HIDRAULICO]])+V062A_2030[[#This Row],[FAENA EN LTS3]]</f>
        <v>2350</v>
      </c>
    </row>
    <row r="74" spans="1:37" x14ac:dyDescent="0.25">
      <c r="D74" s="132">
        <f>SUBTOTAL(109,V062A_2030[TIEMPO Hrs])</f>
        <v>402.90000000000015</v>
      </c>
      <c r="L74" s="68">
        <f>SUBTOTAL(109,V062A_2030[MPAL])</f>
        <v>74.262761904761902</v>
      </c>
      <c r="M74" s="68">
        <f>SUBTOTAL(109,V062A_2030[AUX.])</f>
        <v>23.03</v>
      </c>
      <c r="N74" s="68">
        <f>SUBTOTAL(109,V062A_2030[CALDERA])</f>
        <v>19.079999999999998</v>
      </c>
    </row>
    <row r="75" spans="1:37" x14ac:dyDescent="0.25">
      <c r="O75" s="67">
        <f>SUM(L74:N74)</f>
        <v>116.3727619047619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SUMIF($E$8:$E$73,C79,$D$8:$D$73)</f>
        <v>82</v>
      </c>
      <c r="E79" s="279"/>
      <c r="F79" s="288"/>
      <c r="G79" s="137"/>
      <c r="H79" s="84">
        <f ca="1">SUMIF($E$8:$E$73,C79,$L$8:$L$73)+SUMIF($E$6:$E$73,C79,$M$8:$M$73)+SUMIF($E$6:$E$73,C79,$N$8:$N$73)</f>
        <v>5.4399999999999995</v>
      </c>
      <c r="I79" s="139">
        <f t="shared" ref="I79:I86" ca="1" si="1">IF(ISERROR(H79*24/D79),0,H79*24/D79)</f>
        <v>1.5921951219512196</v>
      </c>
      <c r="J79" s="137">
        <v>6</v>
      </c>
      <c r="K79" s="80"/>
      <c r="L79" s="38">
        <f>D79*J79/24</f>
        <v>20.5</v>
      </c>
      <c r="M79" s="80">
        <f t="shared" ref="M79:M86" ca="1" si="2">L79-H79</f>
        <v>15.06</v>
      </c>
      <c r="N79" s="86"/>
      <c r="Q79" s="82"/>
      <c r="R79" s="83" t="s">
        <v>105</v>
      </c>
      <c r="S79" s="228">
        <f>SUM(V8:V73)</f>
        <v>18.2</v>
      </c>
      <c r="T79" s="84">
        <f>S79*24/($D$80+$D$86)</f>
        <v>4.7366708837881806</v>
      </c>
      <c r="U79" s="84">
        <v>6</v>
      </c>
      <c r="V79" s="85">
        <f>($D$80+$D$86)*U79/24</f>
        <v>23.054166666666664</v>
      </c>
      <c r="W79" s="86">
        <f>V79-S79</f>
        <v>4.8541666666666643</v>
      </c>
    </row>
    <row r="80" spans="1:37" x14ac:dyDescent="0.25">
      <c r="C80" s="87" t="s">
        <v>51</v>
      </c>
      <c r="D80" s="264">
        <f t="shared" si="0"/>
        <v>59.949999999999989</v>
      </c>
      <c r="E80" s="264"/>
      <c r="F80" s="289"/>
      <c r="G80" s="139"/>
      <c r="H80" s="88">
        <f t="shared" ref="H80:H86" ca="1" si="3">SUMIF($E$6:$E$73,C80,$L$8:$L$73)+SUMIF($E$6:$E$73,C80,$M$8:$M$73)+SUMIF($E$6:$E$73,C80,$N$8:$N$73)</f>
        <v>5.09</v>
      </c>
      <c r="I80" s="139">
        <f t="shared" ca="1" si="1"/>
        <v>2.0376980817347792</v>
      </c>
      <c r="J80" s="139">
        <v>6</v>
      </c>
      <c r="K80" s="88"/>
      <c r="L80" s="418">
        <f t="shared" ref="L80:L86" si="4">D80*J80/24</f>
        <v>14.987499999999997</v>
      </c>
      <c r="M80" s="88">
        <f t="shared" ca="1" si="2"/>
        <v>9.8974999999999973</v>
      </c>
      <c r="N80" s="121"/>
      <c r="R80" s="90" t="s">
        <v>106</v>
      </c>
      <c r="S80" s="286">
        <f>SUM(S5:S73)</f>
        <v>0.7</v>
      </c>
      <c r="T80" s="84">
        <f>S80*24/($D$80+$D$86)</f>
        <v>0.18217964937646847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SUMIF($E$8:$E$73,C81,$G$8:$G$73)</f>
        <v>0</v>
      </c>
      <c r="F81" s="289">
        <v>0</v>
      </c>
      <c r="G81" s="139">
        <v>12</v>
      </c>
      <c r="H81" s="88">
        <f t="shared" ca="1" si="3"/>
        <v>1.1000000000000001</v>
      </c>
      <c r="I81" s="139">
        <f t="shared" ca="1" si="1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ca="1" si="2"/>
        <v>-1.1000000000000001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 t="shared" si="0"/>
        <v>60.7</v>
      </c>
      <c r="E82" s="264">
        <f>SUMIF($E$6:$E$73,C82,$G$6:$G$73)</f>
        <v>820</v>
      </c>
      <c r="F82" s="289">
        <f>E82/D82</f>
        <v>13.509060955518946</v>
      </c>
      <c r="G82" s="139">
        <v>12</v>
      </c>
      <c r="H82" s="88">
        <f t="shared" ca="1" si="3"/>
        <v>8.3600000000000012</v>
      </c>
      <c r="I82" s="139">
        <f t="shared" ca="1" si="1"/>
        <v>3.305436573311368</v>
      </c>
      <c r="J82" s="139">
        <v>27</v>
      </c>
      <c r="K82" s="88">
        <f>E82/G82</f>
        <v>68.333333333333329</v>
      </c>
      <c r="L82" s="418">
        <f>K82*J82/24</f>
        <v>76.874999999999986</v>
      </c>
      <c r="M82" s="88">
        <f t="shared" ca="1" si="2"/>
        <v>68.514999999999986</v>
      </c>
      <c r="N82" s="121">
        <f>K82-D82</f>
        <v>7.6333333333333258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ca="1" si="3"/>
        <v>0</v>
      </c>
      <c r="I83" s="139">
        <f ca="1"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ca="1" si="2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144.98333333333332</v>
      </c>
      <c r="E84" s="264"/>
      <c r="F84" s="289"/>
      <c r="G84" s="139"/>
      <c r="H84" s="88">
        <f t="shared" ca="1" si="3"/>
        <v>13.600000000000001</v>
      </c>
      <c r="I84" s="139">
        <f t="shared" ca="1" si="1"/>
        <v>2.251293252097943</v>
      </c>
      <c r="J84" s="139">
        <v>6</v>
      </c>
      <c r="K84" s="88"/>
      <c r="L84" s="418">
        <f t="shared" si="4"/>
        <v>36.24583333333333</v>
      </c>
      <c r="M84" s="88">
        <f t="shared" ca="1" si="2"/>
        <v>22.645833333333329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19.516666666666669</v>
      </c>
      <c r="E85" s="264"/>
      <c r="F85" s="289"/>
      <c r="G85" s="139"/>
      <c r="H85" s="88">
        <f t="shared" ca="1" si="3"/>
        <v>56.27</v>
      </c>
      <c r="I85" s="139">
        <f t="shared" ca="1" si="1"/>
        <v>69.196242527754052</v>
      </c>
      <c r="J85" s="139">
        <v>6</v>
      </c>
      <c r="K85" s="88"/>
      <c r="L85" s="418">
        <f t="shared" si="4"/>
        <v>4.8791666666666673</v>
      </c>
      <c r="M85" s="88">
        <f t="shared" ca="1" si="2"/>
        <v>-51.390833333333333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32.266666666666666</v>
      </c>
      <c r="E86" s="290"/>
      <c r="F86" s="291"/>
      <c r="G86" s="140"/>
      <c r="H86" s="98">
        <f t="shared" ca="1" si="3"/>
        <v>23.282761904761905</v>
      </c>
      <c r="I86" s="141">
        <f t="shared" ca="1" si="1"/>
        <v>17.317756788665879</v>
      </c>
      <c r="J86" s="141">
        <v>8</v>
      </c>
      <c r="K86" s="98"/>
      <c r="L86" s="99">
        <f t="shared" si="4"/>
        <v>10.755555555555555</v>
      </c>
      <c r="M86" s="98">
        <f t="shared" ca="1" si="2"/>
        <v>-12.527206349206351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399.41666666666663</v>
      </c>
      <c r="E88" s="284">
        <f>SUM(E79:E85)</f>
        <v>820</v>
      </c>
      <c r="F88" s="284">
        <f>SUM(F79:F85)/2</f>
        <v>6.7545304777594728</v>
      </c>
      <c r="H88" s="101">
        <f ca="1">SUM(H79:H86)</f>
        <v>113.14276190476193</v>
      </c>
      <c r="K88" s="142"/>
      <c r="L88" s="104">
        <f>SUM(L79:L86)</f>
        <v>164.24305555555554</v>
      </c>
      <c r="M88" s="101">
        <f ca="1">SUM(M79:M86)</f>
        <v>51.100293650793617</v>
      </c>
      <c r="N88" s="101">
        <f>SUM(N79:N86)</f>
        <v>7.6333333333333258</v>
      </c>
      <c r="R88" s="100" t="s">
        <v>29</v>
      </c>
      <c r="S88" s="101">
        <f>SUM(S79:S83)</f>
        <v>18.899999999999999</v>
      </c>
      <c r="T88" s="101">
        <f>SUM(T79:T83)</f>
        <v>4.9188505331646493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E6:H73 J6:N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668" priority="5" operator="greaterThan">
      <formula>"S5"</formula>
    </cfRule>
  </conditionalFormatting>
  <conditionalFormatting sqref="I54:I73">
    <cfRule type="cellIs" dxfId="667" priority="4" operator="greaterThan">
      <formula>0</formula>
    </cfRule>
  </conditionalFormatting>
  <conditionalFormatting sqref="J6:J9">
    <cfRule type="cellIs" dxfId="666" priority="3" operator="greaterThan">
      <formula>"S5"</formula>
    </cfRule>
  </conditionalFormatting>
  <conditionalFormatting sqref="I6:I9">
    <cfRule type="cellIs" dxfId="665" priority="2" operator="greaterThan">
      <formula>0</formula>
    </cfRule>
  </conditionalFormatting>
  <conditionalFormatting sqref="I10:I53">
    <cfRule type="cellIs" dxfId="664" priority="1" operator="greaterThan">
      <formula>0</formula>
    </cfRule>
  </conditionalFormatting>
  <dataValidations disablePrompts="1"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97"/>
  <sheetViews>
    <sheetView zoomScale="90" zoomScaleNormal="90" workbookViewId="0">
      <pane xSplit="6" ySplit="5" topLeftCell="M45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74" sqref="D74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2.28515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44081</v>
      </c>
      <c r="C4" s="341">
        <v>0.41666666666666669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807.09</v>
      </c>
      <c r="R4" s="553" t="s">
        <v>183</v>
      </c>
      <c r="S4" s="554"/>
      <c r="T4" s="554"/>
      <c r="U4" s="554"/>
      <c r="V4" s="554"/>
      <c r="W4" s="554"/>
      <c r="X4" s="555"/>
      <c r="Y4" s="283">
        <v>55.88</v>
      </c>
      <c r="Z4" s="6"/>
      <c r="AA4" s="7" t="s">
        <v>184</v>
      </c>
      <c r="AB4" s="304">
        <v>3963</v>
      </c>
      <c r="AC4" s="9"/>
      <c r="AD4" s="7" t="s">
        <v>184</v>
      </c>
      <c r="AE4" s="304">
        <v>3250</v>
      </c>
      <c r="AG4" s="7" t="s">
        <v>184</v>
      </c>
      <c r="AH4" s="304">
        <v>2470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274</v>
      </c>
      <c r="B6" s="48">
        <v>44081</v>
      </c>
      <c r="C6" s="41">
        <v>0.45833333333333331</v>
      </c>
      <c r="D6" s="418">
        <v>1</v>
      </c>
      <c r="E6" s="409" t="s">
        <v>47</v>
      </c>
      <c r="F6" s="29" t="s">
        <v>276</v>
      </c>
      <c r="G6" s="324"/>
      <c r="H6" s="306"/>
      <c r="I6" s="259">
        <f>IF(ISERROR(V062A_203031[[#This Row],[DISTANCIA POR CARTA]]/V062A_203031[[#This Row],[TIEMPO DE NAVEGACION]]),0,V062A_203031[[#This Row],[DISTANCIA POR CARTA]]/V062A_203031[[#This Row],[TIEMPO DE NAVEGACION]])</f>
        <v>0</v>
      </c>
      <c r="J6" s="242"/>
      <c r="K6" s="325"/>
      <c r="L6" s="245">
        <v>0.5</v>
      </c>
      <c r="M6" s="245">
        <v>0.06</v>
      </c>
      <c r="N6" s="245">
        <v>0.05</v>
      </c>
      <c r="O6" s="257">
        <f>SUM(V062A_203031[[#This Row],[MPAL]]+V062A_203031[[#This Row],[AUX.]]+V062A_203031[[#This Row],[CALDERA]])</f>
        <v>0.6100000000000001</v>
      </c>
      <c r="P6" s="319"/>
      <c r="Q6" s="281">
        <f>(Q4-V062A_203031[[#This Row],[TOTAL ]])+V062A_203031[[#This Row],[FAENA]]</f>
        <v>806.48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SUM(V062A_203031[[#This Row],[MPAL2]:[GI]])</f>
        <v>0</v>
      </c>
      <c r="X6" s="246"/>
      <c r="Y6" s="282">
        <f>(Y4-V062A_203031[[#This Row],[TOTAL]])+V062A_203031[[#This Row],[FAENA2]]</f>
        <v>55.88</v>
      </c>
      <c r="Z6" s="245">
        <v>30</v>
      </c>
      <c r="AA6" s="246">
        <v>0</v>
      </c>
      <c r="AB6" s="320">
        <f>(AB4-V062A_203031[[#This Row],[CYLINDER MP]])+V062A_203031[[#This Row],[FAENA EN LTS]]</f>
        <v>3933</v>
      </c>
      <c r="AC6" s="246">
        <v>0</v>
      </c>
      <c r="AD6" s="246">
        <v>0</v>
      </c>
      <c r="AE6" s="320">
        <f>(AE4-V062A_203031[[#This Row],[CARTER MP.]])+V062A_203031[[#This Row],[FAENA EN LTS2]]</f>
        <v>3250</v>
      </c>
      <c r="AF6" s="246">
        <v>20</v>
      </c>
      <c r="AG6" s="246">
        <v>0</v>
      </c>
      <c r="AH6" s="320">
        <f>(AH4-V062A_203031[[#This Row],[MOT AUX]])+V062A_203031[[#This Row],[FAENA EN  LTS]]</f>
        <v>2450</v>
      </c>
      <c r="AI6" s="246">
        <v>0</v>
      </c>
      <c r="AJ6" s="246">
        <v>0</v>
      </c>
      <c r="AK6" s="321">
        <f>(AK4-V062A_203031[[#This Row],[HIDRAULICO]])+V062A_203031[[#This Row],[FAENA EN LTS3]]</f>
        <v>2350</v>
      </c>
    </row>
    <row r="7" spans="1:37" x14ac:dyDescent="0.25">
      <c r="A7" s="431" t="s">
        <v>274</v>
      </c>
      <c r="B7" s="48">
        <v>44082</v>
      </c>
      <c r="C7" s="41">
        <v>0.33333333333333331</v>
      </c>
      <c r="D7" s="418">
        <f>IF(V062A_203031[[#This Row],[FECHA]]-B6=1,((V062A_203031[[#This Row],[HORA]]-C6)*24)+24,(V062A_203031[[#This Row],[HORA]]-C6)*24)</f>
        <v>21</v>
      </c>
      <c r="E7" s="409" t="s">
        <v>45</v>
      </c>
      <c r="F7" s="29" t="s">
        <v>45</v>
      </c>
      <c r="G7" s="324"/>
      <c r="H7" s="306"/>
      <c r="I7" s="259">
        <f>IF(ISERROR(V062A_203031[[#This Row],[DISTANCIA POR CARTA]]/V062A_203031[[#This Row],[TIEMPO DE NAVEGACION]]),0,V062A_203031[[#This Row],[DISTANCIA POR CARTA]]/V062A_203031[[#This Row],[TIEMPO DE NAVEGACION]])</f>
        <v>0</v>
      </c>
      <c r="J7" s="242"/>
      <c r="K7" s="325"/>
      <c r="L7" s="245">
        <v>0</v>
      </c>
      <c r="M7" s="245">
        <v>1.04</v>
      </c>
      <c r="N7" s="245">
        <v>0.87</v>
      </c>
      <c r="O7" s="257">
        <f>SUM(V062A_203031[[#This Row],[MPAL]]+V062A_203031[[#This Row],[AUX.]]+V062A_203031[[#This Row],[CALDERA]])</f>
        <v>1.9100000000000001</v>
      </c>
      <c r="P7" s="319"/>
      <c r="Q7" s="281">
        <f>(Q6-V062A_203031[[#This Row],[TOTAL ]])+V062A_203031[[#This Row],[FAENA]]</f>
        <v>804.57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SUM(V062A_203031[[#This Row],[MPAL2]:[GI]])</f>
        <v>0</v>
      </c>
      <c r="X7" s="246"/>
      <c r="Y7" s="282">
        <f>(Y6-V062A_203031[[#This Row],[TOTAL]])+V062A_203031[[#This Row],[FAENA2]]</f>
        <v>55.88</v>
      </c>
      <c r="Z7" s="245">
        <v>0</v>
      </c>
      <c r="AA7" s="246">
        <v>0</v>
      </c>
      <c r="AB7" s="320">
        <f>(AB6-V062A_203031[[#This Row],[CYLINDER MP]])+V062A_203031[[#This Row],[FAENA EN LTS]]</f>
        <v>3933</v>
      </c>
      <c r="AC7" s="246">
        <v>0</v>
      </c>
      <c r="AD7" s="246">
        <v>0</v>
      </c>
      <c r="AE7" s="320">
        <f>(AE6-V062A_203031[[#This Row],[CARTER MP.]])+V062A_203031[[#This Row],[FAENA EN LTS2]]</f>
        <v>3250</v>
      </c>
      <c r="AF7" s="246">
        <v>0</v>
      </c>
      <c r="AG7" s="246">
        <v>0</v>
      </c>
      <c r="AH7" s="320">
        <f>(AH6-V062A_203031[[#This Row],[MOT AUX]])+V062A_203031[[#This Row],[FAENA EN  LTS]]</f>
        <v>2450</v>
      </c>
      <c r="AI7" s="246">
        <v>0</v>
      </c>
      <c r="AJ7" s="246">
        <v>0</v>
      </c>
      <c r="AK7" s="321">
        <f>(AK6-V062A_203031[[#This Row],[HIDRAULICO]])+V062A_203031[[#This Row],[FAENA EN LTS3]]</f>
        <v>2350</v>
      </c>
    </row>
    <row r="8" spans="1:37" x14ac:dyDescent="0.25">
      <c r="A8" s="431" t="s">
        <v>274</v>
      </c>
      <c r="B8" s="48">
        <v>44082</v>
      </c>
      <c r="C8" s="41">
        <v>0.78749999999999998</v>
      </c>
      <c r="D8" s="418">
        <f>IF(V062A_203031[[#This Row],[FECHA]]-B7=1,((V062A_203031[[#This Row],[HORA]]-C7)*24)+24,(V062A_203031[[#This Row],[HORA]]-C7)*24)</f>
        <v>10.9</v>
      </c>
      <c r="E8" s="239" t="s">
        <v>45</v>
      </c>
      <c r="F8" s="29" t="s">
        <v>46</v>
      </c>
      <c r="G8" s="324"/>
      <c r="H8" s="306"/>
      <c r="I8" s="259">
        <f>IF(ISERROR(V062A_203031[[#This Row],[DISTANCIA POR CARTA]]/V062A_203031[[#This Row],[TIEMPO DE NAVEGACION]]),0,V062A_203031[[#This Row],[DISTANCIA POR CARTA]]/V062A_203031[[#This Row],[TIEMPO DE NAVEGACION]])</f>
        <v>0</v>
      </c>
      <c r="J8" s="380"/>
      <c r="K8" s="325"/>
      <c r="L8" s="418">
        <v>0</v>
      </c>
      <c r="M8" s="245">
        <v>0.55000000000000004</v>
      </c>
      <c r="N8" s="245">
        <v>0.5</v>
      </c>
      <c r="O8" s="257">
        <f>SUM(V062A_203031[[#This Row],[MPAL]]+V062A_203031[[#This Row],[AUX.]]+V062A_203031[[#This Row],[CALDERA]])</f>
        <v>1.05</v>
      </c>
      <c r="P8" s="319"/>
      <c r="Q8" s="281">
        <f>(Q7-V062A_203031[[#This Row],[TOTAL ]])+V062A_203031[[#This Row],[FAENA]]</f>
        <v>803.5200000000001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SUM(V062A_203031[[#This Row],[MPAL2]:[GI]])</f>
        <v>0</v>
      </c>
      <c r="X8" s="246"/>
      <c r="Y8" s="282">
        <f>(Y7-V062A_203031[[#This Row],[TOTAL]])+V062A_203031[[#This Row],[FAENA2]]</f>
        <v>55.88</v>
      </c>
      <c r="Z8" s="245">
        <v>0</v>
      </c>
      <c r="AA8" s="246">
        <v>0</v>
      </c>
      <c r="AB8" s="320">
        <f>(AB7-V062A_203031[[#This Row],[CYLINDER MP]])+V062A_203031[[#This Row],[FAENA EN LTS]]</f>
        <v>3933</v>
      </c>
      <c r="AC8" s="246">
        <v>0</v>
      </c>
      <c r="AD8" s="246">
        <v>0</v>
      </c>
      <c r="AE8" s="320">
        <f>(AE7-V062A_203031[[#This Row],[CARTER MP.]])+V062A_203031[[#This Row],[FAENA EN LTS2]]</f>
        <v>3250</v>
      </c>
      <c r="AF8" s="246">
        <v>0</v>
      </c>
      <c r="AG8" s="246">
        <v>0</v>
      </c>
      <c r="AH8" s="320">
        <f>(AH7-V062A_203031[[#This Row],[MOT AUX]])+V062A_203031[[#This Row],[FAENA EN  LTS]]</f>
        <v>2450</v>
      </c>
      <c r="AI8" s="246">
        <v>0</v>
      </c>
      <c r="AJ8" s="246">
        <v>0</v>
      </c>
      <c r="AK8" s="321">
        <f>(AK7-V062A_203031[[#This Row],[HIDRAULICO]])+V062A_203031[[#This Row],[FAENA EN LTS3]]</f>
        <v>2350</v>
      </c>
    </row>
    <row r="9" spans="1:37" x14ac:dyDescent="0.25">
      <c r="A9" s="431" t="s">
        <v>274</v>
      </c>
      <c r="B9" s="48">
        <v>44082</v>
      </c>
      <c r="C9" s="41">
        <v>0.875</v>
      </c>
      <c r="D9" s="418">
        <f>IF(V062A_203031[[#This Row],[FECHA]]-B8=1,((V062A_203031[[#This Row],[HORA]]-C8)*24)+24,(V062A_203031[[#This Row],[HORA]]-C8)*24)</f>
        <v>2.1000000000000005</v>
      </c>
      <c r="E9" s="239" t="s">
        <v>47</v>
      </c>
      <c r="F9" s="29" t="s">
        <v>275</v>
      </c>
      <c r="G9" s="324"/>
      <c r="H9" s="306"/>
      <c r="I9" s="259">
        <f>IF(ISERROR(V062A_203031[[#This Row],[DISTANCIA POR CARTA]]/V062A_203031[[#This Row],[TIEMPO DE NAVEGACION]]),0,V062A_203031[[#This Row],[DISTANCIA POR CARTA]]/V062A_203031[[#This Row],[TIEMPO DE NAVEGACION]])</f>
        <v>0</v>
      </c>
      <c r="J9" s="242"/>
      <c r="K9" s="325"/>
      <c r="L9" s="418">
        <v>0.88</v>
      </c>
      <c r="M9" s="245">
        <v>0.11</v>
      </c>
      <c r="N9" s="245">
        <v>0.1</v>
      </c>
      <c r="O9" s="257">
        <f>SUM(V062A_203031[[#This Row],[MPAL]]+V062A_203031[[#This Row],[AUX.]]+V062A_203031[[#This Row],[CALDERA]])</f>
        <v>1.0900000000000001</v>
      </c>
      <c r="P9" s="319"/>
      <c r="Q9" s="281">
        <f>(Q8-V062A_203031[[#This Row],[TOTAL ]])+V062A_203031[[#This Row],[FAENA]]</f>
        <v>802.43000000000006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SUM(V062A_203031[[#This Row],[MPAL2]:[GI]])</f>
        <v>0</v>
      </c>
      <c r="X9" s="246"/>
      <c r="Y9" s="282">
        <f>(Y8-V062A_203031[[#This Row],[TOTAL]])+V062A_203031[[#This Row],[FAENA2]]</f>
        <v>55.88</v>
      </c>
      <c r="Z9" s="245">
        <v>40</v>
      </c>
      <c r="AA9" s="246">
        <v>0</v>
      </c>
      <c r="AB9" s="320">
        <f>(AB8-V062A_203031[[#This Row],[CYLINDER MP]])+V062A_203031[[#This Row],[FAENA EN LTS]]</f>
        <v>3893</v>
      </c>
      <c r="AC9" s="246">
        <v>0</v>
      </c>
      <c r="AD9" s="246">
        <v>0</v>
      </c>
      <c r="AE9" s="320">
        <f>(AE8-V062A_203031[[#This Row],[CARTER MP.]])+V062A_203031[[#This Row],[FAENA EN LTS2]]</f>
        <v>3250</v>
      </c>
      <c r="AF9" s="246">
        <v>20</v>
      </c>
      <c r="AG9" s="246">
        <v>0</v>
      </c>
      <c r="AH9" s="320">
        <f>(AH8-V062A_203031[[#This Row],[MOT AUX]])+V062A_203031[[#This Row],[FAENA EN  LTS]]</f>
        <v>2430</v>
      </c>
      <c r="AI9" s="246">
        <v>0</v>
      </c>
      <c r="AJ9" s="246">
        <v>0</v>
      </c>
      <c r="AK9" s="321">
        <f>(AK8-V062A_203031[[#This Row],[HIDRAULICO]])+V062A_203031[[#This Row],[FAENA EN LTS3]]</f>
        <v>2350</v>
      </c>
    </row>
    <row r="10" spans="1:37" x14ac:dyDescent="0.25">
      <c r="A10" s="431" t="s">
        <v>274</v>
      </c>
      <c r="B10" s="48">
        <v>44083</v>
      </c>
      <c r="C10" s="41">
        <v>0.33333333333333331</v>
      </c>
      <c r="D10" s="418">
        <f>IF(V062A_203031[[#This Row],[FECHA]]-B9=1,((V062A_203031[[#This Row],[HORA]]-C9)*24)+24,(V062A_203031[[#This Row],[HORA]]-C9)*24)</f>
        <v>10.999999999999998</v>
      </c>
      <c r="E10" s="239" t="s">
        <v>71</v>
      </c>
      <c r="F10" s="29" t="s">
        <v>71</v>
      </c>
      <c r="G10" s="324"/>
      <c r="H10" s="306"/>
      <c r="I10" s="259">
        <f>IF(ISERROR(V062A_203031[[#This Row],[DISTANCIA POR CARTA]]/V062A_203031[[#This Row],[TIEMPO DE NAVEGACION]]),0,V062A_203031[[#This Row],[DISTANCIA POR CARTA]]/V062A_203031[[#This Row],[TIEMPO DE NAVEGACION]])</f>
        <v>0</v>
      </c>
      <c r="J10" s="242"/>
      <c r="K10" s="325"/>
      <c r="L10" s="418">
        <v>0</v>
      </c>
      <c r="M10" s="245">
        <v>0.55000000000000004</v>
      </c>
      <c r="N10" s="245">
        <v>0.5</v>
      </c>
      <c r="O10" s="257">
        <f>SUM(V062A_203031[[#This Row],[MPAL]]+V062A_203031[[#This Row],[AUX.]]+V062A_203031[[#This Row],[CALDERA]])</f>
        <v>1.05</v>
      </c>
      <c r="P10" s="319"/>
      <c r="Q10" s="281">
        <f>(Q9-V062A_203031[[#This Row],[TOTAL ]])+V062A_203031[[#This Row],[FAENA]]</f>
        <v>801.38000000000011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SUM(V062A_203031[[#This Row],[MPAL2]:[GI]])</f>
        <v>0</v>
      </c>
      <c r="X10" s="246"/>
      <c r="Y10" s="282">
        <f>(Y9-V062A_203031[[#This Row],[TOTAL]])+V062A_203031[[#This Row],[FAENA2]]</f>
        <v>55.88</v>
      </c>
      <c r="Z10" s="245">
        <v>0</v>
      </c>
      <c r="AA10" s="246">
        <v>0</v>
      </c>
      <c r="AB10" s="320">
        <f>(AB9-V062A_203031[[#This Row],[CYLINDER MP]])+V062A_203031[[#This Row],[FAENA EN LTS]]</f>
        <v>3893</v>
      </c>
      <c r="AC10" s="246">
        <v>0</v>
      </c>
      <c r="AD10" s="246">
        <v>0</v>
      </c>
      <c r="AE10" s="320">
        <f>(AE9-V062A_203031[[#This Row],[CARTER MP.]])+V062A_203031[[#This Row],[FAENA EN LTS2]]</f>
        <v>3250</v>
      </c>
      <c r="AF10" s="246">
        <v>0</v>
      </c>
      <c r="AG10" s="246">
        <v>0</v>
      </c>
      <c r="AH10" s="320">
        <f>(AH9-V062A_203031[[#This Row],[MOT AUX]])+V062A_203031[[#This Row],[FAENA EN  LTS]]</f>
        <v>2430</v>
      </c>
      <c r="AI10" s="246">
        <v>0</v>
      </c>
      <c r="AJ10" s="246">
        <v>0</v>
      </c>
      <c r="AK10" s="321">
        <f>(AK9-V062A_203031[[#This Row],[HIDRAULICO]])+V062A_203031[[#This Row],[FAENA EN LTS3]]</f>
        <v>2350</v>
      </c>
    </row>
    <row r="11" spans="1:37" x14ac:dyDescent="0.25">
      <c r="A11" s="431" t="s">
        <v>274</v>
      </c>
      <c r="B11" s="48">
        <v>44084</v>
      </c>
      <c r="C11" s="41">
        <v>0.15972222222222224</v>
      </c>
      <c r="D11" s="418">
        <f>IF(V062A_203031[[#This Row],[FECHA]]-B10=1,((V062A_203031[[#This Row],[HORA]]-C10)*24)+24,(V062A_203031[[#This Row],[HORA]]-C10)*24)</f>
        <v>19.833333333333336</v>
      </c>
      <c r="E11" s="239" t="s">
        <v>71</v>
      </c>
      <c r="F11" s="29" t="s">
        <v>73</v>
      </c>
      <c r="G11" s="324"/>
      <c r="H11" s="306"/>
      <c r="I11" s="259">
        <f>IF(ISERROR(V062A_203031[[#This Row],[DISTANCIA POR CARTA]]/V062A_203031[[#This Row],[TIEMPO DE NAVEGACION]]),0,V062A_203031[[#This Row],[DISTANCIA POR CARTA]]/V062A_203031[[#This Row],[TIEMPO DE NAVEGACION]])</f>
        <v>0</v>
      </c>
      <c r="J11" s="242"/>
      <c r="K11" s="325"/>
      <c r="L11" s="418">
        <v>0</v>
      </c>
      <c r="M11" s="245">
        <v>2.48</v>
      </c>
      <c r="N11" s="245">
        <v>2.48</v>
      </c>
      <c r="O11" s="257">
        <f>SUM(V062A_203031[[#This Row],[MPAL]]+V062A_203031[[#This Row],[AUX.]]+V062A_203031[[#This Row],[CALDERA]])</f>
        <v>4.96</v>
      </c>
      <c r="P11" s="319"/>
      <c r="Q11" s="281">
        <f>(Q10-V062A_203031[[#This Row],[TOTAL ]])+V062A_203031[[#This Row],[FAENA]]</f>
        <v>796.42000000000007</v>
      </c>
      <c r="R11" s="245">
        <v>0</v>
      </c>
      <c r="S11" s="246">
        <v>1</v>
      </c>
      <c r="T11" s="246">
        <v>0</v>
      </c>
      <c r="U11" s="246">
        <v>0</v>
      </c>
      <c r="V11" s="246">
        <v>0</v>
      </c>
      <c r="W11" s="257">
        <f>SUM(V062A_203031[[#This Row],[MPAL2]:[GI]])</f>
        <v>1</v>
      </c>
      <c r="X11" s="246"/>
      <c r="Y11" s="282">
        <f>(Y10-V062A_203031[[#This Row],[TOTAL]])+V062A_203031[[#This Row],[FAENA2]]</f>
        <v>54.88</v>
      </c>
      <c r="Z11" s="245">
        <v>0</v>
      </c>
      <c r="AA11" s="246">
        <v>0</v>
      </c>
      <c r="AB11" s="320">
        <f>(AB10-V062A_203031[[#This Row],[CYLINDER MP]])+V062A_203031[[#This Row],[FAENA EN LTS]]</f>
        <v>3893</v>
      </c>
      <c r="AC11" s="246">
        <v>0</v>
      </c>
      <c r="AD11" s="246">
        <v>0</v>
      </c>
      <c r="AE11" s="320">
        <f>(AE10-V062A_203031[[#This Row],[CARTER MP.]])+V062A_203031[[#This Row],[FAENA EN LTS2]]</f>
        <v>3250</v>
      </c>
      <c r="AF11" s="246">
        <v>20</v>
      </c>
      <c r="AG11" s="246">
        <v>0</v>
      </c>
      <c r="AH11" s="320">
        <f>(AH10-V062A_203031[[#This Row],[MOT AUX]])+V062A_203031[[#This Row],[FAENA EN  LTS]]</f>
        <v>2410</v>
      </c>
      <c r="AI11" s="246">
        <v>0</v>
      </c>
      <c r="AJ11" s="246">
        <v>0</v>
      </c>
      <c r="AK11" s="321">
        <f>(AK10-V062A_203031[[#This Row],[HIDRAULICO]])+V062A_203031[[#This Row],[FAENA EN LTS3]]</f>
        <v>2350</v>
      </c>
    </row>
    <row r="12" spans="1:37" x14ac:dyDescent="0.25">
      <c r="A12" s="431" t="s">
        <v>274</v>
      </c>
      <c r="B12" s="48">
        <v>44084</v>
      </c>
      <c r="C12" s="41">
        <v>0.33333333333333331</v>
      </c>
      <c r="D12" s="418">
        <f>IF(V062A_203031[[#This Row],[FECHA]]-B11=1,((V062A_203031[[#This Row],[HORA]]-C11)*24)+24,(V062A_203031[[#This Row],[HORA]]-C11)*24)</f>
        <v>4.1666666666666661</v>
      </c>
      <c r="E12" s="239" t="s">
        <v>49</v>
      </c>
      <c r="F12" s="29" t="s">
        <v>49</v>
      </c>
      <c r="G12" s="324"/>
      <c r="H12" s="306"/>
      <c r="I12" s="259">
        <f>IF(ISERROR(V062A_203031[[#This Row],[DISTANCIA POR CARTA]]/V062A_203031[[#This Row],[TIEMPO DE NAVEGACION]]),0,V062A_203031[[#This Row],[DISTANCIA POR CARTA]]/V062A_203031[[#This Row],[TIEMPO DE NAVEGACION]])</f>
        <v>0</v>
      </c>
      <c r="J12" s="380"/>
      <c r="K12" s="325"/>
      <c r="L12" s="418">
        <v>0</v>
      </c>
      <c r="M12" s="245">
        <v>0.69</v>
      </c>
      <c r="N12" s="245">
        <v>0.69</v>
      </c>
      <c r="O12" s="257">
        <f>SUM(V062A_203031[[#This Row],[MPAL]]+V062A_203031[[#This Row],[AUX.]]+V062A_203031[[#This Row],[CALDERA]])</f>
        <v>1.38</v>
      </c>
      <c r="P12" s="319"/>
      <c r="Q12" s="281">
        <f>(Q11-V062A_203031[[#This Row],[TOTAL ]])+V062A_203031[[#This Row],[FAENA]]</f>
        <v>795.04000000000008</v>
      </c>
      <c r="R12" s="245">
        <v>0</v>
      </c>
      <c r="S12" s="246">
        <v>0.05</v>
      </c>
      <c r="T12" s="246">
        <v>0</v>
      </c>
      <c r="U12" s="246">
        <v>0</v>
      </c>
      <c r="V12" s="246">
        <v>0</v>
      </c>
      <c r="W12" s="257">
        <f>SUM(V062A_203031[[#This Row],[MPAL2]:[GI]])</f>
        <v>0.05</v>
      </c>
      <c r="X12" s="246">
        <v>82.25</v>
      </c>
      <c r="Y12" s="282">
        <f>(Y11-V062A_203031[[#This Row],[TOTAL]])+V062A_203031[[#This Row],[FAENA2]]</f>
        <v>137.08000000000001</v>
      </c>
      <c r="Z12" s="245">
        <v>0</v>
      </c>
      <c r="AA12" s="246">
        <v>0</v>
      </c>
      <c r="AB12" s="320">
        <f>(AB11-V062A_203031[[#This Row],[CYLINDER MP]])+V062A_203031[[#This Row],[FAENA EN LTS]]</f>
        <v>3893</v>
      </c>
      <c r="AC12" s="246">
        <v>0</v>
      </c>
      <c r="AD12" s="246">
        <v>0</v>
      </c>
      <c r="AE12" s="320">
        <f>(AE11-V062A_203031[[#This Row],[CARTER MP.]])+V062A_203031[[#This Row],[FAENA EN LTS2]]</f>
        <v>3250</v>
      </c>
      <c r="AF12" s="246">
        <v>0</v>
      </c>
      <c r="AG12" s="246">
        <v>0</v>
      </c>
      <c r="AH12" s="320">
        <f>(AH11-V062A_203031[[#This Row],[MOT AUX]])+V062A_203031[[#This Row],[FAENA EN  LTS]]</f>
        <v>2410</v>
      </c>
      <c r="AI12" s="246">
        <v>200</v>
      </c>
      <c r="AJ12" s="246">
        <v>0</v>
      </c>
      <c r="AK12" s="321">
        <f>(AK11-V062A_203031[[#This Row],[HIDRAULICO]])+V062A_203031[[#This Row],[FAENA EN LTS3]]</f>
        <v>2150</v>
      </c>
    </row>
    <row r="13" spans="1:37" x14ac:dyDescent="0.25">
      <c r="A13" s="431" t="s">
        <v>274</v>
      </c>
      <c r="B13" s="48">
        <v>44084</v>
      </c>
      <c r="C13" s="351">
        <v>0.48958333333333331</v>
      </c>
      <c r="D13" s="418">
        <f>IF(V062A_203031[[#This Row],[FECHA]]-B12=1,((V062A_203031[[#This Row],[HORA]]-C12)*24)+24,(V062A_203031[[#This Row],[HORA]]-C12)*24)</f>
        <v>3.75</v>
      </c>
      <c r="E13" s="239" t="s">
        <v>49</v>
      </c>
      <c r="F13" s="29" t="s">
        <v>74</v>
      </c>
      <c r="G13" s="324"/>
      <c r="H13" s="306"/>
      <c r="I13" s="259">
        <f>IF(ISERROR(V062A_203031[[#This Row],[DISTANCIA POR CARTA]]/V062A_203031[[#This Row],[TIEMPO DE NAVEGACION]]),0,V062A_203031[[#This Row],[DISTANCIA POR CARTA]]/V062A_203031[[#This Row],[TIEMPO DE NAVEGACION]])</f>
        <v>0</v>
      </c>
      <c r="J13" s="380"/>
      <c r="K13" s="325"/>
      <c r="L13" s="418">
        <v>0</v>
      </c>
      <c r="M13" s="245">
        <v>0.19</v>
      </c>
      <c r="N13" s="245">
        <v>0.16</v>
      </c>
      <c r="O13" s="257">
        <f>SUM(V062A_203031[[#This Row],[MPAL]]+V062A_203031[[#This Row],[AUX.]]+V062A_203031[[#This Row],[CALDERA]])</f>
        <v>0.35</v>
      </c>
      <c r="P13" s="319"/>
      <c r="Q13" s="281">
        <f>(Q12-V062A_203031[[#This Row],[TOTAL ]])+V062A_203031[[#This Row],[FAENA]]</f>
        <v>794.69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SUM(V062A_203031[[#This Row],[MPAL2]:[GI]])</f>
        <v>0</v>
      </c>
      <c r="X13" s="246"/>
      <c r="Y13" s="282">
        <f>(Y12-V062A_203031[[#This Row],[TOTAL]])+V062A_203031[[#This Row],[FAENA2]]</f>
        <v>137.08000000000001</v>
      </c>
      <c r="Z13" s="245">
        <v>0</v>
      </c>
      <c r="AA13" s="246">
        <v>0</v>
      </c>
      <c r="AB13" s="320">
        <f>(AB12-V062A_203031[[#This Row],[CYLINDER MP]])+V062A_203031[[#This Row],[FAENA EN LTS]]</f>
        <v>3893</v>
      </c>
      <c r="AC13" s="246">
        <v>0</v>
      </c>
      <c r="AD13" s="246">
        <v>0</v>
      </c>
      <c r="AE13" s="320">
        <f>(AE12-V062A_203031[[#This Row],[CARTER MP.]])+V062A_203031[[#This Row],[FAENA EN LTS2]]</f>
        <v>3250</v>
      </c>
      <c r="AF13" s="246">
        <v>0</v>
      </c>
      <c r="AG13" s="246">
        <v>0</v>
      </c>
      <c r="AH13" s="320">
        <f>(AH12-V062A_203031[[#This Row],[MOT AUX]])+V062A_203031[[#This Row],[FAENA EN  LTS]]</f>
        <v>2410</v>
      </c>
      <c r="AI13" s="246">
        <v>0</v>
      </c>
      <c r="AJ13" s="246">
        <v>0</v>
      </c>
      <c r="AK13" s="321">
        <f>(AK12-V062A_203031[[#This Row],[HIDRAULICO]])+V062A_203031[[#This Row],[FAENA EN LTS3]]</f>
        <v>2150</v>
      </c>
    </row>
    <row r="14" spans="1:37" x14ac:dyDescent="0.25">
      <c r="A14" s="431" t="s">
        <v>274</v>
      </c>
      <c r="B14" s="48">
        <v>44084</v>
      </c>
      <c r="C14" s="41">
        <v>0.54166666666666663</v>
      </c>
      <c r="D14" s="418">
        <f>IF(V062A_203031[[#This Row],[FECHA]]-B13=1,((V062A_203031[[#This Row],[HORA]]-C13)*24)+24,(V062A_203031[[#This Row],[HORA]]-C13)*24)</f>
        <v>1.2499999999999996</v>
      </c>
      <c r="E14" s="239" t="s">
        <v>47</v>
      </c>
      <c r="F14" s="29" t="s">
        <v>277</v>
      </c>
      <c r="G14" s="324"/>
      <c r="H14" s="306"/>
      <c r="I14" s="259">
        <f>IF(ISERROR(V062A_203031[[#This Row],[DISTANCIA POR CARTA]]/V062A_203031[[#This Row],[TIEMPO DE NAVEGACION]]),0,V062A_203031[[#This Row],[DISTANCIA POR CARTA]]/V062A_203031[[#This Row],[TIEMPO DE NAVEGACION]])</f>
        <v>0</v>
      </c>
      <c r="J14" s="380"/>
      <c r="K14" s="325"/>
      <c r="L14" s="418">
        <v>0.52</v>
      </c>
      <c r="M14" s="245">
        <v>0.06</v>
      </c>
      <c r="N14" s="245">
        <v>0.05</v>
      </c>
      <c r="O14" s="257">
        <f>SUM(V062A_203031[[#This Row],[MPAL]]+V062A_203031[[#This Row],[AUX.]]+V062A_203031[[#This Row],[CALDERA]])</f>
        <v>0.63000000000000012</v>
      </c>
      <c r="P14" s="319"/>
      <c r="Q14" s="281">
        <f>(Q13-V062A_203031[[#This Row],[TOTAL ]])+V062A_203031[[#This Row],[FAENA]]</f>
        <v>794.06000000000006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SUM(V062A_203031[[#This Row],[MPAL2]:[GI]])</f>
        <v>0</v>
      </c>
      <c r="X14" s="246"/>
      <c r="Y14" s="282">
        <f>(Y13-V062A_203031[[#This Row],[TOTAL]])+V062A_203031[[#This Row],[FAENA2]]</f>
        <v>137.08000000000001</v>
      </c>
      <c r="Z14" s="245">
        <v>30</v>
      </c>
      <c r="AA14" s="246">
        <v>0</v>
      </c>
      <c r="AB14" s="320">
        <f>(AB13-V062A_203031[[#This Row],[CYLINDER MP]])+V062A_203031[[#This Row],[FAENA EN LTS]]</f>
        <v>3863</v>
      </c>
      <c r="AC14" s="246">
        <v>0</v>
      </c>
      <c r="AD14" s="246">
        <v>0</v>
      </c>
      <c r="AE14" s="320">
        <f>(AE13-V062A_203031[[#This Row],[CARTER MP.]])+V062A_203031[[#This Row],[FAENA EN LTS2]]</f>
        <v>3250</v>
      </c>
      <c r="AF14" s="246">
        <v>20</v>
      </c>
      <c r="AG14" s="246">
        <v>0</v>
      </c>
      <c r="AH14" s="320">
        <f>(AH13-V062A_203031[[#This Row],[MOT AUX]])+V062A_203031[[#This Row],[FAENA EN  LTS]]</f>
        <v>2390</v>
      </c>
      <c r="AI14" s="246">
        <v>0</v>
      </c>
      <c r="AJ14" s="246">
        <v>0</v>
      </c>
      <c r="AK14" s="321">
        <f>(AK13-V062A_203031[[#This Row],[HIDRAULICO]])+V062A_203031[[#This Row],[FAENA EN LTS3]]</f>
        <v>2150</v>
      </c>
    </row>
    <row r="15" spans="1:37" x14ac:dyDescent="0.25">
      <c r="A15" s="431" t="s">
        <v>274</v>
      </c>
      <c r="B15" s="48">
        <v>44085</v>
      </c>
      <c r="C15" s="41">
        <v>0.33333333333333331</v>
      </c>
      <c r="D15" s="418">
        <f>IF(V062A_203031[[#This Row],[FECHA]]-B14=1,((V062A_203031[[#This Row],[HORA]]-C14)*24)+24,(V062A_203031[[#This Row],[HORA]]-C14)*24)</f>
        <v>19</v>
      </c>
      <c r="E15" s="409" t="s">
        <v>55</v>
      </c>
      <c r="F15" s="29" t="s">
        <v>56</v>
      </c>
      <c r="G15" s="324">
        <v>227.3</v>
      </c>
      <c r="H15" s="306">
        <v>19</v>
      </c>
      <c r="I15" s="259">
        <f>IF(ISERROR(V062A_203031[[#This Row],[DISTANCIA POR CARTA]]/V062A_203031[[#This Row],[TIEMPO DE NAVEGACION]]),0,V062A_203031[[#This Row],[DISTANCIA POR CARTA]]/V062A_203031[[#This Row],[TIEMPO DE NAVEGACION]])</f>
        <v>11.963157894736844</v>
      </c>
      <c r="J15" s="380">
        <v>5</v>
      </c>
      <c r="K15" s="325">
        <v>97</v>
      </c>
      <c r="L15" s="418">
        <v>18.21</v>
      </c>
      <c r="M15" s="245">
        <v>0.95</v>
      </c>
      <c r="N15" s="245">
        <v>0.79</v>
      </c>
      <c r="O15" s="257">
        <f>SUM(V062A_203031[[#This Row],[MPAL]]+V062A_203031[[#This Row],[AUX.]]+V062A_203031[[#This Row],[CALDERA]])</f>
        <v>19.95</v>
      </c>
      <c r="P15" s="319"/>
      <c r="Q15" s="281">
        <f>(Q14-V062A_203031[[#This Row],[TOTAL ]])+V062A_203031[[#This Row],[FAENA]]</f>
        <v>774.11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SUM(V062A_203031[[#This Row],[MPAL2]:[GI]])</f>
        <v>0</v>
      </c>
      <c r="X15" s="246"/>
      <c r="Y15" s="282">
        <f>(Y14-V062A_203031[[#This Row],[TOTAL]])+V062A_203031[[#This Row],[FAENA2]]</f>
        <v>137.08000000000001</v>
      </c>
      <c r="Z15" s="245">
        <v>240</v>
      </c>
      <c r="AA15" s="246">
        <v>0</v>
      </c>
      <c r="AB15" s="320">
        <f>(AB14-V062A_203031[[#This Row],[CYLINDER MP]])+V062A_203031[[#This Row],[FAENA EN LTS]]</f>
        <v>3623</v>
      </c>
      <c r="AC15" s="246">
        <v>0</v>
      </c>
      <c r="AD15" s="246">
        <v>0</v>
      </c>
      <c r="AE15" s="320">
        <f>(AE14-V062A_203031[[#This Row],[CARTER MP.]])+V062A_203031[[#This Row],[FAENA EN LTS2]]</f>
        <v>3250</v>
      </c>
      <c r="AF15" s="246">
        <v>0</v>
      </c>
      <c r="AG15" s="246">
        <v>0</v>
      </c>
      <c r="AH15" s="320">
        <f>(AH14-V062A_203031[[#This Row],[MOT AUX]])+V062A_203031[[#This Row],[FAENA EN  LTS]]</f>
        <v>2390</v>
      </c>
      <c r="AI15" s="246">
        <v>0</v>
      </c>
      <c r="AJ15" s="246">
        <v>0</v>
      </c>
      <c r="AK15" s="321">
        <f>(AK14-V062A_203031[[#This Row],[HIDRAULICO]])+V062A_203031[[#This Row],[FAENA EN LTS3]]</f>
        <v>2150</v>
      </c>
    </row>
    <row r="16" spans="1:37" x14ac:dyDescent="0.25">
      <c r="A16" s="431" t="s">
        <v>274</v>
      </c>
      <c r="B16" s="48">
        <v>44086</v>
      </c>
      <c r="C16" s="41">
        <v>0.33333333333333331</v>
      </c>
      <c r="D16" s="418">
        <f>IF(V062A_203031[[#This Row],[FECHA]]-B15=1,((V062A_203031[[#This Row],[HORA]]-C15)*24)+24,(V062A_203031[[#This Row],[HORA]]-C15)*24)</f>
        <v>24</v>
      </c>
      <c r="E16" s="409" t="s">
        <v>55</v>
      </c>
      <c r="F16" s="29" t="s">
        <v>56</v>
      </c>
      <c r="G16" s="324">
        <v>288.2</v>
      </c>
      <c r="H16" s="306">
        <v>24</v>
      </c>
      <c r="I16" s="259">
        <f>IF(ISERROR(V062A_203031[[#This Row],[DISTANCIA POR CARTA]]/V062A_203031[[#This Row],[TIEMPO DE NAVEGACION]]),0,V062A_203031[[#This Row],[DISTANCIA POR CARTA]]/V062A_203031[[#This Row],[TIEMPO DE NAVEGACION]])</f>
        <v>12.008333333333333</v>
      </c>
      <c r="J16" s="380">
        <v>6</v>
      </c>
      <c r="K16" s="325">
        <v>97</v>
      </c>
      <c r="L16" s="418">
        <v>23</v>
      </c>
      <c r="M16" s="245">
        <v>1.2</v>
      </c>
      <c r="N16" s="245">
        <v>1.2</v>
      </c>
      <c r="O16" s="257">
        <f>SUM(V062A_203031[[#This Row],[MPAL]]+V062A_203031[[#This Row],[AUX.]]+V062A_203031[[#This Row],[CALDERA]])</f>
        <v>25.4</v>
      </c>
      <c r="P16" s="246"/>
      <c r="Q16" s="281">
        <f>(Q15-V062A_203031[[#This Row],[TOTAL ]])+V062A_203031[[#This Row],[FAENA]]</f>
        <v>748.71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SUM(V062A_203031[[#This Row],[MPAL2]:[GI]])</f>
        <v>0</v>
      </c>
      <c r="X16" s="246"/>
      <c r="Y16" s="282">
        <f>(Y15-V062A_203031[[#This Row],[TOTAL]])+V062A_203031[[#This Row],[FAENA2]]</f>
        <v>137.08000000000001</v>
      </c>
      <c r="Z16" s="245">
        <v>300</v>
      </c>
      <c r="AA16" s="246">
        <v>0</v>
      </c>
      <c r="AB16" s="320">
        <f>(AB15-V062A_203031[[#This Row],[CYLINDER MP]])+V062A_203031[[#This Row],[FAENA EN LTS]]</f>
        <v>3323</v>
      </c>
      <c r="AC16" s="246">
        <v>0</v>
      </c>
      <c r="AD16" s="246">
        <v>0</v>
      </c>
      <c r="AE16" s="320">
        <f>(AE15-V062A_203031[[#This Row],[CARTER MP.]])+V062A_203031[[#This Row],[FAENA EN LTS2]]</f>
        <v>3250</v>
      </c>
      <c r="AF16" s="246">
        <v>20</v>
      </c>
      <c r="AG16" s="246">
        <v>0</v>
      </c>
      <c r="AH16" s="320">
        <f>(AH15-V062A_203031[[#This Row],[MOT AUX]])+V062A_203031[[#This Row],[FAENA EN  LTS]]</f>
        <v>2370</v>
      </c>
      <c r="AI16" s="246">
        <v>0</v>
      </c>
      <c r="AJ16" s="246">
        <v>0</v>
      </c>
      <c r="AK16" s="321">
        <f>(AK15-V062A_203031[[#This Row],[HIDRAULICO]])+V062A_203031[[#This Row],[FAENA EN LTS3]]</f>
        <v>2150</v>
      </c>
    </row>
    <row r="17" spans="1:37" x14ac:dyDescent="0.25">
      <c r="A17" s="431" t="s">
        <v>274</v>
      </c>
      <c r="B17" s="48">
        <v>44087</v>
      </c>
      <c r="C17" s="351">
        <v>0.33333333333333331</v>
      </c>
      <c r="D17" s="418">
        <f>IF(V062A_203031[[#This Row],[FECHA]]-B16=1,((V062A_203031[[#This Row],[HORA]]-C16)*24)+24,(V062A_203031[[#This Row],[HORA]]-C16)*24)</f>
        <v>24</v>
      </c>
      <c r="E17" s="409" t="s">
        <v>55</v>
      </c>
      <c r="F17" s="29" t="s">
        <v>56</v>
      </c>
      <c r="G17" s="324">
        <v>281.39999999999998</v>
      </c>
      <c r="H17" s="306">
        <v>24</v>
      </c>
      <c r="I17" s="259">
        <f>IF(ISERROR(V062A_203031[[#This Row],[DISTANCIA POR CARTA]]/V062A_203031[[#This Row],[TIEMPO DE NAVEGACION]]),0,V062A_203031[[#This Row],[DISTANCIA POR CARTA]]/V062A_203031[[#This Row],[TIEMPO DE NAVEGACION]])</f>
        <v>11.725</v>
      </c>
      <c r="J17" s="380">
        <v>6</v>
      </c>
      <c r="K17" s="325">
        <v>97</v>
      </c>
      <c r="L17" s="418">
        <v>23</v>
      </c>
      <c r="M17" s="245">
        <v>1.2</v>
      </c>
      <c r="N17" s="245">
        <v>1.2</v>
      </c>
      <c r="O17" s="257">
        <f>SUM(V062A_203031[[#This Row],[MPAL]]+V062A_203031[[#This Row],[AUX.]]+V062A_203031[[#This Row],[CALDERA]])</f>
        <v>25.4</v>
      </c>
      <c r="P17" s="319"/>
      <c r="Q17" s="281">
        <f>(Q16-V062A_203031[[#This Row],[TOTAL ]])+V062A_203031[[#This Row],[FAENA]]</f>
        <v>723.31000000000006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SUM(V062A_203031[[#This Row],[MPAL2]:[GI]])</f>
        <v>0</v>
      </c>
      <c r="X17" s="246"/>
      <c r="Y17" s="282">
        <f>(Y16-V062A_203031[[#This Row],[TOTAL]])+V062A_203031[[#This Row],[FAENA2]]</f>
        <v>137.08000000000001</v>
      </c>
      <c r="Z17" s="245">
        <v>300</v>
      </c>
      <c r="AA17" s="246">
        <v>0</v>
      </c>
      <c r="AB17" s="320">
        <f>(AB16-V062A_203031[[#This Row],[CYLINDER MP]])+V062A_203031[[#This Row],[FAENA EN LTS]]</f>
        <v>3023</v>
      </c>
      <c r="AC17" s="246">
        <v>500</v>
      </c>
      <c r="AD17" s="246">
        <v>0</v>
      </c>
      <c r="AE17" s="320">
        <f>(AE16-V062A_203031[[#This Row],[CARTER MP.]])+V062A_203031[[#This Row],[FAENA EN LTS2]]</f>
        <v>2750</v>
      </c>
      <c r="AF17" s="246">
        <v>800</v>
      </c>
      <c r="AG17" s="246">
        <v>0</v>
      </c>
      <c r="AH17" s="320">
        <f>(AH16-V062A_203031[[#This Row],[MOT AUX]])+V062A_203031[[#This Row],[FAENA EN  LTS]]</f>
        <v>1570</v>
      </c>
      <c r="AI17" s="246">
        <v>0</v>
      </c>
      <c r="AJ17" s="246">
        <v>0</v>
      </c>
      <c r="AK17" s="321">
        <f>(AK16-V062A_203031[[#This Row],[HIDRAULICO]])+V062A_203031[[#This Row],[FAENA EN LTS3]]</f>
        <v>2150</v>
      </c>
    </row>
    <row r="18" spans="1:37" x14ac:dyDescent="0.25">
      <c r="A18" s="431" t="s">
        <v>274</v>
      </c>
      <c r="B18" s="48">
        <v>44087</v>
      </c>
      <c r="C18" s="41">
        <v>0.95000000000000007</v>
      </c>
      <c r="D18" s="418">
        <f>IF(V062A_203031[[#This Row],[FECHA]]-B17=1,((V062A_203031[[#This Row],[HORA]]-C17)*24)+24,(V062A_203031[[#This Row],[HORA]]-C17)*24)</f>
        <v>14.8</v>
      </c>
      <c r="E18" s="409" t="s">
        <v>55</v>
      </c>
      <c r="F18" s="29" t="s">
        <v>211</v>
      </c>
      <c r="G18" s="324">
        <v>170.1</v>
      </c>
      <c r="H18" s="306">
        <v>14.8</v>
      </c>
      <c r="I18" s="259">
        <f>IF(ISERROR(V062A_203031[[#This Row],[DISTANCIA POR CARTA]]/V062A_203031[[#This Row],[TIEMPO DE NAVEGACION]]),0,V062A_203031[[#This Row],[DISTANCIA POR CARTA]]/V062A_203031[[#This Row],[TIEMPO DE NAVEGACION]])</f>
        <v>11.493243243243242</v>
      </c>
      <c r="J18" s="380">
        <v>6</v>
      </c>
      <c r="K18" s="325">
        <v>97</v>
      </c>
      <c r="L18" s="418">
        <v>14.18</v>
      </c>
      <c r="M18" s="245">
        <v>0.74</v>
      </c>
      <c r="N18" s="245">
        <v>0.74</v>
      </c>
      <c r="O18" s="257">
        <f>SUM(V062A_203031[[#This Row],[MPAL]]+V062A_203031[[#This Row],[AUX.]]+V062A_203031[[#This Row],[CALDERA]])</f>
        <v>15.66</v>
      </c>
      <c r="P18" s="319"/>
      <c r="Q18" s="281">
        <f>(Q17-V062A_203031[[#This Row],[TOTAL ]])+V062A_203031[[#This Row],[FAENA]]</f>
        <v>707.65000000000009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SUM(V062A_203031[[#This Row],[MPAL2]:[GI]])</f>
        <v>0</v>
      </c>
      <c r="X18" s="246"/>
      <c r="Y18" s="282">
        <f>(Y17-V062A_203031[[#This Row],[TOTAL]])+V062A_203031[[#This Row],[FAENA2]]</f>
        <v>137.08000000000001</v>
      </c>
      <c r="Z18" s="245">
        <v>190</v>
      </c>
      <c r="AA18" s="246">
        <v>0</v>
      </c>
      <c r="AB18" s="320">
        <f>(AB17-V062A_203031[[#This Row],[CYLINDER MP]])+V062A_203031[[#This Row],[FAENA EN LTS]]</f>
        <v>2833</v>
      </c>
      <c r="AC18" s="246">
        <v>0</v>
      </c>
      <c r="AD18" s="246">
        <v>0</v>
      </c>
      <c r="AE18" s="320">
        <f>(AE17-V062A_203031[[#This Row],[CARTER MP.]])+V062A_203031[[#This Row],[FAENA EN LTS2]]</f>
        <v>2750</v>
      </c>
      <c r="AF18" s="246">
        <v>0</v>
      </c>
      <c r="AG18" s="246">
        <v>0</v>
      </c>
      <c r="AH18" s="320">
        <f>(AH17-V062A_203031[[#This Row],[MOT AUX]])+V062A_203031[[#This Row],[FAENA EN  LTS]]</f>
        <v>1570</v>
      </c>
      <c r="AI18" s="246">
        <v>0</v>
      </c>
      <c r="AJ18" s="246">
        <v>0</v>
      </c>
      <c r="AK18" s="321">
        <f>(AK17-V062A_203031[[#This Row],[HIDRAULICO]])+V062A_203031[[#This Row],[FAENA EN LTS3]]</f>
        <v>2150</v>
      </c>
    </row>
    <row r="19" spans="1:37" x14ac:dyDescent="0.25">
      <c r="A19" s="431" t="s">
        <v>274</v>
      </c>
      <c r="B19" s="48">
        <v>44087</v>
      </c>
      <c r="C19" s="41">
        <v>0.99583333333333324</v>
      </c>
      <c r="D19" s="418">
        <f>IF(V062A_203031[[#This Row],[FECHA]]-B18=1,((V062A_203031[[#This Row],[HORA]]-C18)*24)+24,(V062A_203031[[#This Row],[HORA]]-C18)*24)</f>
        <v>1.0999999999999961</v>
      </c>
      <c r="E19" s="239" t="s">
        <v>47</v>
      </c>
      <c r="F19" s="29" t="s">
        <v>278</v>
      </c>
      <c r="G19" s="324"/>
      <c r="H19" s="306"/>
      <c r="I19" s="259">
        <f>IF(ISERROR(V062A_203031[[#This Row],[DISTANCIA POR CARTA]]/V062A_203031[[#This Row],[TIEMPO DE NAVEGACION]]),0,V062A_203031[[#This Row],[DISTANCIA POR CARTA]]/V062A_203031[[#This Row],[TIEMPO DE NAVEGACION]])</f>
        <v>0</v>
      </c>
      <c r="J19" s="380"/>
      <c r="K19" s="325"/>
      <c r="L19" s="418">
        <v>0.5</v>
      </c>
      <c r="M19" s="245">
        <v>0.06</v>
      </c>
      <c r="N19" s="245">
        <v>0.06</v>
      </c>
      <c r="O19" s="257">
        <f>SUM(V062A_203031[[#This Row],[MPAL]]+V062A_203031[[#This Row],[AUX.]]+V062A_203031[[#This Row],[CALDERA]])</f>
        <v>0.62000000000000011</v>
      </c>
      <c r="P19" s="319"/>
      <c r="Q19" s="281">
        <f>(Q18-V062A_203031[[#This Row],[TOTAL ]])+V062A_203031[[#This Row],[FAENA]]</f>
        <v>707.03000000000009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SUM(V062A_203031[[#This Row],[MPAL2]:[GI]])</f>
        <v>0</v>
      </c>
      <c r="X19" s="246"/>
      <c r="Y19" s="282">
        <f>(Y18-V062A_203031[[#This Row],[TOTAL]])+V062A_203031[[#This Row],[FAENA2]]</f>
        <v>137.08000000000001</v>
      </c>
      <c r="Z19" s="245">
        <v>10</v>
      </c>
      <c r="AA19" s="246">
        <v>0</v>
      </c>
      <c r="AB19" s="320">
        <f>(AB18-V062A_203031[[#This Row],[CYLINDER MP]])+V062A_203031[[#This Row],[FAENA EN LTS]]</f>
        <v>2823</v>
      </c>
      <c r="AC19" s="246">
        <v>0</v>
      </c>
      <c r="AD19" s="246">
        <v>0</v>
      </c>
      <c r="AE19" s="320">
        <f>(AE18-V062A_203031[[#This Row],[CARTER MP.]])+V062A_203031[[#This Row],[FAENA EN LTS2]]</f>
        <v>2750</v>
      </c>
      <c r="AF19" s="246">
        <v>0</v>
      </c>
      <c r="AG19" s="246">
        <v>0</v>
      </c>
      <c r="AH19" s="320">
        <f>(AH18-V062A_203031[[#This Row],[MOT AUX]])+V062A_203031[[#This Row],[FAENA EN  LTS]]</f>
        <v>1570</v>
      </c>
      <c r="AI19" s="246">
        <v>0</v>
      </c>
      <c r="AJ19" s="246">
        <v>0</v>
      </c>
      <c r="AK19" s="321">
        <f>(AK18-V062A_203031[[#This Row],[HIDRAULICO]])+V062A_203031[[#This Row],[FAENA EN LTS3]]</f>
        <v>2150</v>
      </c>
    </row>
    <row r="20" spans="1:37" x14ac:dyDescent="0.25">
      <c r="A20" s="431" t="s">
        <v>274</v>
      </c>
      <c r="B20" s="48">
        <v>44088</v>
      </c>
      <c r="C20" s="41">
        <v>0.33333333333333331</v>
      </c>
      <c r="D20" s="418">
        <f>IF(V062A_203031[[#This Row],[FECHA]]-B19=1,((V062A_203031[[#This Row],[HORA]]-C19)*24)+24,(V062A_203031[[#This Row],[HORA]]-C19)*24)</f>
        <v>8.1000000000000032</v>
      </c>
      <c r="E20" s="239" t="s">
        <v>45</v>
      </c>
      <c r="F20" s="29" t="s">
        <v>45</v>
      </c>
      <c r="G20" s="324"/>
      <c r="H20" s="306"/>
      <c r="I20" s="259">
        <f>IF(ISERROR(V062A_203031[[#This Row],[DISTANCIA POR CARTA]]/V062A_203031[[#This Row],[TIEMPO DE NAVEGACION]]),0,V062A_203031[[#This Row],[DISTANCIA POR CARTA]]/V062A_203031[[#This Row],[TIEMPO DE NAVEGACION]])</f>
        <v>0</v>
      </c>
      <c r="J20" s="380"/>
      <c r="K20" s="325"/>
      <c r="L20" s="418">
        <v>0</v>
      </c>
      <c r="M20" s="245">
        <v>0.4</v>
      </c>
      <c r="N20" s="245">
        <v>0.4</v>
      </c>
      <c r="O20" s="257">
        <f>SUM(V062A_203031[[#This Row],[MPAL]]+V062A_203031[[#This Row],[AUX.]]+V062A_203031[[#This Row],[CALDERA]])</f>
        <v>0.8</v>
      </c>
      <c r="P20" s="319"/>
      <c r="Q20" s="281">
        <f>(Q19-V062A_203031[[#This Row],[TOTAL ]])+V062A_203031[[#This Row],[FAENA]]</f>
        <v>706.23000000000013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SUM(V062A_203031[[#This Row],[MPAL2]:[GI]])</f>
        <v>0</v>
      </c>
      <c r="X20" s="246"/>
      <c r="Y20" s="282">
        <f>(Y19-V062A_203031[[#This Row],[TOTAL]])+V062A_203031[[#This Row],[FAENA2]]</f>
        <v>137.08000000000001</v>
      </c>
      <c r="Z20" s="245">
        <v>0</v>
      </c>
      <c r="AA20" s="246">
        <v>0</v>
      </c>
      <c r="AB20" s="320">
        <f>(AB19-V062A_203031[[#This Row],[CYLINDER MP]])+V062A_203031[[#This Row],[FAENA EN LTS]]</f>
        <v>2823</v>
      </c>
      <c r="AC20" s="246">
        <v>0</v>
      </c>
      <c r="AD20" s="246">
        <v>0</v>
      </c>
      <c r="AE20" s="320">
        <f>(AE19-V062A_203031[[#This Row],[CARTER MP.]])+V062A_203031[[#This Row],[FAENA EN LTS2]]</f>
        <v>2750</v>
      </c>
      <c r="AF20" s="246">
        <v>0</v>
      </c>
      <c r="AG20" s="246">
        <v>0</v>
      </c>
      <c r="AH20" s="320">
        <f>(AH19-V062A_203031[[#This Row],[MOT AUX]])+V062A_203031[[#This Row],[FAENA EN  LTS]]</f>
        <v>1570</v>
      </c>
      <c r="AI20" s="246">
        <v>0</v>
      </c>
      <c r="AJ20" s="246">
        <v>0</v>
      </c>
      <c r="AK20" s="321">
        <f>(AK19-V062A_203031[[#This Row],[HIDRAULICO]])+V062A_203031[[#This Row],[FAENA EN LTS3]]</f>
        <v>2150</v>
      </c>
    </row>
    <row r="21" spans="1:37" x14ac:dyDescent="0.25">
      <c r="A21" s="431" t="s">
        <v>274</v>
      </c>
      <c r="B21" s="48">
        <v>44089</v>
      </c>
      <c r="C21" s="41">
        <v>0.33333333333333331</v>
      </c>
      <c r="D21" s="418">
        <f>IF(V062A_203031[[#This Row],[FECHA]]-B20=1,((V062A_203031[[#This Row],[HORA]]-C20)*24)+24,(V062A_203031[[#This Row],[HORA]]-C20)*24)</f>
        <v>24</v>
      </c>
      <c r="E21" s="239" t="s">
        <v>45</v>
      </c>
      <c r="F21" s="29" t="s">
        <v>45</v>
      </c>
      <c r="G21" s="324"/>
      <c r="H21" s="306"/>
      <c r="I21" s="259">
        <f>IF(ISERROR(V062A_203031[[#This Row],[DISTANCIA POR CARTA]]/V062A_203031[[#This Row],[TIEMPO DE NAVEGACION]]),0,V062A_203031[[#This Row],[DISTANCIA POR CARTA]]/V062A_203031[[#This Row],[TIEMPO DE NAVEGACION]])</f>
        <v>0</v>
      </c>
      <c r="J21" s="380"/>
      <c r="K21" s="325"/>
      <c r="L21" s="418">
        <v>0</v>
      </c>
      <c r="M21" s="245">
        <v>1.2</v>
      </c>
      <c r="N21" s="245">
        <v>1</v>
      </c>
      <c r="O21" s="257">
        <f>SUM(V062A_203031[[#This Row],[MPAL]]+V062A_203031[[#This Row],[AUX.]]+V062A_203031[[#This Row],[CALDERA]])</f>
        <v>2.2000000000000002</v>
      </c>
      <c r="P21" s="319"/>
      <c r="Q21" s="281">
        <f>(Q20-V062A_203031[[#This Row],[TOTAL ]])+V062A_203031[[#This Row],[FAENA]]</f>
        <v>704.03000000000009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SUM(V062A_203031[[#This Row],[MPAL2]:[GI]])</f>
        <v>0</v>
      </c>
      <c r="X21" s="246"/>
      <c r="Y21" s="282">
        <f>(Y20-V062A_203031[[#This Row],[TOTAL]])+V062A_203031[[#This Row],[FAENA2]]</f>
        <v>137.08000000000001</v>
      </c>
      <c r="Z21" s="245">
        <v>0</v>
      </c>
      <c r="AA21" s="246">
        <v>0</v>
      </c>
      <c r="AB21" s="320">
        <f>(AB20-V062A_203031[[#This Row],[CYLINDER MP]])+V062A_203031[[#This Row],[FAENA EN LTS]]</f>
        <v>2823</v>
      </c>
      <c r="AC21" s="246">
        <v>0</v>
      </c>
      <c r="AD21" s="246">
        <v>0</v>
      </c>
      <c r="AE21" s="320">
        <f>(AE20-V062A_203031[[#This Row],[CARTER MP.]])+V062A_203031[[#This Row],[FAENA EN LTS2]]</f>
        <v>2750</v>
      </c>
      <c r="AF21" s="246">
        <v>20</v>
      </c>
      <c r="AG21" s="246">
        <v>0</v>
      </c>
      <c r="AH21" s="320">
        <f>(AH20-V062A_203031[[#This Row],[MOT AUX]])+V062A_203031[[#This Row],[FAENA EN  LTS]]</f>
        <v>1550</v>
      </c>
      <c r="AI21" s="246">
        <v>0</v>
      </c>
      <c r="AJ21" s="246">
        <v>0</v>
      </c>
      <c r="AK21" s="321">
        <f>(AK20-V062A_203031[[#This Row],[HIDRAULICO]])+V062A_203031[[#This Row],[FAENA EN LTS3]]</f>
        <v>2150</v>
      </c>
    </row>
    <row r="22" spans="1:37" x14ac:dyDescent="0.25">
      <c r="A22" s="431" t="s">
        <v>274</v>
      </c>
      <c r="B22" s="48">
        <v>44090</v>
      </c>
      <c r="C22" s="362">
        <v>0.33333333333333331</v>
      </c>
      <c r="D22" s="418">
        <f>IF(V062A_203031[[#This Row],[FECHA]]-B21=1,((V062A_203031[[#This Row],[HORA]]-C21)*24)+24,(V062A_203031[[#This Row],[HORA]]-C21)*24)</f>
        <v>24</v>
      </c>
      <c r="E22" s="409" t="s">
        <v>45</v>
      </c>
      <c r="F22" s="29" t="s">
        <v>45</v>
      </c>
      <c r="G22" s="324"/>
      <c r="H22" s="306"/>
      <c r="I22" s="259">
        <f>IF(ISERROR(V062A_203031[[#This Row],[DISTANCIA POR CARTA]]/V062A_203031[[#This Row],[TIEMPO DE NAVEGACION]]),0,V062A_203031[[#This Row],[DISTANCIA POR CARTA]]/V062A_203031[[#This Row],[TIEMPO DE NAVEGACION]])</f>
        <v>0</v>
      </c>
      <c r="J22" s="380"/>
      <c r="K22" s="325"/>
      <c r="L22" s="418">
        <v>0</v>
      </c>
      <c r="M22" s="245">
        <v>1.2</v>
      </c>
      <c r="N22" s="245">
        <v>1.5</v>
      </c>
      <c r="O22" s="257">
        <f>SUM(V062A_203031[[#This Row],[MPAL]]+V062A_203031[[#This Row],[AUX.]]+V062A_203031[[#This Row],[CALDERA]])</f>
        <v>2.7</v>
      </c>
      <c r="P22" s="319"/>
      <c r="Q22" s="281">
        <f>(Q21-V062A_203031[[#This Row],[TOTAL ]])+V062A_203031[[#This Row],[FAENA]]</f>
        <v>701.33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SUM(V062A_203031[[#This Row],[MPAL2]:[GI]])</f>
        <v>0</v>
      </c>
      <c r="X22" s="246"/>
      <c r="Y22" s="282">
        <f>(Y21-V062A_203031[[#This Row],[TOTAL]])+V062A_203031[[#This Row],[FAENA2]]</f>
        <v>137.08000000000001</v>
      </c>
      <c r="Z22" s="245">
        <v>0</v>
      </c>
      <c r="AA22" s="246">
        <v>0</v>
      </c>
      <c r="AB22" s="320">
        <f>(AB21-V062A_203031[[#This Row],[CYLINDER MP]])+V062A_203031[[#This Row],[FAENA EN LTS]]</f>
        <v>2823</v>
      </c>
      <c r="AC22" s="246">
        <v>0</v>
      </c>
      <c r="AD22" s="246">
        <v>0</v>
      </c>
      <c r="AE22" s="320">
        <f>(AE21-V062A_203031[[#This Row],[CARTER MP.]])+V062A_203031[[#This Row],[FAENA EN LTS2]]</f>
        <v>2750</v>
      </c>
      <c r="AF22" s="246">
        <v>20</v>
      </c>
      <c r="AG22" s="246">
        <v>0</v>
      </c>
      <c r="AH22" s="320">
        <f>(AH21-V062A_203031[[#This Row],[MOT AUX]])+V062A_203031[[#This Row],[FAENA EN  LTS]]</f>
        <v>1530</v>
      </c>
      <c r="AI22" s="246">
        <v>0</v>
      </c>
      <c r="AJ22" s="246">
        <v>0</v>
      </c>
      <c r="AK22" s="321">
        <f>(AK21-V062A_203031[[#This Row],[HIDRAULICO]])+V062A_203031[[#This Row],[FAENA EN LTS3]]</f>
        <v>2150</v>
      </c>
    </row>
    <row r="23" spans="1:37" x14ac:dyDescent="0.25">
      <c r="A23" s="431" t="s">
        <v>274</v>
      </c>
      <c r="B23" s="48">
        <v>44091</v>
      </c>
      <c r="C23" s="351">
        <v>0.33333333333333331</v>
      </c>
      <c r="D23" s="418">
        <f>IF(V062A_203031[[#This Row],[FECHA]]-B22=1,((V062A_203031[[#This Row],[HORA]]-C22)*24)+24,(V062A_203031[[#This Row],[HORA]]-C22)*24)</f>
        <v>24</v>
      </c>
      <c r="E23" s="409" t="s">
        <v>45</v>
      </c>
      <c r="F23" s="29" t="s">
        <v>45</v>
      </c>
      <c r="G23" s="324"/>
      <c r="H23" s="306"/>
      <c r="I23" s="259">
        <f>IF(ISERROR(V062A_203031[[#This Row],[DISTANCIA POR CARTA]]/V062A_203031[[#This Row],[TIEMPO DE NAVEGACION]]),0,V062A_203031[[#This Row],[DISTANCIA POR CARTA]]/V062A_203031[[#This Row],[TIEMPO DE NAVEGACION]])</f>
        <v>0</v>
      </c>
      <c r="J23" s="380"/>
      <c r="K23" s="325"/>
      <c r="L23" s="418">
        <v>0</v>
      </c>
      <c r="M23" s="245">
        <v>1.2</v>
      </c>
      <c r="N23" s="245">
        <v>1.5</v>
      </c>
      <c r="O23" s="257">
        <f>SUM(V062A_203031[[#This Row],[MPAL]]+V062A_203031[[#This Row],[AUX.]]+V062A_203031[[#This Row],[CALDERA]])</f>
        <v>2.7</v>
      </c>
      <c r="P23" s="319"/>
      <c r="Q23" s="281">
        <f>(Q22-V062A_203031[[#This Row],[TOTAL ]])+V062A_203031[[#This Row],[FAENA]]</f>
        <v>698.63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SUM(V062A_203031[[#This Row],[MPAL2]:[GI]])</f>
        <v>0</v>
      </c>
      <c r="X23" s="246"/>
      <c r="Y23" s="282">
        <f>(Y22-V062A_203031[[#This Row],[TOTAL]])+V062A_203031[[#This Row],[FAENA2]]</f>
        <v>137.08000000000001</v>
      </c>
      <c r="Z23" s="245">
        <v>0</v>
      </c>
      <c r="AA23" s="246">
        <v>0</v>
      </c>
      <c r="AB23" s="320">
        <f>(AB22-V062A_203031[[#This Row],[CYLINDER MP]])+V062A_203031[[#This Row],[FAENA EN LTS]]</f>
        <v>2823</v>
      </c>
      <c r="AC23" s="246">
        <v>0</v>
      </c>
      <c r="AD23" s="246">
        <v>0</v>
      </c>
      <c r="AE23" s="320">
        <f>(AE22-V062A_203031[[#This Row],[CARTER MP.]])+V062A_203031[[#This Row],[FAENA EN LTS2]]</f>
        <v>2750</v>
      </c>
      <c r="AF23" s="246">
        <v>20</v>
      </c>
      <c r="AG23" s="246">
        <v>0</v>
      </c>
      <c r="AH23" s="320">
        <f>(AH22-V062A_203031[[#This Row],[MOT AUX]])+V062A_203031[[#This Row],[FAENA EN  LTS]]</f>
        <v>1510</v>
      </c>
      <c r="AI23" s="246">
        <v>0</v>
      </c>
      <c r="AJ23" s="246">
        <v>0</v>
      </c>
      <c r="AK23" s="321">
        <f>(AK22-V062A_203031[[#This Row],[HIDRAULICO]])+V062A_203031[[#This Row],[FAENA EN LTS3]]</f>
        <v>2150</v>
      </c>
    </row>
    <row r="24" spans="1:37" x14ac:dyDescent="0.25">
      <c r="A24" s="431" t="s">
        <v>274</v>
      </c>
      <c r="B24" s="48">
        <v>44092</v>
      </c>
      <c r="C24" s="41">
        <v>0.33333333333333331</v>
      </c>
      <c r="D24" s="418">
        <f>IF(V062A_203031[[#This Row],[FECHA]]-B23=1,((V062A_203031[[#This Row],[HORA]]-C23)*24)+24,(V062A_203031[[#This Row],[HORA]]-C23)*24)</f>
        <v>24</v>
      </c>
      <c r="E24" s="409" t="s">
        <v>45</v>
      </c>
      <c r="F24" s="29" t="s">
        <v>45</v>
      </c>
      <c r="G24" s="324"/>
      <c r="H24" s="306"/>
      <c r="I24" s="259">
        <f>IF(ISERROR(V062A_203031[[#This Row],[DISTANCIA POR CARTA]]/V062A_203031[[#This Row],[TIEMPO DE NAVEGACION]]),0,V062A_203031[[#This Row],[DISTANCIA POR CARTA]]/V062A_203031[[#This Row],[TIEMPO DE NAVEGACION]])</f>
        <v>0</v>
      </c>
      <c r="J24" s="242"/>
      <c r="K24" s="325"/>
      <c r="L24" s="418">
        <v>0</v>
      </c>
      <c r="M24" s="245">
        <v>1.2</v>
      </c>
      <c r="N24" s="245">
        <v>1.5</v>
      </c>
      <c r="O24" s="257">
        <f>SUM(V062A_203031[[#This Row],[MPAL]]+V062A_203031[[#This Row],[AUX.]]+V062A_203031[[#This Row],[CALDERA]])</f>
        <v>2.7</v>
      </c>
      <c r="P24" s="319"/>
      <c r="Q24" s="281">
        <f>(Q23-V062A_203031[[#This Row],[TOTAL ]])+V062A_203031[[#This Row],[FAENA]]</f>
        <v>695.93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SUM(V062A_203031[[#This Row],[MPAL2]:[GI]])</f>
        <v>0</v>
      </c>
      <c r="X24" s="246"/>
      <c r="Y24" s="282">
        <f>(Y23-V062A_203031[[#This Row],[TOTAL]])+V062A_203031[[#This Row],[FAENA2]]</f>
        <v>137.08000000000001</v>
      </c>
      <c r="Z24" s="245">
        <v>0</v>
      </c>
      <c r="AA24" s="246">
        <v>0</v>
      </c>
      <c r="AB24" s="320">
        <f>(AB23-V062A_203031[[#This Row],[CYLINDER MP]])+V062A_203031[[#This Row],[FAENA EN LTS]]</f>
        <v>2823</v>
      </c>
      <c r="AC24" s="246">
        <v>0</v>
      </c>
      <c r="AD24" s="246">
        <v>0</v>
      </c>
      <c r="AE24" s="320">
        <f>(AE23-V062A_203031[[#This Row],[CARTER MP.]])+V062A_203031[[#This Row],[FAENA EN LTS2]]</f>
        <v>2750</v>
      </c>
      <c r="AF24" s="246">
        <v>20</v>
      </c>
      <c r="AG24" s="246">
        <v>0</v>
      </c>
      <c r="AH24" s="320">
        <f>(AH23-V062A_203031[[#This Row],[MOT AUX]])+V062A_203031[[#This Row],[FAENA EN  LTS]]</f>
        <v>1490</v>
      </c>
      <c r="AI24" s="246">
        <v>200</v>
      </c>
      <c r="AJ24" s="246">
        <v>0</v>
      </c>
      <c r="AK24" s="321">
        <f>(AK23-V062A_203031[[#This Row],[HIDRAULICO]])+V062A_203031[[#This Row],[FAENA EN LTS3]]</f>
        <v>1950</v>
      </c>
    </row>
    <row r="25" spans="1:37" x14ac:dyDescent="0.25">
      <c r="A25" s="431" t="s">
        <v>274</v>
      </c>
      <c r="B25" s="48">
        <v>44093</v>
      </c>
      <c r="C25" s="41">
        <v>0.33333333333333331</v>
      </c>
      <c r="D25" s="418">
        <f>IF(V062A_203031[[#This Row],[FECHA]]-B24=1,((V062A_203031[[#This Row],[HORA]]-C24)*24)+24,(V062A_203031[[#This Row],[HORA]]-C24)*24)</f>
        <v>24</v>
      </c>
      <c r="E25" s="239" t="s">
        <v>45</v>
      </c>
      <c r="F25" s="29" t="s">
        <v>45</v>
      </c>
      <c r="G25" s="324"/>
      <c r="H25" s="306"/>
      <c r="I25" s="259">
        <f>IF(ISERROR(V062A_203031[[#This Row],[DISTANCIA POR CARTA]]/V062A_203031[[#This Row],[TIEMPO DE NAVEGACION]]),0,V062A_203031[[#This Row],[DISTANCIA POR CARTA]]/V062A_203031[[#This Row],[TIEMPO DE NAVEGACION]])</f>
        <v>0</v>
      </c>
      <c r="J25" s="242"/>
      <c r="K25" s="325"/>
      <c r="L25" s="418">
        <v>0</v>
      </c>
      <c r="M25" s="245">
        <v>1.2</v>
      </c>
      <c r="N25" s="245">
        <v>1.5</v>
      </c>
      <c r="O25" s="257">
        <f>SUM(V062A_203031[[#This Row],[MPAL]]+V062A_203031[[#This Row],[AUX.]]+V062A_203031[[#This Row],[CALDERA]])</f>
        <v>2.7</v>
      </c>
      <c r="P25" s="319"/>
      <c r="Q25" s="281">
        <f>(Q24-V062A_203031[[#This Row],[TOTAL ]])+V062A_203031[[#This Row],[FAENA]]</f>
        <v>693.2299999999999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SUM(V062A_203031[[#This Row],[MPAL2]:[GI]])</f>
        <v>0</v>
      </c>
      <c r="X25" s="246"/>
      <c r="Y25" s="282">
        <f>(Y24-V062A_203031[[#This Row],[TOTAL]])+V062A_203031[[#This Row],[FAENA2]]</f>
        <v>137.08000000000001</v>
      </c>
      <c r="Z25" s="245">
        <v>0</v>
      </c>
      <c r="AA25" s="246">
        <v>0</v>
      </c>
      <c r="AB25" s="320">
        <f>(AB24-V062A_203031[[#This Row],[CYLINDER MP]])+V062A_203031[[#This Row],[FAENA EN LTS]]</f>
        <v>2823</v>
      </c>
      <c r="AC25" s="246">
        <v>0</v>
      </c>
      <c r="AD25" s="246">
        <v>0</v>
      </c>
      <c r="AE25" s="320">
        <f>(AE24-V062A_203031[[#This Row],[CARTER MP.]])+V062A_203031[[#This Row],[FAENA EN LTS2]]</f>
        <v>2750</v>
      </c>
      <c r="AF25" s="246">
        <v>20</v>
      </c>
      <c r="AG25" s="246">
        <v>0</v>
      </c>
      <c r="AH25" s="320">
        <f>(AH24-V062A_203031[[#This Row],[MOT AUX]])+V062A_203031[[#This Row],[FAENA EN  LTS]]</f>
        <v>1470</v>
      </c>
      <c r="AI25" s="246">
        <v>0</v>
      </c>
      <c r="AJ25" s="246">
        <v>0</v>
      </c>
      <c r="AK25" s="321">
        <f>(AK24-V062A_203031[[#This Row],[HIDRAULICO]])+V062A_203031[[#This Row],[FAENA EN LTS3]]</f>
        <v>1950</v>
      </c>
    </row>
    <row r="26" spans="1:37" x14ac:dyDescent="0.25">
      <c r="A26" s="431" t="s">
        <v>274</v>
      </c>
      <c r="B26" s="48">
        <v>44093</v>
      </c>
      <c r="C26" s="362">
        <v>0.70000000000000007</v>
      </c>
      <c r="D26" s="418">
        <f>IF(V062A_203031[[#This Row],[FECHA]]-B25=1,((V062A_203031[[#This Row],[HORA]]-C25)*24)+24,(V062A_203031[[#This Row],[HORA]]-C25)*24)</f>
        <v>8.8000000000000025</v>
      </c>
      <c r="E26" s="239" t="s">
        <v>45</v>
      </c>
      <c r="F26" s="29" t="s">
        <v>46</v>
      </c>
      <c r="G26" s="324"/>
      <c r="H26" s="306"/>
      <c r="I26" s="259">
        <f>IF(ISERROR(V062A_203031[[#This Row],[DISTANCIA POR CARTA]]/V062A_203031[[#This Row],[TIEMPO DE NAVEGACION]]),0,V062A_203031[[#This Row],[DISTANCIA POR CARTA]]/V062A_203031[[#This Row],[TIEMPO DE NAVEGACION]])</f>
        <v>0</v>
      </c>
      <c r="J26" s="242"/>
      <c r="K26" s="325"/>
      <c r="L26" s="418">
        <v>0</v>
      </c>
      <c r="M26" s="245">
        <v>0.44</v>
      </c>
      <c r="N26" s="245">
        <v>0.55000000000000004</v>
      </c>
      <c r="O26" s="257">
        <f>SUM(V062A_203031[[#This Row],[MPAL]]+V062A_203031[[#This Row],[AUX.]]+V062A_203031[[#This Row],[CALDERA]])</f>
        <v>0.99</v>
      </c>
      <c r="P26" s="319"/>
      <c r="Q26" s="281">
        <f>(Q25-V062A_203031[[#This Row],[TOTAL ]])+V062A_203031[[#This Row],[FAENA]]</f>
        <v>692.2399999999999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SUM(V062A_203031[[#This Row],[MPAL2]:[GI]])</f>
        <v>0</v>
      </c>
      <c r="X26" s="246"/>
      <c r="Y26" s="282">
        <f>(Y25-V062A_203031[[#This Row],[TOTAL]])+V062A_203031[[#This Row],[FAENA2]]</f>
        <v>137.08000000000001</v>
      </c>
      <c r="Z26" s="245">
        <v>0</v>
      </c>
      <c r="AA26" s="246">
        <v>0</v>
      </c>
      <c r="AB26" s="320">
        <f>(AB25-V062A_203031[[#This Row],[CYLINDER MP]])+V062A_203031[[#This Row],[FAENA EN LTS]]</f>
        <v>2823</v>
      </c>
      <c r="AC26" s="246">
        <v>0</v>
      </c>
      <c r="AD26" s="246">
        <v>0</v>
      </c>
      <c r="AE26" s="320">
        <f>(AE25-V062A_203031[[#This Row],[CARTER MP.]])+V062A_203031[[#This Row],[FAENA EN LTS2]]</f>
        <v>2750</v>
      </c>
      <c r="AF26" s="246">
        <v>20</v>
      </c>
      <c r="AG26" s="246">
        <v>0</v>
      </c>
      <c r="AH26" s="320">
        <f>(AH25-V062A_203031[[#This Row],[MOT AUX]])+V062A_203031[[#This Row],[FAENA EN  LTS]]</f>
        <v>1450</v>
      </c>
      <c r="AI26" s="246">
        <v>0</v>
      </c>
      <c r="AJ26" s="246">
        <v>0</v>
      </c>
      <c r="AK26" s="321">
        <f>(AK25-V062A_203031[[#This Row],[HIDRAULICO]])+V062A_203031[[#This Row],[FAENA EN LTS3]]</f>
        <v>1950</v>
      </c>
    </row>
    <row r="27" spans="1:37" x14ac:dyDescent="0.25">
      <c r="A27" s="431" t="s">
        <v>274</v>
      </c>
      <c r="B27" s="48">
        <v>44093</v>
      </c>
      <c r="C27" s="351">
        <v>0.84583333333333333</v>
      </c>
      <c r="D27" s="418">
        <f>IF(V062A_203031[[#This Row],[FECHA]]-B26=1,((V062A_203031[[#This Row],[HORA]]-C26)*24)+24,(V062A_203031[[#This Row],[HORA]]-C26)*24)</f>
        <v>3.4999999999999982</v>
      </c>
      <c r="E27" s="239" t="s">
        <v>47</v>
      </c>
      <c r="F27" s="29" t="s">
        <v>279</v>
      </c>
      <c r="G27" s="324"/>
      <c r="H27" s="306"/>
      <c r="I27" s="259">
        <f>IF(ISERROR(V062A_203031[[#This Row],[DISTANCIA POR CARTA]]/V062A_203031[[#This Row],[TIEMPO DE NAVEGACION]]),0,V062A_203031[[#This Row],[DISTANCIA POR CARTA]]/V062A_203031[[#This Row],[TIEMPO DE NAVEGACION]])</f>
        <v>0</v>
      </c>
      <c r="J27" s="242"/>
      <c r="K27" s="325"/>
      <c r="L27" s="418">
        <v>1.46</v>
      </c>
      <c r="M27" s="245">
        <v>0.18</v>
      </c>
      <c r="N27" s="245">
        <v>0.22</v>
      </c>
      <c r="O27" s="257">
        <f>SUM(V062A_203031[[#This Row],[MPAL]]+V062A_203031[[#This Row],[AUX.]]+V062A_203031[[#This Row],[CALDERA]])</f>
        <v>1.8599999999999999</v>
      </c>
      <c r="P27" s="319"/>
      <c r="Q27" s="281">
        <f>(Q26-V062A_203031[[#This Row],[TOTAL ]])+V062A_203031[[#This Row],[FAENA]]</f>
        <v>690.37999999999988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SUM(V062A_203031[[#This Row],[MPAL2]:[GI]])</f>
        <v>0</v>
      </c>
      <c r="X27" s="246"/>
      <c r="Y27" s="282">
        <f>(Y26-V062A_203031[[#This Row],[TOTAL]])+V062A_203031[[#This Row],[FAENA2]]</f>
        <v>137.08000000000001</v>
      </c>
      <c r="Z27" s="245">
        <v>40</v>
      </c>
      <c r="AA27" s="246">
        <v>0</v>
      </c>
      <c r="AB27" s="320">
        <f>(AB26-V062A_203031[[#This Row],[CYLINDER MP]])+V062A_203031[[#This Row],[FAENA EN LTS]]</f>
        <v>2783</v>
      </c>
      <c r="AC27" s="246">
        <v>0</v>
      </c>
      <c r="AD27" s="246">
        <v>0</v>
      </c>
      <c r="AE27" s="320">
        <f>(AE26-V062A_203031[[#This Row],[CARTER MP.]])+V062A_203031[[#This Row],[FAENA EN LTS2]]</f>
        <v>2750</v>
      </c>
      <c r="AF27" s="246">
        <v>20</v>
      </c>
      <c r="AG27" s="246">
        <v>0</v>
      </c>
      <c r="AH27" s="320">
        <f>(AH26-V062A_203031[[#This Row],[MOT AUX]])+V062A_203031[[#This Row],[FAENA EN  LTS]]</f>
        <v>1430</v>
      </c>
      <c r="AI27" s="246">
        <v>0</v>
      </c>
      <c r="AJ27" s="246">
        <v>0</v>
      </c>
      <c r="AK27" s="321">
        <f>(AK26-V062A_203031[[#This Row],[HIDRAULICO]])+V062A_203031[[#This Row],[FAENA EN LTS3]]</f>
        <v>1950</v>
      </c>
    </row>
    <row r="28" spans="1:37" x14ac:dyDescent="0.25">
      <c r="A28" s="431" t="s">
        <v>274</v>
      </c>
      <c r="B28" s="48">
        <v>44094</v>
      </c>
      <c r="C28" s="362">
        <v>0.33333333333333331</v>
      </c>
      <c r="D28" s="418">
        <f>IF(V062A_203031[[#This Row],[FECHA]]-B27=1,((V062A_203031[[#This Row],[HORA]]-C27)*24)+24,(V062A_203031[[#This Row],[HORA]]-C27)*24)</f>
        <v>11.700000000000001</v>
      </c>
      <c r="E28" s="409" t="s">
        <v>51</v>
      </c>
      <c r="F28" s="29" t="s">
        <v>280</v>
      </c>
      <c r="G28" s="324"/>
      <c r="H28" s="306"/>
      <c r="I28" s="259">
        <f>IF(ISERROR(V062A_203031[[#This Row],[DISTANCIA POR CARTA]]/V062A_203031[[#This Row],[TIEMPO DE NAVEGACION]]),0,V062A_203031[[#This Row],[DISTANCIA POR CARTA]]/V062A_203031[[#This Row],[TIEMPO DE NAVEGACION]])</f>
        <v>0</v>
      </c>
      <c r="J28" s="380"/>
      <c r="K28" s="325"/>
      <c r="L28" s="418">
        <v>0</v>
      </c>
      <c r="M28" s="245">
        <v>1.1200000000000001</v>
      </c>
      <c r="N28" s="245">
        <v>0.73</v>
      </c>
      <c r="O28" s="257">
        <f>SUM(V062A_203031[[#This Row],[MPAL]]+V062A_203031[[#This Row],[AUX.]]+V062A_203031[[#This Row],[CALDERA]])</f>
        <v>1.85</v>
      </c>
      <c r="P28" s="319"/>
      <c r="Q28" s="281">
        <f>(Q27-V062A_203031[[#This Row],[TOTAL ]])+V062A_203031[[#This Row],[FAENA]]</f>
        <v>688.52999999999986</v>
      </c>
      <c r="R28" s="245">
        <v>0</v>
      </c>
      <c r="S28" s="246">
        <v>0</v>
      </c>
      <c r="T28" s="246">
        <v>0</v>
      </c>
      <c r="U28" s="246">
        <v>0</v>
      </c>
      <c r="V28" s="246">
        <v>3</v>
      </c>
      <c r="W28" s="257">
        <f>SUM(V062A_203031[[#This Row],[MPAL2]:[GI]])</f>
        <v>3</v>
      </c>
      <c r="X28" s="246"/>
      <c r="Y28" s="282">
        <f>(Y27-V062A_203031[[#This Row],[TOTAL]])+V062A_203031[[#This Row],[FAENA2]]</f>
        <v>134.08000000000001</v>
      </c>
      <c r="Z28" s="245">
        <v>0</v>
      </c>
      <c r="AA28" s="246">
        <v>0</v>
      </c>
      <c r="AB28" s="320">
        <f>(AB27-V062A_203031[[#This Row],[CYLINDER MP]])+V062A_203031[[#This Row],[FAENA EN LTS]]</f>
        <v>2783</v>
      </c>
      <c r="AC28" s="246">
        <v>0</v>
      </c>
      <c r="AD28" s="246">
        <v>0</v>
      </c>
      <c r="AE28" s="320">
        <f>(AE27-V062A_203031[[#This Row],[CARTER MP.]])+V062A_203031[[#This Row],[FAENA EN LTS2]]</f>
        <v>2750</v>
      </c>
      <c r="AF28" s="246">
        <v>0</v>
      </c>
      <c r="AG28" s="246">
        <v>0</v>
      </c>
      <c r="AH28" s="320">
        <f>(AH27-V062A_203031[[#This Row],[MOT AUX]])+V062A_203031[[#This Row],[FAENA EN  LTS]]</f>
        <v>1430</v>
      </c>
      <c r="AI28" s="246">
        <v>0</v>
      </c>
      <c r="AJ28" s="246">
        <v>0</v>
      </c>
      <c r="AK28" s="321">
        <f>(AK27-V062A_203031[[#This Row],[HIDRAULICO]])+V062A_203031[[#This Row],[FAENA EN LTS3]]</f>
        <v>1950</v>
      </c>
    </row>
    <row r="29" spans="1:37" x14ac:dyDescent="0.25">
      <c r="A29" s="431" t="s">
        <v>274</v>
      </c>
      <c r="B29" s="48">
        <v>44094</v>
      </c>
      <c r="C29" s="351">
        <v>0.98333333333333339</v>
      </c>
      <c r="D29" s="418">
        <f>IF(V062A_203031[[#This Row],[FECHA]]-B28=1,((V062A_203031[[#This Row],[HORA]]-C28)*24)+24,(V062A_203031[[#This Row],[HORA]]-C28)*24)</f>
        <v>15.600000000000003</v>
      </c>
      <c r="E29" s="409" t="s">
        <v>51</v>
      </c>
      <c r="F29" s="29" t="s">
        <v>52</v>
      </c>
      <c r="G29" s="324"/>
      <c r="H29" s="306"/>
      <c r="I29" s="259">
        <f>IF(ISERROR(V062A_203031[[#This Row],[DISTANCIA POR CARTA]]/V062A_203031[[#This Row],[TIEMPO DE NAVEGACION]]),0,V062A_203031[[#This Row],[DISTANCIA POR CARTA]]/V062A_203031[[#This Row],[TIEMPO DE NAVEGACION]])</f>
        <v>0</v>
      </c>
      <c r="J29" s="242"/>
      <c r="K29" s="325"/>
      <c r="L29" s="418">
        <v>0</v>
      </c>
      <c r="M29" s="245">
        <v>1.5</v>
      </c>
      <c r="N29" s="245">
        <v>0.98</v>
      </c>
      <c r="O29" s="257">
        <f>SUM(V062A_203031[[#This Row],[MPAL]]+V062A_203031[[#This Row],[AUX.]]+V062A_203031[[#This Row],[CALDERA]])</f>
        <v>2.48</v>
      </c>
      <c r="P29" s="319"/>
      <c r="Q29" s="281">
        <f>(Q28-V062A_203031[[#This Row],[TOTAL ]])+V062A_203031[[#This Row],[FAENA]]</f>
        <v>686.04999999999984</v>
      </c>
      <c r="R29" s="245">
        <v>0</v>
      </c>
      <c r="S29" s="246">
        <v>0</v>
      </c>
      <c r="T29" s="246">
        <v>0</v>
      </c>
      <c r="U29" s="246">
        <v>0</v>
      </c>
      <c r="V29" s="246">
        <v>4</v>
      </c>
      <c r="W29" s="257">
        <f>SUM(V062A_203031[[#This Row],[MPAL2]:[GI]])</f>
        <v>4</v>
      </c>
      <c r="X29" s="246"/>
      <c r="Y29" s="282">
        <f>(Y28-V062A_203031[[#This Row],[TOTAL]])+V062A_203031[[#This Row],[FAENA2]]</f>
        <v>130.08000000000001</v>
      </c>
      <c r="Z29" s="245">
        <v>0</v>
      </c>
      <c r="AA29" s="246">
        <v>0</v>
      </c>
      <c r="AB29" s="320">
        <f>(AB28-V062A_203031[[#This Row],[CYLINDER MP]])+V062A_203031[[#This Row],[FAENA EN LTS]]</f>
        <v>2783</v>
      </c>
      <c r="AC29" s="246">
        <v>0</v>
      </c>
      <c r="AD29" s="246">
        <v>0</v>
      </c>
      <c r="AE29" s="320">
        <f>(AE28-V062A_203031[[#This Row],[CARTER MP.]])+V062A_203031[[#This Row],[FAENA EN LTS2]]</f>
        <v>2750</v>
      </c>
      <c r="AF29" s="246">
        <v>40</v>
      </c>
      <c r="AG29" s="246">
        <v>0</v>
      </c>
      <c r="AH29" s="320">
        <f>(AH28-V062A_203031[[#This Row],[MOT AUX]])+V062A_203031[[#This Row],[FAENA EN  LTS]]</f>
        <v>1390</v>
      </c>
      <c r="AI29" s="246">
        <v>0</v>
      </c>
      <c r="AJ29" s="246">
        <v>0</v>
      </c>
      <c r="AK29" s="321">
        <f>(AK28-V062A_203031[[#This Row],[HIDRAULICO]])+V062A_203031[[#This Row],[FAENA EN LTS3]]</f>
        <v>1950</v>
      </c>
    </row>
    <row r="30" spans="1:37" x14ac:dyDescent="0.25">
      <c r="A30" s="431" t="s">
        <v>274</v>
      </c>
      <c r="B30" s="48">
        <v>44095</v>
      </c>
      <c r="C30" s="362">
        <v>0.10416666666666667</v>
      </c>
      <c r="D30" s="418">
        <f>IF(V062A_203031[[#This Row],[FECHA]]-B29=1,((V062A_203031[[#This Row],[HORA]]-C29)*24)+24,(V062A_203031[[#This Row],[HORA]]-C29)*24)</f>
        <v>2.8999999999999986</v>
      </c>
      <c r="E30" s="409" t="s">
        <v>49</v>
      </c>
      <c r="F30" s="29" t="s">
        <v>74</v>
      </c>
      <c r="G30" s="324"/>
      <c r="H30" s="306"/>
      <c r="I30" s="259">
        <f>IF(ISERROR(V062A_203031[[#This Row],[DISTANCIA POR CARTA]]/V062A_203031[[#This Row],[TIEMPO DE NAVEGACION]]),0,V062A_203031[[#This Row],[DISTANCIA POR CARTA]]/V062A_203031[[#This Row],[TIEMPO DE NAVEGACION]])</f>
        <v>0</v>
      </c>
      <c r="J30" s="380"/>
      <c r="K30" s="325"/>
      <c r="L30" s="418">
        <v>0</v>
      </c>
      <c r="M30" s="245">
        <v>0.18</v>
      </c>
      <c r="N30" s="245">
        <v>0.18</v>
      </c>
      <c r="O30" s="257">
        <f>SUM(V062A_203031[[#This Row],[MPAL]]+V062A_203031[[#This Row],[AUX.]]+V062A_203031[[#This Row],[CALDERA]])</f>
        <v>0.36</v>
      </c>
      <c r="P30" s="319"/>
      <c r="Q30" s="281">
        <f>(Q29-V062A_203031[[#This Row],[TOTAL ]])+V062A_203031[[#This Row],[FAENA]]</f>
        <v>685.68999999999983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SUM(V062A_203031[[#This Row],[MPAL2]:[GI]])</f>
        <v>0</v>
      </c>
      <c r="X30" s="246"/>
      <c r="Y30" s="282">
        <f>(Y29-V062A_203031[[#This Row],[TOTAL]])+V062A_203031[[#This Row],[FAENA2]]</f>
        <v>130.08000000000001</v>
      </c>
      <c r="Z30" s="245">
        <v>0</v>
      </c>
      <c r="AA30" s="246">
        <v>0</v>
      </c>
      <c r="AB30" s="320">
        <f>(AB29-V062A_203031[[#This Row],[CYLINDER MP]])+V062A_203031[[#This Row],[FAENA EN LTS]]</f>
        <v>2783</v>
      </c>
      <c r="AC30" s="246">
        <v>0</v>
      </c>
      <c r="AD30" s="246">
        <v>0</v>
      </c>
      <c r="AE30" s="320">
        <f>(AE29-V062A_203031[[#This Row],[CARTER MP.]])+V062A_203031[[#This Row],[FAENA EN LTS2]]</f>
        <v>2750</v>
      </c>
      <c r="AF30" s="246">
        <v>0</v>
      </c>
      <c r="AG30" s="246">
        <v>0</v>
      </c>
      <c r="AH30" s="320">
        <f>(AH29-V062A_203031[[#This Row],[MOT AUX]])+V062A_203031[[#This Row],[FAENA EN  LTS]]</f>
        <v>1390</v>
      </c>
      <c r="AI30" s="246">
        <v>0</v>
      </c>
      <c r="AJ30" s="246">
        <v>0</v>
      </c>
      <c r="AK30" s="321">
        <f>(AK29-V062A_203031[[#This Row],[HIDRAULICO]])+V062A_203031[[#This Row],[FAENA EN LTS3]]</f>
        <v>1950</v>
      </c>
    </row>
    <row r="31" spans="1:37" x14ac:dyDescent="0.25">
      <c r="A31" s="431" t="s">
        <v>274</v>
      </c>
      <c r="B31" s="48">
        <v>44095</v>
      </c>
      <c r="C31" s="351">
        <v>0.125</v>
      </c>
      <c r="D31" s="418">
        <f>IF(V062A_203031[[#This Row],[FECHA]]-B30=1,((V062A_203031[[#This Row],[HORA]]-C30)*24)+24,(V062A_203031[[#This Row],[HORA]]-C30)*24)</f>
        <v>0.49999999999999989</v>
      </c>
      <c r="E31" s="409" t="s">
        <v>47</v>
      </c>
      <c r="F31" s="29" t="s">
        <v>213</v>
      </c>
      <c r="G31" s="324"/>
      <c r="H31" s="306"/>
      <c r="I31" s="259">
        <f>IF(ISERROR(V062A_203031[[#This Row],[DISTANCIA POR CARTA]]/V062A_203031[[#This Row],[TIEMPO DE NAVEGACION]]),0,V062A_203031[[#This Row],[DISTANCIA POR CARTA]]/V062A_203031[[#This Row],[TIEMPO DE NAVEGACION]])</f>
        <v>0</v>
      </c>
      <c r="J31" s="242"/>
      <c r="K31" s="325"/>
      <c r="L31" s="418">
        <v>0.21</v>
      </c>
      <c r="M31" s="245">
        <v>0.03</v>
      </c>
      <c r="N31" s="245">
        <v>0.03</v>
      </c>
      <c r="O31" s="257">
        <f>SUM(V062A_203031[[#This Row],[MPAL]]+V062A_203031[[#This Row],[AUX.]]+V062A_203031[[#This Row],[CALDERA]])</f>
        <v>0.27</v>
      </c>
      <c r="P31" s="319"/>
      <c r="Q31" s="281">
        <f>(Q30-V062A_203031[[#This Row],[TOTAL ]])+V062A_203031[[#This Row],[FAENA]]</f>
        <v>685.41999999999985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SUM(V062A_203031[[#This Row],[MPAL2]:[GI]])</f>
        <v>0</v>
      </c>
      <c r="X31" s="246"/>
      <c r="Y31" s="282">
        <f>(Y30-V062A_203031[[#This Row],[TOTAL]])+V062A_203031[[#This Row],[FAENA2]]</f>
        <v>130.08000000000001</v>
      </c>
      <c r="Z31" s="245">
        <v>10</v>
      </c>
      <c r="AA31" s="246">
        <v>0</v>
      </c>
      <c r="AB31" s="320">
        <f>(AB30-V062A_203031[[#This Row],[CYLINDER MP]])+V062A_203031[[#This Row],[FAENA EN LTS]]</f>
        <v>2773</v>
      </c>
      <c r="AC31" s="246">
        <v>500</v>
      </c>
      <c r="AD31" s="246">
        <v>0</v>
      </c>
      <c r="AE31" s="320">
        <f>(AE30-V062A_203031[[#This Row],[CARTER MP.]])+V062A_203031[[#This Row],[FAENA EN LTS2]]</f>
        <v>2250</v>
      </c>
      <c r="AF31" s="246">
        <v>0</v>
      </c>
      <c r="AG31" s="246">
        <v>0</v>
      </c>
      <c r="AH31" s="320">
        <f>(AH30-V062A_203031[[#This Row],[MOT AUX]])+V062A_203031[[#This Row],[FAENA EN  LTS]]</f>
        <v>1390</v>
      </c>
      <c r="AI31" s="246">
        <v>0</v>
      </c>
      <c r="AJ31" s="246">
        <v>0</v>
      </c>
      <c r="AK31" s="321">
        <f>(AK30-V062A_203031[[#This Row],[HIDRAULICO]])+V062A_203031[[#This Row],[FAENA EN LTS3]]</f>
        <v>1950</v>
      </c>
    </row>
    <row r="32" spans="1:37" x14ac:dyDescent="0.25">
      <c r="A32" s="431" t="s">
        <v>274</v>
      </c>
      <c r="B32" s="48">
        <v>44095</v>
      </c>
      <c r="C32" s="362">
        <v>0.33333333333333331</v>
      </c>
      <c r="D32" s="418">
        <f>IF(V062A_203031[[#This Row],[FECHA]]-B31=1,((V062A_203031[[#This Row],[HORA]]-C31)*24)+24,(V062A_203031[[#This Row],[HORA]]-C31)*24)</f>
        <v>5</v>
      </c>
      <c r="E32" s="409" t="s">
        <v>55</v>
      </c>
      <c r="F32" s="29" t="s">
        <v>56</v>
      </c>
      <c r="G32" s="324">
        <v>63.6</v>
      </c>
      <c r="H32" s="306">
        <v>5</v>
      </c>
      <c r="I32" s="259">
        <f>IF(ISERROR(V062A_203031[[#This Row],[DISTANCIA POR CARTA]]/V062A_203031[[#This Row],[TIEMPO DE NAVEGACION]]),0,V062A_203031[[#This Row],[DISTANCIA POR CARTA]]/V062A_203031[[#This Row],[TIEMPO DE NAVEGACION]])</f>
        <v>12.72</v>
      </c>
      <c r="J32" s="242">
        <v>3</v>
      </c>
      <c r="K32" s="325">
        <v>98</v>
      </c>
      <c r="L32" s="418">
        <v>4.79</v>
      </c>
      <c r="M32" s="245">
        <v>0.25</v>
      </c>
      <c r="N32" s="245">
        <v>0.31</v>
      </c>
      <c r="O32" s="257">
        <f>SUM(V062A_203031[[#This Row],[MPAL]]+V062A_203031[[#This Row],[AUX.]]+V062A_203031[[#This Row],[CALDERA]])</f>
        <v>5.35</v>
      </c>
      <c r="P32" s="319"/>
      <c r="Q32" s="281">
        <f>(Q31-V062A_203031[[#This Row],[TOTAL ]])+V062A_203031[[#This Row],[FAENA]]</f>
        <v>680.06999999999982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SUM(V062A_203031[[#This Row],[MPAL2]:[GI]])</f>
        <v>0</v>
      </c>
      <c r="X32" s="246"/>
      <c r="Y32" s="282">
        <f>(Y31-V062A_203031[[#This Row],[TOTAL]])+V062A_203031[[#This Row],[FAENA2]]</f>
        <v>130.08000000000001</v>
      </c>
      <c r="Z32" s="245">
        <v>60</v>
      </c>
      <c r="AA32" s="246">
        <v>0</v>
      </c>
      <c r="AB32" s="320">
        <f>(AB31-V062A_203031[[#This Row],[CYLINDER MP]])+V062A_203031[[#This Row],[FAENA EN LTS]]</f>
        <v>2713</v>
      </c>
      <c r="AC32" s="246">
        <v>0</v>
      </c>
      <c r="AD32" s="246">
        <v>0</v>
      </c>
      <c r="AE32" s="320">
        <f>(AE31-V062A_203031[[#This Row],[CARTER MP.]])+V062A_203031[[#This Row],[FAENA EN LTS2]]</f>
        <v>2250</v>
      </c>
      <c r="AF32" s="246">
        <v>0</v>
      </c>
      <c r="AG32" s="246">
        <v>0</v>
      </c>
      <c r="AH32" s="320">
        <f>(AH31-V062A_203031[[#This Row],[MOT AUX]])+V062A_203031[[#This Row],[FAENA EN  LTS]]</f>
        <v>1390</v>
      </c>
      <c r="AI32" s="246">
        <v>0</v>
      </c>
      <c r="AJ32" s="246">
        <v>0</v>
      </c>
      <c r="AK32" s="321">
        <f>(AK31-V062A_203031[[#This Row],[HIDRAULICO]])+V062A_203031[[#This Row],[FAENA EN LTS3]]</f>
        <v>1950</v>
      </c>
    </row>
    <row r="33" spans="1:37" x14ac:dyDescent="0.25">
      <c r="A33" s="431" t="s">
        <v>274</v>
      </c>
      <c r="B33" s="48">
        <v>44096</v>
      </c>
      <c r="C33" s="351">
        <v>0.33333333333333331</v>
      </c>
      <c r="D33" s="418">
        <f>IF(V062A_203031[[#This Row],[FECHA]]-B32=1,((V062A_203031[[#This Row],[HORA]]-C32)*24)+24,(V062A_203031[[#This Row],[HORA]]-C32)*24)</f>
        <v>24</v>
      </c>
      <c r="E33" s="409" t="s">
        <v>55</v>
      </c>
      <c r="F33" s="29" t="s">
        <v>56</v>
      </c>
      <c r="G33" s="324">
        <v>317.60000000000002</v>
      </c>
      <c r="H33" s="306">
        <v>24</v>
      </c>
      <c r="I33" s="259">
        <f>IF(ISERROR(V062A_203031[[#This Row],[DISTANCIA POR CARTA]]/V062A_203031[[#This Row],[TIEMPO DE NAVEGACION]]),0,V062A_203031[[#This Row],[DISTANCIA POR CARTA]]/V062A_203031[[#This Row],[TIEMPO DE NAVEGACION]])</f>
        <v>13.233333333333334</v>
      </c>
      <c r="J33" s="242">
        <v>3</v>
      </c>
      <c r="K33" s="325">
        <v>98</v>
      </c>
      <c r="L33" s="418">
        <v>21</v>
      </c>
      <c r="M33" s="245">
        <v>1.2</v>
      </c>
      <c r="N33" s="245">
        <v>1.5</v>
      </c>
      <c r="O33" s="257">
        <f>SUM(V062A_203031[[#This Row],[MPAL]]+V062A_203031[[#This Row],[AUX.]]+V062A_203031[[#This Row],[CALDERA]])</f>
        <v>23.7</v>
      </c>
      <c r="P33" s="319"/>
      <c r="Q33" s="281">
        <f>(Q32-V062A_203031[[#This Row],[TOTAL ]])+V062A_203031[[#This Row],[FAENA]]</f>
        <v>656.36999999999978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SUM(V062A_203031[[#This Row],[MPAL2]:[GI]])</f>
        <v>0</v>
      </c>
      <c r="X33" s="246"/>
      <c r="Y33" s="282">
        <f>(Y32-V062A_203031[[#This Row],[TOTAL]])+V062A_203031[[#This Row],[FAENA2]]</f>
        <v>130.08000000000001</v>
      </c>
      <c r="Z33" s="245">
        <v>280</v>
      </c>
      <c r="AA33" s="246">
        <v>0</v>
      </c>
      <c r="AB33" s="320">
        <f>(AB32-V062A_203031[[#This Row],[CYLINDER MP]])+V062A_203031[[#This Row],[FAENA EN LTS]]</f>
        <v>2433</v>
      </c>
      <c r="AC33" s="246">
        <v>0</v>
      </c>
      <c r="AD33" s="246">
        <v>0</v>
      </c>
      <c r="AE33" s="320">
        <f>(AE32-V062A_203031[[#This Row],[CARTER MP.]])+V062A_203031[[#This Row],[FAENA EN LTS2]]</f>
        <v>2250</v>
      </c>
      <c r="AF33" s="246">
        <v>20</v>
      </c>
      <c r="AG33" s="246">
        <v>0</v>
      </c>
      <c r="AH33" s="320">
        <f>(AH32-V062A_203031[[#This Row],[MOT AUX]])+V062A_203031[[#This Row],[FAENA EN  LTS]]</f>
        <v>1370</v>
      </c>
      <c r="AI33" s="246">
        <v>0</v>
      </c>
      <c r="AJ33" s="246">
        <v>0</v>
      </c>
      <c r="AK33" s="321">
        <f>(AK32-V062A_203031[[#This Row],[HIDRAULICO]])+V062A_203031[[#This Row],[FAENA EN LTS3]]</f>
        <v>1950</v>
      </c>
    </row>
    <row r="34" spans="1:37" x14ac:dyDescent="0.25">
      <c r="A34" s="431" t="s">
        <v>274</v>
      </c>
      <c r="B34" s="48">
        <v>44096</v>
      </c>
      <c r="C34" s="362">
        <v>0.66666666666666663</v>
      </c>
      <c r="D34" s="418">
        <f>IF(V062A_203031[[#This Row],[FECHA]]-B33=1,((V062A_203031[[#This Row],[HORA]]-C33)*24)+24,(V062A_203031[[#This Row],[HORA]]-C33)*24)</f>
        <v>8</v>
      </c>
      <c r="E34" s="409" t="s">
        <v>55</v>
      </c>
      <c r="F34" s="29" t="s">
        <v>281</v>
      </c>
      <c r="G34" s="324"/>
      <c r="H34" s="306"/>
      <c r="I34" s="259">
        <f>IF(ISERROR(V062A_203031[[#This Row],[DISTANCIA POR CARTA]]/V062A_203031[[#This Row],[TIEMPO DE NAVEGACION]]),0,V062A_203031[[#This Row],[DISTANCIA POR CARTA]]/V062A_203031[[#This Row],[TIEMPO DE NAVEGACION]])</f>
        <v>0</v>
      </c>
      <c r="J34" s="242"/>
      <c r="K34" s="325"/>
      <c r="L34" s="418">
        <v>7</v>
      </c>
      <c r="M34" s="245">
        <v>0.4</v>
      </c>
      <c r="N34" s="245">
        <v>0.5</v>
      </c>
      <c r="O34" s="257">
        <f>SUM(V062A_203031[[#This Row],[MPAL]]+V062A_203031[[#This Row],[AUX.]]+V062A_203031[[#This Row],[CALDERA]])</f>
        <v>7.9</v>
      </c>
      <c r="P34" s="319"/>
      <c r="Q34" s="281">
        <f>(Q33-V062A_203031[[#This Row],[TOTAL ]])+V062A_203031[[#This Row],[FAENA]]</f>
        <v>648.4699999999998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SUM(V062A_203031[[#This Row],[MPAL2]:[GI]])</f>
        <v>0</v>
      </c>
      <c r="X34" s="246"/>
      <c r="Y34" s="282">
        <f>(Y33-V062A_203031[[#This Row],[TOTAL]])+V062A_203031[[#This Row],[FAENA2]]</f>
        <v>130.08000000000001</v>
      </c>
      <c r="Z34" s="245">
        <v>100</v>
      </c>
      <c r="AA34" s="246">
        <v>0</v>
      </c>
      <c r="AB34" s="320">
        <f>(AB33-V062A_203031[[#This Row],[CYLINDER MP]])+V062A_203031[[#This Row],[FAENA EN LTS]]</f>
        <v>2333</v>
      </c>
      <c r="AC34" s="246">
        <v>0</v>
      </c>
      <c r="AD34" s="246">
        <v>0</v>
      </c>
      <c r="AE34" s="320">
        <f>(AE33-V062A_203031[[#This Row],[CARTER MP.]])+V062A_203031[[#This Row],[FAENA EN LTS2]]</f>
        <v>2250</v>
      </c>
      <c r="AF34" s="246">
        <v>20</v>
      </c>
      <c r="AG34" s="246">
        <v>0</v>
      </c>
      <c r="AH34" s="320">
        <f>(AH33-V062A_203031[[#This Row],[MOT AUX]])+V062A_203031[[#This Row],[FAENA EN  LTS]]</f>
        <v>1350</v>
      </c>
      <c r="AI34" s="246">
        <v>0</v>
      </c>
      <c r="AJ34" s="246">
        <v>0</v>
      </c>
      <c r="AK34" s="321">
        <f>(AK33-V062A_203031[[#This Row],[HIDRAULICO]])+V062A_203031[[#This Row],[FAENA EN LTS3]]</f>
        <v>1950</v>
      </c>
    </row>
    <row r="35" spans="1:37" x14ac:dyDescent="0.25">
      <c r="A35" s="431" t="s">
        <v>274</v>
      </c>
      <c r="B35" s="48">
        <v>44097</v>
      </c>
      <c r="C35" s="351">
        <v>0.33333333333333331</v>
      </c>
      <c r="D35" s="418">
        <f>IF(V062A_203031[[#This Row],[FECHA]]-B34=1,((V062A_203031[[#This Row],[HORA]]-C34)*24)+24,(V062A_203031[[#This Row],[HORA]]-C34)*24)</f>
        <v>16</v>
      </c>
      <c r="E35" s="409" t="s">
        <v>55</v>
      </c>
      <c r="F35" s="29" t="s">
        <v>282</v>
      </c>
      <c r="G35" s="324">
        <v>324.2</v>
      </c>
      <c r="H35" s="306">
        <v>24</v>
      </c>
      <c r="I35" s="259">
        <f>IF(ISERROR(V062A_203031[[#This Row],[DISTANCIA POR CARTA]]/V062A_203031[[#This Row],[TIEMPO DE NAVEGACION]]),0,V062A_203031[[#This Row],[DISTANCIA POR CARTA]]/V062A_203031[[#This Row],[TIEMPO DE NAVEGACION]])</f>
        <v>13.508333333333333</v>
      </c>
      <c r="J35" s="242">
        <v>3</v>
      </c>
      <c r="K35" s="325">
        <v>98</v>
      </c>
      <c r="L35" s="418">
        <v>14</v>
      </c>
      <c r="M35" s="245">
        <v>0.8</v>
      </c>
      <c r="N35" s="245">
        <v>2.67</v>
      </c>
      <c r="O35" s="257">
        <f>SUM(V062A_203031[[#This Row],[MPAL]]+V062A_203031[[#This Row],[AUX.]]+V062A_203031[[#This Row],[CALDERA]])</f>
        <v>17.47</v>
      </c>
      <c r="P35" s="319"/>
      <c r="Q35" s="281">
        <f>(Q34-V062A_203031[[#This Row],[TOTAL ]])+V062A_203031[[#This Row],[FAENA]]</f>
        <v>630.99999999999977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SUM(V062A_203031[[#This Row],[MPAL2]:[GI]])</f>
        <v>0</v>
      </c>
      <c r="X35" s="246"/>
      <c r="Y35" s="282">
        <f>(Y34-V062A_203031[[#This Row],[TOTAL]])+V062A_203031[[#This Row],[FAENA2]]</f>
        <v>130.08000000000001</v>
      </c>
      <c r="Z35" s="245">
        <v>180</v>
      </c>
      <c r="AA35" s="246">
        <v>0</v>
      </c>
      <c r="AB35" s="320">
        <f>(AB34-V062A_203031[[#This Row],[CYLINDER MP]])+V062A_203031[[#This Row],[FAENA EN LTS]]</f>
        <v>2153</v>
      </c>
      <c r="AC35" s="246">
        <v>0</v>
      </c>
      <c r="AD35" s="246">
        <v>0</v>
      </c>
      <c r="AE35" s="320">
        <f>(AE34-V062A_203031[[#This Row],[CARTER MP.]])+V062A_203031[[#This Row],[FAENA EN LTS2]]</f>
        <v>2250</v>
      </c>
      <c r="AF35" s="246">
        <v>0</v>
      </c>
      <c r="AG35" s="246">
        <v>0</v>
      </c>
      <c r="AH35" s="320">
        <f>(AH34-V062A_203031[[#This Row],[MOT AUX]])+V062A_203031[[#This Row],[FAENA EN  LTS]]</f>
        <v>1350</v>
      </c>
      <c r="AI35" s="246">
        <v>0</v>
      </c>
      <c r="AJ35" s="246">
        <v>0</v>
      </c>
      <c r="AK35" s="321">
        <f>(AK34-V062A_203031[[#This Row],[HIDRAULICO]])+V062A_203031[[#This Row],[FAENA EN LTS3]]</f>
        <v>1950</v>
      </c>
    </row>
    <row r="36" spans="1:37" x14ac:dyDescent="0.25">
      <c r="A36" s="431" t="s">
        <v>274</v>
      </c>
      <c r="B36" s="48">
        <v>44097</v>
      </c>
      <c r="C36" s="362">
        <v>0.58333333333333337</v>
      </c>
      <c r="D36" s="418">
        <f>IF(V062A_203031[[#This Row],[FECHA]]-B35=1,((V062A_203031[[#This Row],[HORA]]-C35)*24)+24,(V062A_203031[[#This Row],[HORA]]-C35)*24)</f>
        <v>6.0000000000000018</v>
      </c>
      <c r="E36" s="409" t="s">
        <v>55</v>
      </c>
      <c r="F36" s="29" t="s">
        <v>80</v>
      </c>
      <c r="G36" s="324">
        <v>91.6</v>
      </c>
      <c r="H36" s="306">
        <v>6</v>
      </c>
      <c r="I36" s="259">
        <f>IF(ISERROR(V062A_203031[[#This Row],[DISTANCIA POR CARTA]]/V062A_203031[[#This Row],[TIEMPO DE NAVEGACION]]),0,V062A_203031[[#This Row],[DISTANCIA POR CARTA]]/V062A_203031[[#This Row],[TIEMPO DE NAVEGACION]])</f>
        <v>15.266666666666666</v>
      </c>
      <c r="J36" s="242">
        <v>3</v>
      </c>
      <c r="K36" s="325">
        <v>98</v>
      </c>
      <c r="L36" s="418">
        <v>5.25</v>
      </c>
      <c r="M36" s="245">
        <v>0.3</v>
      </c>
      <c r="N36" s="245">
        <v>0.88</v>
      </c>
      <c r="O36" s="257">
        <f>SUM(V062A_203031[[#This Row],[MPAL]]+V062A_203031[[#This Row],[AUX.]]+V062A_203031[[#This Row],[CALDERA]])</f>
        <v>6.43</v>
      </c>
      <c r="P36" s="319"/>
      <c r="Q36" s="281">
        <f>(Q35-V062A_203031[[#This Row],[TOTAL ]])+V062A_203031[[#This Row],[FAENA]]</f>
        <v>624.56999999999982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SUM(V062A_203031[[#This Row],[MPAL2]:[GI]])</f>
        <v>0</v>
      </c>
      <c r="X36" s="246"/>
      <c r="Y36" s="282">
        <f>(Y35-V062A_203031[[#This Row],[TOTAL]])+V062A_203031[[#This Row],[FAENA2]]</f>
        <v>130.08000000000001</v>
      </c>
      <c r="Z36" s="245">
        <v>70</v>
      </c>
      <c r="AA36" s="246">
        <v>0</v>
      </c>
      <c r="AB36" s="320">
        <f>(AB35-V062A_203031[[#This Row],[CYLINDER MP]])+V062A_203031[[#This Row],[FAENA EN LTS]]</f>
        <v>2083</v>
      </c>
      <c r="AC36" s="246">
        <v>0</v>
      </c>
      <c r="AD36" s="246">
        <v>0</v>
      </c>
      <c r="AE36" s="320">
        <f>(AE35-V062A_203031[[#This Row],[CARTER MP.]])+V062A_203031[[#This Row],[FAENA EN LTS2]]</f>
        <v>2250</v>
      </c>
      <c r="AF36" s="246">
        <v>20</v>
      </c>
      <c r="AG36" s="246">
        <v>0</v>
      </c>
      <c r="AH36" s="320">
        <f>(AH35-V062A_203031[[#This Row],[MOT AUX]])+V062A_203031[[#This Row],[FAENA EN  LTS]]</f>
        <v>1330</v>
      </c>
      <c r="AI36" s="246">
        <v>0</v>
      </c>
      <c r="AJ36" s="246">
        <v>0</v>
      </c>
      <c r="AK36" s="321">
        <f>(AK35-V062A_203031[[#This Row],[HIDRAULICO]])+V062A_203031[[#This Row],[FAENA EN LTS3]]</f>
        <v>1950</v>
      </c>
    </row>
    <row r="37" spans="1:37" x14ac:dyDescent="0.25">
      <c r="A37" s="431" t="s">
        <v>274</v>
      </c>
      <c r="B37" s="48">
        <v>44097</v>
      </c>
      <c r="C37" s="351">
        <v>0.72916666666666663</v>
      </c>
      <c r="D37" s="418">
        <f>IF(V062A_203031[[#This Row],[FECHA]]-B36=1,((V062A_203031[[#This Row],[HORA]]-C36)*24)+24,(V062A_203031[[#This Row],[HORA]]-C36)*24)</f>
        <v>3.4999999999999982</v>
      </c>
      <c r="E37" s="409" t="s">
        <v>47</v>
      </c>
      <c r="F37" s="29" t="s">
        <v>121</v>
      </c>
      <c r="G37" s="324"/>
      <c r="H37" s="306"/>
      <c r="I37" s="259">
        <f>IF(ISERROR(V062A_203031[[#This Row],[DISTANCIA POR CARTA]]/V062A_203031[[#This Row],[TIEMPO DE NAVEGACION]]),0,V062A_203031[[#This Row],[DISTANCIA POR CARTA]]/V062A_203031[[#This Row],[TIEMPO DE NAVEGACION]])</f>
        <v>0</v>
      </c>
      <c r="J37" s="380"/>
      <c r="K37" s="325"/>
      <c r="L37" s="418">
        <v>1.46</v>
      </c>
      <c r="M37" s="245">
        <v>0.18</v>
      </c>
      <c r="N37" s="245">
        <v>0.51</v>
      </c>
      <c r="O37" s="257">
        <f>SUM(V062A_203031[[#This Row],[MPAL]]+V062A_203031[[#This Row],[AUX.]]+V062A_203031[[#This Row],[CALDERA]])</f>
        <v>2.15</v>
      </c>
      <c r="P37" s="319"/>
      <c r="Q37" s="281">
        <f>(Q36-V062A_203031[[#This Row],[TOTAL ]])+V062A_203031[[#This Row],[FAENA]]</f>
        <v>622.41999999999985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SUM(V062A_203031[[#This Row],[MPAL2]:[GI]])</f>
        <v>0</v>
      </c>
      <c r="X37" s="246"/>
      <c r="Y37" s="282">
        <f>(Y36-V062A_203031[[#This Row],[TOTAL]])+V062A_203031[[#This Row],[FAENA2]]</f>
        <v>130.08000000000001</v>
      </c>
      <c r="Z37" s="245">
        <v>40</v>
      </c>
      <c r="AA37" s="246">
        <v>0</v>
      </c>
      <c r="AB37" s="320">
        <f>(AB36-V062A_203031[[#This Row],[CYLINDER MP]])+V062A_203031[[#This Row],[FAENA EN LTS]]</f>
        <v>2043</v>
      </c>
      <c r="AC37" s="246">
        <v>0</v>
      </c>
      <c r="AD37" s="246">
        <v>0</v>
      </c>
      <c r="AE37" s="320">
        <f>(AE36-V062A_203031[[#This Row],[CARTER MP.]])+V062A_203031[[#This Row],[FAENA EN LTS2]]</f>
        <v>2250</v>
      </c>
      <c r="AF37" s="246">
        <v>0</v>
      </c>
      <c r="AG37" s="246">
        <v>0</v>
      </c>
      <c r="AH37" s="320">
        <f>(AH36-V062A_203031[[#This Row],[MOT AUX]])+V062A_203031[[#This Row],[FAENA EN  LTS]]</f>
        <v>1330</v>
      </c>
      <c r="AI37" s="246">
        <v>0</v>
      </c>
      <c r="AJ37" s="246">
        <v>0</v>
      </c>
      <c r="AK37" s="321">
        <f>(AK36-V062A_203031[[#This Row],[HIDRAULICO]])+V062A_203031[[#This Row],[FAENA EN LTS3]]</f>
        <v>1950</v>
      </c>
    </row>
    <row r="38" spans="1:37" x14ac:dyDescent="0.25">
      <c r="A38" s="431" t="s">
        <v>274</v>
      </c>
      <c r="B38" s="48">
        <v>44098</v>
      </c>
      <c r="C38" s="362">
        <v>8.3333333333333329E-2</v>
      </c>
      <c r="D38" s="418">
        <f>IF(V062A_203031[[#This Row],[FECHA]]-B37=1,((V062A_203031[[#This Row],[HORA]]-C37)*24)+24,(V062A_203031[[#This Row],[HORA]]-C37)*24)</f>
        <v>8.5000000000000018</v>
      </c>
      <c r="E38" s="409" t="s">
        <v>51</v>
      </c>
      <c r="F38" s="29" t="s">
        <v>123</v>
      </c>
      <c r="G38" s="324"/>
      <c r="H38" s="306"/>
      <c r="I38" s="259">
        <f>IF(ISERROR(V062A_203031[[#This Row],[DISTANCIA POR CARTA]]/V062A_203031[[#This Row],[TIEMPO DE NAVEGACION]]),0,V062A_203031[[#This Row],[DISTANCIA POR CARTA]]/V062A_203031[[#This Row],[TIEMPO DE NAVEGACION]])</f>
        <v>0</v>
      </c>
      <c r="J38" s="242"/>
      <c r="K38" s="325"/>
      <c r="L38" s="418">
        <v>0</v>
      </c>
      <c r="M38" s="245">
        <v>0.43</v>
      </c>
      <c r="N38" s="245">
        <v>1.06</v>
      </c>
      <c r="O38" s="257">
        <f>SUM(V062A_203031[[#This Row],[MPAL]]+V062A_203031[[#This Row],[AUX.]]+V062A_203031[[#This Row],[CALDERA]])</f>
        <v>1.49</v>
      </c>
      <c r="P38" s="319"/>
      <c r="Q38" s="281">
        <f>(Q37-V062A_203031[[#This Row],[TOTAL ]])+V062A_203031[[#This Row],[FAENA]]</f>
        <v>620.92999999999984</v>
      </c>
      <c r="R38" s="245">
        <v>0</v>
      </c>
      <c r="S38" s="246">
        <v>0</v>
      </c>
      <c r="T38" s="246">
        <v>0</v>
      </c>
      <c r="U38" s="246">
        <v>0</v>
      </c>
      <c r="V38" s="246">
        <v>2</v>
      </c>
      <c r="W38" s="257">
        <f>SUM(V062A_203031[[#This Row],[MPAL2]:[GI]])</f>
        <v>2</v>
      </c>
      <c r="X38" s="246"/>
      <c r="Y38" s="282">
        <f>(Y37-V062A_203031[[#This Row],[TOTAL]])+V062A_203031[[#This Row],[FAENA2]]</f>
        <v>128.08000000000001</v>
      </c>
      <c r="Z38" s="245">
        <v>0</v>
      </c>
      <c r="AA38" s="246">
        <v>0</v>
      </c>
      <c r="AB38" s="320">
        <f>(AB37-V062A_203031[[#This Row],[CYLINDER MP]])+V062A_203031[[#This Row],[FAENA EN LTS]]</f>
        <v>2043</v>
      </c>
      <c r="AC38" s="246">
        <v>0</v>
      </c>
      <c r="AD38" s="246">
        <v>0</v>
      </c>
      <c r="AE38" s="320">
        <f>(AE37-V062A_203031[[#This Row],[CARTER MP.]])+V062A_203031[[#This Row],[FAENA EN LTS2]]</f>
        <v>2250</v>
      </c>
      <c r="AF38" s="246">
        <v>20</v>
      </c>
      <c r="AG38" s="246">
        <v>0</v>
      </c>
      <c r="AH38" s="320">
        <f>(AH37-V062A_203031[[#This Row],[MOT AUX]])+V062A_203031[[#This Row],[FAENA EN  LTS]]</f>
        <v>1310</v>
      </c>
      <c r="AI38" s="246">
        <v>0</v>
      </c>
      <c r="AJ38" s="246">
        <v>0</v>
      </c>
      <c r="AK38" s="321">
        <f>(AK37-V062A_203031[[#This Row],[HIDRAULICO]])+V062A_203031[[#This Row],[FAENA EN LTS3]]</f>
        <v>1950</v>
      </c>
    </row>
    <row r="39" spans="1:37" x14ac:dyDescent="0.25">
      <c r="A39" s="431" t="s">
        <v>274</v>
      </c>
      <c r="B39" s="48">
        <v>44098</v>
      </c>
      <c r="C39" s="351">
        <v>0.20833333333333334</v>
      </c>
      <c r="D39" s="418">
        <f>IF(V062A_203031[[#This Row],[FECHA]]-B38=1,((V062A_203031[[#This Row],[HORA]]-C38)*24)+24,(V062A_203031[[#This Row],[HORA]]-C38)*24)</f>
        <v>3</v>
      </c>
      <c r="E39" s="409" t="s">
        <v>49</v>
      </c>
      <c r="F39" s="29" t="s">
        <v>74</v>
      </c>
      <c r="G39" s="324"/>
      <c r="H39" s="306"/>
      <c r="I39" s="259">
        <f>IF(ISERROR(V062A_203031[[#This Row],[DISTANCIA POR CARTA]]/V062A_203031[[#This Row],[TIEMPO DE NAVEGACION]]),0,V062A_203031[[#This Row],[DISTANCIA POR CARTA]]/V062A_203031[[#This Row],[TIEMPO DE NAVEGACION]])</f>
        <v>0</v>
      </c>
      <c r="J39" s="242"/>
      <c r="K39" s="325"/>
      <c r="L39" s="418">
        <v>0</v>
      </c>
      <c r="M39" s="245">
        <v>0.15</v>
      </c>
      <c r="N39" s="245">
        <v>0.38</v>
      </c>
      <c r="O39" s="257">
        <f>SUM(V062A_203031[[#This Row],[MPAL]]+V062A_203031[[#This Row],[AUX.]]+V062A_203031[[#This Row],[CALDERA]])</f>
        <v>0.53</v>
      </c>
      <c r="P39" s="319"/>
      <c r="Q39" s="281">
        <f>(Q38-V062A_203031[[#This Row],[TOTAL ]])+V062A_203031[[#This Row],[FAENA]]</f>
        <v>620.39999999999986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SUM(V062A_203031[[#This Row],[MPAL2]:[GI]])</f>
        <v>0</v>
      </c>
      <c r="X39" s="246"/>
      <c r="Y39" s="282">
        <f>(Y38-V062A_203031[[#This Row],[TOTAL]])+V062A_203031[[#This Row],[FAENA2]]</f>
        <v>128.08000000000001</v>
      </c>
      <c r="Z39" s="245">
        <v>0</v>
      </c>
      <c r="AA39" s="246">
        <v>0</v>
      </c>
      <c r="AB39" s="320">
        <f>(AB38-V062A_203031[[#This Row],[CYLINDER MP]])+V062A_203031[[#This Row],[FAENA EN LTS]]</f>
        <v>2043</v>
      </c>
      <c r="AC39" s="246">
        <v>0</v>
      </c>
      <c r="AD39" s="246">
        <v>0</v>
      </c>
      <c r="AE39" s="320">
        <f>(AE38-V062A_203031[[#This Row],[CARTER MP.]])+V062A_203031[[#This Row],[FAENA EN LTS2]]</f>
        <v>2250</v>
      </c>
      <c r="AF39" s="246">
        <v>0</v>
      </c>
      <c r="AG39" s="246">
        <v>0</v>
      </c>
      <c r="AH39" s="320">
        <f>(AH38-V062A_203031[[#This Row],[MOT AUX]])+V062A_203031[[#This Row],[FAENA EN  LTS]]</f>
        <v>1310</v>
      </c>
      <c r="AI39" s="246">
        <v>0</v>
      </c>
      <c r="AJ39" s="246">
        <v>0</v>
      </c>
      <c r="AK39" s="321">
        <f>(AK38-V062A_203031[[#This Row],[HIDRAULICO]])+V062A_203031[[#This Row],[FAENA EN LTS3]]</f>
        <v>1950</v>
      </c>
    </row>
    <row r="40" spans="1:37" x14ac:dyDescent="0.25">
      <c r="A40" s="431" t="s">
        <v>274</v>
      </c>
      <c r="B40" s="48">
        <v>44098</v>
      </c>
      <c r="C40" s="362">
        <v>0.22916666666666666</v>
      </c>
      <c r="D40" s="418">
        <f>IF(V062A_203031[[#This Row],[FECHA]]-B39=1,((V062A_203031[[#This Row],[HORA]]-C39)*24)+24,(V062A_203031[[#This Row],[HORA]]-C39)*24)</f>
        <v>0.49999999999999956</v>
      </c>
      <c r="E40" s="409" t="s">
        <v>47</v>
      </c>
      <c r="F40" s="29" t="s">
        <v>283</v>
      </c>
      <c r="G40" s="324"/>
      <c r="H40" s="306"/>
      <c r="I40" s="259">
        <f>IF(ISERROR(V062A_203031[[#This Row],[DISTANCIA POR CARTA]]/V062A_203031[[#This Row],[TIEMPO DE NAVEGACION]]),0,V062A_203031[[#This Row],[DISTANCIA POR CARTA]]/V062A_203031[[#This Row],[TIEMPO DE NAVEGACION]])</f>
        <v>0</v>
      </c>
      <c r="J40" s="242"/>
      <c r="K40" s="325"/>
      <c r="L40" s="418">
        <v>0.21</v>
      </c>
      <c r="M40" s="245">
        <v>0.03</v>
      </c>
      <c r="N40" s="245">
        <v>0.06</v>
      </c>
      <c r="O40" s="257">
        <f>SUM(V062A_203031[[#This Row],[MPAL]]+V062A_203031[[#This Row],[AUX.]]+V062A_203031[[#This Row],[CALDERA]])</f>
        <v>0.3</v>
      </c>
      <c r="P40" s="319"/>
      <c r="Q40" s="281">
        <f>(Q39-V062A_203031[[#This Row],[TOTAL ]])+V062A_203031[[#This Row],[FAENA]]</f>
        <v>620.09999999999991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SUM(V062A_203031[[#This Row],[MPAL2]:[GI]])</f>
        <v>0</v>
      </c>
      <c r="X40" s="246"/>
      <c r="Y40" s="282">
        <f>(Y39-V062A_203031[[#This Row],[TOTAL]])+V062A_203031[[#This Row],[FAENA2]]</f>
        <v>128.08000000000001</v>
      </c>
      <c r="Z40" s="245">
        <v>10</v>
      </c>
      <c r="AA40" s="246">
        <v>0</v>
      </c>
      <c r="AB40" s="320">
        <f>(AB39-V062A_203031[[#This Row],[CYLINDER MP]])+V062A_203031[[#This Row],[FAENA EN LTS]]</f>
        <v>2033</v>
      </c>
      <c r="AC40" s="246">
        <v>0</v>
      </c>
      <c r="AD40" s="246">
        <v>0</v>
      </c>
      <c r="AE40" s="320">
        <f>(AE39-V062A_203031[[#This Row],[CARTER MP.]])+V062A_203031[[#This Row],[FAENA EN LTS2]]</f>
        <v>2250</v>
      </c>
      <c r="AF40" s="246">
        <v>0</v>
      </c>
      <c r="AG40" s="246">
        <v>0</v>
      </c>
      <c r="AH40" s="320">
        <f>(AH39-V062A_203031[[#This Row],[MOT AUX]])+V062A_203031[[#This Row],[FAENA EN  LTS]]</f>
        <v>1310</v>
      </c>
      <c r="AI40" s="246">
        <v>0</v>
      </c>
      <c r="AJ40" s="246">
        <v>0</v>
      </c>
      <c r="AK40" s="321">
        <f>(AK39-V062A_203031[[#This Row],[HIDRAULICO]])+V062A_203031[[#This Row],[FAENA EN LTS3]]</f>
        <v>1950</v>
      </c>
    </row>
    <row r="41" spans="1:37" x14ac:dyDescent="0.25">
      <c r="A41" s="431" t="s">
        <v>274</v>
      </c>
      <c r="B41" s="48">
        <v>44098</v>
      </c>
      <c r="C41" s="351">
        <v>0.33333333333333331</v>
      </c>
      <c r="D41" s="418">
        <f>IF(V062A_203031[[#This Row],[FECHA]]-B40=1,((V062A_203031[[#This Row],[HORA]]-C40)*24)+24,(V062A_203031[[#This Row],[HORA]]-C40)*24)</f>
        <v>2.5</v>
      </c>
      <c r="E41" s="239" t="s">
        <v>55</v>
      </c>
      <c r="F41" s="29" t="s">
        <v>56</v>
      </c>
      <c r="G41" s="324">
        <v>32.4</v>
      </c>
      <c r="H41" s="306">
        <v>2.5</v>
      </c>
      <c r="I41" s="259">
        <f>IF(ISERROR(V062A_203031[[#This Row],[DISTANCIA POR CARTA]]/V062A_203031[[#This Row],[TIEMPO DE NAVEGACION]]),0,V062A_203031[[#This Row],[DISTANCIA POR CARTA]]/V062A_203031[[#This Row],[TIEMPO DE NAVEGACION]])</f>
        <v>12.959999999999999</v>
      </c>
      <c r="J41" s="242">
        <v>3</v>
      </c>
      <c r="K41" s="325">
        <v>98</v>
      </c>
      <c r="L41" s="418">
        <v>2.19</v>
      </c>
      <c r="M41" s="245">
        <v>0.13</v>
      </c>
      <c r="N41" s="245">
        <v>0.31</v>
      </c>
      <c r="O41" s="257">
        <f>SUM(V062A_203031[[#This Row],[MPAL]]+V062A_203031[[#This Row],[AUX.]]+V062A_203031[[#This Row],[CALDERA]])</f>
        <v>2.63</v>
      </c>
      <c r="P41" s="319"/>
      <c r="Q41" s="281">
        <f>(Q40-V062A_203031[[#This Row],[TOTAL ]])+V062A_203031[[#This Row],[FAENA]]</f>
        <v>617.46999999999991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SUM(V062A_203031[[#This Row],[MPAL2]:[GI]])</f>
        <v>0</v>
      </c>
      <c r="X41" s="246"/>
      <c r="Y41" s="282">
        <f>(Y40-V062A_203031[[#This Row],[TOTAL]])+V062A_203031[[#This Row],[FAENA2]]</f>
        <v>128.08000000000001</v>
      </c>
      <c r="Z41" s="245">
        <v>30</v>
      </c>
      <c r="AA41" s="246">
        <v>0</v>
      </c>
      <c r="AB41" s="320">
        <f>(AB40-V062A_203031[[#This Row],[CYLINDER MP]])+V062A_203031[[#This Row],[FAENA EN LTS]]</f>
        <v>2003</v>
      </c>
      <c r="AC41" s="246">
        <v>0</v>
      </c>
      <c r="AD41" s="246">
        <v>0</v>
      </c>
      <c r="AE41" s="320">
        <f>(AE40-V062A_203031[[#This Row],[CARTER MP.]])+V062A_203031[[#This Row],[FAENA EN LTS2]]</f>
        <v>2250</v>
      </c>
      <c r="AF41" s="246">
        <v>0</v>
      </c>
      <c r="AG41" s="246">
        <v>0</v>
      </c>
      <c r="AH41" s="320">
        <f>(AH40-V062A_203031[[#This Row],[MOT AUX]])+V062A_203031[[#This Row],[FAENA EN  LTS]]</f>
        <v>1310</v>
      </c>
      <c r="AI41" s="246">
        <v>300</v>
      </c>
      <c r="AJ41" s="246">
        <v>0</v>
      </c>
      <c r="AK41" s="321">
        <f>(AK40-V062A_203031[[#This Row],[HIDRAULICO]])+V062A_203031[[#This Row],[FAENA EN LTS3]]</f>
        <v>1650</v>
      </c>
    </row>
    <row r="42" spans="1:37" x14ac:dyDescent="0.25">
      <c r="A42" s="431" t="s">
        <v>274</v>
      </c>
      <c r="B42" s="48">
        <v>44098</v>
      </c>
      <c r="C42" s="362">
        <v>0.60416666666666663</v>
      </c>
      <c r="D42" s="418">
        <f>IF(V062A_203031[[#This Row],[FECHA]]-B41=1,((V062A_203031[[#This Row],[HORA]]-C41)*24)+24,(V062A_203031[[#This Row],[HORA]]-C41)*24)</f>
        <v>6.5</v>
      </c>
      <c r="E42" s="409" t="s">
        <v>55</v>
      </c>
      <c r="F42" s="29" t="s">
        <v>284</v>
      </c>
      <c r="G42" s="324">
        <v>87.6</v>
      </c>
      <c r="H42" s="306">
        <v>6.5</v>
      </c>
      <c r="I42" s="259">
        <f>IF(ISERROR(V062A_203031[[#This Row],[DISTANCIA POR CARTA]]/V062A_203031[[#This Row],[TIEMPO DE NAVEGACION]]),0,V062A_203031[[#This Row],[DISTANCIA POR CARTA]]/V062A_203031[[#This Row],[TIEMPO DE NAVEGACION]])</f>
        <v>13.476923076923075</v>
      </c>
      <c r="J42" s="242">
        <v>3</v>
      </c>
      <c r="K42" s="325">
        <v>98</v>
      </c>
      <c r="L42" s="418">
        <v>5.69</v>
      </c>
      <c r="M42" s="245">
        <v>0.33</v>
      </c>
      <c r="N42" s="245">
        <v>0.81</v>
      </c>
      <c r="O42" s="257">
        <f>SUM(V062A_203031[[#This Row],[MPAL]]+V062A_203031[[#This Row],[AUX.]]+V062A_203031[[#This Row],[CALDERA]])</f>
        <v>6.83</v>
      </c>
      <c r="P42" s="319"/>
      <c r="Q42" s="281">
        <f>(Q41-V062A_203031[[#This Row],[TOTAL ]])+V062A_203031[[#This Row],[FAENA]]</f>
        <v>610.63999999999987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SUM(V062A_203031[[#This Row],[MPAL2]:[GI]])</f>
        <v>0</v>
      </c>
      <c r="X42" s="246"/>
      <c r="Y42" s="282">
        <f>(Y41-V062A_203031[[#This Row],[TOTAL]])+V062A_203031[[#This Row],[FAENA2]]</f>
        <v>128.08000000000001</v>
      </c>
      <c r="Z42" s="245">
        <v>80</v>
      </c>
      <c r="AA42" s="246">
        <v>0</v>
      </c>
      <c r="AB42" s="320">
        <f>(AB41-V062A_203031[[#This Row],[CYLINDER MP]])+V062A_203031[[#This Row],[FAENA EN LTS]]</f>
        <v>1923</v>
      </c>
      <c r="AC42" s="246">
        <v>0</v>
      </c>
      <c r="AD42" s="246">
        <v>0</v>
      </c>
      <c r="AE42" s="320">
        <f>(AE41-V062A_203031[[#This Row],[CARTER MP.]])+V062A_203031[[#This Row],[FAENA EN LTS2]]</f>
        <v>2250</v>
      </c>
      <c r="AF42" s="246">
        <v>0</v>
      </c>
      <c r="AG42" s="246">
        <v>0</v>
      </c>
      <c r="AH42" s="320">
        <f>(AH41-V062A_203031[[#This Row],[MOT AUX]])+V062A_203031[[#This Row],[FAENA EN  LTS]]</f>
        <v>1310</v>
      </c>
      <c r="AI42" s="246">
        <v>0</v>
      </c>
      <c r="AJ42" s="246">
        <v>0</v>
      </c>
      <c r="AK42" s="321">
        <f>(AK41-V062A_203031[[#This Row],[HIDRAULICO]])+V062A_203031[[#This Row],[FAENA EN LTS3]]</f>
        <v>1650</v>
      </c>
    </row>
    <row r="43" spans="1:37" x14ac:dyDescent="0.25">
      <c r="A43" s="431" t="s">
        <v>274</v>
      </c>
      <c r="B43" s="48">
        <v>44098</v>
      </c>
      <c r="C43" s="41">
        <v>0.64583333333333337</v>
      </c>
      <c r="D43" s="418">
        <f>IF(V062A_203031[[#This Row],[FECHA]]-B42=1,((V062A_203031[[#This Row],[HORA]]-C42)*24)+24,(V062A_203031[[#This Row],[HORA]]-C42)*24)</f>
        <v>1.0000000000000018</v>
      </c>
      <c r="E43" s="239" t="s">
        <v>47</v>
      </c>
      <c r="F43" s="29" t="s">
        <v>285</v>
      </c>
      <c r="G43" s="324"/>
      <c r="H43" s="306"/>
      <c r="I43" s="259">
        <f>IF(ISERROR(V062A_203031[[#This Row],[DISTANCIA POR CARTA]]/V062A_203031[[#This Row],[TIEMPO DE NAVEGACION]]),0,V062A_203031[[#This Row],[DISTANCIA POR CARTA]]/V062A_203031[[#This Row],[TIEMPO DE NAVEGACION]])</f>
        <v>0</v>
      </c>
      <c r="J43" s="242"/>
      <c r="K43" s="325"/>
      <c r="L43" s="418">
        <v>0</v>
      </c>
      <c r="M43" s="245">
        <v>0</v>
      </c>
      <c r="N43" s="245">
        <v>0</v>
      </c>
      <c r="O43" s="257">
        <f>SUM(V062A_203031[[#This Row],[MPAL]]+V062A_203031[[#This Row],[AUX.]]+V062A_203031[[#This Row],[CALDERA]])</f>
        <v>0</v>
      </c>
      <c r="P43" s="319"/>
      <c r="Q43" s="281">
        <f>(Q42-V062A_203031[[#This Row],[TOTAL ]])+V062A_203031[[#This Row],[FAENA]]</f>
        <v>610.63999999999987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SUM(V062A_203031[[#This Row],[MPAL2]:[GI]])</f>
        <v>0</v>
      </c>
      <c r="X43" s="246"/>
      <c r="Y43" s="282">
        <f>(Y42-V062A_203031[[#This Row],[TOTAL]])+V062A_203031[[#This Row],[FAENA2]]</f>
        <v>128.08000000000001</v>
      </c>
      <c r="Z43" s="245">
        <v>10</v>
      </c>
      <c r="AA43" s="246">
        <v>0</v>
      </c>
      <c r="AB43" s="320">
        <f>(AB42-V062A_203031[[#This Row],[CYLINDER MP]])+V062A_203031[[#This Row],[FAENA EN LTS]]</f>
        <v>1913</v>
      </c>
      <c r="AC43" s="246">
        <v>0</v>
      </c>
      <c r="AD43" s="246">
        <v>0</v>
      </c>
      <c r="AE43" s="320">
        <f>(AE42-V062A_203031[[#This Row],[CARTER MP.]])+V062A_203031[[#This Row],[FAENA EN LTS2]]</f>
        <v>2250</v>
      </c>
      <c r="AF43" s="246">
        <v>0</v>
      </c>
      <c r="AG43" s="246">
        <v>0</v>
      </c>
      <c r="AH43" s="320">
        <f>(AH42-V062A_203031[[#This Row],[MOT AUX]])+V062A_203031[[#This Row],[FAENA EN  LTS]]</f>
        <v>1310</v>
      </c>
      <c r="AI43" s="246">
        <v>0</v>
      </c>
      <c r="AJ43" s="246">
        <v>0</v>
      </c>
      <c r="AK43" s="321">
        <f>(AK42-V062A_203031[[#This Row],[HIDRAULICO]])+V062A_203031[[#This Row],[FAENA EN LTS3]]</f>
        <v>1650</v>
      </c>
    </row>
    <row r="44" spans="1:37" x14ac:dyDescent="0.25">
      <c r="A44" s="431" t="s">
        <v>274</v>
      </c>
      <c r="B44" s="48">
        <v>44099</v>
      </c>
      <c r="C44" s="41">
        <v>0.33333333333333331</v>
      </c>
      <c r="D44" s="418">
        <f>IF(V062A_203031[[#This Row],[FECHA]]-B43=1,((V062A_203031[[#This Row],[HORA]]-C43)*24)+24,(V062A_203031[[#This Row],[HORA]]-C43)*24)</f>
        <v>16.5</v>
      </c>
      <c r="E44" s="239" t="s">
        <v>45</v>
      </c>
      <c r="F44" s="29" t="s">
        <v>45</v>
      </c>
      <c r="G44" s="324"/>
      <c r="H44" s="306"/>
      <c r="I44" s="259">
        <f>IF(ISERROR(V062A_203031[[#This Row],[DISTANCIA POR CARTA]]/V062A_203031[[#This Row],[TIEMPO DE NAVEGACION]]),0,V062A_203031[[#This Row],[DISTANCIA POR CARTA]]/V062A_203031[[#This Row],[TIEMPO DE NAVEGACION]])</f>
        <v>0</v>
      </c>
      <c r="J44" s="380"/>
      <c r="K44" s="325"/>
      <c r="L44" s="418">
        <v>0.42</v>
      </c>
      <c r="M44" s="245">
        <v>0.05</v>
      </c>
      <c r="N44" s="245">
        <v>0.13</v>
      </c>
      <c r="O44" s="257">
        <f>SUM(V062A_203031[[#This Row],[MPAL]]+V062A_203031[[#This Row],[AUX.]]+V062A_203031[[#This Row],[CALDERA]])</f>
        <v>0.6</v>
      </c>
      <c r="P44" s="319"/>
      <c r="Q44" s="281">
        <f>(Q43-V062A_203031[[#This Row],[TOTAL ]])+V062A_203031[[#This Row],[FAENA]]</f>
        <v>610.03999999999985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SUM(V062A_203031[[#This Row],[MPAL2]:[GI]])</f>
        <v>0</v>
      </c>
      <c r="X44" s="246"/>
      <c r="Y44" s="282">
        <f>(Y43-V062A_203031[[#This Row],[TOTAL]])+V062A_203031[[#This Row],[FAENA2]]</f>
        <v>128.08000000000001</v>
      </c>
      <c r="Z44" s="245">
        <v>0</v>
      </c>
      <c r="AA44" s="246">
        <v>0</v>
      </c>
      <c r="AB44" s="320">
        <f>(AB43-V062A_203031[[#This Row],[CYLINDER MP]])+V062A_203031[[#This Row],[FAENA EN LTS]]</f>
        <v>1913</v>
      </c>
      <c r="AC44" s="246">
        <v>0</v>
      </c>
      <c r="AD44" s="246">
        <v>0</v>
      </c>
      <c r="AE44" s="320">
        <f>(AE43-V062A_203031[[#This Row],[CARTER MP.]])+V062A_203031[[#This Row],[FAENA EN LTS2]]</f>
        <v>2250</v>
      </c>
      <c r="AF44" s="246">
        <v>0</v>
      </c>
      <c r="AG44" s="246">
        <v>0</v>
      </c>
      <c r="AH44" s="320">
        <f>(AH43-V062A_203031[[#This Row],[MOT AUX]])+V062A_203031[[#This Row],[FAENA EN  LTS]]</f>
        <v>1310</v>
      </c>
      <c r="AI44" s="246">
        <v>0</v>
      </c>
      <c r="AJ44" s="246">
        <v>0</v>
      </c>
      <c r="AK44" s="321">
        <f>(AK43-V062A_203031[[#This Row],[HIDRAULICO]])+V062A_203031[[#This Row],[FAENA EN LTS3]]</f>
        <v>1650</v>
      </c>
    </row>
    <row r="45" spans="1:37" x14ac:dyDescent="0.25">
      <c r="A45" s="431" t="s">
        <v>274</v>
      </c>
      <c r="B45" s="48">
        <v>44099</v>
      </c>
      <c r="C45" s="41">
        <v>0.51250000000000007</v>
      </c>
      <c r="D45" s="418">
        <f>IF(V062A_203031[[#This Row],[FECHA]]-B44=1,((V062A_203031[[#This Row],[HORA]]-C44)*24)+24,(V062A_203031[[#This Row],[HORA]]-C44)*24)</f>
        <v>4.3000000000000025</v>
      </c>
      <c r="E45" s="409" t="s">
        <v>45</v>
      </c>
      <c r="F45" s="29" t="s">
        <v>74</v>
      </c>
      <c r="G45" s="324"/>
      <c r="H45" s="306"/>
      <c r="I45" s="259">
        <f>IF(ISERROR(V062A_203031[[#This Row],[DISTANCIA POR CARTA]]/V062A_203031[[#This Row],[TIEMPO DE NAVEGACION]]),0,V062A_203031[[#This Row],[DISTANCIA POR CARTA]]/V062A_203031[[#This Row],[TIEMPO DE NAVEGACION]])</f>
        <v>0</v>
      </c>
      <c r="J45" s="380"/>
      <c r="K45" s="325"/>
      <c r="L45" s="418">
        <v>0</v>
      </c>
      <c r="M45" s="245">
        <v>0.22</v>
      </c>
      <c r="N45" s="245">
        <v>0.54</v>
      </c>
      <c r="O45" s="257">
        <f>SUM(V062A_203031[[#This Row],[MPAL]]+V062A_203031[[#This Row],[AUX.]]+V062A_203031[[#This Row],[CALDERA]])</f>
        <v>0.76</v>
      </c>
      <c r="P45" s="319"/>
      <c r="Q45" s="281">
        <f>(Q44-V062A_203031[[#This Row],[TOTAL ]])+V062A_203031[[#This Row],[FAENA]]</f>
        <v>609.27999999999986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SUM(V062A_203031[[#This Row],[MPAL2]:[GI]])</f>
        <v>0</v>
      </c>
      <c r="X45" s="246"/>
      <c r="Y45" s="282">
        <f>(Y44-V062A_203031[[#This Row],[TOTAL]])+V062A_203031[[#This Row],[FAENA2]]</f>
        <v>128.08000000000001</v>
      </c>
      <c r="Z45" s="245">
        <v>0</v>
      </c>
      <c r="AA45" s="246">
        <v>0</v>
      </c>
      <c r="AB45" s="320">
        <f>(AB44-V062A_203031[[#This Row],[CYLINDER MP]])+V062A_203031[[#This Row],[FAENA EN LTS]]</f>
        <v>1913</v>
      </c>
      <c r="AC45" s="246">
        <v>0</v>
      </c>
      <c r="AD45" s="246">
        <v>0</v>
      </c>
      <c r="AE45" s="320">
        <f>(AE44-V062A_203031[[#This Row],[CARTER MP.]])+V062A_203031[[#This Row],[FAENA EN LTS2]]</f>
        <v>2250</v>
      </c>
      <c r="AF45" s="246">
        <v>0</v>
      </c>
      <c r="AG45" s="246">
        <v>0</v>
      </c>
      <c r="AH45" s="320">
        <f>(AH44-V062A_203031[[#This Row],[MOT AUX]])+V062A_203031[[#This Row],[FAENA EN  LTS]]</f>
        <v>1310</v>
      </c>
      <c r="AI45" s="246">
        <v>0</v>
      </c>
      <c r="AJ45" s="246">
        <v>0</v>
      </c>
      <c r="AK45" s="321">
        <f>(AK44-V062A_203031[[#This Row],[HIDRAULICO]])+V062A_203031[[#This Row],[FAENA EN LTS3]]</f>
        <v>1650</v>
      </c>
    </row>
    <row r="46" spans="1:37" x14ac:dyDescent="0.25">
      <c r="A46" s="431" t="s">
        <v>274</v>
      </c>
      <c r="B46" s="48">
        <v>44099</v>
      </c>
      <c r="C46" s="41">
        <v>0.5625</v>
      </c>
      <c r="D46" s="418">
        <f>IF(V062A_203031[[#This Row],[FECHA]]-B45=1,((V062A_203031[[#This Row],[HORA]]-C45)*24)+24,(V062A_203031[[#This Row],[HORA]]-C45)*24)</f>
        <v>1.1999999999999984</v>
      </c>
      <c r="E46" s="239" t="s">
        <v>47</v>
      </c>
      <c r="F46" s="29" t="s">
        <v>286</v>
      </c>
      <c r="G46" s="324"/>
      <c r="H46" s="306"/>
      <c r="I46" s="259">
        <f>IF(ISERROR(V062A_203031[[#This Row],[DISTANCIA POR CARTA]]/V062A_203031[[#This Row],[TIEMPO DE NAVEGACION]]),0,V062A_203031[[#This Row],[DISTANCIA POR CARTA]]/V062A_203031[[#This Row],[TIEMPO DE NAVEGACION]])</f>
        <v>0</v>
      </c>
      <c r="J46" s="380"/>
      <c r="K46" s="325"/>
      <c r="L46" s="418">
        <v>1.05</v>
      </c>
      <c r="M46" s="245">
        <v>0.4</v>
      </c>
      <c r="N46" s="245">
        <v>0.5</v>
      </c>
      <c r="O46" s="257">
        <f>SUM(V062A_203031[[#This Row],[MPAL]]+V062A_203031[[#This Row],[AUX.]]+V062A_203031[[#This Row],[CALDERA]])</f>
        <v>1.9500000000000002</v>
      </c>
      <c r="P46" s="319"/>
      <c r="Q46" s="281">
        <f>(Q45-V062A_203031[[#This Row],[TOTAL ]])+V062A_203031[[#This Row],[FAENA]]</f>
        <v>607.32999999999981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57">
        <f>SUM(V062A_203031[[#This Row],[MPAL2]:[GI]])</f>
        <v>0</v>
      </c>
      <c r="X46" s="246"/>
      <c r="Y46" s="282">
        <f>(Y45-V062A_203031[[#This Row],[TOTAL]])+V062A_203031[[#This Row],[FAENA2]]</f>
        <v>128.08000000000001</v>
      </c>
      <c r="Z46" s="245">
        <v>0</v>
      </c>
      <c r="AA46" s="246">
        <v>0</v>
      </c>
      <c r="AB46" s="320">
        <f>(AB45-V062A_203031[[#This Row],[CYLINDER MP]])+V062A_203031[[#This Row],[FAENA EN LTS]]</f>
        <v>1913</v>
      </c>
      <c r="AC46" s="246">
        <v>100</v>
      </c>
      <c r="AD46" s="246">
        <v>0</v>
      </c>
      <c r="AE46" s="320">
        <f>(AE45-V062A_203031[[#This Row],[CARTER MP.]])+V062A_203031[[#This Row],[FAENA EN LTS2]]</f>
        <v>2150</v>
      </c>
      <c r="AF46" s="246">
        <v>20</v>
      </c>
      <c r="AG46" s="246">
        <v>0</v>
      </c>
      <c r="AH46" s="320">
        <f>(AH45-V062A_203031[[#This Row],[MOT AUX]])+V062A_203031[[#This Row],[FAENA EN  LTS]]</f>
        <v>1290</v>
      </c>
      <c r="AI46" s="246">
        <v>0</v>
      </c>
      <c r="AJ46" s="246">
        <v>0</v>
      </c>
      <c r="AK46" s="321">
        <f>(AK45-V062A_203031[[#This Row],[HIDRAULICO]])+V062A_203031[[#This Row],[FAENA EN LTS3]]</f>
        <v>1650</v>
      </c>
    </row>
    <row r="47" spans="1:37" x14ac:dyDescent="0.25">
      <c r="A47" s="431" t="s">
        <v>274</v>
      </c>
      <c r="B47" s="48">
        <v>44100</v>
      </c>
      <c r="C47" s="41">
        <v>0</v>
      </c>
      <c r="D47" s="418">
        <f>IF(V062A_203031[[#This Row],[FECHA]]-B46=1,((V062A_203031[[#This Row],[HORA]]-C46)*24)+24,(V062A_203031[[#This Row],[HORA]]-C46)*24)</f>
        <v>10.5</v>
      </c>
      <c r="E47" s="409" t="s">
        <v>55</v>
      </c>
      <c r="F47" s="29" t="s">
        <v>56</v>
      </c>
      <c r="G47" s="324"/>
      <c r="H47" s="306"/>
      <c r="I47" s="259">
        <f>IF(ISERROR(V062A_203031[[#This Row],[DISTANCIA POR CARTA]]/V062A_203031[[#This Row],[TIEMPO DE NAVEGACION]]),0,V062A_203031[[#This Row],[DISTANCIA POR CARTA]]/V062A_203031[[#This Row],[TIEMPO DE NAVEGACION]])</f>
        <v>0</v>
      </c>
      <c r="J47" s="380"/>
      <c r="K47" s="325"/>
      <c r="L47" s="418">
        <v>9.19</v>
      </c>
      <c r="M47" s="245">
        <v>0.53</v>
      </c>
      <c r="N47" s="245">
        <v>1.53</v>
      </c>
      <c r="O47" s="257">
        <f>SUM(V062A_203031[[#This Row],[MPAL]]+V062A_203031[[#This Row],[AUX.]]+V062A_203031[[#This Row],[CALDERA]])</f>
        <v>11.249999999999998</v>
      </c>
      <c r="P47" s="319"/>
      <c r="Q47" s="281">
        <f>(Q46-V062A_203031[[#This Row],[TOTAL ]])+V062A_203031[[#This Row],[FAENA]]</f>
        <v>596.07999999999981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SUM(V062A_203031[[#This Row],[MPAL2]:[GI]])</f>
        <v>0</v>
      </c>
      <c r="X47" s="246"/>
      <c r="Y47" s="282">
        <f>(Y46-V062A_203031[[#This Row],[TOTAL]])+V062A_203031[[#This Row],[FAENA2]]</f>
        <v>128.08000000000001</v>
      </c>
      <c r="Z47" s="245">
        <v>140</v>
      </c>
      <c r="AA47" s="246">
        <v>0</v>
      </c>
      <c r="AB47" s="320">
        <f>(AB46-V062A_203031[[#This Row],[CYLINDER MP]])+V062A_203031[[#This Row],[FAENA EN LTS]]</f>
        <v>1773</v>
      </c>
      <c r="AC47" s="246">
        <v>0</v>
      </c>
      <c r="AD47" s="246">
        <v>0</v>
      </c>
      <c r="AE47" s="320">
        <f>(AE46-V062A_203031[[#This Row],[CARTER MP.]])+V062A_203031[[#This Row],[FAENA EN LTS2]]</f>
        <v>2150</v>
      </c>
      <c r="AF47" s="246">
        <v>0</v>
      </c>
      <c r="AG47" s="246">
        <v>0</v>
      </c>
      <c r="AH47" s="320">
        <f>(AH46-V062A_203031[[#This Row],[MOT AUX]])+V062A_203031[[#This Row],[FAENA EN  LTS]]</f>
        <v>1290</v>
      </c>
      <c r="AI47" s="246">
        <v>0</v>
      </c>
      <c r="AJ47" s="246">
        <v>0</v>
      </c>
      <c r="AK47" s="321">
        <f>(AK46-V062A_203031[[#This Row],[HIDRAULICO]])+V062A_203031[[#This Row],[FAENA EN LTS3]]</f>
        <v>1650</v>
      </c>
    </row>
    <row r="48" spans="1:37" x14ac:dyDescent="0.25">
      <c r="A48" s="431" t="s">
        <v>274</v>
      </c>
      <c r="B48" s="48">
        <v>44100</v>
      </c>
      <c r="C48" s="41">
        <v>0.33333333333333331</v>
      </c>
      <c r="D48" s="418">
        <f>IF(V062A_203031[[#This Row],[FECHA]]-B47=1,((V062A_203031[[#This Row],[HORA]]-C47)*24)+24,(V062A_203031[[#This Row],[HORA]]-C47)*24)</f>
        <v>8</v>
      </c>
      <c r="E48" s="409" t="s">
        <v>55</v>
      </c>
      <c r="F48" s="29" t="s">
        <v>56</v>
      </c>
      <c r="G48" s="324">
        <v>232.6</v>
      </c>
      <c r="H48" s="306">
        <v>18.5</v>
      </c>
      <c r="I48" s="259">
        <f>IF(ISERROR(V062A_203031[[#This Row],[DISTANCIA POR CARTA]]/V062A_203031[[#This Row],[TIEMPO DE NAVEGACION]]),0,V062A_203031[[#This Row],[DISTANCIA POR CARTA]]/V062A_203031[[#This Row],[TIEMPO DE NAVEGACION]])</f>
        <v>12.572972972972973</v>
      </c>
      <c r="J48" s="380">
        <v>6</v>
      </c>
      <c r="K48" s="325">
        <v>97</v>
      </c>
      <c r="L48" s="418">
        <v>8.5</v>
      </c>
      <c r="M48" s="245">
        <v>0.4</v>
      </c>
      <c r="N48" s="245">
        <v>1.17</v>
      </c>
      <c r="O48" s="257">
        <f>SUM(V062A_203031[[#This Row],[MPAL]]+V062A_203031[[#This Row],[AUX.]]+V062A_203031[[#This Row],[CALDERA]])</f>
        <v>10.07</v>
      </c>
      <c r="P48" s="319"/>
      <c r="Q48" s="281">
        <f>(Q47-V062A_203031[[#This Row],[TOTAL ]])+V062A_203031[[#This Row],[FAENA]]</f>
        <v>586.00999999999976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SUM(V062A_203031[[#This Row],[MPAL2]:[GI]])</f>
        <v>0</v>
      </c>
      <c r="X48" s="246"/>
      <c r="Y48" s="282">
        <f>(Y47-V062A_203031[[#This Row],[TOTAL]])+V062A_203031[[#This Row],[FAENA2]]</f>
        <v>128.08000000000001</v>
      </c>
      <c r="Z48" s="245">
        <v>100</v>
      </c>
      <c r="AA48" s="246">
        <v>0</v>
      </c>
      <c r="AB48" s="320">
        <f>(AB47-V062A_203031[[#This Row],[CYLINDER MP]])+V062A_203031[[#This Row],[FAENA EN LTS]]</f>
        <v>1673</v>
      </c>
      <c r="AC48" s="246">
        <v>0</v>
      </c>
      <c r="AD48" s="246">
        <v>0</v>
      </c>
      <c r="AE48" s="320">
        <f>(AE47-V062A_203031[[#This Row],[CARTER MP.]])+V062A_203031[[#This Row],[FAENA EN LTS2]]</f>
        <v>2150</v>
      </c>
      <c r="AF48" s="246">
        <v>0</v>
      </c>
      <c r="AG48" s="246">
        <v>0</v>
      </c>
      <c r="AH48" s="320">
        <f>(AH47-V062A_203031[[#This Row],[MOT AUX]])+V062A_203031[[#This Row],[FAENA EN  LTS]]</f>
        <v>1290</v>
      </c>
      <c r="AI48" s="246">
        <v>0</v>
      </c>
      <c r="AJ48" s="246">
        <v>0</v>
      </c>
      <c r="AK48" s="321">
        <f>(AK47-V062A_203031[[#This Row],[HIDRAULICO]])+V062A_203031[[#This Row],[FAENA EN LTS3]]</f>
        <v>1650</v>
      </c>
    </row>
    <row r="49" spans="1:37" x14ac:dyDescent="0.25">
      <c r="A49" s="431" t="s">
        <v>274</v>
      </c>
      <c r="B49" s="48">
        <v>44100</v>
      </c>
      <c r="C49" s="41">
        <v>0.41666666666666669</v>
      </c>
      <c r="D49" s="418">
        <f>IF(V062A_203031[[#This Row],[FECHA]]-B48=1,((V062A_203031[[#This Row],[HORA]]-C48)*24)+24,(V062A_203031[[#This Row],[HORA]]-C48)*24)</f>
        <v>2.0000000000000009</v>
      </c>
      <c r="E49" s="409" t="s">
        <v>55</v>
      </c>
      <c r="F49" s="29" t="s">
        <v>142</v>
      </c>
      <c r="G49" s="324">
        <v>28.4</v>
      </c>
      <c r="H49" s="306">
        <v>2</v>
      </c>
      <c r="I49" s="259">
        <f>IF(ISERROR(V062A_203031[[#This Row],[DISTANCIA POR CARTA]]/V062A_203031[[#This Row],[TIEMPO DE NAVEGACION]]),0,V062A_203031[[#This Row],[DISTANCIA POR CARTA]]/V062A_203031[[#This Row],[TIEMPO DE NAVEGACION]])</f>
        <v>14.2</v>
      </c>
      <c r="J49" s="380">
        <v>5</v>
      </c>
      <c r="K49" s="325">
        <v>97</v>
      </c>
      <c r="L49" s="418">
        <v>2</v>
      </c>
      <c r="M49" s="245">
        <v>0.1</v>
      </c>
      <c r="N49" s="245">
        <v>0.75</v>
      </c>
      <c r="O49" s="257">
        <f>SUM(V062A_203031[[#This Row],[MPAL]]+V062A_203031[[#This Row],[AUX.]]+V062A_203031[[#This Row],[CALDERA]])</f>
        <v>2.85</v>
      </c>
      <c r="P49" s="319"/>
      <c r="Q49" s="281">
        <f>(Q48-V062A_203031[[#This Row],[TOTAL ]])+V062A_203031[[#This Row],[FAENA]]</f>
        <v>583.15999999999974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SUM(V062A_203031[[#This Row],[MPAL2]:[GI]])</f>
        <v>0</v>
      </c>
      <c r="X49" s="246"/>
      <c r="Y49" s="282">
        <f>(Y48-V062A_203031[[#This Row],[TOTAL]])+V062A_203031[[#This Row],[FAENA2]]</f>
        <v>128.08000000000001</v>
      </c>
      <c r="Z49" s="245">
        <v>20</v>
      </c>
      <c r="AA49" s="246">
        <v>0</v>
      </c>
      <c r="AB49" s="320">
        <f>(AB48-V062A_203031[[#This Row],[CYLINDER MP]])+V062A_203031[[#This Row],[FAENA EN LTS]]</f>
        <v>1653</v>
      </c>
      <c r="AC49" s="246">
        <v>0</v>
      </c>
      <c r="AD49" s="246">
        <v>0</v>
      </c>
      <c r="AE49" s="320">
        <f>(AE48-V062A_203031[[#This Row],[CARTER MP.]])+V062A_203031[[#This Row],[FAENA EN LTS2]]</f>
        <v>2150</v>
      </c>
      <c r="AF49" s="246">
        <v>0</v>
      </c>
      <c r="AG49" s="246">
        <v>0</v>
      </c>
      <c r="AH49" s="320">
        <f>(AH48-V062A_203031[[#This Row],[MOT AUX]])+V062A_203031[[#This Row],[FAENA EN  LTS]]</f>
        <v>1290</v>
      </c>
      <c r="AI49" s="246">
        <v>0</v>
      </c>
      <c r="AJ49" s="246">
        <v>0</v>
      </c>
      <c r="AK49" s="321">
        <f>(AK48-V062A_203031[[#This Row],[HIDRAULICO]])+V062A_203031[[#This Row],[FAENA EN LTS3]]</f>
        <v>1650</v>
      </c>
    </row>
    <row r="50" spans="1:37" x14ac:dyDescent="0.25">
      <c r="A50" s="431" t="s">
        <v>274</v>
      </c>
      <c r="B50" s="48">
        <v>44100</v>
      </c>
      <c r="C50" s="362">
        <v>0.47083333333333338</v>
      </c>
      <c r="D50" s="418">
        <f>IF(V062A_203031[[#This Row],[FECHA]]-B49=1,((V062A_203031[[#This Row],[HORA]]-C49)*24)+24,(V062A_203031[[#This Row],[HORA]]-C49)*24)</f>
        <v>1.3000000000000007</v>
      </c>
      <c r="E50" s="239" t="s">
        <v>47</v>
      </c>
      <c r="F50" s="29" t="s">
        <v>287</v>
      </c>
      <c r="G50" s="324"/>
      <c r="H50" s="306"/>
      <c r="I50" s="259">
        <f>IF(ISERROR(V062A_203031[[#This Row],[DISTANCIA POR CARTA]]/V062A_203031[[#This Row],[TIEMPO DE NAVEGACION]]),0,V062A_203031[[#This Row],[DISTANCIA POR CARTA]]/V062A_203031[[#This Row],[TIEMPO DE NAVEGACION]])</f>
        <v>0</v>
      </c>
      <c r="J50" s="242"/>
      <c r="K50" s="325"/>
      <c r="L50" s="418">
        <v>0.54</v>
      </c>
      <c r="M50" s="245">
        <v>7.0000000000000007E-2</v>
      </c>
      <c r="N50" s="245">
        <v>0.11</v>
      </c>
      <c r="O50" s="257">
        <f>SUM(V062A_203031[[#This Row],[MPAL]]+V062A_203031[[#This Row],[AUX.]]+V062A_203031[[#This Row],[CALDERA]])</f>
        <v>0.72000000000000008</v>
      </c>
      <c r="P50" s="319"/>
      <c r="Q50" s="281">
        <f>(Q49-V062A_203031[[#This Row],[TOTAL ]])+V062A_203031[[#This Row],[FAENA]]</f>
        <v>582.43999999999971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SUM(V062A_203031[[#This Row],[MPAL2]:[GI]])</f>
        <v>0</v>
      </c>
      <c r="X50" s="246"/>
      <c r="Y50" s="282">
        <f>(Y49-V062A_203031[[#This Row],[TOTAL]])+V062A_203031[[#This Row],[FAENA2]]</f>
        <v>128.08000000000001</v>
      </c>
      <c r="Z50" s="245">
        <v>10</v>
      </c>
      <c r="AA50" s="246">
        <v>0</v>
      </c>
      <c r="AB50" s="320">
        <f>(AB49-V062A_203031[[#This Row],[CYLINDER MP]])+V062A_203031[[#This Row],[FAENA EN LTS]]</f>
        <v>1643</v>
      </c>
      <c r="AC50" s="246">
        <v>0</v>
      </c>
      <c r="AD50" s="246">
        <v>0</v>
      </c>
      <c r="AE50" s="320">
        <f>(AE49-V062A_203031[[#This Row],[CARTER MP.]])+V062A_203031[[#This Row],[FAENA EN LTS2]]</f>
        <v>2150</v>
      </c>
      <c r="AF50" s="246">
        <v>0</v>
      </c>
      <c r="AG50" s="246">
        <v>0</v>
      </c>
      <c r="AH50" s="320">
        <f>(AH49-V062A_203031[[#This Row],[MOT AUX]])+V062A_203031[[#This Row],[FAENA EN  LTS]]</f>
        <v>1290</v>
      </c>
      <c r="AI50" s="246">
        <v>0</v>
      </c>
      <c r="AJ50" s="246">
        <v>0</v>
      </c>
      <c r="AK50" s="321">
        <f>(AK49-V062A_203031[[#This Row],[HIDRAULICO]])+V062A_203031[[#This Row],[FAENA EN LTS3]]</f>
        <v>1650</v>
      </c>
    </row>
    <row r="51" spans="1:37" x14ac:dyDescent="0.25">
      <c r="A51" s="431" t="s">
        <v>274</v>
      </c>
      <c r="B51" s="48">
        <v>44100</v>
      </c>
      <c r="C51" s="351">
        <v>0.57916666666666672</v>
      </c>
      <c r="D51" s="418">
        <f>IF(V062A_203031[[#This Row],[FECHA]]-B50=1,((V062A_203031[[#This Row],[HORA]]-C50)*24)+24,(V062A_203031[[#This Row],[HORA]]-C50)*24)</f>
        <v>2.6</v>
      </c>
      <c r="E51" s="239" t="s">
        <v>45</v>
      </c>
      <c r="F51" s="29" t="s">
        <v>74</v>
      </c>
      <c r="G51" s="324"/>
      <c r="H51" s="306"/>
      <c r="I51" s="259">
        <f>IF(ISERROR(V062A_203031[[#This Row],[DISTANCIA POR CARTA]]/V062A_203031[[#This Row],[TIEMPO DE NAVEGACION]]),0,V062A_203031[[#This Row],[DISTANCIA POR CARTA]]/V062A_203031[[#This Row],[TIEMPO DE NAVEGACION]])</f>
        <v>0</v>
      </c>
      <c r="J51" s="242"/>
      <c r="K51" s="325"/>
      <c r="L51" s="418">
        <v>0</v>
      </c>
      <c r="M51" s="245">
        <v>0.13</v>
      </c>
      <c r="N51" s="245">
        <v>0.22</v>
      </c>
      <c r="O51" s="257">
        <f>SUM(V062A_203031[[#This Row],[MPAL]]+V062A_203031[[#This Row],[AUX.]]+V062A_203031[[#This Row],[CALDERA]])</f>
        <v>0.35</v>
      </c>
      <c r="P51" s="319"/>
      <c r="Q51" s="281">
        <f>(Q50-V062A_203031[[#This Row],[TOTAL ]])+V062A_203031[[#This Row],[FAENA]]</f>
        <v>582.08999999999969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SUM(V062A_203031[[#This Row],[MPAL2]:[GI]])</f>
        <v>0</v>
      </c>
      <c r="X51" s="246"/>
      <c r="Y51" s="282">
        <f>(Y50-V062A_203031[[#This Row],[TOTAL]])+V062A_203031[[#This Row],[FAENA2]]</f>
        <v>128.08000000000001</v>
      </c>
      <c r="Z51" s="245">
        <v>0</v>
      </c>
      <c r="AA51" s="246">
        <v>0</v>
      </c>
      <c r="AB51" s="320">
        <f>(AB50-V062A_203031[[#This Row],[CYLINDER MP]])+V062A_203031[[#This Row],[FAENA EN LTS]]</f>
        <v>1643</v>
      </c>
      <c r="AC51" s="246">
        <v>0</v>
      </c>
      <c r="AD51" s="246">
        <v>0</v>
      </c>
      <c r="AE51" s="320">
        <f>(AE50-V062A_203031[[#This Row],[CARTER MP.]])+V062A_203031[[#This Row],[FAENA EN LTS2]]</f>
        <v>2150</v>
      </c>
      <c r="AF51" s="246">
        <v>0</v>
      </c>
      <c r="AG51" s="246">
        <v>0</v>
      </c>
      <c r="AH51" s="320">
        <f>(AH50-V062A_203031[[#This Row],[MOT AUX]])+V062A_203031[[#This Row],[FAENA EN  LTS]]</f>
        <v>1290</v>
      </c>
      <c r="AI51" s="246">
        <v>0</v>
      </c>
      <c r="AJ51" s="246">
        <v>0</v>
      </c>
      <c r="AK51" s="321">
        <f>(AK50-V062A_203031[[#This Row],[HIDRAULICO]])+V062A_203031[[#This Row],[FAENA EN LTS3]]</f>
        <v>1650</v>
      </c>
    </row>
    <row r="52" spans="1:37" x14ac:dyDescent="0.25">
      <c r="A52" s="431" t="s">
        <v>274</v>
      </c>
      <c r="B52" s="48">
        <v>44100</v>
      </c>
      <c r="C52" s="362">
        <v>0.64166666666666672</v>
      </c>
      <c r="D52" s="418">
        <f>IF(V062A_203031[[#This Row],[FECHA]]-B51=1,((V062A_203031[[#This Row],[HORA]]-C51)*24)+24,(V062A_203031[[#This Row],[HORA]]-C51)*24)</f>
        <v>1.5</v>
      </c>
      <c r="E52" s="409" t="s">
        <v>47</v>
      </c>
      <c r="F52" s="29" t="s">
        <v>288</v>
      </c>
      <c r="G52" s="324"/>
      <c r="H52" s="306"/>
      <c r="I52" s="259">
        <f>IF(ISERROR(V062A_203031[[#This Row],[DISTANCIA POR CARTA]]/V062A_203031[[#This Row],[TIEMPO DE NAVEGACION]]),0,V062A_203031[[#This Row],[DISTANCIA POR CARTA]]/V062A_203031[[#This Row],[TIEMPO DE NAVEGACION]])</f>
        <v>0</v>
      </c>
      <c r="J52" s="242"/>
      <c r="K52" s="325"/>
      <c r="L52" s="418">
        <v>0.63</v>
      </c>
      <c r="M52" s="245">
        <v>0.08</v>
      </c>
      <c r="N52" s="245">
        <v>0.13</v>
      </c>
      <c r="O52" s="257">
        <f>SUM(V062A_203031[[#This Row],[MPAL]]+V062A_203031[[#This Row],[AUX.]]+V062A_203031[[#This Row],[CALDERA]])</f>
        <v>0.84</v>
      </c>
      <c r="P52" s="319"/>
      <c r="Q52" s="281">
        <f>(Q51-V062A_203031[[#This Row],[TOTAL ]])+V062A_203031[[#This Row],[FAENA]]</f>
        <v>581.24999999999966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SUM(V062A_203031[[#This Row],[MPAL2]:[GI]])</f>
        <v>0</v>
      </c>
      <c r="X52" s="246"/>
      <c r="Y52" s="282">
        <f>(Y51-V062A_203031[[#This Row],[TOTAL]])+V062A_203031[[#This Row],[FAENA2]]</f>
        <v>128.08000000000001</v>
      </c>
      <c r="Z52" s="245">
        <v>10</v>
      </c>
      <c r="AA52" s="246">
        <v>0</v>
      </c>
      <c r="AB52" s="320">
        <f>(AB51-V062A_203031[[#This Row],[CYLINDER MP]])+V062A_203031[[#This Row],[FAENA EN LTS]]</f>
        <v>1633</v>
      </c>
      <c r="AC52" s="246">
        <v>0</v>
      </c>
      <c r="AD52" s="246">
        <v>0</v>
      </c>
      <c r="AE52" s="320">
        <f>(AE51-V062A_203031[[#This Row],[CARTER MP.]])+V062A_203031[[#This Row],[FAENA EN LTS2]]</f>
        <v>2150</v>
      </c>
      <c r="AF52" s="246">
        <v>0</v>
      </c>
      <c r="AG52" s="246">
        <v>0</v>
      </c>
      <c r="AH52" s="320">
        <f>(AH51-V062A_203031[[#This Row],[MOT AUX]])+V062A_203031[[#This Row],[FAENA EN  LTS]]</f>
        <v>1290</v>
      </c>
      <c r="AI52" s="246">
        <v>0</v>
      </c>
      <c r="AJ52" s="246">
        <v>0</v>
      </c>
      <c r="AK52" s="321">
        <f>(AK51-V062A_203031[[#This Row],[HIDRAULICO]])+V062A_203031[[#This Row],[FAENA EN LTS3]]</f>
        <v>1650</v>
      </c>
    </row>
    <row r="53" spans="1:37" x14ac:dyDescent="0.25">
      <c r="A53" s="431" t="s">
        <v>274</v>
      </c>
      <c r="B53" s="48">
        <v>44100</v>
      </c>
      <c r="C53" s="351">
        <v>0.95833333333333337</v>
      </c>
      <c r="D53" s="418">
        <f>IF(V062A_203031[[#This Row],[FECHA]]-B52=1,((V062A_203031[[#This Row],[HORA]]-C52)*24)+24,(V062A_203031[[#This Row],[HORA]]-C52)*24)</f>
        <v>7.6</v>
      </c>
      <c r="E53" s="409" t="s">
        <v>51</v>
      </c>
      <c r="F53" s="29" t="s">
        <v>52</v>
      </c>
      <c r="G53" s="324"/>
      <c r="H53" s="306"/>
      <c r="I53" s="259">
        <f>IF(ISERROR(V062A_203031[[#This Row],[DISTANCIA POR CARTA]]/V062A_203031[[#This Row],[TIEMPO DE NAVEGACION]]),0,V062A_203031[[#This Row],[DISTANCIA POR CARTA]]/V062A_203031[[#This Row],[TIEMPO DE NAVEGACION]])</f>
        <v>0</v>
      </c>
      <c r="J53" s="242"/>
      <c r="K53" s="325"/>
      <c r="L53" s="418">
        <v>0</v>
      </c>
      <c r="M53" s="245">
        <v>0.38</v>
      </c>
      <c r="N53" s="245">
        <v>0.63</v>
      </c>
      <c r="O53" s="257">
        <f>SUM(V062A_203031[[#This Row],[MPAL]]+V062A_203031[[#This Row],[AUX.]]+V062A_203031[[#This Row],[CALDERA]])</f>
        <v>1.01</v>
      </c>
      <c r="P53" s="319"/>
      <c r="Q53" s="281">
        <f>(Q52-V062A_203031[[#This Row],[TOTAL ]])+V062A_203031[[#This Row],[FAENA]]</f>
        <v>580.23999999999967</v>
      </c>
      <c r="R53" s="245">
        <v>0</v>
      </c>
      <c r="S53" s="246">
        <v>0</v>
      </c>
      <c r="T53" s="246">
        <v>0</v>
      </c>
      <c r="U53" s="246">
        <v>0</v>
      </c>
      <c r="V53" s="246">
        <v>1.6</v>
      </c>
      <c r="W53" s="257">
        <f>SUM(V062A_203031[[#This Row],[MPAL2]:[GI]])</f>
        <v>1.6</v>
      </c>
      <c r="X53" s="246"/>
      <c r="Y53" s="282">
        <f>(Y52-V062A_203031[[#This Row],[TOTAL]])+V062A_203031[[#This Row],[FAENA2]]</f>
        <v>126.48000000000002</v>
      </c>
      <c r="Z53" s="245">
        <v>0</v>
      </c>
      <c r="AA53" s="246">
        <v>0</v>
      </c>
      <c r="AB53" s="320">
        <f>(AB52-V062A_203031[[#This Row],[CYLINDER MP]])+V062A_203031[[#This Row],[FAENA EN LTS]]</f>
        <v>1633</v>
      </c>
      <c r="AC53" s="246">
        <v>0</v>
      </c>
      <c r="AD53" s="246">
        <v>0</v>
      </c>
      <c r="AE53" s="320">
        <f>(AE52-V062A_203031[[#This Row],[CARTER MP.]])+V062A_203031[[#This Row],[FAENA EN LTS2]]</f>
        <v>2150</v>
      </c>
      <c r="AF53" s="246">
        <v>20</v>
      </c>
      <c r="AG53" s="246">
        <v>0</v>
      </c>
      <c r="AH53" s="320">
        <f>(AH52-V062A_203031[[#This Row],[MOT AUX]])+V062A_203031[[#This Row],[FAENA EN  LTS]]</f>
        <v>1270</v>
      </c>
      <c r="AI53" s="246">
        <v>0</v>
      </c>
      <c r="AJ53" s="246">
        <v>0</v>
      </c>
      <c r="AK53" s="321">
        <f>(AK52-V062A_203031[[#This Row],[HIDRAULICO]])+V062A_203031[[#This Row],[FAENA EN LTS3]]</f>
        <v>1650</v>
      </c>
    </row>
    <row r="54" spans="1:37" x14ac:dyDescent="0.25">
      <c r="A54" s="431" t="s">
        <v>274</v>
      </c>
      <c r="B54" s="48">
        <v>44101</v>
      </c>
      <c r="C54" s="41">
        <v>0.11666666666666665</v>
      </c>
      <c r="D54" s="418">
        <f>IF(V062A_203031[[#This Row],[FECHA]]-B53=1,((V062A_203031[[#This Row],[HORA]]-C53)*24)+24,(V062A_203031[[#This Row],[HORA]]-C53)*24)</f>
        <v>3.8000000000000007</v>
      </c>
      <c r="E54" s="409" t="s">
        <v>49</v>
      </c>
      <c r="F54" s="29" t="s">
        <v>74</v>
      </c>
      <c r="G54" s="324"/>
      <c r="H54" s="306"/>
      <c r="I54" s="259">
        <f>IF(ISERROR(V062A_203031[[#This Row],[DISTANCIA POR CARTA]]/V062A_203031[[#This Row],[TIEMPO DE NAVEGACION]]),0,V062A_203031[[#This Row],[DISTANCIA POR CARTA]]/V062A_203031[[#This Row],[TIEMPO DE NAVEGACION]])</f>
        <v>0</v>
      </c>
      <c r="J54" s="242"/>
      <c r="K54" s="325"/>
      <c r="L54" s="418">
        <v>0</v>
      </c>
      <c r="M54" s="245">
        <v>0.19</v>
      </c>
      <c r="N54" s="245">
        <v>0.19</v>
      </c>
      <c r="O54" s="257">
        <f>SUM(V062A_203031[[#This Row],[MPAL]]+V062A_203031[[#This Row],[AUX.]]+V062A_203031[[#This Row],[CALDERA]])</f>
        <v>0.38</v>
      </c>
      <c r="P54" s="319"/>
      <c r="Q54" s="281">
        <f>(Q53-V062A_203031[[#This Row],[TOTAL ]])+V062A_203031[[#This Row],[FAENA]]</f>
        <v>579.85999999999967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SUM(V062A_203031[[#This Row],[MPAL2]:[GI]])</f>
        <v>0</v>
      </c>
      <c r="X54" s="246"/>
      <c r="Y54" s="282">
        <f>(Y53-V062A_203031[[#This Row],[TOTAL]])+V062A_203031[[#This Row],[FAENA2]]</f>
        <v>126.48000000000002</v>
      </c>
      <c r="Z54" s="245">
        <v>0</v>
      </c>
      <c r="AA54" s="246">
        <v>0</v>
      </c>
      <c r="AB54" s="320">
        <f>(AB53-V062A_203031[[#This Row],[CYLINDER MP]])+V062A_203031[[#This Row],[FAENA EN LTS]]</f>
        <v>1633</v>
      </c>
      <c r="AC54" s="246">
        <v>0</v>
      </c>
      <c r="AD54" s="246">
        <v>0</v>
      </c>
      <c r="AE54" s="320">
        <f>(AE53-V062A_203031[[#This Row],[CARTER MP.]])+V062A_203031[[#This Row],[FAENA EN LTS2]]</f>
        <v>2150</v>
      </c>
      <c r="AF54" s="246">
        <v>0</v>
      </c>
      <c r="AG54" s="246">
        <v>0</v>
      </c>
      <c r="AH54" s="320">
        <f>(AH53-V062A_203031[[#This Row],[MOT AUX]])+V062A_203031[[#This Row],[FAENA EN  LTS]]</f>
        <v>1270</v>
      </c>
      <c r="AI54" s="246">
        <v>0</v>
      </c>
      <c r="AJ54" s="246">
        <v>0</v>
      </c>
      <c r="AK54" s="321">
        <f>(AK53-V062A_203031[[#This Row],[HIDRAULICO]])+V062A_203031[[#This Row],[FAENA EN LTS3]]</f>
        <v>1650</v>
      </c>
    </row>
    <row r="55" spans="1:37" x14ac:dyDescent="0.25">
      <c r="A55" s="431" t="s">
        <v>274</v>
      </c>
      <c r="B55" s="48">
        <v>44101</v>
      </c>
      <c r="C55" s="41">
        <v>0.14583333333333334</v>
      </c>
      <c r="D55" s="418">
        <f>IF(V062A_203031[[#This Row],[FECHA]]-B54=1,((V062A_203031[[#This Row],[HORA]]-C54)*24)+24,(V062A_203031[[#This Row],[HORA]]-C54)*24)</f>
        <v>0.70000000000000051</v>
      </c>
      <c r="E55" s="409" t="s">
        <v>47</v>
      </c>
      <c r="F55" s="29" t="s">
        <v>151</v>
      </c>
      <c r="G55" s="324"/>
      <c r="H55" s="306"/>
      <c r="I55" s="259">
        <f>IF(ISERROR(V062A_203031[[#This Row],[DISTANCIA POR CARTA]]/V062A_203031[[#This Row],[TIEMPO DE NAVEGACION]]),0,V062A_203031[[#This Row],[DISTANCIA POR CARTA]]/V062A_203031[[#This Row],[TIEMPO DE NAVEGACION]])</f>
        <v>0</v>
      </c>
      <c r="J55" s="242"/>
      <c r="K55" s="325"/>
      <c r="L55" s="418">
        <v>0.26</v>
      </c>
      <c r="M55" s="245">
        <v>0.04</v>
      </c>
      <c r="N55" s="245">
        <v>0.04</v>
      </c>
      <c r="O55" s="257">
        <f>SUM(V062A_203031[[#This Row],[MPAL]]+V062A_203031[[#This Row],[AUX.]]+V062A_203031[[#This Row],[CALDERA]])</f>
        <v>0.33999999999999997</v>
      </c>
      <c r="P55" s="319"/>
      <c r="Q55" s="281">
        <f>(Q54-V062A_203031[[#This Row],[TOTAL ]])+V062A_203031[[#This Row],[FAENA]]</f>
        <v>579.51999999999964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SUM(V062A_203031[[#This Row],[MPAL2]:[GI]])</f>
        <v>0</v>
      </c>
      <c r="X55" s="246"/>
      <c r="Y55" s="282">
        <f>(Y54-V062A_203031[[#This Row],[TOTAL]])+V062A_203031[[#This Row],[FAENA2]]</f>
        <v>126.48000000000002</v>
      </c>
      <c r="Z55" s="245">
        <v>0</v>
      </c>
      <c r="AA55" s="246">
        <v>0</v>
      </c>
      <c r="AB55" s="320">
        <f>(AB54-V062A_203031[[#This Row],[CYLINDER MP]])+V062A_203031[[#This Row],[FAENA EN LTS]]</f>
        <v>1633</v>
      </c>
      <c r="AC55" s="246">
        <v>0</v>
      </c>
      <c r="AD55" s="246">
        <v>0</v>
      </c>
      <c r="AE55" s="320">
        <f>(AE54-V062A_203031[[#This Row],[CARTER MP.]])+V062A_203031[[#This Row],[FAENA EN LTS2]]</f>
        <v>2150</v>
      </c>
      <c r="AF55" s="246">
        <v>0</v>
      </c>
      <c r="AG55" s="246">
        <v>0</v>
      </c>
      <c r="AH55" s="320">
        <f>(AH54-V062A_203031[[#This Row],[MOT AUX]])+V062A_203031[[#This Row],[FAENA EN  LTS]]</f>
        <v>1270</v>
      </c>
      <c r="AI55" s="246">
        <v>0</v>
      </c>
      <c r="AJ55" s="246">
        <v>0</v>
      </c>
      <c r="AK55" s="321">
        <f>(AK54-V062A_203031[[#This Row],[HIDRAULICO]])+V062A_203031[[#This Row],[FAENA EN LTS3]]</f>
        <v>1650</v>
      </c>
    </row>
    <row r="56" spans="1:37" x14ac:dyDescent="0.25">
      <c r="A56" s="431" t="s">
        <v>274</v>
      </c>
      <c r="B56" s="48">
        <v>44101</v>
      </c>
      <c r="C56" s="41">
        <v>0.33333333333333331</v>
      </c>
      <c r="D56" s="418">
        <f>IF(V062A_203031[[#This Row],[FECHA]]-B55=1,((V062A_203031[[#This Row],[HORA]]-C55)*24)+24,(V062A_203031[[#This Row],[HORA]]-C55)*24)</f>
        <v>4.4999999999999991</v>
      </c>
      <c r="E56" s="409" t="s">
        <v>55</v>
      </c>
      <c r="F56" s="29" t="s">
        <v>56</v>
      </c>
      <c r="G56" s="324">
        <v>61</v>
      </c>
      <c r="H56" s="306">
        <v>4.5</v>
      </c>
      <c r="I56" s="259">
        <f>IF(ISERROR(V062A_203031[[#This Row],[DISTANCIA POR CARTA]]/V062A_203031[[#This Row],[TIEMPO DE NAVEGACION]]),0,V062A_203031[[#This Row],[DISTANCIA POR CARTA]]/V062A_203031[[#This Row],[TIEMPO DE NAVEGACION]])</f>
        <v>13.555555555555555</v>
      </c>
      <c r="J56" s="242">
        <v>3</v>
      </c>
      <c r="K56" s="325">
        <v>97</v>
      </c>
      <c r="L56" s="418">
        <v>3.94</v>
      </c>
      <c r="M56" s="245">
        <v>0.23</v>
      </c>
      <c r="N56" s="245">
        <v>0.19</v>
      </c>
      <c r="O56" s="257">
        <f>SUM(V062A_203031[[#This Row],[MPAL]]+V062A_203031[[#This Row],[AUX.]]+V062A_203031[[#This Row],[CALDERA]])</f>
        <v>4.3600000000000003</v>
      </c>
      <c r="P56" s="319"/>
      <c r="Q56" s="281">
        <f>(Q55-V062A_203031[[#This Row],[TOTAL ]])+V062A_203031[[#This Row],[FAENA]]</f>
        <v>575.15999999999963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SUM(V062A_203031[[#This Row],[MPAL2]:[GI]])</f>
        <v>0</v>
      </c>
      <c r="X56" s="246"/>
      <c r="Y56" s="282">
        <f>(Y55-V062A_203031[[#This Row],[TOTAL]])+V062A_203031[[#This Row],[FAENA2]]</f>
        <v>126.48000000000002</v>
      </c>
      <c r="Z56" s="245">
        <v>60</v>
      </c>
      <c r="AA56" s="246">
        <v>0</v>
      </c>
      <c r="AB56" s="320">
        <f>(AB55-V062A_203031[[#This Row],[CYLINDER MP]])+V062A_203031[[#This Row],[FAENA EN LTS]]</f>
        <v>1573</v>
      </c>
      <c r="AC56" s="246">
        <v>0</v>
      </c>
      <c r="AD56" s="246">
        <v>0</v>
      </c>
      <c r="AE56" s="320">
        <f>(AE55-V062A_203031[[#This Row],[CARTER MP.]])+V062A_203031[[#This Row],[FAENA EN LTS2]]</f>
        <v>2150</v>
      </c>
      <c r="AF56" s="246">
        <v>0</v>
      </c>
      <c r="AG56" s="246">
        <v>0</v>
      </c>
      <c r="AH56" s="320">
        <f>(AH55-V062A_203031[[#This Row],[MOT AUX]])+V062A_203031[[#This Row],[FAENA EN  LTS]]</f>
        <v>1270</v>
      </c>
      <c r="AI56" s="246">
        <v>0</v>
      </c>
      <c r="AJ56" s="246">
        <v>0</v>
      </c>
      <c r="AK56" s="321">
        <f>(AK55-V062A_203031[[#This Row],[HIDRAULICO]])+V062A_203031[[#This Row],[FAENA EN LTS3]]</f>
        <v>1650</v>
      </c>
    </row>
    <row r="57" spans="1:37" x14ac:dyDescent="0.25">
      <c r="A57" s="431" t="s">
        <v>274</v>
      </c>
      <c r="B57" s="48">
        <v>44101</v>
      </c>
      <c r="C57" s="41">
        <v>0.91666666666666663</v>
      </c>
      <c r="D57" s="418">
        <f>IF(V062A_203031[[#This Row],[FECHA]]-B56=1,((V062A_203031[[#This Row],[HORA]]-C56)*24)+24,(V062A_203031[[#This Row],[HORA]]-C56)*24)</f>
        <v>13.999999999999998</v>
      </c>
      <c r="E57" s="409" t="s">
        <v>55</v>
      </c>
      <c r="F57" s="29" t="s">
        <v>284</v>
      </c>
      <c r="G57" s="324">
        <v>200</v>
      </c>
      <c r="H57" s="306">
        <v>14</v>
      </c>
      <c r="I57" s="259">
        <f>IF(ISERROR(V062A_203031[[#This Row],[DISTANCIA POR CARTA]]/V062A_203031[[#This Row],[TIEMPO DE NAVEGACION]]),0,V062A_203031[[#This Row],[DISTANCIA POR CARTA]]/V062A_203031[[#This Row],[TIEMPO DE NAVEGACION]])</f>
        <v>14.285714285714286</v>
      </c>
      <c r="J57" s="242">
        <v>3</v>
      </c>
      <c r="K57" s="325">
        <v>97</v>
      </c>
      <c r="L57" s="418">
        <v>11.67</v>
      </c>
      <c r="M57" s="245">
        <v>0.7</v>
      </c>
      <c r="N57" s="245">
        <v>0.57999999999999996</v>
      </c>
      <c r="O57" s="257">
        <f>SUM(V062A_203031[[#This Row],[MPAL]]+V062A_203031[[#This Row],[AUX.]]+V062A_203031[[#This Row],[CALDERA]])</f>
        <v>12.95</v>
      </c>
      <c r="P57" s="319"/>
      <c r="Q57" s="281">
        <f>(Q56-V062A_203031[[#This Row],[TOTAL ]])+V062A_203031[[#This Row],[FAENA]]</f>
        <v>562.20999999999958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SUM(V062A_203031[[#This Row],[MPAL2]:[GI]])</f>
        <v>0</v>
      </c>
      <c r="X57" s="246"/>
      <c r="Y57" s="282">
        <f>(Y56-V062A_203031[[#This Row],[TOTAL]])+V062A_203031[[#This Row],[FAENA2]]</f>
        <v>126.48000000000002</v>
      </c>
      <c r="Z57" s="245">
        <v>170</v>
      </c>
      <c r="AA57" s="246">
        <v>0</v>
      </c>
      <c r="AB57" s="320">
        <f>(AB56-V062A_203031[[#This Row],[CYLINDER MP]])+V062A_203031[[#This Row],[FAENA EN LTS]]</f>
        <v>1403</v>
      </c>
      <c r="AC57" s="246">
        <v>0</v>
      </c>
      <c r="AD57" s="246">
        <v>0</v>
      </c>
      <c r="AE57" s="320">
        <f>(AE56-V062A_203031[[#This Row],[CARTER MP.]])+V062A_203031[[#This Row],[FAENA EN LTS2]]</f>
        <v>2150</v>
      </c>
      <c r="AF57" s="246">
        <v>20</v>
      </c>
      <c r="AG57" s="246">
        <v>0</v>
      </c>
      <c r="AH57" s="320">
        <f>(AH56-V062A_203031[[#This Row],[MOT AUX]])+V062A_203031[[#This Row],[FAENA EN  LTS]]</f>
        <v>1250</v>
      </c>
      <c r="AI57" s="246">
        <v>0</v>
      </c>
      <c r="AJ57" s="246">
        <v>0</v>
      </c>
      <c r="AK57" s="321">
        <f>(AK56-V062A_203031[[#This Row],[HIDRAULICO]])+V062A_203031[[#This Row],[FAENA EN LTS3]]</f>
        <v>1650</v>
      </c>
    </row>
    <row r="58" spans="1:37" x14ac:dyDescent="0.25">
      <c r="A58" s="431" t="s">
        <v>274</v>
      </c>
      <c r="B58" s="48">
        <v>44101</v>
      </c>
      <c r="C58" s="41">
        <v>0.96250000000000002</v>
      </c>
      <c r="D58" s="418">
        <f>IF(V062A_203031[[#This Row],[FECHA]]-B57=1,((V062A_203031[[#This Row],[HORA]]-C57)*24)+24,(V062A_203031[[#This Row],[HORA]]-C57)*24)</f>
        <v>1.1000000000000014</v>
      </c>
      <c r="E58" s="409" t="s">
        <v>47</v>
      </c>
      <c r="F58" s="29" t="s">
        <v>285</v>
      </c>
      <c r="G58" s="324"/>
      <c r="H58" s="306"/>
      <c r="I58" s="259">
        <f>IF(ISERROR(V062A_203031[[#This Row],[DISTANCIA POR CARTA]]/V062A_203031[[#This Row],[TIEMPO DE NAVEGACION]]),0,V062A_203031[[#This Row],[DISTANCIA POR CARTA]]/V062A_203031[[#This Row],[TIEMPO DE NAVEGACION]])</f>
        <v>0</v>
      </c>
      <c r="J58" s="242"/>
      <c r="K58" s="325"/>
      <c r="L58" s="418">
        <v>0.41</v>
      </c>
      <c r="M58" s="245">
        <v>0.06</v>
      </c>
      <c r="N58" s="245">
        <v>0.06</v>
      </c>
      <c r="O58" s="257">
        <f>SUM(V062A_203031[[#This Row],[MPAL]]+V062A_203031[[#This Row],[AUX.]]+V062A_203031[[#This Row],[CALDERA]])</f>
        <v>0.53</v>
      </c>
      <c r="P58" s="319"/>
      <c r="Q58" s="281">
        <f>(Q57-V062A_203031[[#This Row],[TOTAL ]])+V062A_203031[[#This Row],[FAENA]]</f>
        <v>561.67999999999961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SUM(V062A_203031[[#This Row],[MPAL2]:[GI]])</f>
        <v>0</v>
      </c>
      <c r="X58" s="246"/>
      <c r="Y58" s="282">
        <f>(Y57-V062A_203031[[#This Row],[TOTAL]])+V062A_203031[[#This Row],[FAENA2]]</f>
        <v>126.48000000000002</v>
      </c>
      <c r="Z58" s="245">
        <v>10</v>
      </c>
      <c r="AA58" s="246">
        <v>0</v>
      </c>
      <c r="AB58" s="320">
        <f>(AB57-V062A_203031[[#This Row],[CYLINDER MP]])+V062A_203031[[#This Row],[FAENA EN LTS]]</f>
        <v>1393</v>
      </c>
      <c r="AC58" s="246">
        <v>0</v>
      </c>
      <c r="AD58" s="246">
        <v>0</v>
      </c>
      <c r="AE58" s="320">
        <f>(AE57-V062A_203031[[#This Row],[CARTER MP.]])+V062A_203031[[#This Row],[FAENA EN LTS2]]</f>
        <v>2150</v>
      </c>
      <c r="AF58" s="246">
        <v>0</v>
      </c>
      <c r="AG58" s="246">
        <v>0</v>
      </c>
      <c r="AH58" s="320">
        <f>(AH57-V062A_203031[[#This Row],[MOT AUX]])+V062A_203031[[#This Row],[FAENA EN  LTS]]</f>
        <v>1250</v>
      </c>
      <c r="AI58" s="246">
        <v>0</v>
      </c>
      <c r="AJ58" s="246">
        <v>0</v>
      </c>
      <c r="AK58" s="321">
        <f>(AK57-V062A_203031[[#This Row],[HIDRAULICO]])+V062A_203031[[#This Row],[FAENA EN LTS3]]</f>
        <v>1650</v>
      </c>
    </row>
    <row r="59" spans="1:37" x14ac:dyDescent="0.25">
      <c r="A59" s="431" t="s">
        <v>274</v>
      </c>
      <c r="B59" s="48">
        <v>44102</v>
      </c>
      <c r="C59" s="41">
        <v>8.3333333333333329E-2</v>
      </c>
      <c r="D59" s="418">
        <f>IF(V062A_203031[[#This Row],[FECHA]]-B58=1,((V062A_203031[[#This Row],[HORA]]-C58)*24)+24,(V062A_203031[[#This Row],[HORA]]-C58)*24)</f>
        <v>2.8999999999999986</v>
      </c>
      <c r="E59" s="409" t="s">
        <v>45</v>
      </c>
      <c r="F59" s="29" t="s">
        <v>46</v>
      </c>
      <c r="G59" s="324"/>
      <c r="H59" s="306"/>
      <c r="I59" s="259">
        <f>IF(ISERROR(V062A_203031[[#This Row],[DISTANCIA POR CARTA]]/V062A_203031[[#This Row],[TIEMPO DE NAVEGACION]]),0,V062A_203031[[#This Row],[DISTANCIA POR CARTA]]/V062A_203031[[#This Row],[TIEMPO DE NAVEGACION]])</f>
        <v>0</v>
      </c>
      <c r="J59" s="242"/>
      <c r="K59" s="325"/>
      <c r="L59" s="418">
        <v>0</v>
      </c>
      <c r="M59" s="245">
        <v>0.15</v>
      </c>
      <c r="N59" s="245">
        <v>0.15</v>
      </c>
      <c r="O59" s="257">
        <f>SUM(V062A_203031[[#This Row],[MPAL]]+V062A_203031[[#This Row],[AUX.]]+V062A_203031[[#This Row],[CALDERA]])</f>
        <v>0.3</v>
      </c>
      <c r="P59" s="319"/>
      <c r="Q59" s="281">
        <f>(Q58-V062A_203031[[#This Row],[TOTAL ]])+V062A_203031[[#This Row],[FAENA]]</f>
        <v>561.37999999999965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SUM(V062A_203031[[#This Row],[MPAL2]:[GI]])</f>
        <v>0</v>
      </c>
      <c r="X59" s="246"/>
      <c r="Y59" s="282">
        <f>(Y58-V062A_203031[[#This Row],[TOTAL]])+V062A_203031[[#This Row],[FAENA2]]</f>
        <v>126.48000000000002</v>
      </c>
      <c r="Z59" s="245">
        <v>0</v>
      </c>
      <c r="AA59" s="246">
        <v>0</v>
      </c>
      <c r="AB59" s="320">
        <f>(AB58-V062A_203031[[#This Row],[CYLINDER MP]])+V062A_203031[[#This Row],[FAENA EN LTS]]</f>
        <v>1393</v>
      </c>
      <c r="AC59" s="246">
        <v>0</v>
      </c>
      <c r="AD59" s="246">
        <v>0</v>
      </c>
      <c r="AE59" s="320">
        <f>(AE58-V062A_203031[[#This Row],[CARTER MP.]])+V062A_203031[[#This Row],[FAENA EN LTS2]]</f>
        <v>2150</v>
      </c>
      <c r="AF59" s="246">
        <v>0</v>
      </c>
      <c r="AG59" s="246">
        <v>0</v>
      </c>
      <c r="AH59" s="320">
        <f>(AH58-V062A_203031[[#This Row],[MOT AUX]])+V062A_203031[[#This Row],[FAENA EN  LTS]]</f>
        <v>1250</v>
      </c>
      <c r="AI59" s="246">
        <v>0</v>
      </c>
      <c r="AJ59" s="246">
        <v>0</v>
      </c>
      <c r="AK59" s="321">
        <f>(AK58-V062A_203031[[#This Row],[HIDRAULICO]])+V062A_203031[[#This Row],[FAENA EN LTS3]]</f>
        <v>1650</v>
      </c>
    </row>
    <row r="60" spans="1:37" x14ac:dyDescent="0.25">
      <c r="A60" s="431" t="s">
        <v>274</v>
      </c>
      <c r="B60" s="48">
        <v>44102</v>
      </c>
      <c r="C60" s="362">
        <v>0.17500000000000002</v>
      </c>
      <c r="D60" s="418">
        <f>IF(V062A_203031[[#This Row],[FECHA]]-B59=1,((V062A_203031[[#This Row],[HORA]]-C59)*24)+24,(V062A_203031[[#This Row],[HORA]]-C59)*24)</f>
        <v>2.2000000000000006</v>
      </c>
      <c r="E60" s="409" t="s">
        <v>47</v>
      </c>
      <c r="F60" s="29" t="s">
        <v>289</v>
      </c>
      <c r="G60" s="324"/>
      <c r="H60" s="306"/>
      <c r="I60" s="259">
        <f>IF(ISERROR(V062A_203031[[#This Row],[DISTANCIA POR CARTA]]/V062A_203031[[#This Row],[TIEMPO DE NAVEGACION]]),0,V062A_203031[[#This Row],[DISTANCIA POR CARTA]]/V062A_203031[[#This Row],[TIEMPO DE NAVEGACION]])</f>
        <v>0</v>
      </c>
      <c r="J60" s="242"/>
      <c r="K60" s="325"/>
      <c r="L60" s="418">
        <v>0.83</v>
      </c>
      <c r="M60" s="245">
        <v>0.11</v>
      </c>
      <c r="N60" s="245">
        <v>0.11</v>
      </c>
      <c r="O60" s="257">
        <f>SUM(V062A_203031[[#This Row],[MPAL]]+V062A_203031[[#This Row],[AUX.]]+V062A_203031[[#This Row],[CALDERA]])</f>
        <v>1.05</v>
      </c>
      <c r="P60" s="319"/>
      <c r="Q60" s="281">
        <f>(Q59-V062A_203031[[#This Row],[TOTAL ]])+V062A_203031[[#This Row],[FAENA]]</f>
        <v>560.3299999999997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SUM(V062A_203031[[#This Row],[MPAL2]:[GI]])</f>
        <v>0</v>
      </c>
      <c r="X60" s="246"/>
      <c r="Y60" s="282">
        <f>(Y59-V062A_203031[[#This Row],[TOTAL]])+V062A_203031[[#This Row],[FAENA2]]</f>
        <v>126.48000000000002</v>
      </c>
      <c r="Z60" s="245">
        <v>15</v>
      </c>
      <c r="AA60" s="246">
        <v>0</v>
      </c>
      <c r="AB60" s="320">
        <f>(AB59-V062A_203031[[#This Row],[CYLINDER MP]])+V062A_203031[[#This Row],[FAENA EN LTS]]</f>
        <v>1378</v>
      </c>
      <c r="AC60" s="246">
        <v>0</v>
      </c>
      <c r="AD60" s="246">
        <v>0</v>
      </c>
      <c r="AE60" s="320">
        <f>(AE59-V062A_203031[[#This Row],[CARTER MP.]])+V062A_203031[[#This Row],[FAENA EN LTS2]]</f>
        <v>2150</v>
      </c>
      <c r="AF60" s="246">
        <v>0</v>
      </c>
      <c r="AG60" s="246">
        <v>0</v>
      </c>
      <c r="AH60" s="320">
        <f>(AH59-V062A_203031[[#This Row],[MOT AUX]])+V062A_203031[[#This Row],[FAENA EN  LTS]]</f>
        <v>1250</v>
      </c>
      <c r="AI60" s="246">
        <v>0</v>
      </c>
      <c r="AJ60" s="246">
        <v>0</v>
      </c>
      <c r="AK60" s="321">
        <f>(AK59-V062A_203031[[#This Row],[HIDRAULICO]])+V062A_203031[[#This Row],[FAENA EN LTS3]]</f>
        <v>1650</v>
      </c>
    </row>
    <row r="61" spans="1:37" x14ac:dyDescent="0.25">
      <c r="A61" s="431" t="s">
        <v>274</v>
      </c>
      <c r="B61" s="48">
        <v>44102</v>
      </c>
      <c r="C61" s="351">
        <v>0.33333333333333331</v>
      </c>
      <c r="D61" s="418">
        <f>IF(V062A_203031[[#This Row],[FECHA]]-B60=1,((V062A_203031[[#This Row],[HORA]]-C60)*24)+24,(V062A_203031[[#This Row],[HORA]]-C60)*24)</f>
        <v>3.7999999999999989</v>
      </c>
      <c r="E61" s="409" t="s">
        <v>71</v>
      </c>
      <c r="F61" s="29" t="s">
        <v>71</v>
      </c>
      <c r="G61" s="324"/>
      <c r="H61" s="306"/>
      <c r="I61" s="259">
        <f>IF(ISERROR(V062A_203031[[#This Row],[DISTANCIA POR CARTA]]/V062A_203031[[#This Row],[TIEMPO DE NAVEGACION]]),0,V062A_203031[[#This Row],[DISTANCIA POR CARTA]]/V062A_203031[[#This Row],[TIEMPO DE NAVEGACION]])</f>
        <v>0</v>
      </c>
      <c r="J61" s="242"/>
      <c r="K61" s="325"/>
      <c r="L61" s="418">
        <v>0</v>
      </c>
      <c r="M61" s="245">
        <v>0.19</v>
      </c>
      <c r="N61" s="245">
        <v>0.19</v>
      </c>
      <c r="O61" s="257">
        <f>SUM(V062A_203031[[#This Row],[MPAL]]+V062A_203031[[#This Row],[AUX.]]+V062A_203031[[#This Row],[CALDERA]])</f>
        <v>0.38</v>
      </c>
      <c r="P61" s="319"/>
      <c r="Q61" s="281">
        <f>(Q60-V062A_203031[[#This Row],[TOTAL ]])+V062A_203031[[#This Row],[FAENA]]</f>
        <v>559.9499999999997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SUM(V062A_203031[[#This Row],[MPAL2]:[GI]])</f>
        <v>0</v>
      </c>
      <c r="X61" s="246"/>
      <c r="Y61" s="282">
        <f>(Y60-V062A_203031[[#This Row],[TOTAL]])+V062A_203031[[#This Row],[FAENA2]]</f>
        <v>126.48000000000002</v>
      </c>
      <c r="Z61" s="245">
        <v>0</v>
      </c>
      <c r="AA61" s="246">
        <v>0</v>
      </c>
      <c r="AB61" s="320">
        <f>(AB60-V062A_203031[[#This Row],[CYLINDER MP]])+V062A_203031[[#This Row],[FAENA EN LTS]]</f>
        <v>1378</v>
      </c>
      <c r="AC61" s="246">
        <v>0</v>
      </c>
      <c r="AD61" s="246">
        <v>0</v>
      </c>
      <c r="AE61" s="320">
        <f>(AE60-V062A_203031[[#This Row],[CARTER MP.]])+V062A_203031[[#This Row],[FAENA EN LTS2]]</f>
        <v>2150</v>
      </c>
      <c r="AF61" s="246">
        <v>20</v>
      </c>
      <c r="AG61" s="246">
        <v>0</v>
      </c>
      <c r="AH61" s="320">
        <f>(AH60-V062A_203031[[#This Row],[MOT AUX]])+V062A_203031[[#This Row],[FAENA EN  LTS]]</f>
        <v>1230</v>
      </c>
      <c r="AI61" s="246">
        <v>0</v>
      </c>
      <c r="AJ61" s="246">
        <v>0</v>
      </c>
      <c r="AK61" s="321">
        <f>(AK60-V062A_203031[[#This Row],[HIDRAULICO]])+V062A_203031[[#This Row],[FAENA EN LTS3]]</f>
        <v>1650</v>
      </c>
    </row>
    <row r="62" spans="1:37" x14ac:dyDescent="0.25">
      <c r="A62" s="431" t="s">
        <v>274</v>
      </c>
      <c r="B62" s="48">
        <v>44102</v>
      </c>
      <c r="C62" s="362">
        <v>0.66666666666666663</v>
      </c>
      <c r="D62" s="418">
        <f>IF(V062A_203031[[#This Row],[FECHA]]-B61=1,((V062A_203031[[#This Row],[HORA]]-C61)*24)+24,(V062A_203031[[#This Row],[HORA]]-C61)*24)</f>
        <v>8</v>
      </c>
      <c r="E62" s="409" t="s">
        <v>71</v>
      </c>
      <c r="F62" s="29" t="s">
        <v>246</v>
      </c>
      <c r="G62" s="324"/>
      <c r="H62" s="306"/>
      <c r="I62" s="259">
        <f>IF(ISERROR(V062A_203031[[#This Row],[DISTANCIA POR CARTA]]/V062A_203031[[#This Row],[TIEMPO DE NAVEGACION]]),0,V062A_203031[[#This Row],[DISTANCIA POR CARTA]]/V062A_203031[[#This Row],[TIEMPO DE NAVEGACION]])</f>
        <v>0</v>
      </c>
      <c r="J62" s="242"/>
      <c r="K62" s="325"/>
      <c r="L62" s="418">
        <v>0</v>
      </c>
      <c r="M62" s="245">
        <v>0.4</v>
      </c>
      <c r="N62" s="245">
        <v>0.4</v>
      </c>
      <c r="O62" s="257">
        <f>SUM(V062A_203031[[#This Row],[MPAL]]+V062A_203031[[#This Row],[AUX.]]+V062A_203031[[#This Row],[CALDERA]])</f>
        <v>0.8</v>
      </c>
      <c r="P62" s="319"/>
      <c r="Q62" s="281">
        <f>(Q61-V062A_203031[[#This Row],[TOTAL ]])+V062A_203031[[#This Row],[FAENA]]</f>
        <v>559.14999999999975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SUM(V062A_203031[[#This Row],[MPAL2]:[GI]])</f>
        <v>0</v>
      </c>
      <c r="X62" s="246"/>
      <c r="Y62" s="282">
        <f>(Y61-V062A_203031[[#This Row],[TOTAL]])+V062A_203031[[#This Row],[FAENA2]]</f>
        <v>126.48000000000002</v>
      </c>
      <c r="Z62" s="245">
        <v>0</v>
      </c>
      <c r="AA62" s="246">
        <v>0</v>
      </c>
      <c r="AB62" s="320">
        <f>(AB61-V062A_203031[[#This Row],[CYLINDER MP]])+V062A_203031[[#This Row],[FAENA EN LTS]]</f>
        <v>1378</v>
      </c>
      <c r="AC62" s="246">
        <v>0</v>
      </c>
      <c r="AD62" s="246">
        <v>0</v>
      </c>
      <c r="AE62" s="320">
        <f>(AE61-V062A_203031[[#This Row],[CARTER MP.]])+V062A_203031[[#This Row],[FAENA EN LTS2]]</f>
        <v>2150</v>
      </c>
      <c r="AF62" s="246">
        <v>0</v>
      </c>
      <c r="AG62" s="246">
        <v>0</v>
      </c>
      <c r="AH62" s="320">
        <f>(AH61-V062A_203031[[#This Row],[MOT AUX]])+V062A_203031[[#This Row],[FAENA EN  LTS]]</f>
        <v>1230</v>
      </c>
      <c r="AI62" s="246">
        <v>0</v>
      </c>
      <c r="AJ62" s="246">
        <v>0</v>
      </c>
      <c r="AK62" s="321">
        <f>(AK61-V062A_203031[[#This Row],[HIDRAULICO]])+V062A_203031[[#This Row],[FAENA EN LTS3]]</f>
        <v>1650</v>
      </c>
    </row>
    <row r="63" spans="1:37" x14ac:dyDescent="0.25">
      <c r="A63" s="431" t="s">
        <v>274</v>
      </c>
      <c r="B63" s="48">
        <v>44102</v>
      </c>
      <c r="C63" s="41">
        <v>0.82500000000000007</v>
      </c>
      <c r="D63" s="418">
        <f>IF(V062A_203031[[#This Row],[FECHA]]-B62=1,((V062A_203031[[#This Row],[HORA]]-C62)*24)+24,(V062A_203031[[#This Row],[HORA]]-C62)*24)</f>
        <v>3.8000000000000025</v>
      </c>
      <c r="E63" s="239" t="s">
        <v>49</v>
      </c>
      <c r="F63" s="29" t="s">
        <v>74</v>
      </c>
      <c r="G63" s="324"/>
      <c r="H63" s="306"/>
      <c r="I63" s="259">
        <f>IF(ISERROR(V062A_203031[[#This Row],[DISTANCIA POR CARTA]]/V062A_203031[[#This Row],[TIEMPO DE NAVEGACION]]),0,V062A_203031[[#This Row],[DISTANCIA POR CARTA]]/V062A_203031[[#This Row],[TIEMPO DE NAVEGACION]])</f>
        <v>0</v>
      </c>
      <c r="J63" s="380"/>
      <c r="K63" s="325"/>
      <c r="L63" s="418">
        <v>0</v>
      </c>
      <c r="M63" s="245">
        <v>0.19</v>
      </c>
      <c r="N63" s="245">
        <v>0.19</v>
      </c>
      <c r="O63" s="257">
        <f>SUM(V062A_203031[[#This Row],[MPAL]]+V062A_203031[[#This Row],[AUX.]]+V062A_203031[[#This Row],[CALDERA]])</f>
        <v>0.38</v>
      </c>
      <c r="P63" s="319"/>
      <c r="Q63" s="281">
        <f>(Q62-V062A_203031[[#This Row],[TOTAL ]])+V062A_203031[[#This Row],[FAENA]]</f>
        <v>558.76999999999975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SUM(V062A_203031[[#This Row],[MPAL2]:[GI]])</f>
        <v>0</v>
      </c>
      <c r="X63" s="246"/>
      <c r="Y63" s="282">
        <f>(Y62-V062A_203031[[#This Row],[TOTAL]])+V062A_203031[[#This Row],[FAENA2]]</f>
        <v>126.48000000000002</v>
      </c>
      <c r="Z63" s="245">
        <v>0</v>
      </c>
      <c r="AA63" s="246">
        <v>0</v>
      </c>
      <c r="AB63" s="320">
        <f>(AB62-V062A_203031[[#This Row],[CYLINDER MP]])+V062A_203031[[#This Row],[FAENA EN LTS]]</f>
        <v>1378</v>
      </c>
      <c r="AC63" s="246">
        <v>0</v>
      </c>
      <c r="AD63" s="246">
        <v>0</v>
      </c>
      <c r="AE63" s="320">
        <f>(AE62-V062A_203031[[#This Row],[CARTER MP.]])+V062A_203031[[#This Row],[FAENA EN LTS2]]</f>
        <v>2150</v>
      </c>
      <c r="AF63" s="246">
        <v>20</v>
      </c>
      <c r="AG63" s="246">
        <v>0</v>
      </c>
      <c r="AH63" s="320">
        <f>(AH62-V062A_203031[[#This Row],[MOT AUX]])+V062A_203031[[#This Row],[FAENA EN  LTS]]</f>
        <v>1210</v>
      </c>
      <c r="AI63" s="246">
        <v>0</v>
      </c>
      <c r="AJ63" s="246">
        <v>0</v>
      </c>
      <c r="AK63" s="321">
        <f>(AK62-V062A_203031[[#This Row],[HIDRAULICO]])+V062A_203031[[#This Row],[FAENA EN LTS3]]</f>
        <v>1650</v>
      </c>
    </row>
    <row r="64" spans="1:37" x14ac:dyDescent="0.25">
      <c r="A64" s="431" t="s">
        <v>274</v>
      </c>
      <c r="B64" s="48">
        <v>44102</v>
      </c>
      <c r="C64" s="41">
        <v>0.875</v>
      </c>
      <c r="D64" s="418">
        <f>IF(V062A_203031[[#This Row],[FECHA]]-B63=1,((V062A_203031[[#This Row],[HORA]]-C63)*24)+24,(V062A_203031[[#This Row],[HORA]]-C63)*24)</f>
        <v>1.1999999999999984</v>
      </c>
      <c r="E64" s="239" t="s">
        <v>47</v>
      </c>
      <c r="F64" s="29" t="s">
        <v>286</v>
      </c>
      <c r="G64" s="324"/>
      <c r="H64" s="306"/>
      <c r="I64" s="259">
        <f>IF(ISERROR(V062A_203031[[#This Row],[DISTANCIA POR CARTA]]/V062A_203031[[#This Row],[TIEMPO DE NAVEGACION]]),0,V062A_203031[[#This Row],[DISTANCIA POR CARTA]]/V062A_203031[[#This Row],[TIEMPO DE NAVEGACION]])</f>
        <v>0</v>
      </c>
      <c r="J64" s="242"/>
      <c r="K64" s="325"/>
      <c r="L64" s="418">
        <v>0.45</v>
      </c>
      <c r="M64" s="245">
        <v>0.06</v>
      </c>
      <c r="N64" s="245">
        <v>0.06</v>
      </c>
      <c r="O64" s="257">
        <f>SUM(V062A_203031[[#This Row],[MPAL]]+V062A_203031[[#This Row],[AUX.]]+V062A_203031[[#This Row],[CALDERA]])</f>
        <v>0.57000000000000006</v>
      </c>
      <c r="P64" s="319"/>
      <c r="Q64" s="281">
        <f>(Q63-V062A_203031[[#This Row],[TOTAL ]])+V062A_203031[[#This Row],[FAENA]]</f>
        <v>558.1999999999997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SUM(V062A_203031[[#This Row],[MPAL2]:[GI]])</f>
        <v>0</v>
      </c>
      <c r="X64" s="246"/>
      <c r="Y64" s="282">
        <f>(Y63-V062A_203031[[#This Row],[TOTAL]])+V062A_203031[[#This Row],[FAENA2]]</f>
        <v>126.48000000000002</v>
      </c>
      <c r="Z64" s="245">
        <v>0</v>
      </c>
      <c r="AA64" s="246">
        <v>0</v>
      </c>
      <c r="AB64" s="320">
        <f>(AB63-V062A_203031[[#This Row],[CYLINDER MP]])+V062A_203031[[#This Row],[FAENA EN LTS]]</f>
        <v>1378</v>
      </c>
      <c r="AC64" s="246">
        <v>0</v>
      </c>
      <c r="AD64" s="246">
        <v>0</v>
      </c>
      <c r="AE64" s="320">
        <f>(AE63-V062A_203031[[#This Row],[CARTER MP.]])+V062A_203031[[#This Row],[FAENA EN LTS2]]</f>
        <v>2150</v>
      </c>
      <c r="AF64" s="246">
        <v>0</v>
      </c>
      <c r="AG64" s="246">
        <v>0</v>
      </c>
      <c r="AH64" s="320">
        <f>(AH63-V062A_203031[[#This Row],[MOT AUX]])+V062A_203031[[#This Row],[FAENA EN  LTS]]</f>
        <v>1210</v>
      </c>
      <c r="AI64" s="246">
        <v>0</v>
      </c>
      <c r="AJ64" s="246">
        <v>0</v>
      </c>
      <c r="AK64" s="321">
        <f>(AK63-V062A_203031[[#This Row],[HIDRAULICO]])+V062A_203031[[#This Row],[FAENA EN LTS3]]</f>
        <v>1650</v>
      </c>
    </row>
    <row r="65" spans="1:37" x14ac:dyDescent="0.25">
      <c r="A65" s="431" t="s">
        <v>274</v>
      </c>
      <c r="B65" s="48">
        <v>44103</v>
      </c>
      <c r="C65" s="351">
        <v>0.33333333333333331</v>
      </c>
      <c r="D65" s="418">
        <f>IF(V062A_203031[[#This Row],[FECHA]]-B64=1,((V062A_203031[[#This Row],[HORA]]-C64)*24)+24,(V062A_203031[[#This Row],[HORA]]-C64)*24)</f>
        <v>10.999999999999998</v>
      </c>
      <c r="E65" s="239" t="s">
        <v>55</v>
      </c>
      <c r="F65" s="29" t="s">
        <v>56</v>
      </c>
      <c r="G65" s="324">
        <v>129.4</v>
      </c>
      <c r="H65" s="306">
        <v>11</v>
      </c>
      <c r="I65" s="259">
        <f>IF(ISERROR(V062A_203031[[#This Row],[DISTANCIA POR CARTA]]/V062A_203031[[#This Row],[TIEMPO DE NAVEGACION]]),0,V062A_203031[[#This Row],[DISTANCIA POR CARTA]]/V062A_203031[[#This Row],[TIEMPO DE NAVEGACION]])</f>
        <v>11.763636363636364</v>
      </c>
      <c r="J65" s="242">
        <v>5</v>
      </c>
      <c r="K65" s="325">
        <v>97</v>
      </c>
      <c r="L65" s="418">
        <v>9.17</v>
      </c>
      <c r="M65" s="245">
        <v>0.55000000000000004</v>
      </c>
      <c r="N65" s="245">
        <v>0.55000000000000004</v>
      </c>
      <c r="O65" s="257">
        <f>SUM(V062A_203031[[#This Row],[MPAL]]+V062A_203031[[#This Row],[AUX.]]+V062A_203031[[#This Row],[CALDERA]])</f>
        <v>10.270000000000001</v>
      </c>
      <c r="P65" s="319"/>
      <c r="Q65" s="281">
        <f>(Q64-V062A_203031[[#This Row],[TOTAL ]])+V062A_203031[[#This Row],[FAENA]]</f>
        <v>547.92999999999972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SUM(V062A_203031[[#This Row],[MPAL2]:[GI]])</f>
        <v>0</v>
      </c>
      <c r="X65" s="246"/>
      <c r="Y65" s="282">
        <f>(Y64-V062A_203031[[#This Row],[TOTAL]])+V062A_203031[[#This Row],[FAENA2]]</f>
        <v>126.48000000000002</v>
      </c>
      <c r="Z65" s="245">
        <v>130</v>
      </c>
      <c r="AA65" s="246">
        <v>0</v>
      </c>
      <c r="AB65" s="320">
        <f>(AB64-V062A_203031[[#This Row],[CYLINDER MP]])+V062A_203031[[#This Row],[FAENA EN LTS]]</f>
        <v>1248</v>
      </c>
      <c r="AC65" s="246">
        <v>0</v>
      </c>
      <c r="AD65" s="246">
        <v>0</v>
      </c>
      <c r="AE65" s="320">
        <f>(AE64-V062A_203031[[#This Row],[CARTER MP.]])+V062A_203031[[#This Row],[FAENA EN LTS2]]</f>
        <v>2150</v>
      </c>
      <c r="AF65" s="246">
        <v>20</v>
      </c>
      <c r="AG65" s="246">
        <v>0</v>
      </c>
      <c r="AH65" s="320">
        <f>(AH64-V062A_203031[[#This Row],[MOT AUX]])+V062A_203031[[#This Row],[FAENA EN  LTS]]</f>
        <v>1190</v>
      </c>
      <c r="AI65" s="246">
        <v>0</v>
      </c>
      <c r="AJ65" s="246">
        <v>0</v>
      </c>
      <c r="AK65" s="321">
        <f>(AK64-V062A_203031[[#This Row],[HIDRAULICO]])+V062A_203031[[#This Row],[FAENA EN LTS3]]</f>
        <v>1650</v>
      </c>
    </row>
    <row r="66" spans="1:37" x14ac:dyDescent="0.25">
      <c r="A66" s="431" t="s">
        <v>274</v>
      </c>
      <c r="B66" s="48">
        <v>44104</v>
      </c>
      <c r="C66" s="41">
        <v>0.33333333333333331</v>
      </c>
      <c r="D66" s="418">
        <f>IF(V062A_203031[[#This Row],[FECHA]]-B65=1,((V062A_203031[[#This Row],[HORA]]-C65)*24)+24,(V062A_203031[[#This Row],[HORA]]-C65)*24)</f>
        <v>24</v>
      </c>
      <c r="E66" s="239" t="s">
        <v>55</v>
      </c>
      <c r="F66" s="29" t="s">
        <v>56</v>
      </c>
      <c r="G66" s="324">
        <v>280.2</v>
      </c>
      <c r="H66" s="306">
        <v>24</v>
      </c>
      <c r="I66" s="259">
        <f>IF(ISERROR(V062A_203031[[#This Row],[DISTANCIA POR CARTA]]/V062A_203031[[#This Row],[TIEMPO DE NAVEGACION]]),0,V062A_203031[[#This Row],[DISTANCIA POR CARTA]]/V062A_203031[[#This Row],[TIEMPO DE NAVEGACION]])</f>
        <v>11.674999999999999</v>
      </c>
      <c r="J66" s="242">
        <v>5</v>
      </c>
      <c r="K66" s="325">
        <v>97</v>
      </c>
      <c r="L66" s="418">
        <v>20</v>
      </c>
      <c r="M66" s="245">
        <v>1.2</v>
      </c>
      <c r="N66" s="245">
        <v>1.2</v>
      </c>
      <c r="O66" s="257">
        <f>SUM(V062A_203031[[#This Row],[MPAL]]+V062A_203031[[#This Row],[AUX.]]+V062A_203031[[#This Row],[CALDERA]])</f>
        <v>22.4</v>
      </c>
      <c r="P66" s="319"/>
      <c r="Q66" s="281">
        <f>(Q65-V062A_203031[[#This Row],[TOTAL ]])+V062A_203031[[#This Row],[FAENA]]</f>
        <v>525.52999999999975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SUM(V062A_203031[[#This Row],[MPAL2]:[GI]])</f>
        <v>0</v>
      </c>
      <c r="X66" s="246"/>
      <c r="Y66" s="282">
        <f>(Y65-V062A_203031[[#This Row],[TOTAL]])+V062A_203031[[#This Row],[FAENA2]]</f>
        <v>126.48000000000002</v>
      </c>
      <c r="Z66" s="245">
        <v>180</v>
      </c>
      <c r="AA66" s="246">
        <v>0</v>
      </c>
      <c r="AB66" s="320">
        <f>(AB65-V062A_203031[[#This Row],[CYLINDER MP]])+V062A_203031[[#This Row],[FAENA EN LTS]]</f>
        <v>1068</v>
      </c>
      <c r="AC66" s="246">
        <v>0</v>
      </c>
      <c r="AD66" s="246">
        <v>0</v>
      </c>
      <c r="AE66" s="320">
        <f>(AE65-V062A_203031[[#This Row],[CARTER MP.]])+V062A_203031[[#This Row],[FAENA EN LTS2]]</f>
        <v>2150</v>
      </c>
      <c r="AF66" s="246">
        <v>20</v>
      </c>
      <c r="AG66" s="246">
        <v>0</v>
      </c>
      <c r="AH66" s="320">
        <f>(AH65-V062A_203031[[#This Row],[MOT AUX]])+V062A_203031[[#This Row],[FAENA EN  LTS]]</f>
        <v>1170</v>
      </c>
      <c r="AI66" s="246">
        <v>0</v>
      </c>
      <c r="AJ66" s="246">
        <v>0</v>
      </c>
      <c r="AK66" s="321">
        <f>(AK65-V062A_203031[[#This Row],[HIDRAULICO]])+V062A_203031[[#This Row],[FAENA EN LTS3]]</f>
        <v>1650</v>
      </c>
    </row>
    <row r="67" spans="1:37" x14ac:dyDescent="0.25">
      <c r="A67" s="431" t="s">
        <v>274</v>
      </c>
      <c r="B67" s="48">
        <v>44104</v>
      </c>
      <c r="C67" s="41">
        <v>0.4375</v>
      </c>
      <c r="D67" s="418">
        <f>IF(V062A_203031[[#This Row],[FECHA]]-B66=1,((V062A_203031[[#This Row],[HORA]]-C66)*24)+24,(V062A_203031[[#This Row],[HORA]]-C66)*24)</f>
        <v>2.5000000000000004</v>
      </c>
      <c r="E67" s="409" t="s">
        <v>55</v>
      </c>
      <c r="F67" s="29" t="s">
        <v>62</v>
      </c>
      <c r="G67" s="324">
        <v>38.4</v>
      </c>
      <c r="H67" s="306">
        <v>2.5</v>
      </c>
      <c r="I67" s="259">
        <f>IF(ISERROR(V062A_203031[[#This Row],[DISTANCIA POR CARTA]]/V062A_203031[[#This Row],[TIEMPO DE NAVEGACION]]),0,V062A_203031[[#This Row],[DISTANCIA POR CARTA]]/V062A_203031[[#This Row],[TIEMPO DE NAVEGACION]])</f>
        <v>15.36</v>
      </c>
      <c r="J67" s="242">
        <v>3</v>
      </c>
      <c r="K67" s="325">
        <v>97</v>
      </c>
      <c r="L67" s="418">
        <v>2.08</v>
      </c>
      <c r="M67" s="245">
        <v>0.13</v>
      </c>
      <c r="N67" s="245">
        <v>0.13</v>
      </c>
      <c r="O67" s="257">
        <f>SUM(V062A_203031[[#This Row],[MPAL]]+V062A_203031[[#This Row],[AUX.]]+V062A_203031[[#This Row],[CALDERA]])</f>
        <v>2.34</v>
      </c>
      <c r="P67" s="319"/>
      <c r="Q67" s="281">
        <f>(Q66-V062A_203031[[#This Row],[TOTAL ]])+V062A_203031[[#This Row],[FAENA]]</f>
        <v>523.18999999999971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SUM(V062A_203031[[#This Row],[MPAL2]:[GI]])</f>
        <v>0</v>
      </c>
      <c r="X67" s="246"/>
      <c r="Y67" s="282">
        <f>(Y66-V062A_203031[[#This Row],[TOTAL]])+V062A_203031[[#This Row],[FAENA2]]</f>
        <v>126.48000000000002</v>
      </c>
      <c r="Z67" s="245">
        <v>30</v>
      </c>
      <c r="AA67" s="246">
        <v>0</v>
      </c>
      <c r="AB67" s="320">
        <f>(AB66-V062A_203031[[#This Row],[CYLINDER MP]])+V062A_203031[[#This Row],[FAENA EN LTS]]</f>
        <v>1038</v>
      </c>
      <c r="AC67" s="246">
        <v>0</v>
      </c>
      <c r="AD67" s="246">
        <v>0</v>
      </c>
      <c r="AE67" s="320">
        <f>(AE66-V062A_203031[[#This Row],[CARTER MP.]])+V062A_203031[[#This Row],[FAENA EN LTS2]]</f>
        <v>2150</v>
      </c>
      <c r="AF67" s="246">
        <v>20</v>
      </c>
      <c r="AG67" s="246">
        <v>0</v>
      </c>
      <c r="AH67" s="320">
        <f>(AH66-V062A_203031[[#This Row],[MOT AUX]])+V062A_203031[[#This Row],[FAENA EN  LTS]]</f>
        <v>1150</v>
      </c>
      <c r="AI67" s="246">
        <v>0</v>
      </c>
      <c r="AJ67" s="246">
        <v>0</v>
      </c>
      <c r="AK67" s="321">
        <f>(AK66-V062A_203031[[#This Row],[HIDRAULICO]])+V062A_203031[[#This Row],[FAENA EN LTS3]]</f>
        <v>1650</v>
      </c>
    </row>
    <row r="68" spans="1:37" x14ac:dyDescent="0.25">
      <c r="A68" s="431"/>
      <c r="B68" s="48"/>
      <c r="C68" s="41"/>
      <c r="D68" s="418">
        <v>0</v>
      </c>
      <c r="E68" s="409"/>
      <c r="F68" s="29"/>
      <c r="G68" s="324"/>
      <c r="H68" s="306"/>
      <c r="I68" s="259">
        <f>IF(ISERROR(V062A_203031[[#This Row],[DISTANCIA POR CARTA]]/V062A_203031[[#This Row],[TIEMPO DE NAVEGACION]]),0,V062A_203031[[#This Row],[DISTANCIA POR CARTA]]/V062A_203031[[#This Row],[TIEMPO DE NAVEGACION]])</f>
        <v>0</v>
      </c>
      <c r="J68" s="242"/>
      <c r="K68" s="325"/>
      <c r="L68" s="418">
        <v>0.57999999999999996</v>
      </c>
      <c r="M68" s="245">
        <v>7.0000000000000007E-2</v>
      </c>
      <c r="N68" s="245">
        <v>7.0000000000000007E-2</v>
      </c>
      <c r="O68" s="257">
        <f>SUM(V062A_203031[[#This Row],[MPAL]]+V062A_203031[[#This Row],[AUX.]]+V062A_203031[[#This Row],[CALDERA]])</f>
        <v>0.72</v>
      </c>
      <c r="P68" s="319"/>
      <c r="Q68" s="281">
        <f>(Q67-V062A_203031[[#This Row],[TOTAL ]])+V062A_203031[[#This Row],[FAENA]]</f>
        <v>522.46999999999969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SUM(V062A_203031[[#This Row],[MPAL2]:[GI]])</f>
        <v>0</v>
      </c>
      <c r="X68" s="246"/>
      <c r="Y68" s="282">
        <f>(Y67-V062A_203031[[#This Row],[TOTAL]])+V062A_203031[[#This Row],[FAENA2]]</f>
        <v>126.48000000000002</v>
      </c>
      <c r="Z68" s="245">
        <v>10</v>
      </c>
      <c r="AA68" s="246">
        <v>0</v>
      </c>
      <c r="AB68" s="320">
        <f>(AB67-V062A_203031[[#This Row],[CYLINDER MP]])+V062A_203031[[#This Row],[FAENA EN LTS]]</f>
        <v>1028</v>
      </c>
      <c r="AC68" s="246">
        <v>0</v>
      </c>
      <c r="AD68" s="246">
        <v>0</v>
      </c>
      <c r="AE68" s="320">
        <f>(AE67-V062A_203031[[#This Row],[CARTER MP.]])+V062A_203031[[#This Row],[FAENA EN LTS2]]</f>
        <v>2150</v>
      </c>
      <c r="AF68" s="246">
        <v>0</v>
      </c>
      <c r="AG68" s="246">
        <v>0</v>
      </c>
      <c r="AH68" s="320">
        <f>(AH67-V062A_203031[[#This Row],[MOT AUX]])+V062A_203031[[#This Row],[FAENA EN  LTS]]</f>
        <v>1150</v>
      </c>
      <c r="AI68" s="246">
        <v>0</v>
      </c>
      <c r="AJ68" s="246">
        <v>0</v>
      </c>
      <c r="AK68" s="321">
        <f>(AK67-V062A_203031[[#This Row],[HIDRAULICO]])+V062A_203031[[#This Row],[FAENA EN LTS3]]</f>
        <v>1650</v>
      </c>
    </row>
    <row r="69" spans="1:37" x14ac:dyDescent="0.25">
      <c r="A69" s="431"/>
      <c r="B69" s="48"/>
      <c r="C69" s="351"/>
      <c r="D69" s="418">
        <f>IF(V062A_203031[[#This Row],[FECHA]]-B68=1,((V062A_203031[[#This Row],[HORA]]-C68)*24)+24,(V062A_203031[[#This Row],[HORA]]-C68)*24)</f>
        <v>0</v>
      </c>
      <c r="E69" s="409"/>
      <c r="F69" s="29"/>
      <c r="G69" s="324"/>
      <c r="H69" s="306"/>
      <c r="I69" s="259">
        <f>IF(ISERROR(V062A_203031[[#This Row],[DISTANCIA POR CARTA]]/V062A_203031[[#This Row],[TIEMPO DE NAVEGACION]]),0,V062A_203031[[#This Row],[DISTANCIA POR CARTA]]/V062A_203031[[#This Row],[TIEMPO DE NAVEGACION]])</f>
        <v>0</v>
      </c>
      <c r="J69" s="242"/>
      <c r="K69" s="325"/>
      <c r="L69" s="418">
        <v>0</v>
      </c>
      <c r="M69" s="245">
        <v>1.01</v>
      </c>
      <c r="N69" s="245">
        <v>1.01</v>
      </c>
      <c r="O69" s="257">
        <f>SUM(V062A_203031[[#This Row],[MPAL]]+V062A_203031[[#This Row],[AUX.]]+V062A_203031[[#This Row],[CALDERA]])</f>
        <v>2.02</v>
      </c>
      <c r="P69" s="319"/>
      <c r="Q69" s="281">
        <f>(Q68-V062A_203031[[#This Row],[TOTAL ]])+V062A_203031[[#This Row],[FAENA]]</f>
        <v>520.4499999999997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SUM(V062A_203031[[#This Row],[MPAL2]:[GI]])</f>
        <v>0</v>
      </c>
      <c r="X69" s="246"/>
      <c r="Y69" s="282">
        <f>(Y68-V062A_203031[[#This Row],[TOTAL]])+V062A_203031[[#This Row],[FAENA2]]</f>
        <v>126.48000000000002</v>
      </c>
      <c r="Z69" s="245">
        <v>0</v>
      </c>
      <c r="AA69" s="246">
        <v>0</v>
      </c>
      <c r="AB69" s="320">
        <f>(AB68-V062A_203031[[#This Row],[CYLINDER MP]])+V062A_203031[[#This Row],[FAENA EN LTS]]</f>
        <v>1028</v>
      </c>
      <c r="AC69" s="246">
        <v>0</v>
      </c>
      <c r="AD69" s="246">
        <v>0</v>
      </c>
      <c r="AE69" s="320">
        <f>(AE68-V062A_203031[[#This Row],[CARTER MP.]])+V062A_203031[[#This Row],[FAENA EN LTS2]]</f>
        <v>2150</v>
      </c>
      <c r="AF69" s="246">
        <v>20</v>
      </c>
      <c r="AG69" s="246">
        <v>0</v>
      </c>
      <c r="AH69" s="320">
        <f>(AH68-V062A_203031[[#This Row],[MOT AUX]])+V062A_203031[[#This Row],[FAENA EN  LTS]]</f>
        <v>1130</v>
      </c>
      <c r="AI69" s="246">
        <v>0</v>
      </c>
      <c r="AJ69" s="246">
        <v>0</v>
      </c>
      <c r="AK69" s="321">
        <f>(AK68-V062A_203031[[#This Row],[HIDRAULICO]])+V062A_203031[[#This Row],[FAENA EN LTS3]]</f>
        <v>1650</v>
      </c>
    </row>
    <row r="70" spans="1:37" x14ac:dyDescent="0.25">
      <c r="A70" s="431"/>
      <c r="B70" s="48"/>
      <c r="C70" s="362"/>
      <c r="D70" s="418">
        <v>0</v>
      </c>
      <c r="E70" s="239"/>
      <c r="F70" s="29"/>
      <c r="G70" s="324"/>
      <c r="H70" s="306"/>
      <c r="I70" s="259">
        <f>IF(ISERROR(V062A_203031[[#This Row],[DISTANCIA POR CARTA]]/V062A_203031[[#This Row],[TIEMPO DE NAVEGACION]]),0,V062A_203031[[#This Row],[DISTANCIA POR CARTA]]/V062A_203031[[#This Row],[TIEMPO DE NAVEGACION]])</f>
        <v>0</v>
      </c>
      <c r="J70" s="242"/>
      <c r="K70" s="325"/>
      <c r="L70" s="418">
        <v>0</v>
      </c>
      <c r="M70" s="245">
        <v>0</v>
      </c>
      <c r="N70" s="245">
        <v>0</v>
      </c>
      <c r="O70" s="257">
        <f>SUM(V062A_203031[[#This Row],[MPAL]]+V062A_203031[[#This Row],[AUX.]]+V062A_203031[[#This Row],[CALDERA]])</f>
        <v>0</v>
      </c>
      <c r="P70" s="319"/>
      <c r="Q70" s="281">
        <f>(Q69-V062A_203031[[#This Row],[TOTAL ]])+V062A_203031[[#This Row],[FAENA]]</f>
        <v>520.4499999999997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SUM(V062A_203031[[#This Row],[MPAL2]:[GI]])</f>
        <v>0</v>
      </c>
      <c r="X70" s="246"/>
      <c r="Y70" s="282">
        <f>(Y69-V062A_203031[[#This Row],[TOTAL]])+V062A_203031[[#This Row],[FAENA2]]</f>
        <v>126.48000000000002</v>
      </c>
      <c r="Z70" s="245">
        <v>0</v>
      </c>
      <c r="AA70" s="246">
        <v>0</v>
      </c>
      <c r="AB70" s="320">
        <f>(AB69-V062A_203031[[#This Row],[CYLINDER MP]])+V062A_203031[[#This Row],[FAENA EN LTS]]</f>
        <v>1028</v>
      </c>
      <c r="AC70" s="246">
        <v>0</v>
      </c>
      <c r="AD70" s="246">
        <v>0</v>
      </c>
      <c r="AE70" s="320">
        <f>(AE69-V062A_203031[[#This Row],[CARTER MP.]])+V062A_203031[[#This Row],[FAENA EN LTS2]]</f>
        <v>2150</v>
      </c>
      <c r="AF70" s="246">
        <v>0</v>
      </c>
      <c r="AG70" s="246">
        <v>0</v>
      </c>
      <c r="AH70" s="320">
        <f>(AH69-V062A_203031[[#This Row],[MOT AUX]])+V062A_203031[[#This Row],[FAENA EN  LTS]]</f>
        <v>1130</v>
      </c>
      <c r="AI70" s="246">
        <v>0</v>
      </c>
      <c r="AJ70" s="246">
        <v>0</v>
      </c>
      <c r="AK70" s="321">
        <f>(AK69-V062A_203031[[#This Row],[HIDRAULICO]])+V062A_203031[[#This Row],[FAENA EN LTS3]]</f>
        <v>1650</v>
      </c>
    </row>
    <row r="71" spans="1:37" x14ac:dyDescent="0.25">
      <c r="A71" s="431"/>
      <c r="B71" s="236"/>
      <c r="C71" s="237"/>
      <c r="D71" s="418">
        <f>IF(V062A_203031[[#This Row],[FECHA]]-B70=1,((V062A_203031[[#This Row],[HORA]]-C70)*24)+24,(V062A_203031[[#This Row],[HORA]]-C70)*24)</f>
        <v>0</v>
      </c>
      <c r="E71" s="239"/>
      <c r="F71" s="378"/>
      <c r="G71" s="324"/>
      <c r="H71" s="306"/>
      <c r="I71" s="259">
        <f>IF(ISERROR(V062A_203031[[#This Row],[DISTANCIA POR CARTA]]/V062A_203031[[#This Row],[TIEMPO DE NAVEGACION]]),0,V062A_203031[[#This Row],[DISTANCIA POR CARTA]]/V062A_203031[[#This Row],[TIEMPO DE NAVEGACION]])</f>
        <v>0</v>
      </c>
      <c r="J71" s="242"/>
      <c r="K71" s="325"/>
      <c r="L71" s="418">
        <v>0</v>
      </c>
      <c r="M71" s="245">
        <v>0</v>
      </c>
      <c r="N71" s="245">
        <v>0</v>
      </c>
      <c r="O71" s="257">
        <f>SUM(V062A_203031[[#This Row],[MPAL]]+V062A_203031[[#This Row],[AUX.]]+V062A_203031[[#This Row],[CALDERA]])</f>
        <v>0</v>
      </c>
      <c r="P71" s="319"/>
      <c r="Q71" s="281">
        <f>(Q70-V062A_203031[[#This Row],[TOTAL ]])+V062A_203031[[#This Row],[FAENA]]</f>
        <v>520.4499999999997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SUM(V062A_203031[[#This Row],[MPAL2]:[GI]])</f>
        <v>0</v>
      </c>
      <c r="X71" s="246"/>
      <c r="Y71" s="282">
        <f>(Y70-V062A_203031[[#This Row],[TOTAL]])+V062A_203031[[#This Row],[FAENA2]]</f>
        <v>126.48000000000002</v>
      </c>
      <c r="Z71" s="245">
        <v>0</v>
      </c>
      <c r="AA71" s="246">
        <v>0</v>
      </c>
      <c r="AB71" s="320">
        <f>(AB70-V062A_203031[[#This Row],[CYLINDER MP]])+V062A_203031[[#This Row],[FAENA EN LTS]]</f>
        <v>1028</v>
      </c>
      <c r="AC71" s="246">
        <v>0</v>
      </c>
      <c r="AD71" s="246">
        <v>0</v>
      </c>
      <c r="AE71" s="320">
        <f>(AE70-V062A_203031[[#This Row],[CARTER MP.]])+V062A_203031[[#This Row],[FAENA EN LTS2]]</f>
        <v>2150</v>
      </c>
      <c r="AF71" s="246">
        <v>0</v>
      </c>
      <c r="AG71" s="246">
        <v>0</v>
      </c>
      <c r="AH71" s="320">
        <f>(AH70-V062A_203031[[#This Row],[MOT AUX]])+V062A_203031[[#This Row],[FAENA EN  LTS]]</f>
        <v>1130</v>
      </c>
      <c r="AI71" s="246">
        <v>0</v>
      </c>
      <c r="AJ71" s="246">
        <v>0</v>
      </c>
      <c r="AK71" s="321">
        <f>(AK70-V062A_203031[[#This Row],[HIDRAULICO]])+V062A_203031[[#This Row],[FAENA EN LTS3]]</f>
        <v>1650</v>
      </c>
    </row>
    <row r="72" spans="1:37" x14ac:dyDescent="0.25">
      <c r="A72" s="431"/>
      <c r="B72" s="236"/>
      <c r="C72" s="237"/>
      <c r="D72" s="418">
        <f>IF(V062A_203031[[#This Row],[FECHA]]-B71=1,((V062A_203031[[#This Row],[HORA]]-C71)*24)+24,(V062A_203031[[#This Row],[HORA]]-C71)*24)</f>
        <v>0</v>
      </c>
      <c r="E72" s="239"/>
      <c r="F72" s="378"/>
      <c r="G72" s="324"/>
      <c r="H72" s="306"/>
      <c r="I72" s="259">
        <f>IF(ISERROR(V062A_203031[[#This Row],[DISTANCIA POR CARTA]]/V062A_203031[[#This Row],[TIEMPO DE NAVEGACION]]),0,V062A_203031[[#This Row],[DISTANCIA POR CARTA]]/V062A_203031[[#This Row],[TIEMPO DE NAVEGACION]])</f>
        <v>0</v>
      </c>
      <c r="J72" s="242"/>
      <c r="K72" s="325"/>
      <c r="L72" s="418">
        <v>0</v>
      </c>
      <c r="M72" s="245">
        <v>0</v>
      </c>
      <c r="N72" s="245">
        <v>0</v>
      </c>
      <c r="O72" s="257">
        <f>SUM(V062A_203031[[#This Row],[MPAL]]+V062A_203031[[#This Row],[AUX.]]+V062A_203031[[#This Row],[CALDERA]])</f>
        <v>0</v>
      </c>
      <c r="P72" s="319"/>
      <c r="Q72" s="281">
        <f>(Q71-V062A_203031[[#This Row],[TOTAL ]])+V062A_203031[[#This Row],[FAENA]]</f>
        <v>520.4499999999997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SUM(V062A_203031[[#This Row],[MPAL2]:[GI]])</f>
        <v>0</v>
      </c>
      <c r="X72" s="246"/>
      <c r="Y72" s="282">
        <f>(Y71-V062A_203031[[#This Row],[TOTAL]])+V062A_203031[[#This Row],[FAENA2]]</f>
        <v>126.48000000000002</v>
      </c>
      <c r="Z72" s="245">
        <v>0</v>
      </c>
      <c r="AA72" s="246">
        <v>0</v>
      </c>
      <c r="AB72" s="320">
        <f>(AB71-V062A_203031[[#This Row],[CYLINDER MP]])+V062A_203031[[#This Row],[FAENA EN LTS]]</f>
        <v>1028</v>
      </c>
      <c r="AC72" s="246">
        <v>0</v>
      </c>
      <c r="AD72" s="246">
        <v>0</v>
      </c>
      <c r="AE72" s="320">
        <f>(AE71-V062A_203031[[#This Row],[CARTER MP.]])+V062A_203031[[#This Row],[FAENA EN LTS2]]</f>
        <v>2150</v>
      </c>
      <c r="AF72" s="246">
        <v>0</v>
      </c>
      <c r="AG72" s="246">
        <v>0</v>
      </c>
      <c r="AH72" s="320">
        <f>(AH71-V062A_203031[[#This Row],[MOT AUX]])+V062A_203031[[#This Row],[FAENA EN  LTS]]</f>
        <v>1130</v>
      </c>
      <c r="AI72" s="246">
        <v>0</v>
      </c>
      <c r="AJ72" s="246">
        <v>0</v>
      </c>
      <c r="AK72" s="321">
        <f>(AK71-V062A_203031[[#This Row],[HIDRAULICO]])+V062A_203031[[#This Row],[FAENA EN LTS3]]</f>
        <v>1650</v>
      </c>
    </row>
    <row r="73" spans="1:37" x14ac:dyDescent="0.25">
      <c r="A73" s="431"/>
      <c r="B73" s="236"/>
      <c r="C73" s="237"/>
      <c r="D73" s="418">
        <f>IF(V062A_203031[[#This Row],[FECHA]]-B72=1,((V062A_203031[[#This Row],[HORA]]-C72)*24)+24,(V062A_203031[[#This Row],[HORA]]-C72)*24)</f>
        <v>0</v>
      </c>
      <c r="E73" s="239"/>
      <c r="F73" s="378"/>
      <c r="G73" s="324"/>
      <c r="H73" s="306"/>
      <c r="I73" s="259">
        <f>IF(ISERROR(V062A_203031[[#This Row],[DISTANCIA POR CARTA]]/V062A_203031[[#This Row],[TIEMPO DE NAVEGACION]]),0,V062A_203031[[#This Row],[DISTANCIA POR CARTA]]/V062A_203031[[#This Row],[TIEMPO DE NAVEGACION]])</f>
        <v>0</v>
      </c>
      <c r="J73" s="380"/>
      <c r="K73" s="325"/>
      <c r="L73" s="418">
        <v>0</v>
      </c>
      <c r="M73" s="245">
        <v>0</v>
      </c>
      <c r="N73" s="245">
        <v>0</v>
      </c>
      <c r="O73" s="257">
        <f>SUM(V062A_203031[[#This Row],[MPAL]]+V062A_203031[[#This Row],[AUX.]]+V062A_203031[[#This Row],[CALDERA]])</f>
        <v>0</v>
      </c>
      <c r="P73" s="319"/>
      <c r="Q73" s="281">
        <f>(Q72-V062A_203031[[#This Row],[TOTAL ]])+V062A_203031[[#This Row],[FAENA]]</f>
        <v>520.4499999999997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SUM(V062A_203031[[#This Row],[MPAL2]:[GI]])</f>
        <v>0</v>
      </c>
      <c r="X73" s="246"/>
      <c r="Y73" s="282">
        <f>(Y72-V062A_203031[[#This Row],[TOTAL]])+V062A_203031[[#This Row],[FAENA2]]</f>
        <v>126.48000000000002</v>
      </c>
      <c r="Z73" s="245"/>
      <c r="AA73" s="246"/>
      <c r="AB73" s="320">
        <f>(AB72-V062A_203031[[#This Row],[CYLINDER MP]])+V062A_203031[[#This Row],[FAENA EN LTS]]</f>
        <v>1028</v>
      </c>
      <c r="AC73" s="246"/>
      <c r="AD73" s="246"/>
      <c r="AE73" s="320">
        <f>(AE72-V062A_203031[[#This Row],[CARTER MP.]])+V062A_203031[[#This Row],[FAENA EN LTS2]]</f>
        <v>2150</v>
      </c>
      <c r="AF73" s="246"/>
      <c r="AG73" s="246"/>
      <c r="AH73" s="320">
        <f>(AH72-V062A_203031[[#This Row],[MOT AUX]])+V062A_203031[[#This Row],[FAENA EN  LTS]]</f>
        <v>1130</v>
      </c>
      <c r="AI73" s="246">
        <v>0</v>
      </c>
      <c r="AJ73" s="246">
        <v>0</v>
      </c>
      <c r="AK73" s="321">
        <f>(AK72-V062A_203031[[#This Row],[HIDRAULICO]])+V062A_203031[[#This Row],[FAENA EN LTS3]]</f>
        <v>1650</v>
      </c>
    </row>
    <row r="74" spans="1:37" x14ac:dyDescent="0.25">
      <c r="D74" s="482"/>
      <c r="L74" s="68">
        <f>SUBTOTAL(109,V062A_203031[MPAL])</f>
        <v>215.76999999999998</v>
      </c>
      <c r="M74" s="68">
        <f>SUBTOTAL(109,V062A_203031[AUX.])</f>
        <v>31.56999999999999</v>
      </c>
      <c r="N74" s="68">
        <f>SUBTOTAL(109,V062A_203031[CALDERA])</f>
        <v>39.29999999999999</v>
      </c>
    </row>
    <row r="75" spans="1:37" x14ac:dyDescent="0.25">
      <c r="O75" s="67">
        <f>SUM(L74:N74)</f>
        <v>286.64</v>
      </c>
    </row>
    <row r="76" spans="1:37" ht="19.5" thickBot="1" x14ac:dyDescent="0.35">
      <c r="C76" s="69" t="s">
        <v>187</v>
      </c>
      <c r="D76" s="69"/>
      <c r="E76" s="69"/>
      <c r="F76" s="69"/>
      <c r="G76" s="69"/>
      <c r="N76" s="69"/>
      <c r="O76" s="69"/>
      <c r="S76" s="70" t="s">
        <v>188</v>
      </c>
    </row>
    <row r="77" spans="1:37" ht="19.5" thickBot="1" x14ac:dyDescent="0.35">
      <c r="C77" s="69"/>
      <c r="D77" s="69"/>
      <c r="E77" s="69"/>
      <c r="F77" s="69"/>
      <c r="G77" s="69"/>
      <c r="N77" s="69"/>
      <c r="O77" s="69"/>
      <c r="S77" s="70"/>
    </row>
    <row r="78" spans="1:37" ht="45.75" thickBot="1" x14ac:dyDescent="0.3">
      <c r="C78" s="71" t="s">
        <v>11</v>
      </c>
      <c r="D78" s="71" t="s">
        <v>90</v>
      </c>
      <c r="E78" s="72" t="s">
        <v>91</v>
      </c>
      <c r="F78" s="72" t="s">
        <v>92</v>
      </c>
      <c r="G78" s="72" t="s">
        <v>93</v>
      </c>
      <c r="H78" s="71" t="s">
        <v>94</v>
      </c>
      <c r="I78" s="71" t="s">
        <v>95</v>
      </c>
      <c r="J78" s="71" t="s">
        <v>96</v>
      </c>
      <c r="K78" s="71" t="s">
        <v>97</v>
      </c>
      <c r="L78" s="71" t="s">
        <v>98</v>
      </c>
      <c r="M78" s="377" t="s">
        <v>99</v>
      </c>
      <c r="N78" s="75" t="s">
        <v>100</v>
      </c>
      <c r="R78" s="111" t="s">
        <v>101</v>
      </c>
      <c r="S78" s="111" t="s">
        <v>94</v>
      </c>
      <c r="T78" s="111" t="s">
        <v>102</v>
      </c>
      <c r="U78" s="111" t="s">
        <v>96</v>
      </c>
      <c r="V78" s="111" t="s">
        <v>103</v>
      </c>
      <c r="W78" s="111" t="s">
        <v>104</v>
      </c>
    </row>
    <row r="79" spans="1:37" x14ac:dyDescent="0.25">
      <c r="C79" s="77" t="s">
        <v>71</v>
      </c>
      <c r="D79" s="376">
        <f t="shared" ref="D79:D86" si="0">SUMIF($E$6:$E$73,C79,$D$6:$D$73)</f>
        <v>42.633333333333333</v>
      </c>
      <c r="E79" s="279"/>
      <c r="F79" s="288"/>
      <c r="G79" s="137"/>
      <c r="H79" s="84">
        <f t="shared" ref="H79:H86" si="1">SUMIF($E$6:$E$73,C79,$L$6:$L$73)+SUMIF($E$6:$E$73,C79,$M$6:$M$73)+SUMIF($E$6:$E$73,C79,$N$6:$N$73)</f>
        <v>7.1899999999999995</v>
      </c>
      <c r="I79" s="139">
        <f t="shared" ref="I79:I86" si="2">IF(ISERROR(H79*24/D79),0,H79*24/D79)</f>
        <v>4.0475371383893668</v>
      </c>
      <c r="J79" s="137">
        <v>6</v>
      </c>
      <c r="K79" s="80"/>
      <c r="L79" s="38">
        <f>D79*J79/24</f>
        <v>10.658333333333333</v>
      </c>
      <c r="M79" s="80">
        <f t="shared" ref="M79:M86" si="3">L79-H79</f>
        <v>3.4683333333333337</v>
      </c>
      <c r="N79" s="86"/>
      <c r="Q79" s="82"/>
      <c r="R79" s="83" t="s">
        <v>105</v>
      </c>
      <c r="S79" s="228">
        <f>SUM(V5:V73)</f>
        <v>10.6</v>
      </c>
      <c r="T79" s="84">
        <f>S79*24/($D$80+$D$86)</f>
        <v>3.9249164309591147</v>
      </c>
      <c r="U79" s="84">
        <v>6</v>
      </c>
      <c r="V79" s="85">
        <f>($D$80+$D$86)*U79/24</f>
        <v>16.204166666666669</v>
      </c>
      <c r="W79" s="86">
        <f>V79-S79</f>
        <v>5.6041666666666696</v>
      </c>
    </row>
    <row r="80" spans="1:37" x14ac:dyDescent="0.25">
      <c r="C80" s="87" t="s">
        <v>51</v>
      </c>
      <c r="D80" s="264">
        <f t="shared" si="0"/>
        <v>43.400000000000006</v>
      </c>
      <c r="E80" s="264"/>
      <c r="F80" s="289"/>
      <c r="G80" s="139"/>
      <c r="H80" s="88">
        <f t="shared" si="1"/>
        <v>6.83</v>
      </c>
      <c r="I80" s="139">
        <f t="shared" si="2"/>
        <v>3.7769585253456222</v>
      </c>
      <c r="J80" s="139">
        <v>6</v>
      </c>
      <c r="K80" s="88"/>
      <c r="L80" s="418">
        <f t="shared" ref="L80:L86" si="4">D80*J80/24</f>
        <v>10.850000000000001</v>
      </c>
      <c r="M80" s="88">
        <f t="shared" si="3"/>
        <v>4.0200000000000014</v>
      </c>
      <c r="N80" s="121"/>
      <c r="R80" s="90" t="s">
        <v>106</v>
      </c>
      <c r="S80" s="286">
        <f>SUM(S5:S73)</f>
        <v>1.05</v>
      </c>
      <c r="T80" s="84">
        <f>S80*24/($D$80+$D$86)</f>
        <v>0.3887888917459501</v>
      </c>
      <c r="U80" s="88"/>
      <c r="V80" s="88"/>
      <c r="W80" s="121"/>
    </row>
    <row r="81" spans="3:23" x14ac:dyDescent="0.25">
      <c r="C81" s="87" t="s">
        <v>61</v>
      </c>
      <c r="D81" s="264">
        <f t="shared" si="0"/>
        <v>0</v>
      </c>
      <c r="E81" s="264">
        <f>SUMIF($E$6:$E$73,C81,$G$6:$G$73)</f>
        <v>0</v>
      </c>
      <c r="F81" s="289" t="e">
        <f>E81/D81</f>
        <v>#DIV/0!</v>
      </c>
      <c r="G81" s="139">
        <v>12</v>
      </c>
      <c r="H81" s="88">
        <f t="shared" si="1"/>
        <v>0</v>
      </c>
      <c r="I81" s="139">
        <f t="shared" si="2"/>
        <v>0</v>
      </c>
      <c r="J81" s="139">
        <v>27</v>
      </c>
      <c r="K81" s="88">
        <f>E81/G81</f>
        <v>0</v>
      </c>
      <c r="L81" s="418">
        <f>K81*J81/24</f>
        <v>0</v>
      </c>
      <c r="M81" s="88">
        <f t="shared" si="3"/>
        <v>0</v>
      </c>
      <c r="N81" s="121">
        <f>K81-D81</f>
        <v>0</v>
      </c>
      <c r="R81" s="90" t="s">
        <v>20</v>
      </c>
      <c r="S81" s="286">
        <f>SUM(T5:T73)</f>
        <v>0</v>
      </c>
      <c r="T81" s="84">
        <f>S81*24/($D$80+$D$86)</f>
        <v>0</v>
      </c>
      <c r="U81" s="88"/>
      <c r="V81" s="88"/>
      <c r="W81" s="121"/>
    </row>
    <row r="82" spans="3:23" x14ac:dyDescent="0.25">
      <c r="C82" s="87" t="s">
        <v>55</v>
      </c>
      <c r="D82" s="264">
        <f>SUMIF($E$6:$E$73,C82,$D$6:$D$73)</f>
        <v>226.3</v>
      </c>
      <c r="E82" s="264">
        <f>SUMIF($E$6:$E$73,C82,$G$6:$G$73)</f>
        <v>2854</v>
      </c>
      <c r="F82" s="289">
        <f>E82/D82</f>
        <v>12.611577551922226</v>
      </c>
      <c r="G82" s="139">
        <v>12</v>
      </c>
      <c r="H82" s="88">
        <f t="shared" si="1"/>
        <v>233.20999999999998</v>
      </c>
      <c r="I82" s="139">
        <f t="shared" si="2"/>
        <v>24.732832523199288</v>
      </c>
      <c r="J82" s="139">
        <v>27</v>
      </c>
      <c r="K82" s="88">
        <f>E82/G82</f>
        <v>237.83333333333334</v>
      </c>
      <c r="L82" s="418">
        <f>K82*J82/24</f>
        <v>267.5625</v>
      </c>
      <c r="M82" s="88">
        <f t="shared" si="3"/>
        <v>34.35250000000002</v>
      </c>
      <c r="N82" s="121">
        <f>K82-D82</f>
        <v>11.533333333333331</v>
      </c>
      <c r="R82" s="90" t="s">
        <v>107</v>
      </c>
      <c r="S82" s="286">
        <f>SUM(U5:U73)</f>
        <v>0</v>
      </c>
      <c r="T82" s="84">
        <f>S82*24/($D$80+$D$86)</f>
        <v>0</v>
      </c>
      <c r="U82" s="88"/>
      <c r="V82" s="88"/>
      <c r="W82" s="121"/>
    </row>
    <row r="83" spans="3:23" ht="15.75" thickBot="1" x14ac:dyDescent="0.3">
      <c r="C83" s="87" t="s">
        <v>108</v>
      </c>
      <c r="D83" s="264">
        <f t="shared" si="0"/>
        <v>0</v>
      </c>
      <c r="E83" s="264">
        <f>SUMIF($E$6:$E$73,C83,$G$6:$G$73)</f>
        <v>0</v>
      </c>
      <c r="F83" s="289">
        <f>IF(ISERROR(E83/D83),0,E83/D83)</f>
        <v>0</v>
      </c>
      <c r="G83" s="139">
        <v>12</v>
      </c>
      <c r="H83" s="88">
        <f t="shared" si="1"/>
        <v>0</v>
      </c>
      <c r="I83" s="139">
        <f>IF(ISERROR(H83*24/D83),0,H83*24/D83)</f>
        <v>0</v>
      </c>
      <c r="J83" s="139">
        <v>27</v>
      </c>
      <c r="K83" s="88">
        <f>E83/G83</f>
        <v>0</v>
      </c>
      <c r="L83" s="418">
        <f>K83*J83/24</f>
        <v>0</v>
      </c>
      <c r="M83" s="88">
        <f t="shared" si="3"/>
        <v>0</v>
      </c>
      <c r="N83" s="121">
        <f>K83-D83</f>
        <v>0</v>
      </c>
      <c r="R83" s="92" t="s">
        <v>24</v>
      </c>
      <c r="S83" s="287">
        <f>SUM(R5:R73)</f>
        <v>0</v>
      </c>
      <c r="T83" s="84">
        <f>S83*24/($D$80+$D$86)</f>
        <v>0</v>
      </c>
      <c r="U83" s="98"/>
      <c r="V83" s="98"/>
      <c r="W83" s="122"/>
    </row>
    <row r="84" spans="3:23" x14ac:dyDescent="0.25">
      <c r="C84" s="87" t="s">
        <v>45</v>
      </c>
      <c r="D84" s="264">
        <f t="shared" si="0"/>
        <v>195.10000000000002</v>
      </c>
      <c r="E84" s="264"/>
      <c r="F84" s="289"/>
      <c r="G84" s="139"/>
      <c r="H84" s="88">
        <f t="shared" si="1"/>
        <v>19.760000000000005</v>
      </c>
      <c r="I84" s="139">
        <f t="shared" si="2"/>
        <v>2.4307534597642237</v>
      </c>
      <c r="J84" s="139">
        <v>6</v>
      </c>
      <c r="K84" s="88"/>
      <c r="L84" s="418">
        <f t="shared" si="4"/>
        <v>48.775000000000006</v>
      </c>
      <c r="M84" s="88">
        <f t="shared" si="3"/>
        <v>29.015000000000001</v>
      </c>
      <c r="N84" s="121"/>
      <c r="S84" s="68"/>
      <c r="T84" s="143"/>
      <c r="U84" s="68"/>
      <c r="V84" s="68"/>
      <c r="W84" s="68"/>
    </row>
    <row r="85" spans="3:23" x14ac:dyDescent="0.25">
      <c r="C85" s="87" t="s">
        <v>47</v>
      </c>
      <c r="D85" s="264">
        <f t="shared" si="0"/>
        <v>23.649999999999991</v>
      </c>
      <c r="E85" s="264"/>
      <c r="F85" s="289"/>
      <c r="G85" s="139"/>
      <c r="H85" s="88">
        <f t="shared" si="1"/>
        <v>13.530000000000001</v>
      </c>
      <c r="I85" s="139">
        <f t="shared" si="2"/>
        <v>13.730232558139541</v>
      </c>
      <c r="J85" s="139">
        <v>6</v>
      </c>
      <c r="K85" s="88"/>
      <c r="L85" s="418">
        <f t="shared" si="4"/>
        <v>5.9124999999999979</v>
      </c>
      <c r="M85" s="88">
        <f t="shared" si="3"/>
        <v>-7.6175000000000033</v>
      </c>
      <c r="N85" s="121"/>
      <c r="S85" s="68"/>
      <c r="T85" s="68"/>
      <c r="U85" s="68"/>
      <c r="V85" s="68"/>
      <c r="W85" s="68"/>
    </row>
    <row r="86" spans="3:23" ht="15.75" thickBot="1" x14ac:dyDescent="0.3">
      <c r="C86" s="97" t="s">
        <v>49</v>
      </c>
      <c r="D86" s="290">
        <f t="shared" si="0"/>
        <v>21.416666666666671</v>
      </c>
      <c r="E86" s="290"/>
      <c r="F86" s="291"/>
      <c r="G86" s="140"/>
      <c r="H86" s="98">
        <f t="shared" si="1"/>
        <v>3.38</v>
      </c>
      <c r="I86" s="141">
        <f t="shared" si="2"/>
        <v>3.7877042801556415</v>
      </c>
      <c r="J86" s="141">
        <v>8</v>
      </c>
      <c r="K86" s="98"/>
      <c r="L86" s="99">
        <f t="shared" si="4"/>
        <v>7.1388888888888902</v>
      </c>
      <c r="M86" s="98">
        <f t="shared" si="3"/>
        <v>3.7588888888888903</v>
      </c>
      <c r="N86" s="122"/>
      <c r="O86" s="68"/>
      <c r="S86" s="68"/>
      <c r="T86" s="68"/>
      <c r="U86" s="68"/>
      <c r="V86" s="68"/>
      <c r="W86" s="68"/>
    </row>
    <row r="87" spans="3:23" ht="15.75" thickBot="1" x14ac:dyDescent="0.3">
      <c r="C87" s="124"/>
      <c r="D87" s="327"/>
      <c r="E87" s="292"/>
      <c r="F87" s="293"/>
      <c r="G87" s="134"/>
      <c r="H87" s="328"/>
      <c r="I87" s="144"/>
      <c r="J87" s="144"/>
      <c r="K87" s="68"/>
      <c r="L87" s="102"/>
      <c r="M87" s="68"/>
      <c r="N87" s="145"/>
      <c r="O87" s="68"/>
      <c r="S87" s="68"/>
      <c r="T87" s="68"/>
      <c r="U87" s="68"/>
      <c r="V87" s="68"/>
      <c r="W87" s="68"/>
    </row>
    <row r="88" spans="3:23" ht="15.75" thickBot="1" x14ac:dyDescent="0.3">
      <c r="C88" s="103" t="s">
        <v>29</v>
      </c>
      <c r="D88" s="284">
        <f>SUM(D79:D86)</f>
        <v>552.5</v>
      </c>
      <c r="E88" s="284">
        <f>SUM(E79:E85)</f>
        <v>2854</v>
      </c>
      <c r="F88" s="284" t="e">
        <f>SUM(F79:F85)/2</f>
        <v>#DIV/0!</v>
      </c>
      <c r="H88" s="101">
        <f>SUM(H79:H86)</f>
        <v>283.89999999999998</v>
      </c>
      <c r="K88" s="142"/>
      <c r="L88" s="104">
        <f>SUM(L79:L86)</f>
        <v>350.89722222222224</v>
      </c>
      <c r="M88" s="101">
        <f>SUM(M79:M86)</f>
        <v>66.997222222222234</v>
      </c>
      <c r="N88" s="101">
        <f>SUM(N79:N86)</f>
        <v>11.533333333333331</v>
      </c>
      <c r="R88" s="100" t="s">
        <v>29</v>
      </c>
      <c r="S88" s="101">
        <f>SUM(S79:S83)</f>
        <v>11.65</v>
      </c>
      <c r="T88" s="101">
        <f>SUM(T79:T83)</f>
        <v>4.313705322705065</v>
      </c>
      <c r="U88" s="68"/>
      <c r="V88" s="68"/>
      <c r="W88" s="68"/>
    </row>
    <row r="97" spans="9:9" x14ac:dyDescent="0.25">
      <c r="I9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73" name="Rango12"/>
    <protectedRange sqref="AC6:AD73" name="Rango10"/>
    <protectedRange sqref="Z6:AA73" name="Rango8"/>
    <protectedRange sqref="X6:X73" name="Rango6"/>
    <protectedRange sqref="R6:V73" name="Rango5"/>
    <protectedRange sqref="P6:P73" name="Rango3"/>
    <protectedRange sqref="J6:N73 E6:H73" name="Rango2"/>
    <protectedRange sqref="A6:C73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622" priority="5" operator="greaterThan">
      <formula>"S5"</formula>
    </cfRule>
  </conditionalFormatting>
  <conditionalFormatting sqref="I54:I73">
    <cfRule type="cellIs" dxfId="621" priority="4" operator="greaterThan">
      <formula>0</formula>
    </cfRule>
  </conditionalFormatting>
  <conditionalFormatting sqref="J6:J9">
    <cfRule type="cellIs" dxfId="620" priority="3" operator="greaterThan">
      <formula>"S5"</formula>
    </cfRule>
  </conditionalFormatting>
  <conditionalFormatting sqref="I6:I9">
    <cfRule type="cellIs" dxfId="619" priority="2" operator="greaterThan">
      <formula>0</formula>
    </cfRule>
  </conditionalFormatting>
  <conditionalFormatting sqref="I10:I53">
    <cfRule type="cellIs" dxfId="618" priority="1" operator="greaterThan">
      <formula>0</formula>
    </cfRule>
  </conditionalFormatting>
  <dataValidations count="1">
    <dataValidation type="list" showInputMessage="1" showErrorMessage="1" sqref="E6:E73">
      <formula1>$C$79:$C$87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6"/>
  <sheetViews>
    <sheetView zoomScale="90" zoomScaleNormal="90" workbookViewId="0">
      <pane xSplit="6" ySplit="5" topLeftCell="G27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H35" sqref="H35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44104</v>
      </c>
      <c r="C4" s="341">
        <v>0.4375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523.19000000000005</v>
      </c>
      <c r="R4" s="553" t="s">
        <v>183</v>
      </c>
      <c r="S4" s="554"/>
      <c r="T4" s="554"/>
      <c r="U4" s="554"/>
      <c r="V4" s="554"/>
      <c r="W4" s="554"/>
      <c r="X4" s="555"/>
      <c r="Y4" s="283">
        <v>126.48</v>
      </c>
      <c r="Z4" s="6"/>
      <c r="AA4" s="7" t="s">
        <v>184</v>
      </c>
      <c r="AB4" s="304">
        <v>1038</v>
      </c>
      <c r="AC4" s="9"/>
      <c r="AD4" s="7" t="s">
        <v>184</v>
      </c>
      <c r="AE4" s="304">
        <v>2150</v>
      </c>
      <c r="AG4" s="7" t="s">
        <v>184</v>
      </c>
      <c r="AH4" s="304">
        <v>1150</v>
      </c>
      <c r="AJ4" s="7" t="s">
        <v>184</v>
      </c>
      <c r="AK4" s="304">
        <v>1650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290</v>
      </c>
      <c r="B6" s="48">
        <v>44104</v>
      </c>
      <c r="C6" s="41">
        <v>0.49583333333333335</v>
      </c>
      <c r="D6" s="418">
        <v>1.4</v>
      </c>
      <c r="E6" s="409" t="s">
        <v>47</v>
      </c>
      <c r="F6" s="29" t="s">
        <v>45</v>
      </c>
      <c r="G6" s="324"/>
      <c r="H6" s="306"/>
      <c r="I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" s="242"/>
      <c r="K6" s="325"/>
      <c r="L6" s="418">
        <v>0.57999999999999996</v>
      </c>
      <c r="M6" s="245">
        <v>7.0000000000000007E-2</v>
      </c>
      <c r="N6" s="245">
        <v>7.0000000000000007E-2</v>
      </c>
      <c r="O6" s="257">
        <f>SUM(V062A_20303133[[#This Row],[MPAL]]+V062A_20303133[[#This Row],[AUX.]]+V062A_20303133[[#This Row],[CALDERA]])</f>
        <v>0.72</v>
      </c>
      <c r="P6" s="319"/>
      <c r="Q6" s="281">
        <f>(Q4-V062A_20303133[[#This Row],[TOTAL ]])+V062A_20303133[[#This Row],[FAENA]]</f>
        <v>522.47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SUM(V062A_20303133[[#This Row],[MPAL2]:[GI]])</f>
        <v>0</v>
      </c>
      <c r="X6" s="246"/>
      <c r="Y6" s="282">
        <f>(Y4-V062A_20303133[[#This Row],[TOTAL]])+V062A_20303133[[#This Row],[FAENA2]]</f>
        <v>126.48</v>
      </c>
      <c r="Z6" s="245">
        <v>10</v>
      </c>
      <c r="AA6" s="246">
        <v>0</v>
      </c>
      <c r="AB6" s="320">
        <f>(AB4-V062A_20303133[[#This Row],[CYLINDER MP]])+V062A_20303133[[#This Row],[FAENA EN LTS]]</f>
        <v>1028</v>
      </c>
      <c r="AC6" s="246">
        <v>0</v>
      </c>
      <c r="AD6" s="246">
        <v>0</v>
      </c>
      <c r="AE6" s="320">
        <f>(AE4-V062A_20303133[[#This Row],[CARTER MP.]])+V062A_20303133[[#This Row],[FAENA EN LTS2]]</f>
        <v>2150</v>
      </c>
      <c r="AF6" s="246">
        <v>0</v>
      </c>
      <c r="AG6" s="246">
        <v>0</v>
      </c>
      <c r="AH6" s="320">
        <f>(AH4-V062A_20303133[[#This Row],[MOT AUX]])+V062A_20303133[[#This Row],[FAENA EN  LTS]]</f>
        <v>1150</v>
      </c>
      <c r="AI6" s="246">
        <v>0</v>
      </c>
      <c r="AJ6" s="246">
        <v>0</v>
      </c>
      <c r="AK6" s="321">
        <f>(AK4-V062A_20303133[[#This Row],[HIDRAULICO]])+V062A_20303133[[#This Row],[FAENA EN LTS3]]</f>
        <v>1650</v>
      </c>
    </row>
    <row r="7" spans="1:37" x14ac:dyDescent="0.25">
      <c r="A7" s="431" t="s">
        <v>290</v>
      </c>
      <c r="B7" s="48">
        <v>44105</v>
      </c>
      <c r="C7" s="41">
        <v>0.33333333333333331</v>
      </c>
      <c r="D7" s="418">
        <f>IF(V062A_20303133[[#This Row],[FECHA]]-B6=1,((V062A_20303133[[#This Row],[HORA]]-C6)*24)+24,(V062A_20303133[[#This Row],[HORA]]-C6)*24)</f>
        <v>20.099999999999998</v>
      </c>
      <c r="E7" s="409" t="s">
        <v>45</v>
      </c>
      <c r="F7" s="29" t="s">
        <v>45</v>
      </c>
      <c r="G7" s="324"/>
      <c r="H7" s="306"/>
      <c r="I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" s="242"/>
      <c r="K7" s="325"/>
      <c r="L7" s="418">
        <v>0</v>
      </c>
      <c r="M7" s="245">
        <v>1.01</v>
      </c>
      <c r="N7" s="245">
        <v>1.01</v>
      </c>
      <c r="O7" s="257">
        <f>SUM(V062A_20303133[[#This Row],[MPAL]]+V062A_20303133[[#This Row],[AUX.]]+V062A_20303133[[#This Row],[CALDERA]])</f>
        <v>2.02</v>
      </c>
      <c r="P7" s="319"/>
      <c r="Q7" s="281">
        <f>(Q6-V062A_20303133[[#This Row],[TOTAL ]])+V062A_20303133[[#This Row],[FAENA]]</f>
        <v>520.45000000000005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SUM(V062A_20303133[[#This Row],[MPAL2]:[GI]])</f>
        <v>0</v>
      </c>
      <c r="X7" s="246"/>
      <c r="Y7" s="282">
        <f>(Y6-V062A_20303133[[#This Row],[TOTAL]])+V062A_20303133[[#This Row],[FAENA2]]</f>
        <v>126.48</v>
      </c>
      <c r="Z7" s="245">
        <v>0</v>
      </c>
      <c r="AA7" s="246">
        <v>0</v>
      </c>
      <c r="AB7" s="320">
        <f>(AB6-V062A_20303133[[#This Row],[CYLINDER MP]])+V062A_20303133[[#This Row],[FAENA EN LTS]]</f>
        <v>1028</v>
      </c>
      <c r="AC7" s="246">
        <v>0</v>
      </c>
      <c r="AD7" s="246">
        <v>0</v>
      </c>
      <c r="AE7" s="320">
        <f>(AE6-V062A_20303133[[#This Row],[CARTER MP.]])+V062A_20303133[[#This Row],[FAENA EN LTS2]]</f>
        <v>2150</v>
      </c>
      <c r="AF7" s="246">
        <v>20</v>
      </c>
      <c r="AG7" s="246">
        <v>0</v>
      </c>
      <c r="AH7" s="320">
        <f>(AH6-V062A_20303133[[#This Row],[MOT AUX]])+V062A_20303133[[#This Row],[FAENA EN  LTS]]</f>
        <v>1130</v>
      </c>
      <c r="AI7" s="246">
        <v>0</v>
      </c>
      <c r="AJ7" s="246">
        <v>0</v>
      </c>
      <c r="AK7" s="321">
        <f>(AK6-V062A_20303133[[#This Row],[HIDRAULICO]])+V062A_20303133[[#This Row],[FAENA EN LTS3]]</f>
        <v>1650</v>
      </c>
    </row>
    <row r="8" spans="1:37" x14ac:dyDescent="0.25">
      <c r="A8" s="431" t="s">
        <v>290</v>
      </c>
      <c r="B8" s="48">
        <v>44106</v>
      </c>
      <c r="C8" s="41">
        <v>0.33333333333333331</v>
      </c>
      <c r="D8" s="418">
        <f>IF(V062A_20303133[[#This Row],[FECHA]]-B7=1,((V062A_20303133[[#This Row],[HORA]]-C7)*24)+24,(V062A_20303133[[#This Row],[HORA]]-C7)*24)</f>
        <v>24</v>
      </c>
      <c r="E8" s="239" t="s">
        <v>45</v>
      </c>
      <c r="F8" s="29" t="s">
        <v>45</v>
      </c>
      <c r="G8" s="324"/>
      <c r="H8" s="306"/>
      <c r="I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8" s="380"/>
      <c r="K8" s="325"/>
      <c r="L8" s="418">
        <v>0</v>
      </c>
      <c r="M8" s="245">
        <v>1.2</v>
      </c>
      <c r="N8" s="245">
        <v>1</v>
      </c>
      <c r="O8" s="257">
        <f>SUM(V062A_20303133[[#This Row],[MPAL]]+V062A_20303133[[#This Row],[AUX.]]+V062A_20303133[[#This Row],[CALDERA]])</f>
        <v>2.2000000000000002</v>
      </c>
      <c r="P8" s="319"/>
      <c r="Q8" s="281">
        <f>(Q7-V062A_20303133[[#This Row],[TOTAL ]])+V062A_20303133[[#This Row],[FAENA]]</f>
        <v>518.25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SUM(V062A_20303133[[#This Row],[MPAL2]:[GI]])</f>
        <v>0</v>
      </c>
      <c r="X8" s="246"/>
      <c r="Y8" s="282">
        <f>(Y7-V062A_20303133[[#This Row],[TOTAL]])+V062A_20303133[[#This Row],[FAENA2]]</f>
        <v>126.48</v>
      </c>
      <c r="Z8" s="245">
        <v>0</v>
      </c>
      <c r="AA8" s="246">
        <v>0</v>
      </c>
      <c r="AB8" s="320">
        <f>(AB7-V062A_20303133[[#This Row],[CYLINDER MP]])+V062A_20303133[[#This Row],[FAENA EN LTS]]</f>
        <v>1028</v>
      </c>
      <c r="AC8" s="246">
        <v>0</v>
      </c>
      <c r="AD8" s="246">
        <v>0</v>
      </c>
      <c r="AE8" s="320">
        <f>(AE7-V062A_20303133[[#This Row],[CARTER MP.]])+V062A_20303133[[#This Row],[FAENA EN LTS2]]</f>
        <v>2150</v>
      </c>
      <c r="AF8" s="246">
        <v>20</v>
      </c>
      <c r="AG8" s="246">
        <v>0</v>
      </c>
      <c r="AH8" s="320">
        <f>(AH7-V062A_20303133[[#This Row],[MOT AUX]])+V062A_20303133[[#This Row],[FAENA EN  LTS]]</f>
        <v>1110</v>
      </c>
      <c r="AI8" s="246">
        <v>0</v>
      </c>
      <c r="AJ8" s="246">
        <v>0</v>
      </c>
      <c r="AK8" s="321">
        <f>(AK7-V062A_20303133[[#This Row],[HIDRAULICO]])+V062A_20303133[[#This Row],[FAENA EN LTS3]]</f>
        <v>1650</v>
      </c>
    </row>
    <row r="9" spans="1:37" x14ac:dyDescent="0.25">
      <c r="A9" s="431" t="s">
        <v>290</v>
      </c>
      <c r="B9" s="48">
        <v>44106</v>
      </c>
      <c r="C9" s="41">
        <v>0.6</v>
      </c>
      <c r="D9" s="418">
        <f>IF(V062A_20303133[[#This Row],[FECHA]]-B8=1,((V062A_20303133[[#This Row],[HORA]]-C8)*24)+24,(V062A_20303133[[#This Row],[HORA]]-C8)*24)</f>
        <v>6.4</v>
      </c>
      <c r="E9" s="239" t="s">
        <v>45</v>
      </c>
      <c r="F9" s="29" t="s">
        <v>46</v>
      </c>
      <c r="G9" s="324"/>
      <c r="H9" s="306"/>
      <c r="I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9" s="242"/>
      <c r="K9" s="325"/>
      <c r="L9" s="418">
        <v>0</v>
      </c>
      <c r="M9" s="245">
        <v>0.32</v>
      </c>
      <c r="N9" s="245">
        <v>0.27</v>
      </c>
      <c r="O9" s="257">
        <f>SUM(V062A_20303133[[#This Row],[MPAL]]+V062A_20303133[[#This Row],[AUX.]]+V062A_20303133[[#This Row],[CALDERA]])</f>
        <v>0.59000000000000008</v>
      </c>
      <c r="P9" s="319"/>
      <c r="Q9" s="281">
        <f>(Q8-V062A_20303133[[#This Row],[TOTAL ]])+V062A_20303133[[#This Row],[FAENA]]</f>
        <v>517.66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SUM(V062A_20303133[[#This Row],[MPAL2]:[GI]])</f>
        <v>0</v>
      </c>
      <c r="X9" s="246"/>
      <c r="Y9" s="282">
        <f>(Y8-V062A_20303133[[#This Row],[TOTAL]])+V062A_20303133[[#This Row],[FAENA2]]</f>
        <v>126.48</v>
      </c>
      <c r="Z9" s="245">
        <v>0</v>
      </c>
      <c r="AA9" s="246">
        <v>0</v>
      </c>
      <c r="AB9" s="320">
        <f>(AB8-V062A_20303133[[#This Row],[CYLINDER MP]])+V062A_20303133[[#This Row],[FAENA EN LTS]]</f>
        <v>1028</v>
      </c>
      <c r="AC9" s="246">
        <v>0</v>
      </c>
      <c r="AD9" s="246">
        <v>0</v>
      </c>
      <c r="AE9" s="320">
        <f>(AE8-V062A_20303133[[#This Row],[CARTER MP.]])+V062A_20303133[[#This Row],[FAENA EN LTS2]]</f>
        <v>2150</v>
      </c>
      <c r="AF9" s="246">
        <v>0</v>
      </c>
      <c r="AG9" s="246">
        <v>0</v>
      </c>
      <c r="AH9" s="320">
        <f>(AH8-V062A_20303133[[#This Row],[MOT AUX]])+V062A_20303133[[#This Row],[FAENA EN  LTS]]</f>
        <v>1110</v>
      </c>
      <c r="AI9" s="246">
        <v>0</v>
      </c>
      <c r="AJ9" s="246">
        <v>0</v>
      </c>
      <c r="AK9" s="321">
        <f>(AK8-V062A_20303133[[#This Row],[HIDRAULICO]])+V062A_20303133[[#This Row],[FAENA EN LTS3]]</f>
        <v>1650</v>
      </c>
    </row>
    <row r="10" spans="1:37" x14ac:dyDescent="0.25">
      <c r="A10" s="431" t="s">
        <v>290</v>
      </c>
      <c r="B10" s="48">
        <v>44106</v>
      </c>
      <c r="C10" s="41">
        <v>0.625</v>
      </c>
      <c r="D10" s="418">
        <f>IF(V062A_20303133[[#This Row],[FECHA]]-B9=1,((V062A_20303133[[#This Row],[HORA]]-C9)*24)+24,(V062A_20303133[[#This Row],[HORA]]-C9)*24)</f>
        <v>0.60000000000000053</v>
      </c>
      <c r="E10" s="239" t="s">
        <v>47</v>
      </c>
      <c r="F10" s="29" t="s">
        <v>212</v>
      </c>
      <c r="G10" s="324"/>
      <c r="H10" s="306"/>
      <c r="I1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0" s="242"/>
      <c r="K10" s="325"/>
      <c r="L10" s="418">
        <v>0.25</v>
      </c>
      <c r="M10" s="245">
        <v>0.03</v>
      </c>
      <c r="N10" s="245">
        <v>0.03</v>
      </c>
      <c r="O10" s="257">
        <f>SUM(V062A_20303133[[#This Row],[MPAL]]+V062A_20303133[[#This Row],[AUX.]]+V062A_20303133[[#This Row],[CALDERA]])</f>
        <v>0.31000000000000005</v>
      </c>
      <c r="P10" s="319"/>
      <c r="Q10" s="281">
        <f>(Q9-V062A_20303133[[#This Row],[TOTAL ]])+V062A_20303133[[#This Row],[FAENA]]</f>
        <v>517.35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SUM(V062A_20303133[[#This Row],[MPAL2]:[GI]])</f>
        <v>0</v>
      </c>
      <c r="X10" s="246"/>
      <c r="Y10" s="282">
        <f>(Y9-V062A_20303133[[#This Row],[TOTAL]])+V062A_20303133[[#This Row],[FAENA2]]</f>
        <v>126.48</v>
      </c>
      <c r="Z10" s="245">
        <v>10</v>
      </c>
      <c r="AA10" s="246">
        <v>0</v>
      </c>
      <c r="AB10" s="320">
        <f>(AB9-V062A_20303133[[#This Row],[CYLINDER MP]])+V062A_20303133[[#This Row],[FAENA EN LTS]]</f>
        <v>1018</v>
      </c>
      <c r="AC10" s="246">
        <v>0</v>
      </c>
      <c r="AD10" s="246">
        <v>0</v>
      </c>
      <c r="AE10" s="320">
        <f>(AE9-V062A_20303133[[#This Row],[CARTER MP.]])+V062A_20303133[[#This Row],[FAENA EN LTS2]]</f>
        <v>2150</v>
      </c>
      <c r="AF10" s="246">
        <v>0</v>
      </c>
      <c r="AG10" s="246">
        <v>0</v>
      </c>
      <c r="AH10" s="320">
        <f>(AH9-V062A_20303133[[#This Row],[MOT AUX]])+V062A_20303133[[#This Row],[FAENA EN  LTS]]</f>
        <v>1110</v>
      </c>
      <c r="AI10" s="246">
        <v>0</v>
      </c>
      <c r="AJ10" s="246">
        <v>0</v>
      </c>
      <c r="AK10" s="321">
        <f>(AK9-V062A_20303133[[#This Row],[HIDRAULICO]])+V062A_20303133[[#This Row],[FAENA EN LTS3]]</f>
        <v>1650</v>
      </c>
    </row>
    <row r="11" spans="1:37" x14ac:dyDescent="0.25">
      <c r="A11" s="431" t="s">
        <v>290</v>
      </c>
      <c r="B11" s="48">
        <v>44106</v>
      </c>
      <c r="C11" s="41">
        <v>0.72499999999999998</v>
      </c>
      <c r="D11" s="418">
        <f>IF(V062A_20303133[[#This Row],[FECHA]]-B10=1,((V062A_20303133[[#This Row],[HORA]]-C10)*24)+24,(V062A_20303133[[#This Row],[HORA]]-C10)*24)</f>
        <v>2.3999999999999995</v>
      </c>
      <c r="E11" s="239" t="s">
        <v>55</v>
      </c>
      <c r="F11" s="29" t="s">
        <v>271</v>
      </c>
      <c r="G11" s="324">
        <v>30</v>
      </c>
      <c r="H11" s="306">
        <v>2.4</v>
      </c>
      <c r="I11" s="259">
        <f>IF(ISERROR(V062A_20303133[[#This Row],[DISTANCIA POR CARTA]]/V062A_20303133[[#This Row],[TIEMPO DE NAVEGACION]]),0,V062A_20303133[[#This Row],[DISTANCIA POR CARTA]]/V062A_20303133[[#This Row],[TIEMPO DE NAVEGACION]])</f>
        <v>12.5</v>
      </c>
      <c r="J11" s="242">
        <v>4</v>
      </c>
      <c r="K11" s="325"/>
      <c r="L11" s="418">
        <v>2</v>
      </c>
      <c r="M11" s="245">
        <v>0.12</v>
      </c>
      <c r="N11" s="245">
        <v>0.12</v>
      </c>
      <c r="O11" s="257">
        <f>SUM(V062A_20303133[[#This Row],[MPAL]]+V062A_20303133[[#This Row],[AUX.]]+V062A_20303133[[#This Row],[CALDERA]])</f>
        <v>2.2400000000000002</v>
      </c>
      <c r="P11" s="319"/>
      <c r="Q11" s="281">
        <f>(Q10-V062A_20303133[[#This Row],[TOTAL ]])+V062A_20303133[[#This Row],[FAENA]]</f>
        <v>515.11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SUM(V062A_20303133[[#This Row],[MPAL2]:[GI]])</f>
        <v>0</v>
      </c>
      <c r="X11" s="246"/>
      <c r="Y11" s="282">
        <f>(Y10-V062A_20303133[[#This Row],[TOTAL]])+V062A_20303133[[#This Row],[FAENA2]]</f>
        <v>126.48</v>
      </c>
      <c r="Z11" s="245">
        <v>30</v>
      </c>
      <c r="AA11" s="246">
        <v>0</v>
      </c>
      <c r="AB11" s="320">
        <f>(AB10-V062A_20303133[[#This Row],[CYLINDER MP]])+V062A_20303133[[#This Row],[FAENA EN LTS]]</f>
        <v>988</v>
      </c>
      <c r="AC11" s="246">
        <v>0</v>
      </c>
      <c r="AD11" s="246">
        <v>0</v>
      </c>
      <c r="AE11" s="320">
        <f>(AE10-V062A_20303133[[#This Row],[CARTER MP.]])+V062A_20303133[[#This Row],[FAENA EN LTS2]]</f>
        <v>2150</v>
      </c>
      <c r="AF11" s="246">
        <v>0</v>
      </c>
      <c r="AG11" s="246">
        <v>0</v>
      </c>
      <c r="AH11" s="320">
        <f>(AH10-V062A_20303133[[#This Row],[MOT AUX]])+V062A_20303133[[#This Row],[FAENA EN  LTS]]</f>
        <v>1110</v>
      </c>
      <c r="AI11" s="246">
        <v>0</v>
      </c>
      <c r="AJ11" s="246">
        <v>0</v>
      </c>
      <c r="AK11" s="321">
        <f>(AK10-V062A_20303133[[#This Row],[HIDRAULICO]])+V062A_20303133[[#This Row],[FAENA EN LTS3]]</f>
        <v>1650</v>
      </c>
    </row>
    <row r="12" spans="1:37" x14ac:dyDescent="0.25">
      <c r="A12" s="431" t="s">
        <v>290</v>
      </c>
      <c r="B12" s="48">
        <v>44106</v>
      </c>
      <c r="C12" s="41">
        <v>0.85833333333333339</v>
      </c>
      <c r="D12" s="418">
        <f>IF(V062A_20303133[[#This Row],[FECHA]]-B11=1,((V062A_20303133[[#This Row],[HORA]]-C11)*24)+24,(V062A_20303133[[#This Row],[HORA]]-C11)*24)</f>
        <v>3.200000000000002</v>
      </c>
      <c r="E12" s="239" t="s">
        <v>47</v>
      </c>
      <c r="F12" s="29" t="s">
        <v>291</v>
      </c>
      <c r="G12" s="324"/>
      <c r="H12" s="306"/>
      <c r="I1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2" s="380"/>
      <c r="K12" s="325"/>
      <c r="L12" s="418">
        <v>1.33</v>
      </c>
      <c r="M12" s="245">
        <v>0.16</v>
      </c>
      <c r="N12" s="245">
        <v>0.16</v>
      </c>
      <c r="O12" s="257">
        <f>SUM(V062A_20303133[[#This Row],[MPAL]]+V062A_20303133[[#This Row],[AUX.]]+V062A_20303133[[#This Row],[CALDERA]])</f>
        <v>1.65</v>
      </c>
      <c r="P12" s="319"/>
      <c r="Q12" s="281">
        <f>(Q11-V062A_20303133[[#This Row],[TOTAL ]])+V062A_20303133[[#This Row],[FAENA]]</f>
        <v>513.46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SUM(V062A_20303133[[#This Row],[MPAL2]:[GI]])</f>
        <v>0</v>
      </c>
      <c r="X12" s="246"/>
      <c r="Y12" s="282">
        <f>(Y11-V062A_20303133[[#This Row],[TOTAL]])+V062A_20303133[[#This Row],[FAENA2]]</f>
        <v>126.48</v>
      </c>
      <c r="Z12" s="245">
        <v>10</v>
      </c>
      <c r="AA12" s="246">
        <v>0</v>
      </c>
      <c r="AB12" s="320">
        <f>(AB11-V062A_20303133[[#This Row],[CYLINDER MP]])+V062A_20303133[[#This Row],[FAENA EN LTS]]</f>
        <v>978</v>
      </c>
      <c r="AC12" s="246">
        <v>0</v>
      </c>
      <c r="AD12" s="246">
        <v>0</v>
      </c>
      <c r="AE12" s="320">
        <f>(AE11-V062A_20303133[[#This Row],[CARTER MP.]])+V062A_20303133[[#This Row],[FAENA EN LTS2]]</f>
        <v>2150</v>
      </c>
      <c r="AF12" s="246">
        <v>20</v>
      </c>
      <c r="AG12" s="246">
        <v>0</v>
      </c>
      <c r="AH12" s="320">
        <f>(AH11-V062A_20303133[[#This Row],[MOT AUX]])+V062A_20303133[[#This Row],[FAENA EN  LTS]]</f>
        <v>1090</v>
      </c>
      <c r="AI12" s="246">
        <v>0</v>
      </c>
      <c r="AJ12" s="246">
        <v>0</v>
      </c>
      <c r="AK12" s="321">
        <f>(AK11-V062A_20303133[[#This Row],[HIDRAULICO]])+V062A_20303133[[#This Row],[FAENA EN LTS3]]</f>
        <v>1650</v>
      </c>
    </row>
    <row r="13" spans="1:37" x14ac:dyDescent="0.25">
      <c r="A13" s="431" t="s">
        <v>290</v>
      </c>
      <c r="B13" s="48">
        <v>44107</v>
      </c>
      <c r="C13" s="351">
        <v>0.33333333333333331</v>
      </c>
      <c r="D13" s="418">
        <f>IF(V062A_20303133[[#This Row],[FECHA]]-B12=1,((V062A_20303133[[#This Row],[HORA]]-C12)*24)+24,(V062A_20303133[[#This Row],[HORA]]-C12)*24)</f>
        <v>11.399999999999997</v>
      </c>
      <c r="E13" s="239" t="s">
        <v>71</v>
      </c>
      <c r="F13" s="29" t="s">
        <v>262</v>
      </c>
      <c r="G13" s="324"/>
      <c r="H13" s="306"/>
      <c r="I1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3" s="380"/>
      <c r="K13" s="325"/>
      <c r="L13" s="418">
        <v>0</v>
      </c>
      <c r="M13" s="245">
        <v>0.56999999999999995</v>
      </c>
      <c r="N13" s="245">
        <v>0.56999999999999995</v>
      </c>
      <c r="O13" s="257">
        <f>SUM(V062A_20303133[[#This Row],[MPAL]]+V062A_20303133[[#This Row],[AUX.]]+V062A_20303133[[#This Row],[CALDERA]])</f>
        <v>1.1399999999999999</v>
      </c>
      <c r="P13" s="319"/>
      <c r="Q13" s="281">
        <f>(Q12-V062A_20303133[[#This Row],[TOTAL ]])+V062A_20303133[[#This Row],[FAENA]]</f>
        <v>512.32000000000005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SUM(V062A_20303133[[#This Row],[MPAL2]:[GI]])</f>
        <v>0</v>
      </c>
      <c r="X13" s="246"/>
      <c r="Y13" s="282">
        <f>(Y12-V062A_20303133[[#This Row],[TOTAL]])+V062A_20303133[[#This Row],[FAENA2]]</f>
        <v>126.48</v>
      </c>
      <c r="Z13" s="245">
        <v>0</v>
      </c>
      <c r="AA13" s="246">
        <v>3200</v>
      </c>
      <c r="AB13" s="320">
        <f>(AB12-V062A_20303133[[#This Row],[CYLINDER MP]])+V062A_20303133[[#This Row],[FAENA EN LTS]]</f>
        <v>4178</v>
      </c>
      <c r="AC13" s="246">
        <v>0</v>
      </c>
      <c r="AD13" s="246">
        <v>0</v>
      </c>
      <c r="AE13" s="320">
        <f>(AE12-V062A_20303133[[#This Row],[CARTER MP.]])+V062A_20303133[[#This Row],[FAENA EN LTS2]]</f>
        <v>2150</v>
      </c>
      <c r="AF13" s="246">
        <v>0</v>
      </c>
      <c r="AG13" s="246">
        <v>2400</v>
      </c>
      <c r="AH13" s="320">
        <f>(AH12-V062A_20303133[[#This Row],[MOT AUX]])+V062A_20303133[[#This Row],[FAENA EN  LTS]]</f>
        <v>3490</v>
      </c>
      <c r="AI13" s="246">
        <v>0</v>
      </c>
      <c r="AJ13" s="246">
        <v>800</v>
      </c>
      <c r="AK13" s="321">
        <f>(AK12-V062A_20303133[[#This Row],[HIDRAULICO]])+V062A_20303133[[#This Row],[FAENA EN LTS3]]</f>
        <v>2450</v>
      </c>
    </row>
    <row r="14" spans="1:37" x14ac:dyDescent="0.25">
      <c r="A14" s="431" t="s">
        <v>290</v>
      </c>
      <c r="B14" s="48">
        <v>44107</v>
      </c>
      <c r="C14" s="41">
        <v>0.60416666666666663</v>
      </c>
      <c r="D14" s="418">
        <f>IF(V062A_20303133[[#This Row],[FECHA]]-B13=1,((V062A_20303133[[#This Row],[HORA]]-C13)*24)+24,(V062A_20303133[[#This Row],[HORA]]-C13)*24)</f>
        <v>6.5</v>
      </c>
      <c r="E14" s="239" t="s">
        <v>71</v>
      </c>
      <c r="F14" s="29" t="s">
        <v>73</v>
      </c>
      <c r="G14" s="324"/>
      <c r="H14" s="306"/>
      <c r="I1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4" s="380"/>
      <c r="K14" s="325"/>
      <c r="L14" s="418">
        <v>0</v>
      </c>
      <c r="M14" s="245">
        <v>0.33</v>
      </c>
      <c r="N14" s="245">
        <v>0.33</v>
      </c>
      <c r="O14" s="257">
        <f>SUM(V062A_20303133[[#This Row],[MPAL]]+V062A_20303133[[#This Row],[AUX.]]+V062A_20303133[[#This Row],[CALDERA]])</f>
        <v>0.66</v>
      </c>
      <c r="P14" s="319"/>
      <c r="Q14" s="281">
        <f>(Q13-V062A_20303133[[#This Row],[TOTAL ]])+V062A_20303133[[#This Row],[FAENA]]</f>
        <v>511.66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SUM(V062A_20303133[[#This Row],[MPAL2]:[GI]])</f>
        <v>0</v>
      </c>
      <c r="X14" s="246"/>
      <c r="Y14" s="282">
        <f>(Y13-V062A_20303133[[#This Row],[TOTAL]])+V062A_20303133[[#This Row],[FAENA2]]</f>
        <v>126.48</v>
      </c>
      <c r="Z14" s="245">
        <v>0</v>
      </c>
      <c r="AA14" s="246">
        <v>0</v>
      </c>
      <c r="AB14" s="320">
        <f>(AB13-V062A_20303133[[#This Row],[CYLINDER MP]])+V062A_20303133[[#This Row],[FAENA EN LTS]]</f>
        <v>4178</v>
      </c>
      <c r="AC14" s="246">
        <v>0</v>
      </c>
      <c r="AD14" s="246">
        <v>0</v>
      </c>
      <c r="AE14" s="320">
        <f>(AE13-V062A_20303133[[#This Row],[CARTER MP.]])+V062A_20303133[[#This Row],[FAENA EN LTS2]]</f>
        <v>2150</v>
      </c>
      <c r="AF14" s="246">
        <v>20</v>
      </c>
      <c r="AG14" s="246">
        <v>0</v>
      </c>
      <c r="AH14" s="320">
        <f>(AH13-V062A_20303133[[#This Row],[MOT AUX]])+V062A_20303133[[#This Row],[FAENA EN  LTS]]</f>
        <v>3470</v>
      </c>
      <c r="AI14" s="246">
        <v>0</v>
      </c>
      <c r="AJ14" s="246">
        <v>0</v>
      </c>
      <c r="AK14" s="321">
        <f>(AK13-V062A_20303133[[#This Row],[HIDRAULICO]])+V062A_20303133[[#This Row],[FAENA EN LTS3]]</f>
        <v>2450</v>
      </c>
    </row>
    <row r="15" spans="1:37" x14ac:dyDescent="0.25">
      <c r="A15" s="431" t="s">
        <v>290</v>
      </c>
      <c r="B15" s="48">
        <v>44107</v>
      </c>
      <c r="C15" s="41">
        <v>0.72916666666666663</v>
      </c>
      <c r="D15" s="418">
        <f>IF(V062A_20303133[[#This Row],[FECHA]]-B14=1,((V062A_20303133[[#This Row],[HORA]]-C14)*24)+24,(V062A_20303133[[#This Row],[HORA]]-C14)*24)</f>
        <v>3</v>
      </c>
      <c r="E15" s="409" t="s">
        <v>49</v>
      </c>
      <c r="F15" s="29" t="s">
        <v>46</v>
      </c>
      <c r="G15" s="324"/>
      <c r="H15" s="306"/>
      <c r="I1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5" s="380"/>
      <c r="K15" s="325"/>
      <c r="L15" s="418">
        <v>0</v>
      </c>
      <c r="M15" s="245">
        <v>0.15</v>
      </c>
      <c r="N15" s="245">
        <v>0.15</v>
      </c>
      <c r="O15" s="257">
        <f>SUM(V062A_20303133[[#This Row],[MPAL]]+V062A_20303133[[#This Row],[AUX.]]+V062A_20303133[[#This Row],[CALDERA]])</f>
        <v>0.3</v>
      </c>
      <c r="P15" s="319"/>
      <c r="Q15" s="281">
        <f>(Q14-V062A_20303133[[#This Row],[TOTAL ]])+V062A_20303133[[#This Row],[FAENA]]</f>
        <v>511.36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SUM(V062A_20303133[[#This Row],[MPAL2]:[GI]])</f>
        <v>0</v>
      </c>
      <c r="X15" s="246"/>
      <c r="Y15" s="282">
        <f>(Y14-V062A_20303133[[#This Row],[TOTAL]])+V062A_20303133[[#This Row],[FAENA2]]</f>
        <v>126.48</v>
      </c>
      <c r="Z15" s="245">
        <v>0</v>
      </c>
      <c r="AA15" s="246">
        <v>0</v>
      </c>
      <c r="AB15" s="320">
        <f>(AB14-V062A_20303133[[#This Row],[CYLINDER MP]])+V062A_20303133[[#This Row],[FAENA EN LTS]]</f>
        <v>4178</v>
      </c>
      <c r="AC15" s="246">
        <v>0</v>
      </c>
      <c r="AD15" s="246">
        <v>0</v>
      </c>
      <c r="AE15" s="320">
        <f>(AE14-V062A_20303133[[#This Row],[CARTER MP.]])+V062A_20303133[[#This Row],[FAENA EN LTS2]]</f>
        <v>2150</v>
      </c>
      <c r="AF15" s="246">
        <v>0</v>
      </c>
      <c r="AG15" s="246">
        <v>0</v>
      </c>
      <c r="AH15" s="320">
        <f>(AH14-V062A_20303133[[#This Row],[MOT AUX]])+V062A_20303133[[#This Row],[FAENA EN  LTS]]</f>
        <v>3470</v>
      </c>
      <c r="AI15" s="246">
        <v>0</v>
      </c>
      <c r="AJ15" s="246">
        <v>0</v>
      </c>
      <c r="AK15" s="321">
        <f>(AK14-V062A_20303133[[#This Row],[HIDRAULICO]])+V062A_20303133[[#This Row],[FAENA EN LTS3]]</f>
        <v>2450</v>
      </c>
    </row>
    <row r="16" spans="1:37" x14ac:dyDescent="0.25">
      <c r="A16" s="431" t="s">
        <v>290</v>
      </c>
      <c r="B16" s="48">
        <v>44107</v>
      </c>
      <c r="C16" s="41">
        <v>0.75</v>
      </c>
      <c r="D16" s="418">
        <f>IF(V062A_20303133[[#This Row],[FECHA]]-B15=1,((V062A_20303133[[#This Row],[HORA]]-C15)*24)+24,(V062A_20303133[[#This Row],[HORA]]-C15)*24)</f>
        <v>0.50000000000000089</v>
      </c>
      <c r="E16" s="409" t="s">
        <v>47</v>
      </c>
      <c r="F16" s="29" t="s">
        <v>272</v>
      </c>
      <c r="G16" s="324"/>
      <c r="H16" s="306"/>
      <c r="I1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6" s="380"/>
      <c r="K16" s="325"/>
      <c r="L16" s="418">
        <v>0.21</v>
      </c>
      <c r="M16" s="245">
        <v>0.03</v>
      </c>
      <c r="N16" s="245">
        <v>0.03</v>
      </c>
      <c r="O16" s="257">
        <f>SUM(V062A_20303133[[#This Row],[MPAL]]+V062A_20303133[[#This Row],[AUX.]]+V062A_20303133[[#This Row],[CALDERA]])</f>
        <v>0.27</v>
      </c>
      <c r="P16" s="246"/>
      <c r="Q16" s="281">
        <f>(Q15-V062A_20303133[[#This Row],[TOTAL ]])+V062A_20303133[[#This Row],[FAENA]]</f>
        <v>511.09000000000003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SUM(V062A_20303133[[#This Row],[MPAL2]:[GI]])</f>
        <v>0</v>
      </c>
      <c r="X16" s="246"/>
      <c r="Y16" s="282">
        <f>(Y15-V062A_20303133[[#This Row],[TOTAL]])+V062A_20303133[[#This Row],[FAENA2]]</f>
        <v>126.48</v>
      </c>
      <c r="Z16" s="245">
        <v>10</v>
      </c>
      <c r="AA16" s="246">
        <v>0</v>
      </c>
      <c r="AB16" s="320">
        <f>(AB15-V062A_20303133[[#This Row],[CYLINDER MP]])+V062A_20303133[[#This Row],[FAENA EN LTS]]</f>
        <v>4168</v>
      </c>
      <c r="AC16" s="246">
        <v>0</v>
      </c>
      <c r="AD16" s="246">
        <v>0</v>
      </c>
      <c r="AE16" s="320">
        <f>(AE15-V062A_20303133[[#This Row],[CARTER MP.]])+V062A_20303133[[#This Row],[FAENA EN LTS2]]</f>
        <v>2150</v>
      </c>
      <c r="AF16" s="246">
        <v>0</v>
      </c>
      <c r="AG16" s="246">
        <v>0</v>
      </c>
      <c r="AH16" s="320">
        <f>(AH15-V062A_20303133[[#This Row],[MOT AUX]])+V062A_20303133[[#This Row],[FAENA EN  LTS]]</f>
        <v>3470</v>
      </c>
      <c r="AI16" s="246">
        <v>0</v>
      </c>
      <c r="AJ16" s="246">
        <v>0</v>
      </c>
      <c r="AK16" s="321">
        <f>(AK15-V062A_20303133[[#This Row],[HIDRAULICO]])+V062A_20303133[[#This Row],[FAENA EN LTS3]]</f>
        <v>2450</v>
      </c>
    </row>
    <row r="17" spans="1:37" x14ac:dyDescent="0.25">
      <c r="A17" s="431" t="s">
        <v>290</v>
      </c>
      <c r="B17" s="48">
        <v>44107</v>
      </c>
      <c r="C17" s="351">
        <v>0.83333333333333337</v>
      </c>
      <c r="D17" s="418">
        <f>IF(V062A_20303133[[#This Row],[FECHA]]-B16=1,((V062A_20303133[[#This Row],[HORA]]-C16)*24)+24,(V062A_20303133[[#This Row],[HORA]]-C16)*24)</f>
        <v>2.0000000000000009</v>
      </c>
      <c r="E17" s="409" t="s">
        <v>55</v>
      </c>
      <c r="F17" s="29" t="s">
        <v>62</v>
      </c>
      <c r="G17" s="324">
        <v>30</v>
      </c>
      <c r="H17" s="306">
        <v>2</v>
      </c>
      <c r="I17" s="259">
        <f>IF(ISERROR(V062A_20303133[[#This Row],[DISTANCIA POR CARTA]]/V062A_20303133[[#This Row],[TIEMPO DE NAVEGACION]]),0,V062A_20303133[[#This Row],[DISTANCIA POR CARTA]]/V062A_20303133[[#This Row],[TIEMPO DE NAVEGACION]])</f>
        <v>15</v>
      </c>
      <c r="J17" s="380">
        <v>3</v>
      </c>
      <c r="K17" s="325"/>
      <c r="L17" s="418">
        <v>1.83</v>
      </c>
      <c r="M17" s="245">
        <v>0.1</v>
      </c>
      <c r="N17" s="245">
        <v>0.1</v>
      </c>
      <c r="O17" s="257">
        <f>SUM(V062A_20303133[[#This Row],[MPAL]]+V062A_20303133[[#This Row],[AUX.]]+V062A_20303133[[#This Row],[CALDERA]])</f>
        <v>2.0300000000000002</v>
      </c>
      <c r="P17" s="319"/>
      <c r="Q17" s="281">
        <f>(Q16-V062A_20303133[[#This Row],[TOTAL ]])+V062A_20303133[[#This Row],[FAENA]]</f>
        <v>509.06000000000006</v>
      </c>
      <c r="R17" s="245">
        <v>0</v>
      </c>
      <c r="S17" s="246">
        <v>0</v>
      </c>
      <c r="T17" s="246">
        <v>0</v>
      </c>
      <c r="U17" s="246">
        <v>0</v>
      </c>
      <c r="V17" s="246">
        <v>1</v>
      </c>
      <c r="W17" s="257">
        <f>SUM(V062A_20303133[[#This Row],[MPAL2]:[GI]])</f>
        <v>1</v>
      </c>
      <c r="X17" s="246"/>
      <c r="Y17" s="282">
        <f>(Y16-V062A_20303133[[#This Row],[TOTAL]])+V062A_20303133[[#This Row],[FAENA2]]</f>
        <v>125.48</v>
      </c>
      <c r="Z17" s="245">
        <v>20</v>
      </c>
      <c r="AA17" s="246">
        <v>0</v>
      </c>
      <c r="AB17" s="320">
        <f>(AB16-V062A_20303133[[#This Row],[CYLINDER MP]])+V062A_20303133[[#This Row],[FAENA EN LTS]]</f>
        <v>4148</v>
      </c>
      <c r="AC17" s="246">
        <v>0</v>
      </c>
      <c r="AD17" s="246">
        <v>0</v>
      </c>
      <c r="AE17" s="320">
        <f>(AE16-V062A_20303133[[#This Row],[CARTER MP.]])+V062A_20303133[[#This Row],[FAENA EN LTS2]]</f>
        <v>2150</v>
      </c>
      <c r="AF17" s="246">
        <v>0</v>
      </c>
      <c r="AG17" s="246">
        <v>0</v>
      </c>
      <c r="AH17" s="320">
        <f>(AH16-V062A_20303133[[#This Row],[MOT AUX]])+V062A_20303133[[#This Row],[FAENA EN  LTS]]</f>
        <v>3470</v>
      </c>
      <c r="AI17" s="246">
        <v>0</v>
      </c>
      <c r="AJ17" s="246">
        <v>0</v>
      </c>
      <c r="AK17" s="321">
        <f>(AK16-V062A_20303133[[#This Row],[HIDRAULICO]])+V062A_20303133[[#This Row],[FAENA EN LTS3]]</f>
        <v>2450</v>
      </c>
    </row>
    <row r="18" spans="1:37" x14ac:dyDescent="0.25">
      <c r="A18" s="431" t="s">
        <v>290</v>
      </c>
      <c r="B18" s="48">
        <v>44107</v>
      </c>
      <c r="C18" s="41">
        <v>0.88750000000000007</v>
      </c>
      <c r="D18" s="418">
        <f>IF(V062A_20303133[[#This Row],[FECHA]]-B17=1,((V062A_20303133[[#This Row],[HORA]]-C17)*24)+24,(V062A_20303133[[#This Row],[HORA]]-C17)*24)</f>
        <v>1.3000000000000007</v>
      </c>
      <c r="E18" s="409" t="s">
        <v>47</v>
      </c>
      <c r="F18" s="29" t="s">
        <v>146</v>
      </c>
      <c r="G18" s="324"/>
      <c r="H18" s="306"/>
      <c r="I1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8" s="380"/>
      <c r="K18" s="325"/>
      <c r="L18" s="418">
        <v>0.54</v>
      </c>
      <c r="M18" s="245">
        <v>7.0000000000000007E-2</v>
      </c>
      <c r="N18" s="245">
        <v>7.0000000000000007E-2</v>
      </c>
      <c r="O18" s="257">
        <f>SUM(V062A_20303133[[#This Row],[MPAL]]+V062A_20303133[[#This Row],[AUX.]]+V062A_20303133[[#This Row],[CALDERA]])</f>
        <v>0.68000000000000016</v>
      </c>
      <c r="P18" s="319"/>
      <c r="Q18" s="281">
        <f>(Q17-V062A_20303133[[#This Row],[TOTAL ]])+V062A_20303133[[#This Row],[FAENA]]</f>
        <v>508.38000000000005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SUM(V062A_20303133[[#This Row],[MPAL2]:[GI]])</f>
        <v>0</v>
      </c>
      <c r="X18" s="246"/>
      <c r="Y18" s="282">
        <f>(Y17-V062A_20303133[[#This Row],[TOTAL]])+V062A_20303133[[#This Row],[FAENA2]]</f>
        <v>125.48</v>
      </c>
      <c r="Z18" s="245">
        <v>10</v>
      </c>
      <c r="AA18" s="246">
        <v>0</v>
      </c>
      <c r="AB18" s="320">
        <f>(AB17-V062A_20303133[[#This Row],[CYLINDER MP]])+V062A_20303133[[#This Row],[FAENA EN LTS]]</f>
        <v>4138</v>
      </c>
      <c r="AC18" s="246">
        <v>0</v>
      </c>
      <c r="AD18" s="246">
        <v>0</v>
      </c>
      <c r="AE18" s="320">
        <f>(AE17-V062A_20303133[[#This Row],[CARTER MP.]])+V062A_20303133[[#This Row],[FAENA EN LTS2]]</f>
        <v>2150</v>
      </c>
      <c r="AF18" s="246">
        <v>20</v>
      </c>
      <c r="AG18" s="246">
        <v>0</v>
      </c>
      <c r="AH18" s="320">
        <f>(AH17-V062A_20303133[[#This Row],[MOT AUX]])+V062A_20303133[[#This Row],[FAENA EN  LTS]]</f>
        <v>3450</v>
      </c>
      <c r="AI18" s="246">
        <v>0</v>
      </c>
      <c r="AJ18" s="246">
        <v>0</v>
      </c>
      <c r="AK18" s="321">
        <f>(AK17-V062A_20303133[[#This Row],[HIDRAULICO]])+V062A_20303133[[#This Row],[FAENA EN LTS3]]</f>
        <v>2450</v>
      </c>
    </row>
    <row r="19" spans="1:37" x14ac:dyDescent="0.25">
      <c r="A19" s="431" t="s">
        <v>290</v>
      </c>
      <c r="B19" s="48">
        <v>44108</v>
      </c>
      <c r="C19" s="41">
        <v>0.33333333333333331</v>
      </c>
      <c r="D19" s="418">
        <f>IF(V062A_20303133[[#This Row],[FECHA]]-B18=1,((V062A_20303133[[#This Row],[HORA]]-C18)*24)+24,(V062A_20303133[[#This Row],[HORA]]-C18)*24)</f>
        <v>10.7</v>
      </c>
      <c r="E19" s="239" t="s">
        <v>45</v>
      </c>
      <c r="F19" s="29" t="s">
        <v>208</v>
      </c>
      <c r="G19" s="324"/>
      <c r="H19" s="306"/>
      <c r="I1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19" s="380"/>
      <c r="K19" s="325"/>
      <c r="L19" s="418">
        <v>0</v>
      </c>
      <c r="M19" s="245">
        <v>0.54</v>
      </c>
      <c r="N19" s="245">
        <v>0.54</v>
      </c>
      <c r="O19" s="257">
        <f>SUM(V062A_20303133[[#This Row],[MPAL]]+V062A_20303133[[#This Row],[AUX.]]+V062A_20303133[[#This Row],[CALDERA]])</f>
        <v>1.08</v>
      </c>
      <c r="P19" s="319"/>
      <c r="Q19" s="281">
        <f>(Q18-V062A_20303133[[#This Row],[TOTAL ]])+V062A_20303133[[#This Row],[FAENA]]</f>
        <v>507.30000000000007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SUM(V062A_20303133[[#This Row],[MPAL2]:[GI]])</f>
        <v>0</v>
      </c>
      <c r="X19" s="246"/>
      <c r="Y19" s="282">
        <f>(Y18-V062A_20303133[[#This Row],[TOTAL]])+V062A_20303133[[#This Row],[FAENA2]]</f>
        <v>125.48</v>
      </c>
      <c r="Z19" s="245">
        <v>0</v>
      </c>
      <c r="AA19" s="246">
        <v>0</v>
      </c>
      <c r="AB19" s="320">
        <f>(AB18-V062A_20303133[[#This Row],[CYLINDER MP]])+V062A_20303133[[#This Row],[FAENA EN LTS]]</f>
        <v>4138</v>
      </c>
      <c r="AC19" s="246">
        <v>0</v>
      </c>
      <c r="AD19" s="246">
        <v>0</v>
      </c>
      <c r="AE19" s="320">
        <f>(AE18-V062A_20303133[[#This Row],[CARTER MP.]])+V062A_20303133[[#This Row],[FAENA EN LTS2]]</f>
        <v>2150</v>
      </c>
      <c r="AF19" s="246">
        <v>0</v>
      </c>
      <c r="AG19" s="246">
        <v>0</v>
      </c>
      <c r="AH19" s="320">
        <f>(AH18-V062A_20303133[[#This Row],[MOT AUX]])+V062A_20303133[[#This Row],[FAENA EN  LTS]]</f>
        <v>3450</v>
      </c>
      <c r="AI19" s="246">
        <v>0</v>
      </c>
      <c r="AJ19" s="246">
        <v>0</v>
      </c>
      <c r="AK19" s="321">
        <f>(AK18-V062A_20303133[[#This Row],[HIDRAULICO]])+V062A_20303133[[#This Row],[FAENA EN LTS3]]</f>
        <v>2450</v>
      </c>
    </row>
    <row r="20" spans="1:37" x14ac:dyDescent="0.25">
      <c r="A20" s="431" t="s">
        <v>290</v>
      </c>
      <c r="B20" s="48">
        <v>44109</v>
      </c>
      <c r="C20" s="41">
        <v>0.33333333333333331</v>
      </c>
      <c r="D20" s="418">
        <f>IF(V062A_20303133[[#This Row],[FECHA]]-B19=1,((V062A_20303133[[#This Row],[HORA]]-C19)*24)+24,(V062A_20303133[[#This Row],[HORA]]-C19)*24)</f>
        <v>24</v>
      </c>
      <c r="E20" s="239" t="s">
        <v>45</v>
      </c>
      <c r="F20" s="29" t="s">
        <v>208</v>
      </c>
      <c r="G20" s="324"/>
      <c r="H20" s="306"/>
      <c r="I2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0" s="380"/>
      <c r="K20" s="325"/>
      <c r="L20" s="418">
        <v>0</v>
      </c>
      <c r="M20" s="245">
        <v>1.2</v>
      </c>
      <c r="N20" s="245">
        <v>1.5</v>
      </c>
      <c r="O20" s="257">
        <f>SUM(V062A_20303133[[#This Row],[MPAL]]+V062A_20303133[[#This Row],[AUX.]]+V062A_20303133[[#This Row],[CALDERA]])</f>
        <v>2.7</v>
      </c>
      <c r="P20" s="319"/>
      <c r="Q20" s="281">
        <f>(Q19-V062A_20303133[[#This Row],[TOTAL ]])+V062A_20303133[[#This Row],[FAENA]]</f>
        <v>504.60000000000008</v>
      </c>
      <c r="R20" s="245">
        <v>0</v>
      </c>
      <c r="S20" s="246">
        <v>0</v>
      </c>
      <c r="T20" s="246">
        <v>0</v>
      </c>
      <c r="U20" s="246">
        <v>0</v>
      </c>
      <c r="V20" s="246">
        <v>1.5</v>
      </c>
      <c r="W20" s="257">
        <f>SUM(V062A_20303133[[#This Row],[MPAL2]:[GI]])</f>
        <v>1.5</v>
      </c>
      <c r="X20" s="246"/>
      <c r="Y20" s="282">
        <f>(Y19-V062A_20303133[[#This Row],[TOTAL]])+V062A_20303133[[#This Row],[FAENA2]]</f>
        <v>123.98</v>
      </c>
      <c r="Z20" s="245">
        <v>0</v>
      </c>
      <c r="AA20" s="246">
        <v>0</v>
      </c>
      <c r="AB20" s="320">
        <f>(AB19-V062A_20303133[[#This Row],[CYLINDER MP]])+V062A_20303133[[#This Row],[FAENA EN LTS]]</f>
        <v>4138</v>
      </c>
      <c r="AC20" s="246">
        <v>0</v>
      </c>
      <c r="AD20" s="246">
        <v>0</v>
      </c>
      <c r="AE20" s="320">
        <f>(AE19-V062A_20303133[[#This Row],[CARTER MP.]])+V062A_20303133[[#This Row],[FAENA EN LTS2]]</f>
        <v>2150</v>
      </c>
      <c r="AF20" s="246">
        <v>20</v>
      </c>
      <c r="AG20" s="246">
        <v>0</v>
      </c>
      <c r="AH20" s="320">
        <f>(AH19-V062A_20303133[[#This Row],[MOT AUX]])+V062A_20303133[[#This Row],[FAENA EN  LTS]]</f>
        <v>3430</v>
      </c>
      <c r="AI20" s="246">
        <v>0</v>
      </c>
      <c r="AJ20" s="246">
        <v>0</v>
      </c>
      <c r="AK20" s="321">
        <f>(AK19-V062A_20303133[[#This Row],[HIDRAULICO]])+V062A_20303133[[#This Row],[FAENA EN LTS3]]</f>
        <v>2450</v>
      </c>
    </row>
    <row r="21" spans="1:37" x14ac:dyDescent="0.25">
      <c r="A21" s="431" t="s">
        <v>290</v>
      </c>
      <c r="B21" s="48">
        <v>44109</v>
      </c>
      <c r="C21" s="41">
        <v>0.48333333333333334</v>
      </c>
      <c r="D21" s="418">
        <f>IF(V062A_20303133[[#This Row],[FECHA]]-B20=1,((V062A_20303133[[#This Row],[HORA]]-C20)*24)+24,(V062A_20303133[[#This Row],[HORA]]-C20)*24)</f>
        <v>3.6000000000000005</v>
      </c>
      <c r="E21" s="239" t="s">
        <v>45</v>
      </c>
      <c r="F21" s="29" t="s">
        <v>46</v>
      </c>
      <c r="G21" s="324"/>
      <c r="H21" s="306"/>
      <c r="I2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1" s="380"/>
      <c r="K21" s="325"/>
      <c r="L21" s="418">
        <v>0</v>
      </c>
      <c r="M21" s="245">
        <v>0.18</v>
      </c>
      <c r="N21" s="245">
        <v>0.23</v>
      </c>
      <c r="O21" s="257">
        <f>SUM(V062A_20303133[[#This Row],[MPAL]]+V062A_20303133[[#This Row],[AUX.]]+V062A_20303133[[#This Row],[CALDERA]])</f>
        <v>0.41000000000000003</v>
      </c>
      <c r="P21" s="319"/>
      <c r="Q21" s="281">
        <f>(Q20-V062A_20303133[[#This Row],[TOTAL ]])+V062A_20303133[[#This Row],[FAENA]]</f>
        <v>504.19000000000005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SUM(V062A_20303133[[#This Row],[MPAL2]:[GI]])</f>
        <v>0</v>
      </c>
      <c r="X21" s="246"/>
      <c r="Y21" s="282">
        <f>(Y20-V062A_20303133[[#This Row],[TOTAL]])+V062A_20303133[[#This Row],[FAENA2]]</f>
        <v>123.98</v>
      </c>
      <c r="Z21" s="245">
        <v>0</v>
      </c>
      <c r="AA21" s="246">
        <v>0</v>
      </c>
      <c r="AB21" s="320">
        <f>(AB20-V062A_20303133[[#This Row],[CYLINDER MP]])+V062A_20303133[[#This Row],[FAENA EN LTS]]</f>
        <v>4138</v>
      </c>
      <c r="AC21" s="246">
        <v>300</v>
      </c>
      <c r="AD21" s="246">
        <v>0</v>
      </c>
      <c r="AE21" s="320">
        <f>(AE20-V062A_20303133[[#This Row],[CARTER MP.]])+V062A_20303133[[#This Row],[FAENA EN LTS2]]</f>
        <v>1850</v>
      </c>
      <c r="AF21" s="246">
        <v>20</v>
      </c>
      <c r="AG21" s="246">
        <v>0</v>
      </c>
      <c r="AH21" s="320">
        <f>(AH20-V062A_20303133[[#This Row],[MOT AUX]])+V062A_20303133[[#This Row],[FAENA EN  LTS]]</f>
        <v>3410</v>
      </c>
      <c r="AI21" s="246">
        <v>0</v>
      </c>
      <c r="AJ21" s="246">
        <v>0</v>
      </c>
      <c r="AK21" s="321">
        <f>(AK20-V062A_20303133[[#This Row],[HIDRAULICO]])+V062A_20303133[[#This Row],[FAENA EN LTS3]]</f>
        <v>2450</v>
      </c>
    </row>
    <row r="22" spans="1:37" x14ac:dyDescent="0.25">
      <c r="A22" s="431" t="s">
        <v>290</v>
      </c>
      <c r="B22" s="48">
        <v>44109</v>
      </c>
      <c r="C22" s="362">
        <v>0.52083333333333337</v>
      </c>
      <c r="D22" s="418">
        <f>IF(V062A_20303133[[#This Row],[FECHA]]-B21=1,((V062A_20303133[[#This Row],[HORA]]-C21)*24)+24,(V062A_20303133[[#This Row],[HORA]]-C21)*24)</f>
        <v>0.9000000000000008</v>
      </c>
      <c r="E22" s="409" t="s">
        <v>47</v>
      </c>
      <c r="F22" s="29" t="s">
        <v>212</v>
      </c>
      <c r="G22" s="324"/>
      <c r="H22" s="306"/>
      <c r="I2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2" s="380"/>
      <c r="K22" s="325"/>
      <c r="L22" s="418">
        <v>0.38</v>
      </c>
      <c r="M22" s="245">
        <v>0.05</v>
      </c>
      <c r="N22" s="245">
        <v>0.06</v>
      </c>
      <c r="O22" s="257">
        <f>SUM(V062A_20303133[[#This Row],[MPAL]]+V062A_20303133[[#This Row],[AUX.]]+V062A_20303133[[#This Row],[CALDERA]])</f>
        <v>0.49</v>
      </c>
      <c r="P22" s="319"/>
      <c r="Q22" s="281">
        <f>(Q21-V062A_20303133[[#This Row],[TOTAL ]])+V062A_20303133[[#This Row],[FAENA]]</f>
        <v>503.70000000000005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SUM(V062A_20303133[[#This Row],[MPAL2]:[GI]])</f>
        <v>0</v>
      </c>
      <c r="X22" s="246"/>
      <c r="Y22" s="282">
        <f>(Y21-V062A_20303133[[#This Row],[TOTAL]])+V062A_20303133[[#This Row],[FAENA2]]</f>
        <v>123.98</v>
      </c>
      <c r="Z22" s="245">
        <v>10</v>
      </c>
      <c r="AA22" s="246">
        <v>0</v>
      </c>
      <c r="AB22" s="320">
        <f>(AB21-V062A_20303133[[#This Row],[CYLINDER MP]])+V062A_20303133[[#This Row],[FAENA EN LTS]]</f>
        <v>4128</v>
      </c>
      <c r="AC22" s="246">
        <v>0</v>
      </c>
      <c r="AD22" s="246">
        <v>0</v>
      </c>
      <c r="AE22" s="320">
        <f>(AE21-V062A_20303133[[#This Row],[CARTER MP.]])+V062A_20303133[[#This Row],[FAENA EN LTS2]]</f>
        <v>1850</v>
      </c>
      <c r="AF22" s="246">
        <v>20</v>
      </c>
      <c r="AG22" s="246">
        <v>0</v>
      </c>
      <c r="AH22" s="320">
        <f>(AH21-V062A_20303133[[#This Row],[MOT AUX]])+V062A_20303133[[#This Row],[FAENA EN  LTS]]</f>
        <v>3390</v>
      </c>
      <c r="AI22" s="246">
        <v>0</v>
      </c>
      <c r="AJ22" s="246">
        <v>0</v>
      </c>
      <c r="AK22" s="321">
        <f>(AK21-V062A_20303133[[#This Row],[HIDRAULICO]])+V062A_20303133[[#This Row],[FAENA EN LTS3]]</f>
        <v>2450</v>
      </c>
    </row>
    <row r="23" spans="1:37" x14ac:dyDescent="0.25">
      <c r="A23" s="431" t="s">
        <v>290</v>
      </c>
      <c r="B23" s="48">
        <v>44109</v>
      </c>
      <c r="C23" s="351">
        <v>0.625</v>
      </c>
      <c r="D23" s="418">
        <f>IF(V062A_20303133[[#This Row],[FECHA]]-B22=1,((V062A_20303133[[#This Row],[HORA]]-C22)*24)+24,(V062A_20303133[[#This Row],[HORA]]-C22)*24)</f>
        <v>2.4999999999999991</v>
      </c>
      <c r="E23" s="409" t="s">
        <v>55</v>
      </c>
      <c r="F23" s="29" t="s">
        <v>271</v>
      </c>
      <c r="G23" s="324">
        <v>30</v>
      </c>
      <c r="H23" s="306">
        <v>2.5</v>
      </c>
      <c r="I23" s="259">
        <f>IF(ISERROR(V062A_20303133[[#This Row],[DISTANCIA POR CARTA]]/V062A_20303133[[#This Row],[TIEMPO DE NAVEGACION]]),0,V062A_20303133[[#This Row],[DISTANCIA POR CARTA]]/V062A_20303133[[#This Row],[TIEMPO DE NAVEGACION]])</f>
        <v>12</v>
      </c>
      <c r="J23" s="380">
        <v>4</v>
      </c>
      <c r="K23" s="325"/>
      <c r="L23" s="418">
        <v>2.4</v>
      </c>
      <c r="M23" s="245">
        <v>0.13</v>
      </c>
      <c r="N23" s="245">
        <v>0.16</v>
      </c>
      <c r="O23" s="257">
        <f>SUM(V062A_20303133[[#This Row],[MPAL]]+V062A_20303133[[#This Row],[AUX.]]+V062A_20303133[[#This Row],[CALDERA]])</f>
        <v>2.69</v>
      </c>
      <c r="P23" s="319"/>
      <c r="Q23" s="281">
        <f>(Q22-V062A_20303133[[#This Row],[TOTAL ]])+V062A_20303133[[#This Row],[FAENA]]</f>
        <v>501.01000000000005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SUM(V062A_20303133[[#This Row],[MPAL2]:[GI]])</f>
        <v>0</v>
      </c>
      <c r="X23" s="246"/>
      <c r="Y23" s="282">
        <f>(Y22-V062A_20303133[[#This Row],[TOTAL]])+V062A_20303133[[#This Row],[FAENA2]]</f>
        <v>123.98</v>
      </c>
      <c r="Z23" s="245">
        <v>30</v>
      </c>
      <c r="AA23" s="246">
        <v>0</v>
      </c>
      <c r="AB23" s="320">
        <f>(AB22-V062A_20303133[[#This Row],[CYLINDER MP]])+V062A_20303133[[#This Row],[FAENA EN LTS]]</f>
        <v>4098</v>
      </c>
      <c r="AC23" s="246">
        <v>0</v>
      </c>
      <c r="AD23" s="246">
        <v>0</v>
      </c>
      <c r="AE23" s="320">
        <f>(AE22-V062A_20303133[[#This Row],[CARTER MP.]])+V062A_20303133[[#This Row],[FAENA EN LTS2]]</f>
        <v>1850</v>
      </c>
      <c r="AF23" s="246">
        <v>0</v>
      </c>
      <c r="AG23" s="246">
        <v>0</v>
      </c>
      <c r="AH23" s="320">
        <f>(AH22-V062A_20303133[[#This Row],[MOT AUX]])+V062A_20303133[[#This Row],[FAENA EN  LTS]]</f>
        <v>3390</v>
      </c>
      <c r="AI23" s="246">
        <v>0</v>
      </c>
      <c r="AJ23" s="246">
        <v>0</v>
      </c>
      <c r="AK23" s="321">
        <f>(AK22-V062A_20303133[[#This Row],[HIDRAULICO]])+V062A_20303133[[#This Row],[FAENA EN LTS3]]</f>
        <v>2450</v>
      </c>
    </row>
    <row r="24" spans="1:37" x14ac:dyDescent="0.25">
      <c r="A24" s="431" t="s">
        <v>290</v>
      </c>
      <c r="B24" s="48">
        <v>44109</v>
      </c>
      <c r="C24" s="41">
        <v>0.6958333333333333</v>
      </c>
      <c r="D24" s="418">
        <f>IF(V062A_20303133[[#This Row],[FECHA]]-B23=1,((V062A_20303133[[#This Row],[HORA]]-C23)*24)+24,(V062A_20303133[[#This Row],[HORA]]-C23)*24)</f>
        <v>1.6999999999999993</v>
      </c>
      <c r="E24" s="409" t="s">
        <v>47</v>
      </c>
      <c r="F24" s="29" t="s">
        <v>291</v>
      </c>
      <c r="G24" s="324"/>
      <c r="H24" s="306"/>
      <c r="I2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4" s="242"/>
      <c r="K24" s="325"/>
      <c r="L24" s="418">
        <v>0.71</v>
      </c>
      <c r="M24" s="245">
        <v>0.09</v>
      </c>
      <c r="N24" s="245">
        <v>0.11</v>
      </c>
      <c r="O24" s="257">
        <f>SUM(V062A_20303133[[#This Row],[MPAL]]+V062A_20303133[[#This Row],[AUX.]]+V062A_20303133[[#This Row],[CALDERA]])</f>
        <v>0.90999999999999992</v>
      </c>
      <c r="P24" s="319"/>
      <c r="Q24" s="281">
        <f>(Q23-V062A_20303133[[#This Row],[TOTAL ]])+V062A_20303133[[#This Row],[FAENA]]</f>
        <v>500.1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SUM(V062A_20303133[[#This Row],[MPAL2]:[GI]])</f>
        <v>0</v>
      </c>
      <c r="X24" s="246"/>
      <c r="Y24" s="282">
        <f>(Y23-V062A_20303133[[#This Row],[TOTAL]])+V062A_20303133[[#This Row],[FAENA2]]</f>
        <v>123.98</v>
      </c>
      <c r="Z24" s="245">
        <v>10</v>
      </c>
      <c r="AA24" s="246">
        <v>0</v>
      </c>
      <c r="AB24" s="320">
        <f>(AB23-V062A_20303133[[#This Row],[CYLINDER MP]])+V062A_20303133[[#This Row],[FAENA EN LTS]]</f>
        <v>4088</v>
      </c>
      <c r="AC24" s="246">
        <v>0</v>
      </c>
      <c r="AD24" s="246">
        <v>0</v>
      </c>
      <c r="AE24" s="320">
        <f>(AE23-V062A_20303133[[#This Row],[CARTER MP.]])+V062A_20303133[[#This Row],[FAENA EN LTS2]]</f>
        <v>1850</v>
      </c>
      <c r="AF24" s="246">
        <v>0</v>
      </c>
      <c r="AG24" s="246">
        <v>0</v>
      </c>
      <c r="AH24" s="320">
        <f>(AH23-V062A_20303133[[#This Row],[MOT AUX]])+V062A_20303133[[#This Row],[FAENA EN  LTS]]</f>
        <v>3390</v>
      </c>
      <c r="AI24" s="246">
        <v>0</v>
      </c>
      <c r="AJ24" s="246">
        <v>0</v>
      </c>
      <c r="AK24" s="321">
        <f>(AK23-V062A_20303133[[#This Row],[HIDRAULICO]])+V062A_20303133[[#This Row],[FAENA EN LTS3]]</f>
        <v>2450</v>
      </c>
    </row>
    <row r="25" spans="1:37" x14ac:dyDescent="0.25">
      <c r="A25" s="431" t="s">
        <v>290</v>
      </c>
      <c r="B25" s="48">
        <v>44110</v>
      </c>
      <c r="C25" s="41">
        <v>0.33333333333333331</v>
      </c>
      <c r="D25" s="418">
        <f>IF(V062A_20303133[[#This Row],[FECHA]]-B24=1,((V062A_20303133[[#This Row],[HORA]]-C24)*24)+24,(V062A_20303133[[#This Row],[HORA]]-C24)*24)</f>
        <v>15.3</v>
      </c>
      <c r="E25" s="239" t="s">
        <v>71</v>
      </c>
      <c r="F25" s="29" t="s">
        <v>262</v>
      </c>
      <c r="G25" s="324"/>
      <c r="H25" s="306"/>
      <c r="I2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5" s="242"/>
      <c r="K25" s="325"/>
      <c r="L25" s="418">
        <v>0</v>
      </c>
      <c r="M25" s="245">
        <v>0.77</v>
      </c>
      <c r="N25" s="245">
        <v>0.96</v>
      </c>
      <c r="O25" s="257">
        <f>SUM(V062A_20303133[[#This Row],[MPAL]]+V062A_20303133[[#This Row],[AUX.]]+V062A_20303133[[#This Row],[CALDERA]])</f>
        <v>1.73</v>
      </c>
      <c r="P25" s="319"/>
      <c r="Q25" s="281">
        <f>(Q24-V062A_20303133[[#This Row],[TOTAL ]])+V062A_20303133[[#This Row],[FAENA]]</f>
        <v>498.37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SUM(V062A_20303133[[#This Row],[MPAL2]:[GI]])</f>
        <v>0</v>
      </c>
      <c r="X25" s="246"/>
      <c r="Y25" s="282">
        <f>(Y24-V062A_20303133[[#This Row],[TOTAL]])+V062A_20303133[[#This Row],[FAENA2]]</f>
        <v>123.98</v>
      </c>
      <c r="Z25" s="245">
        <v>0</v>
      </c>
      <c r="AA25" s="246">
        <v>0</v>
      </c>
      <c r="AB25" s="320">
        <f>(AB24-V062A_20303133[[#This Row],[CYLINDER MP]])+V062A_20303133[[#This Row],[FAENA EN LTS]]</f>
        <v>4088</v>
      </c>
      <c r="AC25" s="246">
        <v>0</v>
      </c>
      <c r="AD25" s="246">
        <v>0</v>
      </c>
      <c r="AE25" s="320">
        <f>(AE24-V062A_20303133[[#This Row],[CARTER MP.]])+V062A_20303133[[#This Row],[FAENA EN LTS2]]</f>
        <v>1850</v>
      </c>
      <c r="AF25" s="246">
        <v>0</v>
      </c>
      <c r="AG25" s="246">
        <v>0</v>
      </c>
      <c r="AH25" s="320">
        <f>(AH24-V062A_20303133[[#This Row],[MOT AUX]])+V062A_20303133[[#This Row],[FAENA EN  LTS]]</f>
        <v>3390</v>
      </c>
      <c r="AI25" s="246">
        <v>0</v>
      </c>
      <c r="AJ25" s="246">
        <v>0</v>
      </c>
      <c r="AK25" s="321">
        <f>(AK24-V062A_20303133[[#This Row],[HIDRAULICO]])+V062A_20303133[[#This Row],[FAENA EN LTS3]]</f>
        <v>2450</v>
      </c>
    </row>
    <row r="26" spans="1:37" x14ac:dyDescent="0.25">
      <c r="A26" s="431" t="s">
        <v>290</v>
      </c>
      <c r="B26" s="48">
        <v>44111</v>
      </c>
      <c r="C26" s="362">
        <v>0.33333333333333331</v>
      </c>
      <c r="D26" s="418">
        <f>IF(V062A_20303133[[#This Row],[FECHA]]-B25=1,((V062A_20303133[[#This Row],[HORA]]-C25)*24)+24,(V062A_20303133[[#This Row],[HORA]]-C25)*24)</f>
        <v>24</v>
      </c>
      <c r="E26" s="239" t="s">
        <v>51</v>
      </c>
      <c r="F26" s="29" t="s">
        <v>263</v>
      </c>
      <c r="G26" s="324"/>
      <c r="H26" s="306"/>
      <c r="I2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6" s="242"/>
      <c r="K26" s="325"/>
      <c r="L26" s="418">
        <v>0</v>
      </c>
      <c r="M26" s="245">
        <v>1.2</v>
      </c>
      <c r="N26" s="245">
        <v>1.5</v>
      </c>
      <c r="O26" s="257">
        <f>SUM(V062A_20303133[[#This Row],[MPAL]]+V062A_20303133[[#This Row],[AUX.]]+V062A_20303133[[#This Row],[CALDERA]])</f>
        <v>2.7</v>
      </c>
      <c r="P26" s="319"/>
      <c r="Q26" s="281">
        <f>(Q25-V062A_20303133[[#This Row],[TOTAL ]])+V062A_20303133[[#This Row],[FAENA]]</f>
        <v>495.67</v>
      </c>
      <c r="R26" s="245">
        <v>0</v>
      </c>
      <c r="S26" s="246">
        <v>0</v>
      </c>
      <c r="T26" s="246">
        <v>0</v>
      </c>
      <c r="U26" s="246">
        <v>0</v>
      </c>
      <c r="V26" s="246">
        <v>4</v>
      </c>
      <c r="W26" s="257">
        <f>SUM(V062A_20303133[[#This Row],[MPAL2]:[GI]])</f>
        <v>4</v>
      </c>
      <c r="X26" s="246"/>
      <c r="Y26" s="282">
        <f>(Y25-V062A_20303133[[#This Row],[TOTAL]])+V062A_20303133[[#This Row],[FAENA2]]</f>
        <v>119.98</v>
      </c>
      <c r="Z26" s="245">
        <v>0</v>
      </c>
      <c r="AA26" s="246">
        <v>0</v>
      </c>
      <c r="AB26" s="320">
        <f>(AB25-V062A_20303133[[#This Row],[CYLINDER MP]])+V062A_20303133[[#This Row],[FAENA EN LTS]]</f>
        <v>4088</v>
      </c>
      <c r="AC26" s="246">
        <v>0</v>
      </c>
      <c r="AD26" s="246">
        <v>0</v>
      </c>
      <c r="AE26" s="320">
        <f>(AE25-V062A_20303133[[#This Row],[CARTER MP.]])+V062A_20303133[[#This Row],[FAENA EN LTS2]]</f>
        <v>1850</v>
      </c>
      <c r="AF26" s="246">
        <v>60</v>
      </c>
      <c r="AG26" s="246">
        <v>0</v>
      </c>
      <c r="AH26" s="320">
        <f>(AH25-V062A_20303133[[#This Row],[MOT AUX]])+V062A_20303133[[#This Row],[FAENA EN  LTS]]</f>
        <v>3330</v>
      </c>
      <c r="AI26" s="246">
        <v>0</v>
      </c>
      <c r="AJ26" s="246">
        <v>0</v>
      </c>
      <c r="AK26" s="321">
        <f>(AK25-V062A_20303133[[#This Row],[HIDRAULICO]])+V062A_20303133[[#This Row],[FAENA EN LTS3]]</f>
        <v>2450</v>
      </c>
    </row>
    <row r="27" spans="1:37" x14ac:dyDescent="0.25">
      <c r="A27" s="431" t="s">
        <v>290</v>
      </c>
      <c r="B27" s="48">
        <v>44111</v>
      </c>
      <c r="C27" s="351">
        <v>0.35833333333333334</v>
      </c>
      <c r="D27" s="418">
        <f>IF(V062A_20303133[[#This Row],[FECHA]]-B26=1,((V062A_20303133[[#This Row],[HORA]]-C26)*24)+24,(V062A_20303133[[#This Row],[HORA]]-C26)*24)</f>
        <v>0.60000000000000053</v>
      </c>
      <c r="E27" s="239" t="s">
        <v>71</v>
      </c>
      <c r="F27" s="29" t="s">
        <v>73</v>
      </c>
      <c r="G27" s="324"/>
      <c r="H27" s="306"/>
      <c r="I2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7" s="242"/>
      <c r="K27" s="325"/>
      <c r="L27" s="418">
        <v>0</v>
      </c>
      <c r="M27" s="245">
        <v>0.3</v>
      </c>
      <c r="N27" s="245">
        <v>0.04</v>
      </c>
      <c r="O27" s="257">
        <f>SUM(V062A_20303133[[#This Row],[MPAL]]+V062A_20303133[[#This Row],[AUX.]]+V062A_20303133[[#This Row],[CALDERA]])</f>
        <v>0.33999999999999997</v>
      </c>
      <c r="P27" s="319"/>
      <c r="Q27" s="281">
        <f>(Q26-V062A_20303133[[#This Row],[TOTAL ]])+V062A_20303133[[#This Row],[FAENA]]</f>
        <v>495.33000000000004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SUM(V062A_20303133[[#This Row],[MPAL2]:[GI]])</f>
        <v>0</v>
      </c>
      <c r="X27" s="246"/>
      <c r="Y27" s="282">
        <f>(Y26-V062A_20303133[[#This Row],[TOTAL]])+V062A_20303133[[#This Row],[FAENA2]]</f>
        <v>119.98</v>
      </c>
      <c r="Z27" s="245">
        <v>0</v>
      </c>
      <c r="AA27" s="246">
        <v>0</v>
      </c>
      <c r="AB27" s="320">
        <f>(AB26-V062A_20303133[[#This Row],[CYLINDER MP]])+V062A_20303133[[#This Row],[FAENA EN LTS]]</f>
        <v>4088</v>
      </c>
      <c r="AC27" s="246">
        <v>0</v>
      </c>
      <c r="AD27" s="246">
        <v>0</v>
      </c>
      <c r="AE27" s="320">
        <f>(AE26-V062A_20303133[[#This Row],[CARTER MP.]])+V062A_20303133[[#This Row],[FAENA EN LTS2]]</f>
        <v>1850</v>
      </c>
      <c r="AF27" s="246">
        <v>0</v>
      </c>
      <c r="AG27" s="246">
        <v>0</v>
      </c>
      <c r="AH27" s="320">
        <f>(AH26-V062A_20303133[[#This Row],[MOT AUX]])+V062A_20303133[[#This Row],[FAENA EN  LTS]]</f>
        <v>3330</v>
      </c>
      <c r="AI27" s="246">
        <v>0</v>
      </c>
      <c r="AJ27" s="246">
        <v>0</v>
      </c>
      <c r="AK27" s="321">
        <f>(AK26-V062A_20303133[[#This Row],[HIDRAULICO]])+V062A_20303133[[#This Row],[FAENA EN LTS3]]</f>
        <v>2450</v>
      </c>
    </row>
    <row r="28" spans="1:37" x14ac:dyDescent="0.25">
      <c r="A28" s="431" t="s">
        <v>290</v>
      </c>
      <c r="B28" s="48">
        <v>44111</v>
      </c>
      <c r="C28" s="362">
        <v>0.61249999999999993</v>
      </c>
      <c r="D28" s="418">
        <f>IF(V062A_20303133[[#This Row],[FECHA]]-B27=1,((V062A_20303133[[#This Row],[HORA]]-C27)*24)+24,(V062A_20303133[[#This Row],[HORA]]-C27)*24)</f>
        <v>6.0999999999999979</v>
      </c>
      <c r="E28" s="409" t="s">
        <v>49</v>
      </c>
      <c r="F28" s="29" t="s">
        <v>46</v>
      </c>
      <c r="G28" s="324"/>
      <c r="H28" s="306"/>
      <c r="I2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8" s="380"/>
      <c r="K28" s="325"/>
      <c r="L28" s="418">
        <v>0</v>
      </c>
      <c r="M28" s="245">
        <v>0.31</v>
      </c>
      <c r="N28" s="245">
        <v>0.38</v>
      </c>
      <c r="O28" s="257">
        <f>SUM(V062A_20303133[[#This Row],[MPAL]]+V062A_20303133[[#This Row],[AUX.]]+V062A_20303133[[#This Row],[CALDERA]])</f>
        <v>0.69</v>
      </c>
      <c r="P28" s="319"/>
      <c r="Q28" s="281">
        <f>(Q27-V062A_20303133[[#This Row],[TOTAL ]])+V062A_20303133[[#This Row],[FAENA]]</f>
        <v>494.64000000000004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SUM(V062A_20303133[[#This Row],[MPAL2]:[GI]])</f>
        <v>0</v>
      </c>
      <c r="X28" s="246"/>
      <c r="Y28" s="282">
        <f>(Y27-V062A_20303133[[#This Row],[TOTAL]])+V062A_20303133[[#This Row],[FAENA2]]</f>
        <v>119.98</v>
      </c>
      <c r="Z28" s="245">
        <v>0</v>
      </c>
      <c r="AA28" s="246">
        <v>0</v>
      </c>
      <c r="AB28" s="320">
        <f>(AB27-V062A_20303133[[#This Row],[CYLINDER MP]])+V062A_20303133[[#This Row],[FAENA EN LTS]]</f>
        <v>4088</v>
      </c>
      <c r="AC28" s="246">
        <v>0</v>
      </c>
      <c r="AD28" s="246">
        <v>0</v>
      </c>
      <c r="AE28" s="320">
        <f>(AE27-V062A_20303133[[#This Row],[CARTER MP.]])+V062A_20303133[[#This Row],[FAENA EN LTS2]]</f>
        <v>1850</v>
      </c>
      <c r="AF28" s="246">
        <v>0</v>
      </c>
      <c r="AG28" s="246">
        <v>0</v>
      </c>
      <c r="AH28" s="320">
        <f>(AH27-V062A_20303133[[#This Row],[MOT AUX]])+V062A_20303133[[#This Row],[FAENA EN  LTS]]</f>
        <v>3330</v>
      </c>
      <c r="AI28" s="246">
        <v>0</v>
      </c>
      <c r="AJ28" s="246">
        <v>0</v>
      </c>
      <c r="AK28" s="321">
        <f>(AK27-V062A_20303133[[#This Row],[HIDRAULICO]])+V062A_20303133[[#This Row],[FAENA EN LTS3]]</f>
        <v>2450</v>
      </c>
    </row>
    <row r="29" spans="1:37" x14ac:dyDescent="0.25">
      <c r="A29" s="431" t="s">
        <v>290</v>
      </c>
      <c r="B29" s="48">
        <v>44111</v>
      </c>
      <c r="C29" s="351">
        <v>0.64583333333333337</v>
      </c>
      <c r="D29" s="418">
        <f>IF(V062A_20303133[[#This Row],[FECHA]]-B28=1,((V062A_20303133[[#This Row],[HORA]]-C28)*24)+24,(V062A_20303133[[#This Row],[HORA]]-C28)*24)</f>
        <v>0.80000000000000249</v>
      </c>
      <c r="E29" s="409" t="s">
        <v>47</v>
      </c>
      <c r="F29" s="29" t="s">
        <v>272</v>
      </c>
      <c r="G29" s="324"/>
      <c r="H29" s="306"/>
      <c r="I2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29" s="242"/>
      <c r="K29" s="325"/>
      <c r="L29" s="418">
        <v>0.33</v>
      </c>
      <c r="M29" s="245">
        <v>0.04</v>
      </c>
      <c r="N29" s="245">
        <v>0.05</v>
      </c>
      <c r="O29" s="257">
        <f>SUM(V062A_20303133[[#This Row],[MPAL]]+V062A_20303133[[#This Row],[AUX.]]+V062A_20303133[[#This Row],[CALDERA]])</f>
        <v>0.42</v>
      </c>
      <c r="P29" s="319"/>
      <c r="Q29" s="281">
        <f>(Q28-V062A_20303133[[#This Row],[TOTAL ]])+V062A_20303133[[#This Row],[FAENA]]</f>
        <v>494.22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SUM(V062A_20303133[[#This Row],[MPAL2]:[GI]])</f>
        <v>0</v>
      </c>
      <c r="X29" s="246"/>
      <c r="Y29" s="282">
        <f>(Y28-V062A_20303133[[#This Row],[TOTAL]])+V062A_20303133[[#This Row],[FAENA2]]</f>
        <v>119.98</v>
      </c>
      <c r="Z29" s="245">
        <v>0</v>
      </c>
      <c r="AA29" s="246">
        <v>0</v>
      </c>
      <c r="AB29" s="320">
        <f>(AB28-V062A_20303133[[#This Row],[CYLINDER MP]])+V062A_20303133[[#This Row],[FAENA EN LTS]]</f>
        <v>4088</v>
      </c>
      <c r="AC29" s="246">
        <v>0</v>
      </c>
      <c r="AD29" s="246">
        <v>0</v>
      </c>
      <c r="AE29" s="320">
        <f>(AE28-V062A_20303133[[#This Row],[CARTER MP.]])+V062A_20303133[[#This Row],[FAENA EN LTS2]]</f>
        <v>1850</v>
      </c>
      <c r="AF29" s="246">
        <v>0</v>
      </c>
      <c r="AG29" s="246">
        <v>0</v>
      </c>
      <c r="AH29" s="320">
        <f>(AH28-V062A_20303133[[#This Row],[MOT AUX]])+V062A_20303133[[#This Row],[FAENA EN  LTS]]</f>
        <v>3330</v>
      </c>
      <c r="AI29" s="246">
        <v>0</v>
      </c>
      <c r="AJ29" s="246">
        <v>0</v>
      </c>
      <c r="AK29" s="321">
        <f>(AK28-V062A_20303133[[#This Row],[HIDRAULICO]])+V062A_20303133[[#This Row],[FAENA EN LTS3]]</f>
        <v>2450</v>
      </c>
    </row>
    <row r="30" spans="1:37" x14ac:dyDescent="0.25">
      <c r="A30" s="431" t="s">
        <v>290</v>
      </c>
      <c r="B30" s="48">
        <v>44112</v>
      </c>
      <c r="C30" s="362">
        <v>0.33333333333333331</v>
      </c>
      <c r="D30" s="418">
        <f>IF(V062A_20303133[[#This Row],[FECHA]]-B29=1,((V062A_20303133[[#This Row],[HORA]]-C29)*24)+24,(V062A_20303133[[#This Row],[HORA]]-C29)*24)</f>
        <v>16.5</v>
      </c>
      <c r="E30" s="409" t="s">
        <v>55</v>
      </c>
      <c r="F30" s="29" t="s">
        <v>56</v>
      </c>
      <c r="G30" s="324">
        <v>191</v>
      </c>
      <c r="H30" s="306">
        <v>16.5</v>
      </c>
      <c r="I30" s="259">
        <f>IF(ISERROR(V062A_20303133[[#This Row],[DISTANCIA POR CARTA]]/V062A_20303133[[#This Row],[TIEMPO DE NAVEGACION]]),0,V062A_20303133[[#This Row],[DISTANCIA POR CARTA]]/V062A_20303133[[#This Row],[TIEMPO DE NAVEGACION]])</f>
        <v>11.575757575757576</v>
      </c>
      <c r="J30" s="380">
        <v>6</v>
      </c>
      <c r="K30" s="325">
        <v>97</v>
      </c>
      <c r="L30" s="418">
        <v>15.81</v>
      </c>
      <c r="M30" s="245">
        <v>1.72</v>
      </c>
      <c r="N30" s="245">
        <v>0</v>
      </c>
      <c r="O30" s="257">
        <f>SUM(V062A_20303133[[#This Row],[MPAL]]+V062A_20303133[[#This Row],[AUX.]]+V062A_20303133[[#This Row],[CALDERA]])</f>
        <v>17.53</v>
      </c>
      <c r="P30" s="319"/>
      <c r="Q30" s="281">
        <f>(Q29-V062A_20303133[[#This Row],[TOTAL ]])+V062A_20303133[[#This Row],[FAENA]]</f>
        <v>476.69000000000005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SUM(V062A_20303133[[#This Row],[MPAL2]:[GI]])</f>
        <v>0</v>
      </c>
      <c r="X30" s="246"/>
      <c r="Y30" s="282">
        <f>(Y29-V062A_20303133[[#This Row],[TOTAL]])+V062A_20303133[[#This Row],[FAENA2]]</f>
        <v>119.98</v>
      </c>
      <c r="Z30" s="245">
        <v>190</v>
      </c>
      <c r="AA30" s="246">
        <v>0</v>
      </c>
      <c r="AB30" s="320">
        <f>(AB29-V062A_20303133[[#This Row],[CYLINDER MP]])+V062A_20303133[[#This Row],[FAENA EN LTS]]</f>
        <v>3898</v>
      </c>
      <c r="AC30" s="246">
        <v>0</v>
      </c>
      <c r="AD30" s="246">
        <v>0</v>
      </c>
      <c r="AE30" s="320">
        <f>(AE29-V062A_20303133[[#This Row],[CARTER MP.]])+V062A_20303133[[#This Row],[FAENA EN LTS2]]</f>
        <v>1850</v>
      </c>
      <c r="AF30" s="246">
        <v>20</v>
      </c>
      <c r="AG30" s="246">
        <v>0</v>
      </c>
      <c r="AH30" s="320">
        <f>(AH29-V062A_20303133[[#This Row],[MOT AUX]])+V062A_20303133[[#This Row],[FAENA EN  LTS]]</f>
        <v>3310</v>
      </c>
      <c r="AI30" s="246">
        <v>0</v>
      </c>
      <c r="AJ30" s="246">
        <v>0</v>
      </c>
      <c r="AK30" s="321">
        <f>(AK29-V062A_20303133[[#This Row],[HIDRAULICO]])+V062A_20303133[[#This Row],[FAENA EN LTS3]]</f>
        <v>2450</v>
      </c>
    </row>
    <row r="31" spans="1:37" x14ac:dyDescent="0.25">
      <c r="A31" s="431" t="s">
        <v>290</v>
      </c>
      <c r="B31" s="48">
        <v>44113</v>
      </c>
      <c r="C31" s="351">
        <v>0.3125</v>
      </c>
      <c r="D31" s="418">
        <f>IF(V062A_20303133[[#This Row],[FECHA]]-B30=1,((V062A_20303133[[#This Row],[HORA]]-C30)*24)+24,(V062A_20303133[[#This Row],[HORA]]-C30)*24)</f>
        <v>23.5</v>
      </c>
      <c r="E31" s="409" t="s">
        <v>55</v>
      </c>
      <c r="F31" s="29" t="s">
        <v>216</v>
      </c>
      <c r="G31" s="324">
        <v>292</v>
      </c>
      <c r="H31" s="306">
        <v>23.5</v>
      </c>
      <c r="I31" s="259">
        <f>IF(ISERROR(V062A_20303133[[#This Row],[DISTANCIA POR CARTA]]/V062A_20303133[[#This Row],[TIEMPO DE NAVEGACION]]),0,V062A_20303133[[#This Row],[DISTANCIA POR CARTA]]/V062A_20303133[[#This Row],[TIEMPO DE NAVEGACION]])</f>
        <v>12.425531914893616</v>
      </c>
      <c r="J31" s="242">
        <v>6</v>
      </c>
      <c r="K31" s="325">
        <v>97</v>
      </c>
      <c r="L31" s="418">
        <v>22.5</v>
      </c>
      <c r="M31" s="245">
        <v>1.18</v>
      </c>
      <c r="N31" s="245">
        <v>0.76</v>
      </c>
      <c r="O31" s="257">
        <f>SUM(V062A_20303133[[#This Row],[MPAL]]+V062A_20303133[[#This Row],[AUX.]]+V062A_20303133[[#This Row],[CALDERA]])</f>
        <v>24.44</v>
      </c>
      <c r="P31" s="319"/>
      <c r="Q31" s="281">
        <f>(Q30-V062A_20303133[[#This Row],[TOTAL ]])+V062A_20303133[[#This Row],[FAENA]]</f>
        <v>452.25000000000006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SUM(V062A_20303133[[#This Row],[MPAL2]:[GI]])</f>
        <v>0</v>
      </c>
      <c r="X31" s="246"/>
      <c r="Y31" s="282">
        <f>(Y30-V062A_20303133[[#This Row],[TOTAL]])+V062A_20303133[[#This Row],[FAENA2]]</f>
        <v>119.98</v>
      </c>
      <c r="Z31" s="245">
        <v>280</v>
      </c>
      <c r="AA31" s="246">
        <v>0</v>
      </c>
      <c r="AB31" s="320">
        <f>(AB30-V062A_20303133[[#This Row],[CYLINDER MP]])+V062A_20303133[[#This Row],[FAENA EN LTS]]</f>
        <v>3618</v>
      </c>
      <c r="AC31" s="246">
        <v>0</v>
      </c>
      <c r="AD31" s="246">
        <v>0</v>
      </c>
      <c r="AE31" s="320">
        <f>(AE30-V062A_20303133[[#This Row],[CARTER MP.]])+V062A_20303133[[#This Row],[FAENA EN LTS2]]</f>
        <v>1850</v>
      </c>
      <c r="AF31" s="246">
        <v>0</v>
      </c>
      <c r="AG31" s="246">
        <v>0</v>
      </c>
      <c r="AH31" s="320">
        <f>(AH30-V062A_20303133[[#This Row],[MOT AUX]])+V062A_20303133[[#This Row],[FAENA EN  LTS]]</f>
        <v>3310</v>
      </c>
      <c r="AI31" s="246">
        <v>0</v>
      </c>
      <c r="AJ31" s="246">
        <v>0</v>
      </c>
      <c r="AK31" s="321">
        <f>(AK30-V062A_20303133[[#This Row],[HIDRAULICO]])+V062A_20303133[[#This Row],[FAENA EN LTS3]]</f>
        <v>2450</v>
      </c>
    </row>
    <row r="32" spans="1:37" x14ac:dyDescent="0.25">
      <c r="A32" s="431" t="s">
        <v>290</v>
      </c>
      <c r="B32" s="48">
        <v>44113</v>
      </c>
      <c r="C32" s="362">
        <v>0.33333333333333331</v>
      </c>
      <c r="D32" s="418">
        <f>IF(V062A_20303133[[#This Row],[FECHA]]-B31=1,((V062A_20303133[[#This Row],[HORA]]-C31)*24)+24,(V062A_20303133[[#This Row],[HORA]]-C31)*24)</f>
        <v>0.49999999999999956</v>
      </c>
      <c r="E32" s="409" t="s">
        <v>47</v>
      </c>
      <c r="F32" s="29" t="s">
        <v>161</v>
      </c>
      <c r="G32" s="324"/>
      <c r="H32" s="306"/>
      <c r="I3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2" s="242"/>
      <c r="K32" s="325"/>
      <c r="L32" s="418">
        <v>0.1</v>
      </c>
      <c r="M32" s="245">
        <v>0.05</v>
      </c>
      <c r="N32" s="245">
        <v>0</v>
      </c>
      <c r="O32" s="257">
        <f>SUM(V062A_20303133[[#This Row],[MPAL]]+V062A_20303133[[#This Row],[AUX.]]+V062A_20303133[[#This Row],[CALDERA]])</f>
        <v>0.15000000000000002</v>
      </c>
      <c r="P32" s="319"/>
      <c r="Q32" s="281">
        <f>(Q31-V062A_20303133[[#This Row],[TOTAL ]])+V062A_20303133[[#This Row],[FAENA]]</f>
        <v>452.10000000000008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SUM(V062A_20303133[[#This Row],[MPAL2]:[GI]])</f>
        <v>0</v>
      </c>
      <c r="X32" s="246"/>
      <c r="Y32" s="282">
        <f>(Y31-V062A_20303133[[#This Row],[TOTAL]])+V062A_20303133[[#This Row],[FAENA2]]</f>
        <v>119.98</v>
      </c>
      <c r="Z32" s="245">
        <v>0</v>
      </c>
      <c r="AA32" s="246">
        <v>0</v>
      </c>
      <c r="AB32" s="320">
        <f>(AB31-V062A_20303133[[#This Row],[CYLINDER MP]])+V062A_20303133[[#This Row],[FAENA EN LTS]]</f>
        <v>3618</v>
      </c>
      <c r="AC32" s="246">
        <v>0</v>
      </c>
      <c r="AD32" s="246">
        <v>0</v>
      </c>
      <c r="AE32" s="320">
        <f>(AE31-V062A_20303133[[#This Row],[CARTER MP.]])+V062A_20303133[[#This Row],[FAENA EN LTS2]]</f>
        <v>1850</v>
      </c>
      <c r="AF32" s="246">
        <v>20</v>
      </c>
      <c r="AG32" s="246">
        <v>0</v>
      </c>
      <c r="AH32" s="320">
        <f>(AH31-V062A_20303133[[#This Row],[MOT AUX]])+V062A_20303133[[#This Row],[FAENA EN  LTS]]</f>
        <v>3290</v>
      </c>
      <c r="AI32" s="246">
        <v>0</v>
      </c>
      <c r="AJ32" s="246">
        <v>0</v>
      </c>
      <c r="AK32" s="321">
        <f>(AK31-V062A_20303133[[#This Row],[HIDRAULICO]])+V062A_20303133[[#This Row],[FAENA EN LTS3]]</f>
        <v>2450</v>
      </c>
    </row>
    <row r="33" spans="1:37" x14ac:dyDescent="0.25">
      <c r="A33" s="431" t="s">
        <v>290</v>
      </c>
      <c r="B33" s="48">
        <v>44113</v>
      </c>
      <c r="C33" s="351">
        <v>0.375</v>
      </c>
      <c r="D33" s="418">
        <f>IF(V062A_20303133[[#This Row],[FECHA]]-B32=1,((V062A_20303133[[#This Row],[HORA]]-C32)*24)+24,(V062A_20303133[[#This Row],[HORA]]-C32)*24)</f>
        <v>1.0000000000000004</v>
      </c>
      <c r="E33" s="409" t="s">
        <v>47</v>
      </c>
      <c r="F33" s="29" t="s">
        <v>292</v>
      </c>
      <c r="G33" s="324"/>
      <c r="H33" s="306"/>
      <c r="I3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3" s="242"/>
      <c r="K33" s="325"/>
      <c r="L33" s="418">
        <v>0.21</v>
      </c>
      <c r="M33" s="245">
        <v>0.09</v>
      </c>
      <c r="N33" s="245">
        <v>0.06</v>
      </c>
      <c r="O33" s="257">
        <f>SUM(V062A_20303133[[#This Row],[MPAL]]+V062A_20303133[[#This Row],[AUX.]]+V062A_20303133[[#This Row],[CALDERA]])</f>
        <v>0.36</v>
      </c>
      <c r="P33" s="319"/>
      <c r="Q33" s="281">
        <f>(Q32-V062A_20303133[[#This Row],[TOTAL ]])+V062A_20303133[[#This Row],[FAENA]]</f>
        <v>451.74000000000007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SUM(V062A_20303133[[#This Row],[MPAL2]:[GI]])</f>
        <v>0</v>
      </c>
      <c r="X33" s="246"/>
      <c r="Y33" s="282">
        <f>(Y32-V062A_20303133[[#This Row],[TOTAL]])+V062A_20303133[[#This Row],[FAENA2]]</f>
        <v>119.98</v>
      </c>
      <c r="Z33" s="245">
        <v>0</v>
      </c>
      <c r="AA33" s="246">
        <v>0</v>
      </c>
      <c r="AB33" s="320">
        <f>(AB32-V062A_20303133[[#This Row],[CYLINDER MP]])+V062A_20303133[[#This Row],[FAENA EN LTS]]</f>
        <v>3618</v>
      </c>
      <c r="AC33" s="246">
        <v>0</v>
      </c>
      <c r="AD33" s="246">
        <v>0</v>
      </c>
      <c r="AE33" s="320">
        <f>(AE32-V062A_20303133[[#This Row],[CARTER MP.]])+V062A_20303133[[#This Row],[FAENA EN LTS2]]</f>
        <v>1850</v>
      </c>
      <c r="AF33" s="246">
        <v>0</v>
      </c>
      <c r="AG33" s="246">
        <v>0</v>
      </c>
      <c r="AH33" s="320">
        <f>(AH32-V062A_20303133[[#This Row],[MOT AUX]])+V062A_20303133[[#This Row],[FAENA EN  LTS]]</f>
        <v>3290</v>
      </c>
      <c r="AI33" s="246">
        <v>0</v>
      </c>
      <c r="AJ33" s="246">
        <v>0</v>
      </c>
      <c r="AK33" s="321">
        <f>(AK32-V062A_20303133[[#This Row],[HIDRAULICO]])+V062A_20303133[[#This Row],[FAENA EN LTS3]]</f>
        <v>2450</v>
      </c>
    </row>
    <row r="34" spans="1:37" x14ac:dyDescent="0.25">
      <c r="A34" s="431" t="s">
        <v>290</v>
      </c>
      <c r="B34" s="48">
        <v>44114</v>
      </c>
      <c r="C34" s="362">
        <v>0.33333333333333331</v>
      </c>
      <c r="D34" s="418">
        <f>IF(V062A_20303133[[#This Row],[FECHA]]-B33=1,((V062A_20303133[[#This Row],[HORA]]-C33)*24)+24,(V062A_20303133[[#This Row],[HORA]]-C33)*24)</f>
        <v>23</v>
      </c>
      <c r="E34" s="409" t="s">
        <v>45</v>
      </c>
      <c r="F34" s="29" t="s">
        <v>45</v>
      </c>
      <c r="G34" s="324"/>
      <c r="H34" s="306"/>
      <c r="I3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4" s="242"/>
      <c r="K34" s="325"/>
      <c r="L34" s="418">
        <v>0</v>
      </c>
      <c r="M34" s="245">
        <v>1.1499999999999999</v>
      </c>
      <c r="N34" s="245">
        <v>1.44</v>
      </c>
      <c r="O34" s="257">
        <f>SUM(V062A_20303133[[#This Row],[MPAL]]+V062A_20303133[[#This Row],[AUX.]]+V062A_20303133[[#This Row],[CALDERA]])</f>
        <v>2.59</v>
      </c>
      <c r="P34" s="319"/>
      <c r="Q34" s="281">
        <f>(Q33-V062A_20303133[[#This Row],[TOTAL ]])+V062A_20303133[[#This Row],[FAENA]]</f>
        <v>449.15000000000009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SUM(V062A_20303133[[#This Row],[MPAL2]:[GI]])</f>
        <v>0</v>
      </c>
      <c r="X34" s="246"/>
      <c r="Y34" s="282">
        <f>(Y33-V062A_20303133[[#This Row],[TOTAL]])+V062A_20303133[[#This Row],[FAENA2]]</f>
        <v>119.98</v>
      </c>
      <c r="Z34" s="245">
        <v>0</v>
      </c>
      <c r="AA34" s="246">
        <v>0</v>
      </c>
      <c r="AB34" s="320">
        <f>(AB33-V062A_20303133[[#This Row],[CYLINDER MP]])+V062A_20303133[[#This Row],[FAENA EN LTS]]</f>
        <v>3618</v>
      </c>
      <c r="AC34" s="246">
        <v>0</v>
      </c>
      <c r="AD34" s="246">
        <v>0</v>
      </c>
      <c r="AE34" s="320">
        <f>(AE33-V062A_20303133[[#This Row],[CARTER MP.]])+V062A_20303133[[#This Row],[FAENA EN LTS2]]</f>
        <v>1850</v>
      </c>
      <c r="AF34" s="246">
        <v>20</v>
      </c>
      <c r="AG34" s="246">
        <v>0</v>
      </c>
      <c r="AH34" s="320">
        <f>(AH33-V062A_20303133[[#This Row],[MOT AUX]])+V062A_20303133[[#This Row],[FAENA EN  LTS]]</f>
        <v>3270</v>
      </c>
      <c r="AI34" s="246">
        <v>0</v>
      </c>
      <c r="AJ34" s="246">
        <v>0</v>
      </c>
      <c r="AK34" s="321">
        <f>(AK33-V062A_20303133[[#This Row],[HIDRAULICO]])+V062A_20303133[[#This Row],[FAENA EN LTS3]]</f>
        <v>2450</v>
      </c>
    </row>
    <row r="35" spans="1:37" x14ac:dyDescent="0.25">
      <c r="A35" s="431" t="s">
        <v>290</v>
      </c>
      <c r="B35" s="48">
        <v>44114</v>
      </c>
      <c r="C35" s="351">
        <v>0.59583333333333333</v>
      </c>
      <c r="D35" s="418">
        <f>IF(V062A_20303133[[#This Row],[FECHA]]-B34=1,((V062A_20303133[[#This Row],[HORA]]-C34)*24)+24,(V062A_20303133[[#This Row],[HORA]]-C34)*24)</f>
        <v>6.3000000000000007</v>
      </c>
      <c r="E35" s="409" t="s">
        <v>45</v>
      </c>
      <c r="F35" s="29" t="s">
        <v>46</v>
      </c>
      <c r="G35" s="324"/>
      <c r="H35" s="306"/>
      <c r="I3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5" s="242"/>
      <c r="K35" s="325"/>
      <c r="L35" s="418">
        <v>1.31</v>
      </c>
      <c r="M35" s="245">
        <v>0.32</v>
      </c>
      <c r="N35" s="245">
        <v>0.39</v>
      </c>
      <c r="O35" s="257">
        <f>SUM(V062A_20303133[[#This Row],[MPAL]]+V062A_20303133[[#This Row],[AUX.]]+V062A_20303133[[#This Row],[CALDERA]])</f>
        <v>2.02</v>
      </c>
      <c r="P35" s="319"/>
      <c r="Q35" s="281">
        <f>(Q34-V062A_20303133[[#This Row],[TOTAL ]])+V062A_20303133[[#This Row],[FAENA]]</f>
        <v>447.13000000000011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SUM(V062A_20303133[[#This Row],[MPAL2]:[GI]])</f>
        <v>0</v>
      </c>
      <c r="X35" s="246"/>
      <c r="Y35" s="282">
        <f>(Y34-V062A_20303133[[#This Row],[TOTAL]])+V062A_20303133[[#This Row],[FAENA2]]</f>
        <v>119.98</v>
      </c>
      <c r="Z35" s="245">
        <v>0</v>
      </c>
      <c r="AA35" s="246">
        <v>0</v>
      </c>
      <c r="AB35" s="320">
        <f>(AB34-V062A_20303133[[#This Row],[CYLINDER MP]])+V062A_20303133[[#This Row],[FAENA EN LTS]]</f>
        <v>3618</v>
      </c>
      <c r="AC35" s="246">
        <v>0</v>
      </c>
      <c r="AD35" s="246">
        <v>0</v>
      </c>
      <c r="AE35" s="320">
        <f>(AE34-V062A_20303133[[#This Row],[CARTER MP.]])+V062A_20303133[[#This Row],[FAENA EN LTS2]]</f>
        <v>1850</v>
      </c>
      <c r="AF35" s="246">
        <v>0</v>
      </c>
      <c r="AG35" s="246">
        <v>0</v>
      </c>
      <c r="AH35" s="320">
        <f>(AH34-V062A_20303133[[#This Row],[MOT AUX]])+V062A_20303133[[#This Row],[FAENA EN  LTS]]</f>
        <v>3270</v>
      </c>
      <c r="AI35" s="246">
        <v>0</v>
      </c>
      <c r="AJ35" s="246">
        <v>0</v>
      </c>
      <c r="AK35" s="321">
        <f>(AK34-V062A_20303133[[#This Row],[HIDRAULICO]])+V062A_20303133[[#This Row],[FAENA EN LTS3]]</f>
        <v>2450</v>
      </c>
    </row>
    <row r="36" spans="1:37" x14ac:dyDescent="0.25">
      <c r="A36" s="431" t="s">
        <v>290</v>
      </c>
      <c r="B36" s="48">
        <v>44114</v>
      </c>
      <c r="C36" s="362">
        <v>0.66666666666666663</v>
      </c>
      <c r="D36" s="418">
        <f>IF(V062A_20303133[[#This Row],[FECHA]]-B35=1,((V062A_20303133[[#This Row],[HORA]]-C35)*24)+24,(V062A_20303133[[#This Row],[HORA]]-C35)*24)</f>
        <v>1.6999999999999993</v>
      </c>
      <c r="E36" s="409" t="s">
        <v>47</v>
      </c>
      <c r="F36" s="29" t="s">
        <v>293</v>
      </c>
      <c r="G36" s="324"/>
      <c r="H36" s="306"/>
      <c r="I3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6" s="242"/>
      <c r="K36" s="325"/>
      <c r="L36" s="418">
        <v>0.35</v>
      </c>
      <c r="M36" s="245">
        <v>0.17</v>
      </c>
      <c r="N36" s="245">
        <v>0.11</v>
      </c>
      <c r="O36" s="257">
        <f>SUM(V062A_20303133[[#This Row],[MPAL]]+V062A_20303133[[#This Row],[AUX.]]+V062A_20303133[[#This Row],[CALDERA]])</f>
        <v>0.63</v>
      </c>
      <c r="P36" s="319"/>
      <c r="Q36" s="281">
        <f>(Q35-V062A_20303133[[#This Row],[TOTAL ]])+V062A_20303133[[#This Row],[FAENA]]</f>
        <v>446.50000000000011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SUM(V062A_20303133[[#This Row],[MPAL2]:[GI]])</f>
        <v>0</v>
      </c>
      <c r="X36" s="246"/>
      <c r="Y36" s="282">
        <f>(Y35-V062A_20303133[[#This Row],[TOTAL]])+V062A_20303133[[#This Row],[FAENA2]]</f>
        <v>119.98</v>
      </c>
      <c r="Z36" s="245">
        <v>0</v>
      </c>
      <c r="AA36" s="246">
        <v>0</v>
      </c>
      <c r="AB36" s="320">
        <f>(AB35-V062A_20303133[[#This Row],[CYLINDER MP]])+V062A_20303133[[#This Row],[FAENA EN LTS]]</f>
        <v>3618</v>
      </c>
      <c r="AC36" s="246">
        <v>0</v>
      </c>
      <c r="AD36" s="246">
        <v>0</v>
      </c>
      <c r="AE36" s="320">
        <f>(AE35-V062A_20303133[[#This Row],[CARTER MP.]])+V062A_20303133[[#This Row],[FAENA EN LTS2]]</f>
        <v>1850</v>
      </c>
      <c r="AF36" s="246">
        <v>0</v>
      </c>
      <c r="AG36" s="246">
        <v>0</v>
      </c>
      <c r="AH36" s="320">
        <f>(AH35-V062A_20303133[[#This Row],[MOT AUX]])+V062A_20303133[[#This Row],[FAENA EN  LTS]]</f>
        <v>3270</v>
      </c>
      <c r="AI36" s="246">
        <v>0</v>
      </c>
      <c r="AJ36" s="246">
        <v>0</v>
      </c>
      <c r="AK36" s="321">
        <f>(AK35-V062A_20303133[[#This Row],[HIDRAULICO]])+V062A_20303133[[#This Row],[FAENA EN LTS3]]</f>
        <v>2450</v>
      </c>
    </row>
    <row r="37" spans="1:37" x14ac:dyDescent="0.25">
      <c r="A37" s="431" t="s">
        <v>290</v>
      </c>
      <c r="B37" s="48">
        <v>44114</v>
      </c>
      <c r="C37" s="351">
        <v>0.78749999999999998</v>
      </c>
      <c r="D37" s="418">
        <f>IF(V062A_20303133[[#This Row],[FECHA]]-B36=1,((V062A_20303133[[#This Row],[HORA]]-C36)*24)+24,(V062A_20303133[[#This Row],[HORA]]-C36)*24)</f>
        <v>2.9000000000000004</v>
      </c>
      <c r="E37" s="409" t="s">
        <v>49</v>
      </c>
      <c r="F37" s="29" t="s">
        <v>294</v>
      </c>
      <c r="G37" s="324"/>
      <c r="H37" s="306"/>
      <c r="I3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7" s="380"/>
      <c r="K37" s="325"/>
      <c r="L37" s="418">
        <v>0</v>
      </c>
      <c r="M37" s="245">
        <v>0.15</v>
      </c>
      <c r="N37" s="245">
        <v>0.15</v>
      </c>
      <c r="O37" s="257">
        <f>SUM(V062A_20303133[[#This Row],[MPAL]]+V062A_20303133[[#This Row],[AUX.]]+V062A_20303133[[#This Row],[CALDERA]])</f>
        <v>0.3</v>
      </c>
      <c r="P37" s="319"/>
      <c r="Q37" s="281">
        <f>(Q36-V062A_20303133[[#This Row],[TOTAL ]])+V062A_20303133[[#This Row],[FAENA]]</f>
        <v>446.2000000000001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SUM(V062A_20303133[[#This Row],[MPAL2]:[GI]])</f>
        <v>0</v>
      </c>
      <c r="X37" s="246"/>
      <c r="Y37" s="282">
        <f>(Y36-V062A_20303133[[#This Row],[TOTAL]])+V062A_20303133[[#This Row],[FAENA2]]</f>
        <v>119.98</v>
      </c>
      <c r="Z37" s="245">
        <v>0</v>
      </c>
      <c r="AA37" s="246">
        <v>0</v>
      </c>
      <c r="AB37" s="320">
        <f>(AB36-V062A_20303133[[#This Row],[CYLINDER MP]])+V062A_20303133[[#This Row],[FAENA EN LTS]]</f>
        <v>3618</v>
      </c>
      <c r="AC37" s="246">
        <v>0</v>
      </c>
      <c r="AD37" s="246">
        <v>0</v>
      </c>
      <c r="AE37" s="320">
        <f>(AE36-V062A_20303133[[#This Row],[CARTER MP.]])+V062A_20303133[[#This Row],[FAENA EN LTS2]]</f>
        <v>1850</v>
      </c>
      <c r="AF37" s="246">
        <v>0</v>
      </c>
      <c r="AG37" s="246">
        <v>0</v>
      </c>
      <c r="AH37" s="320">
        <f>(AH36-V062A_20303133[[#This Row],[MOT AUX]])+V062A_20303133[[#This Row],[FAENA EN  LTS]]</f>
        <v>3270</v>
      </c>
      <c r="AI37" s="246">
        <v>0</v>
      </c>
      <c r="AJ37" s="246">
        <v>0</v>
      </c>
      <c r="AK37" s="321">
        <f>(AK36-V062A_20303133[[#This Row],[HIDRAULICO]])+V062A_20303133[[#This Row],[FAENA EN LTS3]]</f>
        <v>2450</v>
      </c>
    </row>
    <row r="38" spans="1:37" x14ac:dyDescent="0.25">
      <c r="A38" s="431" t="s">
        <v>290</v>
      </c>
      <c r="B38" s="48">
        <v>44115</v>
      </c>
      <c r="C38" s="362">
        <v>0.20833333333333334</v>
      </c>
      <c r="D38" s="418">
        <f>IF(V062A_20303133[[#This Row],[FECHA]]-B37=1,((V062A_20303133[[#This Row],[HORA]]-C37)*24)+24,(V062A_20303133[[#This Row],[HORA]]-C37)*24)</f>
        <v>10.100000000000001</v>
      </c>
      <c r="E38" s="409" t="s">
        <v>51</v>
      </c>
      <c r="F38" s="29" t="s">
        <v>295</v>
      </c>
      <c r="G38" s="324"/>
      <c r="H38" s="306"/>
      <c r="I3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8" s="242"/>
      <c r="K38" s="325"/>
      <c r="L38" s="418">
        <v>0</v>
      </c>
      <c r="M38" s="245">
        <v>0.84</v>
      </c>
      <c r="N38" s="245">
        <v>0.51</v>
      </c>
      <c r="O38" s="257">
        <f>SUM(V062A_20303133[[#This Row],[MPAL]]+V062A_20303133[[#This Row],[AUX.]]+V062A_20303133[[#This Row],[CALDERA]])</f>
        <v>1.35</v>
      </c>
      <c r="P38" s="319"/>
      <c r="Q38" s="281">
        <f>(Q37-V062A_20303133[[#This Row],[TOTAL ]])+V062A_20303133[[#This Row],[FAENA]]</f>
        <v>444.85000000000008</v>
      </c>
      <c r="R38" s="245">
        <v>0</v>
      </c>
      <c r="S38" s="246">
        <v>0</v>
      </c>
      <c r="T38" s="246">
        <v>0</v>
      </c>
      <c r="U38" s="246">
        <v>0</v>
      </c>
      <c r="V38" s="246">
        <v>2.6</v>
      </c>
      <c r="W38" s="257">
        <f>SUM(V062A_20303133[[#This Row],[MPAL2]:[GI]])</f>
        <v>2.6</v>
      </c>
      <c r="X38" s="246"/>
      <c r="Y38" s="282">
        <f>(Y37-V062A_20303133[[#This Row],[TOTAL]])+V062A_20303133[[#This Row],[FAENA2]]</f>
        <v>117.38000000000001</v>
      </c>
      <c r="Z38" s="245">
        <v>0</v>
      </c>
      <c r="AA38" s="246">
        <v>0</v>
      </c>
      <c r="AB38" s="320">
        <f>(AB37-V062A_20303133[[#This Row],[CYLINDER MP]])+V062A_20303133[[#This Row],[FAENA EN LTS]]</f>
        <v>3618</v>
      </c>
      <c r="AC38" s="246">
        <v>0</v>
      </c>
      <c r="AD38" s="246">
        <v>0</v>
      </c>
      <c r="AE38" s="320">
        <f>(AE37-V062A_20303133[[#This Row],[CARTER MP.]])+V062A_20303133[[#This Row],[FAENA EN LTS2]]</f>
        <v>1850</v>
      </c>
      <c r="AF38" s="246">
        <v>0</v>
      </c>
      <c r="AG38" s="246">
        <v>0</v>
      </c>
      <c r="AH38" s="320">
        <f>(AH37-V062A_20303133[[#This Row],[MOT AUX]])+V062A_20303133[[#This Row],[FAENA EN  LTS]]</f>
        <v>3270</v>
      </c>
      <c r="AI38" s="246">
        <v>0</v>
      </c>
      <c r="AJ38" s="246">
        <v>0</v>
      </c>
      <c r="AK38" s="321">
        <f>(AK37-V062A_20303133[[#This Row],[HIDRAULICO]])+V062A_20303133[[#This Row],[FAENA EN LTS3]]</f>
        <v>2450</v>
      </c>
    </row>
    <row r="39" spans="1:37" x14ac:dyDescent="0.25">
      <c r="A39" s="431" t="s">
        <v>290</v>
      </c>
      <c r="B39" s="48">
        <v>44115</v>
      </c>
      <c r="C39" s="351">
        <v>0.33333333333333331</v>
      </c>
      <c r="D39" s="418">
        <f>IF(V062A_20303133[[#This Row],[FECHA]]-B38=1,((V062A_20303133[[#This Row],[HORA]]-C38)*24)+24,(V062A_20303133[[#This Row],[HORA]]-C38)*24)</f>
        <v>2.9999999999999991</v>
      </c>
      <c r="E39" s="409" t="s">
        <v>49</v>
      </c>
      <c r="F39" s="29" t="s">
        <v>59</v>
      </c>
      <c r="G39" s="324"/>
      <c r="H39" s="306"/>
      <c r="I3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39" s="242"/>
      <c r="K39" s="325"/>
      <c r="L39" s="418">
        <v>0</v>
      </c>
      <c r="M39" s="245">
        <v>0.15</v>
      </c>
      <c r="N39" s="245">
        <v>0.15</v>
      </c>
      <c r="O39" s="257">
        <f>SUM(V062A_20303133[[#This Row],[MPAL]]+V062A_20303133[[#This Row],[AUX.]]+V062A_20303133[[#This Row],[CALDERA]])</f>
        <v>0.3</v>
      </c>
      <c r="P39" s="319"/>
      <c r="Q39" s="281">
        <f>(Q38-V062A_20303133[[#This Row],[TOTAL ]])+V062A_20303133[[#This Row],[FAENA]]</f>
        <v>444.55000000000007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SUM(V062A_20303133[[#This Row],[MPAL2]:[GI]])</f>
        <v>0</v>
      </c>
      <c r="X39" s="246"/>
      <c r="Y39" s="282">
        <f>(Y38-V062A_20303133[[#This Row],[TOTAL]])+V062A_20303133[[#This Row],[FAENA2]]</f>
        <v>117.38000000000001</v>
      </c>
      <c r="Z39" s="245">
        <v>0</v>
      </c>
      <c r="AA39" s="246">
        <v>0</v>
      </c>
      <c r="AB39" s="320">
        <f>(AB38-V062A_20303133[[#This Row],[CYLINDER MP]])+V062A_20303133[[#This Row],[FAENA EN LTS]]</f>
        <v>3618</v>
      </c>
      <c r="AC39" s="246">
        <v>0</v>
      </c>
      <c r="AD39" s="246">
        <v>0</v>
      </c>
      <c r="AE39" s="320">
        <f>(AE38-V062A_20303133[[#This Row],[CARTER MP.]])+V062A_20303133[[#This Row],[FAENA EN LTS2]]</f>
        <v>1850</v>
      </c>
      <c r="AF39" s="246">
        <v>20</v>
      </c>
      <c r="AG39" s="246">
        <v>0</v>
      </c>
      <c r="AH39" s="320">
        <f>(AH38-V062A_20303133[[#This Row],[MOT AUX]])+V062A_20303133[[#This Row],[FAENA EN  LTS]]</f>
        <v>3250</v>
      </c>
      <c r="AI39" s="246">
        <v>50</v>
      </c>
      <c r="AJ39" s="246">
        <v>0</v>
      </c>
      <c r="AK39" s="321">
        <f>(AK38-V062A_20303133[[#This Row],[HIDRAULICO]])+V062A_20303133[[#This Row],[FAENA EN LTS3]]</f>
        <v>2400</v>
      </c>
    </row>
    <row r="40" spans="1:37" x14ac:dyDescent="0.25">
      <c r="A40" s="431" t="s">
        <v>290</v>
      </c>
      <c r="B40" s="48">
        <v>44115</v>
      </c>
      <c r="C40" s="362">
        <v>0.34583333333333338</v>
      </c>
      <c r="D40" s="418">
        <f>IF(V062A_20303133[[#This Row],[FECHA]]-B39=1,((V062A_20303133[[#This Row],[HORA]]-C39)*24)+24,(V062A_20303133[[#This Row],[HORA]]-C39)*24)</f>
        <v>0.3000000000000016</v>
      </c>
      <c r="E40" s="409" t="s">
        <v>49</v>
      </c>
      <c r="F40" s="29" t="s">
        <v>46</v>
      </c>
      <c r="G40" s="324"/>
      <c r="H40" s="306"/>
      <c r="I4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0" s="242"/>
      <c r="K40" s="325"/>
      <c r="L40" s="418">
        <v>0</v>
      </c>
      <c r="M40" s="245">
        <v>0.02</v>
      </c>
      <c r="N40" s="245">
        <v>0.02</v>
      </c>
      <c r="O40" s="257">
        <f>SUM(V062A_20303133[[#This Row],[MPAL]]+V062A_20303133[[#This Row],[AUX.]]+V062A_20303133[[#This Row],[CALDERA]])</f>
        <v>0.04</v>
      </c>
      <c r="P40" s="319"/>
      <c r="Q40" s="281">
        <f>(Q39-V062A_20303133[[#This Row],[TOTAL ]])+V062A_20303133[[#This Row],[FAENA]]</f>
        <v>444.51000000000005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SUM(V062A_20303133[[#This Row],[MPAL2]:[GI]])</f>
        <v>0</v>
      </c>
      <c r="X40" s="246"/>
      <c r="Y40" s="282">
        <f>(Y39-V062A_20303133[[#This Row],[TOTAL]])+V062A_20303133[[#This Row],[FAENA2]]</f>
        <v>117.38000000000001</v>
      </c>
      <c r="Z40" s="245">
        <v>0</v>
      </c>
      <c r="AA40" s="246">
        <v>0</v>
      </c>
      <c r="AB40" s="320">
        <f>(AB39-V062A_20303133[[#This Row],[CYLINDER MP]])+V062A_20303133[[#This Row],[FAENA EN LTS]]</f>
        <v>3618</v>
      </c>
      <c r="AC40" s="246">
        <v>0</v>
      </c>
      <c r="AD40" s="246">
        <v>0</v>
      </c>
      <c r="AE40" s="320">
        <f>(AE39-V062A_20303133[[#This Row],[CARTER MP.]])+V062A_20303133[[#This Row],[FAENA EN LTS2]]</f>
        <v>1850</v>
      </c>
      <c r="AF40" s="246">
        <v>0</v>
      </c>
      <c r="AG40" s="246">
        <v>0</v>
      </c>
      <c r="AH40" s="320">
        <f>(AH39-V062A_20303133[[#This Row],[MOT AUX]])+V062A_20303133[[#This Row],[FAENA EN  LTS]]</f>
        <v>3250</v>
      </c>
      <c r="AI40" s="246">
        <v>0</v>
      </c>
      <c r="AJ40" s="246">
        <v>0</v>
      </c>
      <c r="AK40" s="321">
        <f>(AK39-V062A_20303133[[#This Row],[HIDRAULICO]])+V062A_20303133[[#This Row],[FAENA EN LTS3]]</f>
        <v>2400</v>
      </c>
    </row>
    <row r="41" spans="1:37" x14ac:dyDescent="0.25">
      <c r="A41" s="431" t="s">
        <v>290</v>
      </c>
      <c r="B41" s="48">
        <v>44115</v>
      </c>
      <c r="C41" s="351">
        <v>0.375</v>
      </c>
      <c r="D41" s="418">
        <f>IF(V062A_20303133[[#This Row],[FECHA]]-B40=1,((V062A_20303133[[#This Row],[HORA]]-C40)*24)+24,(V062A_20303133[[#This Row],[HORA]]-C40)*24)</f>
        <v>0.69999999999999885</v>
      </c>
      <c r="E41" s="239" t="s">
        <v>47</v>
      </c>
      <c r="F41" s="29" t="s">
        <v>296</v>
      </c>
      <c r="G41" s="324"/>
      <c r="H41" s="306"/>
      <c r="I4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1" s="242"/>
      <c r="K41" s="325"/>
      <c r="L41" s="418">
        <v>0.15</v>
      </c>
      <c r="M41" s="245">
        <v>0.03</v>
      </c>
      <c r="N41" s="245">
        <v>0.03</v>
      </c>
      <c r="O41" s="257">
        <f>SUM(V062A_20303133[[#This Row],[MPAL]]+V062A_20303133[[#This Row],[AUX.]]+V062A_20303133[[#This Row],[CALDERA]])</f>
        <v>0.21</v>
      </c>
      <c r="P41" s="319"/>
      <c r="Q41" s="281">
        <f>(Q40-V062A_20303133[[#This Row],[TOTAL ]])+V062A_20303133[[#This Row],[FAENA]]</f>
        <v>444.30000000000007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SUM(V062A_20303133[[#This Row],[MPAL2]:[GI]])</f>
        <v>0</v>
      </c>
      <c r="X41" s="246"/>
      <c r="Y41" s="282">
        <f>(Y40-V062A_20303133[[#This Row],[TOTAL]])+V062A_20303133[[#This Row],[FAENA2]]</f>
        <v>117.38000000000001</v>
      </c>
      <c r="Z41" s="245">
        <v>0</v>
      </c>
      <c r="AA41" s="246">
        <v>0</v>
      </c>
      <c r="AB41" s="320">
        <f>(AB40-V062A_20303133[[#This Row],[CYLINDER MP]])+V062A_20303133[[#This Row],[FAENA EN LTS]]</f>
        <v>3618</v>
      </c>
      <c r="AC41" s="246">
        <v>0</v>
      </c>
      <c r="AD41" s="246">
        <v>0</v>
      </c>
      <c r="AE41" s="320">
        <f>(AE40-V062A_20303133[[#This Row],[CARTER MP.]])+V062A_20303133[[#This Row],[FAENA EN LTS2]]</f>
        <v>1850</v>
      </c>
      <c r="AF41" s="246">
        <v>0</v>
      </c>
      <c r="AG41" s="246">
        <v>0</v>
      </c>
      <c r="AH41" s="320">
        <f>(AH40-V062A_20303133[[#This Row],[MOT AUX]])+V062A_20303133[[#This Row],[FAENA EN  LTS]]</f>
        <v>3250</v>
      </c>
      <c r="AI41" s="246">
        <v>0</v>
      </c>
      <c r="AJ41" s="246">
        <v>0</v>
      </c>
      <c r="AK41" s="321">
        <f>(AK40-V062A_20303133[[#This Row],[HIDRAULICO]])+V062A_20303133[[#This Row],[FAENA EN LTS3]]</f>
        <v>2400</v>
      </c>
    </row>
    <row r="42" spans="1:37" x14ac:dyDescent="0.25">
      <c r="A42" s="431" t="s">
        <v>290</v>
      </c>
      <c r="B42" s="48">
        <v>44116</v>
      </c>
      <c r="C42" s="362">
        <v>0.33333333333333331</v>
      </c>
      <c r="D42" s="418">
        <f>IF(V062A_20303133[[#This Row],[FECHA]]-B41=1,((V062A_20303133[[#This Row],[HORA]]-C41)*24)+24,(V062A_20303133[[#This Row],[HORA]]-C41)*24)</f>
        <v>23</v>
      </c>
      <c r="E42" s="409" t="s">
        <v>55</v>
      </c>
      <c r="F42" s="29" t="s">
        <v>56</v>
      </c>
      <c r="G42" s="324">
        <v>300.39999999999998</v>
      </c>
      <c r="H42" s="306">
        <v>23</v>
      </c>
      <c r="I42" s="259">
        <f>IF(ISERROR(V062A_20303133[[#This Row],[DISTANCIA POR CARTA]]/V062A_20303133[[#This Row],[TIEMPO DE NAVEGACION]]),0,V062A_20303133[[#This Row],[DISTANCIA POR CARTA]]/V062A_20303133[[#This Row],[TIEMPO DE NAVEGACION]])</f>
        <v>13.06086956521739</v>
      </c>
      <c r="J42" s="242">
        <v>4</v>
      </c>
      <c r="K42" s="325">
        <v>97</v>
      </c>
      <c r="L42" s="418">
        <v>19.170000000000002</v>
      </c>
      <c r="M42" s="245">
        <v>1.1499999999999999</v>
      </c>
      <c r="N42" s="245">
        <v>1.1000000000000001</v>
      </c>
      <c r="O42" s="257">
        <f>SUM(V062A_20303133[[#This Row],[MPAL]]+V062A_20303133[[#This Row],[AUX.]]+V062A_20303133[[#This Row],[CALDERA]])</f>
        <v>21.42</v>
      </c>
      <c r="P42" s="319"/>
      <c r="Q42" s="281">
        <f>(Q41-V062A_20303133[[#This Row],[TOTAL ]])+V062A_20303133[[#This Row],[FAENA]]</f>
        <v>422.88000000000005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SUM(V062A_20303133[[#This Row],[MPAL2]:[GI]])</f>
        <v>0</v>
      </c>
      <c r="X42" s="246"/>
      <c r="Y42" s="282">
        <f>(Y41-V062A_20303133[[#This Row],[TOTAL]])+V062A_20303133[[#This Row],[FAENA2]]</f>
        <v>117.38000000000001</v>
      </c>
      <c r="Z42" s="245">
        <v>220</v>
      </c>
      <c r="AA42" s="246">
        <v>0</v>
      </c>
      <c r="AB42" s="320">
        <f>(AB41-V062A_20303133[[#This Row],[CYLINDER MP]])+V062A_20303133[[#This Row],[FAENA EN LTS]]</f>
        <v>3398</v>
      </c>
      <c r="AC42" s="246">
        <v>0</v>
      </c>
      <c r="AD42" s="246">
        <v>0</v>
      </c>
      <c r="AE42" s="320">
        <f>(AE41-V062A_20303133[[#This Row],[CARTER MP.]])+V062A_20303133[[#This Row],[FAENA EN LTS2]]</f>
        <v>1850</v>
      </c>
      <c r="AF42" s="246">
        <v>20</v>
      </c>
      <c r="AG42" s="246">
        <v>0</v>
      </c>
      <c r="AH42" s="320">
        <f>(AH41-V062A_20303133[[#This Row],[MOT AUX]])+V062A_20303133[[#This Row],[FAENA EN  LTS]]</f>
        <v>3230</v>
      </c>
      <c r="AI42" s="246">
        <v>0</v>
      </c>
      <c r="AJ42" s="246">
        <v>0</v>
      </c>
      <c r="AK42" s="321">
        <f>(AK41-V062A_20303133[[#This Row],[HIDRAULICO]])+V062A_20303133[[#This Row],[FAENA EN LTS3]]</f>
        <v>2400</v>
      </c>
    </row>
    <row r="43" spans="1:37" x14ac:dyDescent="0.25">
      <c r="A43" s="431" t="s">
        <v>290</v>
      </c>
      <c r="B43" s="48">
        <v>44116</v>
      </c>
      <c r="C43" s="41">
        <v>0.64583333333333337</v>
      </c>
      <c r="D43" s="418">
        <f>IF(V062A_20303133[[#This Row],[FECHA]]-B42=1,((V062A_20303133[[#This Row],[HORA]]-C42)*24)+24,(V062A_20303133[[#This Row],[HORA]]-C42)*24)</f>
        <v>7.5000000000000018</v>
      </c>
      <c r="E43" s="409" t="s">
        <v>55</v>
      </c>
      <c r="F43" s="29" t="s">
        <v>219</v>
      </c>
      <c r="G43" s="324">
        <v>109.6</v>
      </c>
      <c r="H43" s="306">
        <v>7.5</v>
      </c>
      <c r="I43" s="259">
        <f>IF(ISERROR(V062A_20303133[[#This Row],[DISTANCIA POR CARTA]]/V062A_20303133[[#This Row],[TIEMPO DE NAVEGACION]]),0,V062A_20303133[[#This Row],[DISTANCIA POR CARTA]]/V062A_20303133[[#This Row],[TIEMPO DE NAVEGACION]])</f>
        <v>14.613333333333333</v>
      </c>
      <c r="J43" s="242">
        <v>4</v>
      </c>
      <c r="K43" s="325">
        <v>97</v>
      </c>
      <c r="L43" s="418">
        <v>6.25</v>
      </c>
      <c r="M43" s="245">
        <v>0.38</v>
      </c>
      <c r="N43" s="245">
        <v>0</v>
      </c>
      <c r="O43" s="257">
        <f>SUM(V062A_20303133[[#This Row],[MPAL]]+V062A_20303133[[#This Row],[AUX.]]+V062A_20303133[[#This Row],[CALDERA]])</f>
        <v>6.63</v>
      </c>
      <c r="P43" s="319"/>
      <c r="Q43" s="281">
        <f>(Q42-V062A_20303133[[#This Row],[TOTAL ]])+V062A_20303133[[#This Row],[FAENA]]</f>
        <v>416.25000000000006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SUM(V062A_20303133[[#This Row],[MPAL2]:[GI]])</f>
        <v>0</v>
      </c>
      <c r="X43" s="246"/>
      <c r="Y43" s="282">
        <f>(Y42-V062A_20303133[[#This Row],[TOTAL]])+V062A_20303133[[#This Row],[FAENA2]]</f>
        <v>117.38000000000001</v>
      </c>
      <c r="Z43" s="245">
        <v>0</v>
      </c>
      <c r="AA43" s="246">
        <v>0</v>
      </c>
      <c r="AB43" s="320">
        <f>(AB42-V062A_20303133[[#This Row],[CYLINDER MP]])+V062A_20303133[[#This Row],[FAENA EN LTS]]</f>
        <v>3398</v>
      </c>
      <c r="AC43" s="246">
        <v>0</v>
      </c>
      <c r="AD43" s="246">
        <v>0</v>
      </c>
      <c r="AE43" s="320">
        <f>(AE42-V062A_20303133[[#This Row],[CARTER MP.]])+V062A_20303133[[#This Row],[FAENA EN LTS2]]</f>
        <v>1850</v>
      </c>
      <c r="AF43" s="246">
        <v>0</v>
      </c>
      <c r="AG43" s="246">
        <v>0</v>
      </c>
      <c r="AH43" s="320">
        <f>(AH42-V062A_20303133[[#This Row],[MOT AUX]])+V062A_20303133[[#This Row],[FAENA EN  LTS]]</f>
        <v>3230</v>
      </c>
      <c r="AI43" s="246">
        <v>0</v>
      </c>
      <c r="AJ43" s="246">
        <v>0</v>
      </c>
      <c r="AK43" s="321">
        <f>(AK42-V062A_20303133[[#This Row],[HIDRAULICO]])+V062A_20303133[[#This Row],[FAENA EN LTS3]]</f>
        <v>2400</v>
      </c>
    </row>
    <row r="44" spans="1:37" x14ac:dyDescent="0.25">
      <c r="A44" s="431" t="s">
        <v>290</v>
      </c>
      <c r="B44" s="48">
        <v>44116</v>
      </c>
      <c r="C44" s="41">
        <v>0.77916666666666667</v>
      </c>
      <c r="D44" s="418">
        <f>IF(V062A_20303133[[#This Row],[FECHA]]-B43=1,((V062A_20303133[[#This Row],[HORA]]-C43)*24)+24,(V062A_20303133[[#This Row],[HORA]]-C43)*24)</f>
        <v>3.1999999999999993</v>
      </c>
      <c r="E44" s="409" t="s">
        <v>47</v>
      </c>
      <c r="F44" s="29" t="s">
        <v>241</v>
      </c>
      <c r="G44" s="324"/>
      <c r="H44" s="306"/>
      <c r="I4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4" s="380"/>
      <c r="K44" s="325"/>
      <c r="L44" s="418">
        <v>0.13</v>
      </c>
      <c r="M44" s="245">
        <v>0.2</v>
      </c>
      <c r="N44" s="245">
        <v>0.16</v>
      </c>
      <c r="O44" s="257">
        <f>SUM(V062A_20303133[[#This Row],[MPAL]]+V062A_20303133[[#This Row],[AUX.]]+V062A_20303133[[#This Row],[CALDERA]])</f>
        <v>0.49</v>
      </c>
      <c r="P44" s="319"/>
      <c r="Q44" s="281">
        <f>(Q43-V062A_20303133[[#This Row],[TOTAL ]])+V062A_20303133[[#This Row],[FAENA]]</f>
        <v>415.76000000000005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SUM(V062A_20303133[[#This Row],[MPAL2]:[GI]])</f>
        <v>0</v>
      </c>
      <c r="X44" s="246"/>
      <c r="Y44" s="282">
        <f>(Y43-V062A_20303133[[#This Row],[TOTAL]])+V062A_20303133[[#This Row],[FAENA2]]</f>
        <v>117.38000000000001</v>
      </c>
      <c r="Z44" s="245">
        <v>0</v>
      </c>
      <c r="AA44" s="246">
        <v>0</v>
      </c>
      <c r="AB44" s="320">
        <f>(AB43-V062A_20303133[[#This Row],[CYLINDER MP]])+V062A_20303133[[#This Row],[FAENA EN LTS]]</f>
        <v>3398</v>
      </c>
      <c r="AC44" s="246">
        <v>0</v>
      </c>
      <c r="AD44" s="246">
        <v>0</v>
      </c>
      <c r="AE44" s="320">
        <f>(AE43-V062A_20303133[[#This Row],[CARTER MP.]])+V062A_20303133[[#This Row],[FAENA EN LTS2]]</f>
        <v>1850</v>
      </c>
      <c r="AF44" s="246">
        <v>0</v>
      </c>
      <c r="AG44" s="246">
        <v>0</v>
      </c>
      <c r="AH44" s="320">
        <f>(AH43-V062A_20303133[[#This Row],[MOT AUX]])+V062A_20303133[[#This Row],[FAENA EN  LTS]]</f>
        <v>3230</v>
      </c>
      <c r="AI44" s="246">
        <v>0</v>
      </c>
      <c r="AJ44" s="246">
        <v>0</v>
      </c>
      <c r="AK44" s="321">
        <f>(AK43-V062A_20303133[[#This Row],[HIDRAULICO]])+V062A_20303133[[#This Row],[FAENA EN LTS3]]</f>
        <v>2400</v>
      </c>
    </row>
    <row r="45" spans="1:37" x14ac:dyDescent="0.25">
      <c r="A45" s="431" t="s">
        <v>290</v>
      </c>
      <c r="B45" s="48">
        <v>44116</v>
      </c>
      <c r="C45" s="41">
        <v>0.89166666666666661</v>
      </c>
      <c r="D45" s="418">
        <f>IF(V062A_20303133[[#This Row],[FECHA]]-B44=1,((V062A_20303133[[#This Row],[HORA]]-C44)*24)+24,(V062A_20303133[[#This Row],[HORA]]-C44)*24)</f>
        <v>2.6999999999999984</v>
      </c>
      <c r="E45" s="409" t="s">
        <v>49</v>
      </c>
      <c r="F45" s="29" t="s">
        <v>50</v>
      </c>
      <c r="G45" s="324"/>
      <c r="H45" s="306"/>
      <c r="I4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5" s="380"/>
      <c r="K45" s="325"/>
      <c r="L45" s="418">
        <v>0</v>
      </c>
      <c r="M45" s="245">
        <v>0.14000000000000001</v>
      </c>
      <c r="N45" s="245">
        <v>0.14000000000000001</v>
      </c>
      <c r="O45" s="257">
        <f>SUM(V062A_20303133[[#This Row],[MPAL]]+V062A_20303133[[#This Row],[AUX.]]+V062A_20303133[[#This Row],[CALDERA]])</f>
        <v>0.28000000000000003</v>
      </c>
      <c r="P45" s="319"/>
      <c r="Q45" s="281">
        <f>(Q44-V062A_20303133[[#This Row],[TOTAL ]])+V062A_20303133[[#This Row],[FAENA]]</f>
        <v>415.48000000000008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SUM(V062A_20303133[[#This Row],[MPAL2]:[GI]])</f>
        <v>0</v>
      </c>
      <c r="X45" s="246"/>
      <c r="Y45" s="282">
        <f>(Y44-V062A_20303133[[#This Row],[TOTAL]])+V062A_20303133[[#This Row],[FAENA2]]</f>
        <v>117.38000000000001</v>
      </c>
      <c r="Z45" s="245">
        <v>0</v>
      </c>
      <c r="AA45" s="246">
        <v>0</v>
      </c>
      <c r="AB45" s="320">
        <f>(AB44-V062A_20303133[[#This Row],[CYLINDER MP]])+V062A_20303133[[#This Row],[FAENA EN LTS]]</f>
        <v>3398</v>
      </c>
      <c r="AC45" s="246">
        <v>0</v>
      </c>
      <c r="AD45" s="246">
        <v>0</v>
      </c>
      <c r="AE45" s="320">
        <f>(AE44-V062A_20303133[[#This Row],[CARTER MP.]])+V062A_20303133[[#This Row],[FAENA EN LTS2]]</f>
        <v>1850</v>
      </c>
      <c r="AF45" s="246">
        <v>0</v>
      </c>
      <c r="AG45" s="246">
        <v>0</v>
      </c>
      <c r="AH45" s="320">
        <f>(AH44-V062A_20303133[[#This Row],[MOT AUX]])+V062A_20303133[[#This Row],[FAENA EN  LTS]]</f>
        <v>3230</v>
      </c>
      <c r="AI45" s="246">
        <v>0</v>
      </c>
      <c r="AJ45" s="246">
        <v>0</v>
      </c>
      <c r="AK45" s="321">
        <f>(AK44-V062A_20303133[[#This Row],[HIDRAULICO]])+V062A_20303133[[#This Row],[FAENA EN LTS3]]</f>
        <v>2400</v>
      </c>
    </row>
    <row r="46" spans="1:37" x14ac:dyDescent="0.25">
      <c r="A46" s="431" t="s">
        <v>290</v>
      </c>
      <c r="B46" s="48">
        <v>44117</v>
      </c>
      <c r="C46" s="41">
        <v>0.14166666666666666</v>
      </c>
      <c r="D46" s="418">
        <f>IF(V062A_20303133[[#This Row],[FECHA]]-B45=1,((V062A_20303133[[#This Row],[HORA]]-C45)*24)+24,(V062A_20303133[[#This Row],[HORA]]-C45)*24)</f>
        <v>6</v>
      </c>
      <c r="E46" s="409" t="s">
        <v>51</v>
      </c>
      <c r="F46" s="29" t="s">
        <v>52</v>
      </c>
      <c r="G46" s="324"/>
      <c r="H46" s="306"/>
      <c r="I4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6" s="380"/>
      <c r="K46" s="325"/>
      <c r="L46" s="418">
        <v>0</v>
      </c>
      <c r="M46" s="245">
        <v>0.38</v>
      </c>
      <c r="N46" s="245">
        <v>0.3</v>
      </c>
      <c r="O46" s="257">
        <f>SUM(V062A_20303133[[#This Row],[MPAL]]+V062A_20303133[[#This Row],[AUX.]]+V062A_20303133[[#This Row],[CALDERA]])</f>
        <v>0.67999999999999994</v>
      </c>
      <c r="P46" s="319"/>
      <c r="Q46" s="281">
        <f>(Q45-V062A_20303133[[#This Row],[TOTAL ]])+V062A_20303133[[#This Row],[FAENA]]</f>
        <v>414.80000000000007</v>
      </c>
      <c r="R46" s="245">
        <v>0</v>
      </c>
      <c r="S46" s="246">
        <v>0</v>
      </c>
      <c r="T46" s="246">
        <v>0</v>
      </c>
      <c r="U46" s="246">
        <v>0</v>
      </c>
      <c r="V46" s="246">
        <v>1.5</v>
      </c>
      <c r="W46" s="257">
        <f>SUM(V062A_20303133[[#This Row],[MPAL2]:[GI]])</f>
        <v>1.5</v>
      </c>
      <c r="X46" s="246"/>
      <c r="Y46" s="282">
        <f>(Y45-V062A_20303133[[#This Row],[TOTAL]])+V062A_20303133[[#This Row],[FAENA2]]</f>
        <v>115.88000000000001</v>
      </c>
      <c r="Z46" s="245">
        <v>0</v>
      </c>
      <c r="AA46" s="246">
        <v>0</v>
      </c>
      <c r="AB46" s="320">
        <f>(AB45-V062A_20303133[[#This Row],[CYLINDER MP]])+V062A_20303133[[#This Row],[FAENA EN LTS]]</f>
        <v>3398</v>
      </c>
      <c r="AC46" s="246">
        <v>0</v>
      </c>
      <c r="AD46" s="246">
        <v>0</v>
      </c>
      <c r="AE46" s="320">
        <f>(AE45-V062A_20303133[[#This Row],[CARTER MP.]])+V062A_20303133[[#This Row],[FAENA EN LTS2]]</f>
        <v>1850</v>
      </c>
      <c r="AF46" s="246">
        <v>0</v>
      </c>
      <c r="AG46" s="246">
        <v>0</v>
      </c>
      <c r="AH46" s="320">
        <f>(AH45-V062A_20303133[[#This Row],[MOT AUX]])+V062A_20303133[[#This Row],[FAENA EN  LTS]]</f>
        <v>3230</v>
      </c>
      <c r="AI46" s="246">
        <v>0</v>
      </c>
      <c r="AJ46" s="246">
        <v>0</v>
      </c>
      <c r="AK46" s="321">
        <f>(AK45-V062A_20303133[[#This Row],[HIDRAULICO]])+V062A_20303133[[#This Row],[FAENA EN LTS3]]</f>
        <v>2400</v>
      </c>
    </row>
    <row r="47" spans="1:37" x14ac:dyDescent="0.25">
      <c r="A47" s="431" t="s">
        <v>290</v>
      </c>
      <c r="B47" s="48">
        <v>44117</v>
      </c>
      <c r="C47" s="41">
        <v>0.33333333333333331</v>
      </c>
      <c r="D47" s="418">
        <f>IF(V062A_20303133[[#This Row],[FECHA]]-B46=1,((V062A_20303133[[#This Row],[HORA]]-C46)*24)+24,(V062A_20303133[[#This Row],[HORA]]-C46)*24)</f>
        <v>4.5999999999999996</v>
      </c>
      <c r="E47" s="409" t="s">
        <v>49</v>
      </c>
      <c r="F47" s="29" t="s">
        <v>59</v>
      </c>
      <c r="G47" s="324"/>
      <c r="H47" s="306"/>
      <c r="I4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7" s="380"/>
      <c r="K47" s="325"/>
      <c r="L47" s="418">
        <v>0</v>
      </c>
      <c r="M47" s="245">
        <v>0.23</v>
      </c>
      <c r="N47" s="245">
        <v>0.23</v>
      </c>
      <c r="O47" s="257">
        <f>SUM(V062A_20303133[[#This Row],[MPAL]]+V062A_20303133[[#This Row],[AUX.]]+V062A_20303133[[#This Row],[CALDERA]])</f>
        <v>0.46</v>
      </c>
      <c r="P47" s="319"/>
      <c r="Q47" s="281">
        <f>(Q46-V062A_20303133[[#This Row],[TOTAL ]])+V062A_20303133[[#This Row],[FAENA]]</f>
        <v>414.34000000000009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SUM(V062A_20303133[[#This Row],[MPAL2]:[GI]])</f>
        <v>0</v>
      </c>
      <c r="X47" s="246"/>
      <c r="Y47" s="282">
        <f>(Y46-V062A_20303133[[#This Row],[TOTAL]])+V062A_20303133[[#This Row],[FAENA2]]</f>
        <v>115.88000000000001</v>
      </c>
      <c r="Z47" s="245">
        <v>0</v>
      </c>
      <c r="AA47" s="246">
        <v>0</v>
      </c>
      <c r="AB47" s="320">
        <f>(AB46-V062A_20303133[[#This Row],[CYLINDER MP]])+V062A_20303133[[#This Row],[FAENA EN LTS]]</f>
        <v>3398</v>
      </c>
      <c r="AC47" s="246">
        <v>0</v>
      </c>
      <c r="AD47" s="246">
        <v>0</v>
      </c>
      <c r="AE47" s="320">
        <f>(AE46-V062A_20303133[[#This Row],[CARTER MP.]])+V062A_20303133[[#This Row],[FAENA EN LTS2]]</f>
        <v>1850</v>
      </c>
      <c r="AF47" s="246">
        <v>20</v>
      </c>
      <c r="AG47" s="246">
        <v>0</v>
      </c>
      <c r="AH47" s="320">
        <f>(AH46-V062A_20303133[[#This Row],[MOT AUX]])+V062A_20303133[[#This Row],[FAENA EN  LTS]]</f>
        <v>3210</v>
      </c>
      <c r="AI47" s="246">
        <v>0</v>
      </c>
      <c r="AJ47" s="246">
        <v>0</v>
      </c>
      <c r="AK47" s="321">
        <f>(AK46-V062A_20303133[[#This Row],[HIDRAULICO]])+V062A_20303133[[#This Row],[FAENA EN LTS3]]</f>
        <v>2400</v>
      </c>
    </row>
    <row r="48" spans="1:37" x14ac:dyDescent="0.25">
      <c r="A48" s="431" t="s">
        <v>290</v>
      </c>
      <c r="B48" s="48">
        <v>44117</v>
      </c>
      <c r="C48" s="41">
        <v>0.375</v>
      </c>
      <c r="D48" s="418">
        <f>IF(V062A_20303133[[#This Row],[FECHA]]-B47=1,((V062A_20303133[[#This Row],[HORA]]-C47)*24)+24,(V062A_20303133[[#This Row],[HORA]]-C47)*24)</f>
        <v>1.0000000000000004</v>
      </c>
      <c r="E48" s="409" t="s">
        <v>49</v>
      </c>
      <c r="F48" s="29" t="s">
        <v>46</v>
      </c>
      <c r="G48" s="324"/>
      <c r="H48" s="306"/>
      <c r="I4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8" s="380"/>
      <c r="K48" s="325"/>
      <c r="L48" s="418">
        <v>0</v>
      </c>
      <c r="M48" s="245">
        <v>0.05</v>
      </c>
      <c r="N48" s="245">
        <v>0.05</v>
      </c>
      <c r="O48" s="257">
        <f>SUM(V062A_20303133[[#This Row],[MPAL]]+V062A_20303133[[#This Row],[AUX.]]+V062A_20303133[[#This Row],[CALDERA]])</f>
        <v>0.1</v>
      </c>
      <c r="P48" s="319"/>
      <c r="Q48" s="281">
        <f>(Q47-V062A_20303133[[#This Row],[TOTAL ]])+V062A_20303133[[#This Row],[FAENA]]</f>
        <v>414.24000000000007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SUM(V062A_20303133[[#This Row],[MPAL2]:[GI]])</f>
        <v>0</v>
      </c>
      <c r="X48" s="246"/>
      <c r="Y48" s="282">
        <f>(Y47-V062A_20303133[[#This Row],[TOTAL]])+V062A_20303133[[#This Row],[FAENA2]]</f>
        <v>115.88000000000001</v>
      </c>
      <c r="Z48" s="245">
        <v>0</v>
      </c>
      <c r="AA48" s="246">
        <v>0</v>
      </c>
      <c r="AB48" s="320">
        <f>(AB47-V062A_20303133[[#This Row],[CYLINDER MP]])+V062A_20303133[[#This Row],[FAENA EN LTS]]</f>
        <v>3398</v>
      </c>
      <c r="AC48" s="246">
        <v>0</v>
      </c>
      <c r="AD48" s="246">
        <v>0</v>
      </c>
      <c r="AE48" s="320">
        <f>(AE47-V062A_20303133[[#This Row],[CARTER MP.]])+V062A_20303133[[#This Row],[FAENA EN LTS2]]</f>
        <v>1850</v>
      </c>
      <c r="AF48" s="246">
        <v>0</v>
      </c>
      <c r="AG48" s="246">
        <v>0</v>
      </c>
      <c r="AH48" s="320">
        <f>(AH47-V062A_20303133[[#This Row],[MOT AUX]])+V062A_20303133[[#This Row],[FAENA EN  LTS]]</f>
        <v>3210</v>
      </c>
      <c r="AI48" s="246">
        <v>0</v>
      </c>
      <c r="AJ48" s="246">
        <v>0</v>
      </c>
      <c r="AK48" s="321">
        <f>(AK47-V062A_20303133[[#This Row],[HIDRAULICO]])+V062A_20303133[[#This Row],[FAENA EN LTS3]]</f>
        <v>2400</v>
      </c>
    </row>
    <row r="49" spans="1:37" x14ac:dyDescent="0.25">
      <c r="A49" s="431" t="s">
        <v>290</v>
      </c>
      <c r="B49" s="48">
        <v>44117</v>
      </c>
      <c r="C49" s="41">
        <v>0.39583333333333331</v>
      </c>
      <c r="D49" s="418">
        <f>IF(V062A_20303133[[#This Row],[FECHA]]-B48=1,((V062A_20303133[[#This Row],[HORA]]-C48)*24)+24,(V062A_20303133[[#This Row],[HORA]]-C48)*24)</f>
        <v>0.49999999999999956</v>
      </c>
      <c r="E49" s="409" t="s">
        <v>47</v>
      </c>
      <c r="F49" s="29" t="s">
        <v>297</v>
      </c>
      <c r="G49" s="324"/>
      <c r="H49" s="306"/>
      <c r="I4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49" s="380"/>
      <c r="K49" s="325"/>
      <c r="L49" s="418">
        <v>0.1</v>
      </c>
      <c r="M49" s="245">
        <v>0.03</v>
      </c>
      <c r="N49" s="245">
        <v>0.03</v>
      </c>
      <c r="O49" s="257">
        <f>SUM(V062A_20303133[[#This Row],[MPAL]]+V062A_20303133[[#This Row],[AUX.]]+V062A_20303133[[#This Row],[CALDERA]])</f>
        <v>0.16</v>
      </c>
      <c r="P49" s="319"/>
      <c r="Q49" s="281">
        <f>(Q48-V062A_20303133[[#This Row],[TOTAL ]])+V062A_20303133[[#This Row],[FAENA]]</f>
        <v>414.08000000000004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SUM(V062A_20303133[[#This Row],[MPAL2]:[GI]])</f>
        <v>0</v>
      </c>
      <c r="X49" s="246"/>
      <c r="Y49" s="282">
        <f>(Y48-V062A_20303133[[#This Row],[TOTAL]])+V062A_20303133[[#This Row],[FAENA2]]</f>
        <v>115.88000000000001</v>
      </c>
      <c r="Z49" s="245">
        <v>0</v>
      </c>
      <c r="AA49" s="246">
        <v>0</v>
      </c>
      <c r="AB49" s="320">
        <f>(AB48-V062A_20303133[[#This Row],[CYLINDER MP]])+V062A_20303133[[#This Row],[FAENA EN LTS]]</f>
        <v>3398</v>
      </c>
      <c r="AC49" s="246">
        <v>0</v>
      </c>
      <c r="AD49" s="246">
        <v>0</v>
      </c>
      <c r="AE49" s="320">
        <f>(AE48-V062A_20303133[[#This Row],[CARTER MP.]])+V062A_20303133[[#This Row],[FAENA EN LTS2]]</f>
        <v>1850</v>
      </c>
      <c r="AF49" s="246">
        <v>0</v>
      </c>
      <c r="AG49" s="246">
        <v>0</v>
      </c>
      <c r="AH49" s="320">
        <f>(AH48-V062A_20303133[[#This Row],[MOT AUX]])+V062A_20303133[[#This Row],[FAENA EN  LTS]]</f>
        <v>3210</v>
      </c>
      <c r="AI49" s="246">
        <v>0</v>
      </c>
      <c r="AJ49" s="246">
        <v>0</v>
      </c>
      <c r="AK49" s="321">
        <f>(AK48-V062A_20303133[[#This Row],[HIDRAULICO]])+V062A_20303133[[#This Row],[FAENA EN LTS3]]</f>
        <v>2400</v>
      </c>
    </row>
    <row r="50" spans="1:37" x14ac:dyDescent="0.25">
      <c r="A50" s="431" t="s">
        <v>290</v>
      </c>
      <c r="B50" s="48">
        <v>44117</v>
      </c>
      <c r="C50" s="362">
        <v>0.69166666666666676</v>
      </c>
      <c r="D50" s="418">
        <f>IF(V062A_20303133[[#This Row],[FECHA]]-B49=1,((V062A_20303133[[#This Row],[HORA]]-C49)*24)+24,(V062A_20303133[[#This Row],[HORA]]-C49)*24)</f>
        <v>7.1000000000000032</v>
      </c>
      <c r="E50" s="409" t="s">
        <v>55</v>
      </c>
      <c r="F50" s="29" t="s">
        <v>271</v>
      </c>
      <c r="G50" s="324">
        <v>102</v>
      </c>
      <c r="H50" s="306">
        <v>7.1</v>
      </c>
      <c r="I50" s="259">
        <f>IF(ISERROR(V062A_20303133[[#This Row],[DISTANCIA POR CARTA]]/V062A_20303133[[#This Row],[TIEMPO DE NAVEGACION]]),0,V062A_20303133[[#This Row],[DISTANCIA POR CARTA]]/V062A_20303133[[#This Row],[TIEMPO DE NAVEGACION]])</f>
        <v>14.366197183098592</v>
      </c>
      <c r="J50" s="242">
        <v>4</v>
      </c>
      <c r="K50" s="325">
        <v>97</v>
      </c>
      <c r="L50" s="418">
        <v>5.92</v>
      </c>
      <c r="M50" s="245">
        <v>0.36</v>
      </c>
      <c r="N50" s="245">
        <v>0</v>
      </c>
      <c r="O50" s="257">
        <f>SUM(V062A_20303133[[#This Row],[MPAL]]+V062A_20303133[[#This Row],[AUX.]]+V062A_20303133[[#This Row],[CALDERA]])</f>
        <v>6.28</v>
      </c>
      <c r="P50" s="319"/>
      <c r="Q50" s="281">
        <f>(Q49-V062A_20303133[[#This Row],[TOTAL ]])+V062A_20303133[[#This Row],[FAENA]]</f>
        <v>407.80000000000007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SUM(V062A_20303133[[#This Row],[MPAL2]:[GI]])</f>
        <v>0</v>
      </c>
      <c r="X50" s="246"/>
      <c r="Y50" s="282">
        <f>(Y49-V062A_20303133[[#This Row],[TOTAL]])+V062A_20303133[[#This Row],[FAENA2]]</f>
        <v>115.88000000000001</v>
      </c>
      <c r="Z50" s="245">
        <v>68</v>
      </c>
      <c r="AA50" s="246">
        <v>0</v>
      </c>
      <c r="AB50" s="320">
        <f>(AB49-V062A_20303133[[#This Row],[CYLINDER MP]])+V062A_20303133[[#This Row],[FAENA EN LTS]]</f>
        <v>3330</v>
      </c>
      <c r="AC50" s="246">
        <v>150</v>
      </c>
      <c r="AD50" s="246">
        <v>0</v>
      </c>
      <c r="AE50" s="320">
        <f>(AE49-V062A_20303133[[#This Row],[CARTER MP.]])+V062A_20303133[[#This Row],[FAENA EN LTS2]]</f>
        <v>1700</v>
      </c>
      <c r="AF50" s="246">
        <v>0</v>
      </c>
      <c r="AG50" s="246">
        <v>0</v>
      </c>
      <c r="AH50" s="320">
        <f>(AH49-V062A_20303133[[#This Row],[MOT AUX]])+V062A_20303133[[#This Row],[FAENA EN  LTS]]</f>
        <v>3210</v>
      </c>
      <c r="AI50" s="246">
        <v>0</v>
      </c>
      <c r="AJ50" s="246">
        <v>0</v>
      </c>
      <c r="AK50" s="321">
        <f>(AK49-V062A_20303133[[#This Row],[HIDRAULICO]])+V062A_20303133[[#This Row],[FAENA EN LTS3]]</f>
        <v>2400</v>
      </c>
    </row>
    <row r="51" spans="1:37" x14ac:dyDescent="0.25">
      <c r="A51" s="431" t="s">
        <v>290</v>
      </c>
      <c r="B51" s="48">
        <v>44117</v>
      </c>
      <c r="C51" s="351">
        <v>0.79166666666666663</v>
      </c>
      <c r="D51" s="418">
        <f>IF(V062A_20303133[[#This Row],[FECHA]]-B50=1,((V062A_20303133[[#This Row],[HORA]]-C50)*24)+24,(V062A_20303133[[#This Row],[HORA]]-C50)*24)</f>
        <v>2.3999999999999968</v>
      </c>
      <c r="E51" s="239" t="s">
        <v>47</v>
      </c>
      <c r="F51" s="29" t="s">
        <v>298</v>
      </c>
      <c r="G51" s="324"/>
      <c r="H51" s="306"/>
      <c r="I5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1" s="242"/>
      <c r="K51" s="325"/>
      <c r="L51" s="418">
        <v>0.2</v>
      </c>
      <c r="M51" s="245">
        <v>0.2</v>
      </c>
      <c r="N51" s="245">
        <v>0.12</v>
      </c>
      <c r="O51" s="257">
        <f>SUM(V062A_20303133[[#This Row],[MPAL]]+V062A_20303133[[#This Row],[AUX.]]+V062A_20303133[[#This Row],[CALDERA]])</f>
        <v>0.52</v>
      </c>
      <c r="P51" s="319"/>
      <c r="Q51" s="281">
        <f>(Q50-V062A_20303133[[#This Row],[TOTAL ]])+V062A_20303133[[#This Row],[FAENA]]</f>
        <v>407.28000000000009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SUM(V062A_20303133[[#This Row],[MPAL2]:[GI]])</f>
        <v>0</v>
      </c>
      <c r="X51" s="246"/>
      <c r="Y51" s="282">
        <f>(Y50-V062A_20303133[[#This Row],[TOTAL]])+V062A_20303133[[#This Row],[FAENA2]]</f>
        <v>115.88000000000001</v>
      </c>
      <c r="Z51" s="245">
        <v>0</v>
      </c>
      <c r="AA51" s="246">
        <v>0</v>
      </c>
      <c r="AB51" s="320">
        <f>(AB50-V062A_20303133[[#This Row],[CYLINDER MP]])+V062A_20303133[[#This Row],[FAENA EN LTS]]</f>
        <v>3330</v>
      </c>
      <c r="AC51" s="246">
        <v>0</v>
      </c>
      <c r="AD51" s="246">
        <v>0</v>
      </c>
      <c r="AE51" s="320">
        <f>(AE50-V062A_20303133[[#This Row],[CARTER MP.]])+V062A_20303133[[#This Row],[FAENA EN LTS2]]</f>
        <v>1700</v>
      </c>
      <c r="AF51" s="246">
        <v>0</v>
      </c>
      <c r="AG51" s="246">
        <v>0</v>
      </c>
      <c r="AH51" s="320">
        <f>(AH50-V062A_20303133[[#This Row],[MOT AUX]])+V062A_20303133[[#This Row],[FAENA EN  LTS]]</f>
        <v>3210</v>
      </c>
      <c r="AI51" s="246">
        <v>0</v>
      </c>
      <c r="AJ51" s="246">
        <v>0</v>
      </c>
      <c r="AK51" s="321">
        <f>(AK50-V062A_20303133[[#This Row],[HIDRAULICO]])+V062A_20303133[[#This Row],[FAENA EN LTS3]]</f>
        <v>2400</v>
      </c>
    </row>
    <row r="52" spans="1:37" x14ac:dyDescent="0.25">
      <c r="A52" s="431" t="s">
        <v>290</v>
      </c>
      <c r="B52" s="48">
        <v>44118</v>
      </c>
      <c r="C52" s="362">
        <v>3.3333333333333333E-2</v>
      </c>
      <c r="D52" s="418">
        <f>IF(V062A_20303133[[#This Row],[FECHA]]-B51=1,((V062A_20303133[[#This Row],[HORA]]-C51)*24)+24,(V062A_20303133[[#This Row],[HORA]]-C51)*24)</f>
        <v>5.8000000000000007</v>
      </c>
      <c r="E52" s="409" t="s">
        <v>49</v>
      </c>
      <c r="F52" s="29" t="s">
        <v>85</v>
      </c>
      <c r="G52" s="324"/>
      <c r="H52" s="306"/>
      <c r="I5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2" s="242"/>
      <c r="K52" s="325"/>
      <c r="L52" s="418">
        <v>0</v>
      </c>
      <c r="M52" s="245">
        <v>0.36</v>
      </c>
      <c r="N52" s="245">
        <v>0.28999999999999998</v>
      </c>
      <c r="O52" s="257">
        <f>SUM(V062A_20303133[[#This Row],[MPAL]]+V062A_20303133[[#This Row],[AUX.]]+V062A_20303133[[#This Row],[CALDERA]])</f>
        <v>0.64999999999999991</v>
      </c>
      <c r="P52" s="319"/>
      <c r="Q52" s="281">
        <f>(Q51-V062A_20303133[[#This Row],[TOTAL ]])+V062A_20303133[[#This Row],[FAENA]]</f>
        <v>406.63000000000011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SUM(V062A_20303133[[#This Row],[MPAL2]:[GI]])</f>
        <v>0</v>
      </c>
      <c r="X52" s="246"/>
      <c r="Y52" s="282">
        <f>(Y51-V062A_20303133[[#This Row],[TOTAL]])+V062A_20303133[[#This Row],[FAENA2]]</f>
        <v>115.88000000000001</v>
      </c>
      <c r="Z52" s="245">
        <v>0</v>
      </c>
      <c r="AA52" s="246">
        <v>0</v>
      </c>
      <c r="AB52" s="320">
        <f>(AB51-V062A_20303133[[#This Row],[CYLINDER MP]])+V062A_20303133[[#This Row],[FAENA EN LTS]]</f>
        <v>3330</v>
      </c>
      <c r="AC52" s="246">
        <v>0</v>
      </c>
      <c r="AD52" s="246">
        <v>0</v>
      </c>
      <c r="AE52" s="320">
        <f>(AE51-V062A_20303133[[#This Row],[CARTER MP.]])+V062A_20303133[[#This Row],[FAENA EN LTS2]]</f>
        <v>1700</v>
      </c>
      <c r="AF52" s="246">
        <v>0</v>
      </c>
      <c r="AG52" s="246">
        <v>0</v>
      </c>
      <c r="AH52" s="320">
        <f>(AH51-V062A_20303133[[#This Row],[MOT AUX]])+V062A_20303133[[#This Row],[FAENA EN  LTS]]</f>
        <v>3210</v>
      </c>
      <c r="AI52" s="246">
        <v>0</v>
      </c>
      <c r="AJ52" s="246">
        <v>0</v>
      </c>
      <c r="AK52" s="321">
        <f>(AK51-V062A_20303133[[#This Row],[HIDRAULICO]])+V062A_20303133[[#This Row],[FAENA EN LTS3]]</f>
        <v>2400</v>
      </c>
    </row>
    <row r="53" spans="1:37" x14ac:dyDescent="0.25">
      <c r="A53" s="431" t="s">
        <v>290</v>
      </c>
      <c r="B53" s="48">
        <v>44118</v>
      </c>
      <c r="C53" s="351">
        <v>0.33333333333333331</v>
      </c>
      <c r="D53" s="418">
        <f>IF(V062A_20303133[[#This Row],[FECHA]]-B52=1,((V062A_20303133[[#This Row],[HORA]]-C52)*24)+24,(V062A_20303133[[#This Row],[HORA]]-C52)*24)</f>
        <v>7.1999999999999993</v>
      </c>
      <c r="E53" s="409" t="s">
        <v>71</v>
      </c>
      <c r="F53" s="29" t="s">
        <v>71</v>
      </c>
      <c r="G53" s="324"/>
      <c r="H53" s="306"/>
      <c r="I5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3" s="242"/>
      <c r="K53" s="325"/>
      <c r="L53" s="418">
        <v>0</v>
      </c>
      <c r="M53" s="245">
        <v>0.45</v>
      </c>
      <c r="N53" s="245">
        <v>0.36</v>
      </c>
      <c r="O53" s="257">
        <f>SUM(V062A_20303133[[#This Row],[MPAL]]+V062A_20303133[[#This Row],[AUX.]]+V062A_20303133[[#This Row],[CALDERA]])</f>
        <v>0.81</v>
      </c>
      <c r="P53" s="319"/>
      <c r="Q53" s="281">
        <f>(Q52-V062A_20303133[[#This Row],[TOTAL ]])+V062A_20303133[[#This Row],[FAENA]]</f>
        <v>405.82000000000011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SUM(V062A_20303133[[#This Row],[MPAL2]:[GI]])</f>
        <v>0</v>
      </c>
      <c r="X53" s="246"/>
      <c r="Y53" s="282">
        <f>(Y52-V062A_20303133[[#This Row],[TOTAL]])+V062A_20303133[[#This Row],[FAENA2]]</f>
        <v>115.88000000000001</v>
      </c>
      <c r="Z53" s="245">
        <v>0</v>
      </c>
      <c r="AA53" s="246">
        <v>0</v>
      </c>
      <c r="AB53" s="320">
        <f>(AB52-V062A_20303133[[#This Row],[CYLINDER MP]])+V062A_20303133[[#This Row],[FAENA EN LTS]]</f>
        <v>3330</v>
      </c>
      <c r="AC53" s="246">
        <v>0</v>
      </c>
      <c r="AD53" s="246">
        <v>0</v>
      </c>
      <c r="AE53" s="320">
        <f>(AE52-V062A_20303133[[#This Row],[CARTER MP.]])+V062A_20303133[[#This Row],[FAENA EN LTS2]]</f>
        <v>1700</v>
      </c>
      <c r="AF53" s="246">
        <v>10</v>
      </c>
      <c r="AG53" s="246">
        <v>0</v>
      </c>
      <c r="AH53" s="320">
        <f>(AH52-V062A_20303133[[#This Row],[MOT AUX]])+V062A_20303133[[#This Row],[FAENA EN  LTS]]</f>
        <v>3200</v>
      </c>
      <c r="AI53" s="246">
        <v>0</v>
      </c>
      <c r="AJ53" s="246">
        <v>0</v>
      </c>
      <c r="AK53" s="321">
        <f>(AK52-V062A_20303133[[#This Row],[HIDRAULICO]])+V062A_20303133[[#This Row],[FAENA EN LTS3]]</f>
        <v>2400</v>
      </c>
    </row>
    <row r="54" spans="1:37" x14ac:dyDescent="0.25">
      <c r="A54" s="431" t="s">
        <v>290</v>
      </c>
      <c r="B54" s="48">
        <v>44119</v>
      </c>
      <c r="C54" s="41">
        <v>0.33333333333333331</v>
      </c>
      <c r="D54" s="418">
        <f>IF(V062A_20303133[[#This Row],[FECHA]]-B53=1,((V062A_20303133[[#This Row],[HORA]]-C53)*24)+24,(V062A_20303133[[#This Row],[HORA]]-C53)*24)</f>
        <v>24</v>
      </c>
      <c r="E54" s="409" t="s">
        <v>71</v>
      </c>
      <c r="F54" s="29" t="s">
        <v>71</v>
      </c>
      <c r="G54" s="324"/>
      <c r="H54" s="306"/>
      <c r="I5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4" s="242"/>
      <c r="K54" s="325"/>
      <c r="L54" s="418">
        <v>0</v>
      </c>
      <c r="M54" s="245">
        <v>1.5</v>
      </c>
      <c r="N54" s="245">
        <v>1.2</v>
      </c>
      <c r="O54" s="257">
        <f>SUM(V062A_20303133[[#This Row],[MPAL]]+V062A_20303133[[#This Row],[AUX.]]+V062A_20303133[[#This Row],[CALDERA]])</f>
        <v>2.7</v>
      </c>
      <c r="P54" s="319"/>
      <c r="Q54" s="281">
        <f>(Q53-V062A_20303133[[#This Row],[TOTAL ]])+V062A_20303133[[#This Row],[FAENA]]</f>
        <v>403.12000000000012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SUM(V062A_20303133[[#This Row],[MPAL2]:[GI]])</f>
        <v>0</v>
      </c>
      <c r="X54" s="246"/>
      <c r="Y54" s="282">
        <f>(Y53-V062A_20303133[[#This Row],[TOTAL]])+V062A_20303133[[#This Row],[FAENA2]]</f>
        <v>115.88000000000001</v>
      </c>
      <c r="Z54" s="245">
        <v>0</v>
      </c>
      <c r="AA54" s="246">
        <v>0</v>
      </c>
      <c r="AB54" s="320">
        <f>(AB53-V062A_20303133[[#This Row],[CYLINDER MP]])+V062A_20303133[[#This Row],[FAENA EN LTS]]</f>
        <v>3330</v>
      </c>
      <c r="AC54" s="246">
        <v>0</v>
      </c>
      <c r="AD54" s="246">
        <v>0</v>
      </c>
      <c r="AE54" s="320">
        <f>(AE53-V062A_20303133[[#This Row],[CARTER MP.]])+V062A_20303133[[#This Row],[FAENA EN LTS2]]</f>
        <v>1700</v>
      </c>
      <c r="AF54" s="246">
        <v>10</v>
      </c>
      <c r="AG54" s="246">
        <v>0</v>
      </c>
      <c r="AH54" s="320">
        <f>(AH53-V062A_20303133[[#This Row],[MOT AUX]])+V062A_20303133[[#This Row],[FAENA EN  LTS]]</f>
        <v>3190</v>
      </c>
      <c r="AI54" s="246">
        <v>0</v>
      </c>
      <c r="AJ54" s="246">
        <v>0</v>
      </c>
      <c r="AK54" s="321">
        <f>(AK53-V062A_20303133[[#This Row],[HIDRAULICO]])+V062A_20303133[[#This Row],[FAENA EN LTS3]]</f>
        <v>2400</v>
      </c>
    </row>
    <row r="55" spans="1:37" x14ac:dyDescent="0.25">
      <c r="A55" s="431" t="s">
        <v>290</v>
      </c>
      <c r="B55" s="48">
        <v>44120</v>
      </c>
      <c r="C55" s="41">
        <v>0.33333333333333331</v>
      </c>
      <c r="D55" s="418">
        <f>IF(V062A_20303133[[#This Row],[FECHA]]-B54=1,((V062A_20303133[[#This Row],[HORA]]-C54)*24)+24,(V062A_20303133[[#This Row],[HORA]]-C54)*24)</f>
        <v>24</v>
      </c>
      <c r="E55" s="409" t="s">
        <v>51</v>
      </c>
      <c r="F55" s="29" t="s">
        <v>263</v>
      </c>
      <c r="G55" s="324"/>
      <c r="H55" s="306"/>
      <c r="I5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5" s="242"/>
      <c r="K55" s="325"/>
      <c r="L55" s="418">
        <v>0</v>
      </c>
      <c r="M55" s="245">
        <v>4</v>
      </c>
      <c r="N55" s="245">
        <v>1.2</v>
      </c>
      <c r="O55" s="257">
        <f>SUM(V062A_20303133[[#This Row],[MPAL]]+V062A_20303133[[#This Row],[AUX.]]+V062A_20303133[[#This Row],[CALDERA]])</f>
        <v>5.2</v>
      </c>
      <c r="P55" s="319"/>
      <c r="Q55" s="281">
        <f>(Q54-V062A_20303133[[#This Row],[TOTAL ]])+V062A_20303133[[#This Row],[FAENA]]</f>
        <v>397.92000000000013</v>
      </c>
      <c r="R55" s="245">
        <v>0</v>
      </c>
      <c r="S55" s="246">
        <v>0</v>
      </c>
      <c r="T55" s="246">
        <v>0</v>
      </c>
      <c r="U55" s="246">
        <v>0</v>
      </c>
      <c r="V55" s="246">
        <v>5</v>
      </c>
      <c r="W55" s="257">
        <f>SUM(V062A_20303133[[#This Row],[MPAL2]:[GI]])</f>
        <v>5</v>
      </c>
      <c r="X55" s="246"/>
      <c r="Y55" s="282">
        <f>(Y54-V062A_20303133[[#This Row],[TOTAL]])+V062A_20303133[[#This Row],[FAENA2]]</f>
        <v>110.88000000000001</v>
      </c>
      <c r="Z55" s="245">
        <v>0</v>
      </c>
      <c r="AA55" s="246">
        <v>0</v>
      </c>
      <c r="AB55" s="320">
        <f>(AB54-V062A_20303133[[#This Row],[CYLINDER MP]])+V062A_20303133[[#This Row],[FAENA EN LTS]]</f>
        <v>3330</v>
      </c>
      <c r="AC55" s="246">
        <v>0</v>
      </c>
      <c r="AD55" s="246">
        <v>0</v>
      </c>
      <c r="AE55" s="320">
        <f>(AE54-V062A_20303133[[#This Row],[CARTER MP.]])+V062A_20303133[[#This Row],[FAENA EN LTS2]]</f>
        <v>1700</v>
      </c>
      <c r="AF55" s="246">
        <v>10</v>
      </c>
      <c r="AG55" s="246">
        <v>0</v>
      </c>
      <c r="AH55" s="320">
        <f>(AH54-V062A_20303133[[#This Row],[MOT AUX]])+V062A_20303133[[#This Row],[FAENA EN  LTS]]</f>
        <v>3180</v>
      </c>
      <c r="AI55" s="246">
        <v>0</v>
      </c>
      <c r="AJ55" s="246">
        <v>0</v>
      </c>
      <c r="AK55" s="321">
        <f>(AK54-V062A_20303133[[#This Row],[HIDRAULICO]])+V062A_20303133[[#This Row],[FAENA EN LTS3]]</f>
        <v>2400</v>
      </c>
    </row>
    <row r="56" spans="1:37" x14ac:dyDescent="0.25">
      <c r="A56" s="431" t="s">
        <v>290</v>
      </c>
      <c r="B56" s="48">
        <v>44120</v>
      </c>
      <c r="C56" s="41">
        <v>0.5541666666666667</v>
      </c>
      <c r="D56" s="418">
        <f>IF(V062A_20303133[[#This Row],[FECHA]]-B55=1,((V062A_20303133[[#This Row],[HORA]]-C55)*24)+24,(V062A_20303133[[#This Row],[HORA]]-C55)*24)</f>
        <v>5.3000000000000007</v>
      </c>
      <c r="E56" s="409" t="s">
        <v>71</v>
      </c>
      <c r="F56" s="29" t="s">
        <v>71</v>
      </c>
      <c r="G56" s="324"/>
      <c r="H56" s="306"/>
      <c r="I5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6" s="242"/>
      <c r="K56" s="325"/>
      <c r="L56" s="418">
        <v>0</v>
      </c>
      <c r="M56" s="245">
        <v>0.33</v>
      </c>
      <c r="N56" s="245">
        <v>0.27</v>
      </c>
      <c r="O56" s="257">
        <f>SUM(V062A_20303133[[#This Row],[MPAL]]+V062A_20303133[[#This Row],[AUX.]]+V062A_20303133[[#This Row],[CALDERA]])</f>
        <v>0.60000000000000009</v>
      </c>
      <c r="P56" s="319">
        <v>487.6</v>
      </c>
      <c r="Q56" s="281">
        <f>(Q55-V062A_20303133[[#This Row],[TOTAL ]])+V062A_20303133[[#This Row],[FAENA]]</f>
        <v>884.92000000000007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SUM(V062A_20303133[[#This Row],[MPAL2]:[GI]])</f>
        <v>0</v>
      </c>
      <c r="X56" s="246"/>
      <c r="Y56" s="282">
        <f>(Y55-V062A_20303133[[#This Row],[TOTAL]])+V062A_20303133[[#This Row],[FAENA2]]</f>
        <v>110.88000000000001</v>
      </c>
      <c r="Z56" s="245">
        <v>0</v>
      </c>
      <c r="AA56" s="246">
        <v>0</v>
      </c>
      <c r="AB56" s="320">
        <f>(AB55-V062A_20303133[[#This Row],[CYLINDER MP]])+V062A_20303133[[#This Row],[FAENA EN LTS]]</f>
        <v>3330</v>
      </c>
      <c r="AC56" s="246">
        <v>0</v>
      </c>
      <c r="AD56" s="246">
        <v>0</v>
      </c>
      <c r="AE56" s="320">
        <f>(AE55-V062A_20303133[[#This Row],[CARTER MP.]])+V062A_20303133[[#This Row],[FAENA EN LTS2]]</f>
        <v>1700</v>
      </c>
      <c r="AF56" s="246">
        <v>0</v>
      </c>
      <c r="AG56" s="246">
        <v>0</v>
      </c>
      <c r="AH56" s="320">
        <f>(AH55-V062A_20303133[[#This Row],[MOT AUX]])+V062A_20303133[[#This Row],[FAENA EN  LTS]]</f>
        <v>3180</v>
      </c>
      <c r="AI56" s="246">
        <v>0</v>
      </c>
      <c r="AJ56" s="246">
        <v>0</v>
      </c>
      <c r="AK56" s="321">
        <f>(AK55-V062A_20303133[[#This Row],[HIDRAULICO]])+V062A_20303133[[#This Row],[FAENA EN LTS3]]</f>
        <v>2400</v>
      </c>
    </row>
    <row r="57" spans="1:37" x14ac:dyDescent="0.25">
      <c r="A57" s="431" t="s">
        <v>290</v>
      </c>
      <c r="B57" s="48">
        <v>44121</v>
      </c>
      <c r="C57" s="41">
        <v>0.17083333333333331</v>
      </c>
      <c r="D57" s="418">
        <f>IF(V062A_20303133[[#This Row],[FECHA]]-B56=1,((V062A_20303133[[#This Row],[HORA]]-C56)*24)+24,(V062A_20303133[[#This Row],[HORA]]-C56)*24)</f>
        <v>14.799999999999997</v>
      </c>
      <c r="E57" s="409" t="s">
        <v>71</v>
      </c>
      <c r="F57" s="29" t="s">
        <v>71</v>
      </c>
      <c r="G57" s="324"/>
      <c r="H57" s="306"/>
      <c r="I5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7" s="242"/>
      <c r="K57" s="325"/>
      <c r="L57" s="418">
        <v>0</v>
      </c>
      <c r="M57" s="245">
        <v>0.93</v>
      </c>
      <c r="N57" s="245">
        <v>0.7</v>
      </c>
      <c r="O57" s="257">
        <f>SUM(V062A_20303133[[#This Row],[MPAL]]+V062A_20303133[[#This Row],[AUX.]]+V062A_20303133[[#This Row],[CALDERA]])</f>
        <v>1.63</v>
      </c>
      <c r="P57" s="319"/>
      <c r="Q57" s="281">
        <f>(Q56-V062A_20303133[[#This Row],[TOTAL ]])+V062A_20303133[[#This Row],[FAENA]]</f>
        <v>883.29000000000008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SUM(V062A_20303133[[#This Row],[MPAL2]:[GI]])</f>
        <v>0</v>
      </c>
      <c r="X57" s="246"/>
      <c r="Y57" s="282">
        <f>(Y56-V062A_20303133[[#This Row],[TOTAL]])+V062A_20303133[[#This Row],[FAENA2]]</f>
        <v>110.88000000000001</v>
      </c>
      <c r="Z57" s="245">
        <v>0</v>
      </c>
      <c r="AA57" s="246">
        <v>0</v>
      </c>
      <c r="AB57" s="320">
        <f>(AB56-V062A_20303133[[#This Row],[CYLINDER MP]])+V062A_20303133[[#This Row],[FAENA EN LTS]]</f>
        <v>3330</v>
      </c>
      <c r="AC57" s="246">
        <v>0</v>
      </c>
      <c r="AD57" s="246">
        <v>0</v>
      </c>
      <c r="AE57" s="320">
        <f>(AE56-V062A_20303133[[#This Row],[CARTER MP.]])+V062A_20303133[[#This Row],[FAENA EN LTS2]]</f>
        <v>1700</v>
      </c>
      <c r="AF57" s="246">
        <v>0</v>
      </c>
      <c r="AG57" s="246">
        <v>0</v>
      </c>
      <c r="AH57" s="320">
        <f>(AH56-V062A_20303133[[#This Row],[MOT AUX]])+V062A_20303133[[#This Row],[FAENA EN  LTS]]</f>
        <v>3180</v>
      </c>
      <c r="AI57" s="246">
        <v>0</v>
      </c>
      <c r="AJ57" s="246">
        <v>0</v>
      </c>
      <c r="AK57" s="321">
        <f>(AK56-V062A_20303133[[#This Row],[HIDRAULICO]])+V062A_20303133[[#This Row],[FAENA EN LTS3]]</f>
        <v>2400</v>
      </c>
    </row>
    <row r="58" spans="1:37" x14ac:dyDescent="0.25">
      <c r="A58" s="431" t="s">
        <v>290</v>
      </c>
      <c r="B58" s="48">
        <v>44121</v>
      </c>
      <c r="C58" s="41">
        <v>0.33333333333333331</v>
      </c>
      <c r="D58" s="418">
        <f>IF(V062A_20303133[[#This Row],[FECHA]]-B57=1,((V062A_20303133[[#This Row],[HORA]]-C57)*24)+24,(V062A_20303133[[#This Row],[HORA]]-C57)*24)</f>
        <v>3.9000000000000004</v>
      </c>
      <c r="E58" s="409" t="s">
        <v>49</v>
      </c>
      <c r="F58" s="29" t="s">
        <v>59</v>
      </c>
      <c r="G58" s="324"/>
      <c r="H58" s="306"/>
      <c r="I5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8" s="242"/>
      <c r="K58" s="325"/>
      <c r="L58" s="418">
        <v>0</v>
      </c>
      <c r="M58" s="245">
        <v>0.2</v>
      </c>
      <c r="N58" s="245">
        <v>0.2</v>
      </c>
      <c r="O58" s="257">
        <f>SUM(V062A_20303133[[#This Row],[MPAL]]+V062A_20303133[[#This Row],[AUX.]]+V062A_20303133[[#This Row],[CALDERA]])</f>
        <v>0.4</v>
      </c>
      <c r="P58" s="319"/>
      <c r="Q58" s="281">
        <f>(Q57-V062A_20303133[[#This Row],[TOTAL ]])+V062A_20303133[[#This Row],[FAENA]]</f>
        <v>882.8900000000001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SUM(V062A_20303133[[#This Row],[MPAL2]:[GI]])</f>
        <v>0</v>
      </c>
      <c r="X58" s="246"/>
      <c r="Y58" s="282">
        <f>(Y57-V062A_20303133[[#This Row],[TOTAL]])+V062A_20303133[[#This Row],[FAENA2]]</f>
        <v>110.88000000000001</v>
      </c>
      <c r="Z58" s="245">
        <v>0</v>
      </c>
      <c r="AA58" s="246">
        <v>0</v>
      </c>
      <c r="AB58" s="320">
        <f>(AB57-V062A_20303133[[#This Row],[CYLINDER MP]])+V062A_20303133[[#This Row],[FAENA EN LTS]]</f>
        <v>3330</v>
      </c>
      <c r="AC58" s="246">
        <v>0</v>
      </c>
      <c r="AD58" s="246">
        <v>0</v>
      </c>
      <c r="AE58" s="320">
        <f>(AE57-V062A_20303133[[#This Row],[CARTER MP.]])+V062A_20303133[[#This Row],[FAENA EN LTS2]]</f>
        <v>1700</v>
      </c>
      <c r="AF58" s="246">
        <v>10</v>
      </c>
      <c r="AG58" s="246">
        <v>0</v>
      </c>
      <c r="AH58" s="320">
        <f>(AH57-V062A_20303133[[#This Row],[MOT AUX]])+V062A_20303133[[#This Row],[FAENA EN  LTS]]</f>
        <v>3170</v>
      </c>
      <c r="AI58" s="246">
        <v>0</v>
      </c>
      <c r="AJ58" s="246">
        <v>0</v>
      </c>
      <c r="AK58" s="321">
        <f>(AK57-V062A_20303133[[#This Row],[HIDRAULICO]])+V062A_20303133[[#This Row],[FAENA EN LTS3]]</f>
        <v>2400</v>
      </c>
    </row>
    <row r="59" spans="1:37" x14ac:dyDescent="0.25">
      <c r="A59" s="431" t="s">
        <v>290</v>
      </c>
      <c r="B59" s="48">
        <v>44121</v>
      </c>
      <c r="C59" s="41">
        <v>0.3833333333333333</v>
      </c>
      <c r="D59" s="418">
        <f>IF(V062A_20303133[[#This Row],[FECHA]]-B58=1,((V062A_20303133[[#This Row],[HORA]]-C58)*24)+24,(V062A_20303133[[#This Row],[HORA]]-C58)*24)</f>
        <v>1.1999999999999997</v>
      </c>
      <c r="E59" s="409" t="s">
        <v>47</v>
      </c>
      <c r="F59" s="29" t="s">
        <v>272</v>
      </c>
      <c r="G59" s="324"/>
      <c r="H59" s="306"/>
      <c r="I5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59" s="242"/>
      <c r="K59" s="325"/>
      <c r="L59" s="418">
        <v>0</v>
      </c>
      <c r="M59" s="245">
        <v>0.08</v>
      </c>
      <c r="N59" s="245">
        <v>0.06</v>
      </c>
      <c r="O59" s="257">
        <f>SUM(V062A_20303133[[#This Row],[MPAL]]+V062A_20303133[[#This Row],[AUX.]]+V062A_20303133[[#This Row],[CALDERA]])</f>
        <v>0.14000000000000001</v>
      </c>
      <c r="P59" s="319"/>
      <c r="Q59" s="281">
        <f>(Q58-V062A_20303133[[#This Row],[TOTAL ]])+V062A_20303133[[#This Row],[FAENA]]</f>
        <v>882.75000000000011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SUM(V062A_20303133[[#This Row],[MPAL2]:[GI]])</f>
        <v>0</v>
      </c>
      <c r="X59" s="246"/>
      <c r="Y59" s="282">
        <f>(Y58-V062A_20303133[[#This Row],[TOTAL]])+V062A_20303133[[#This Row],[FAENA2]]</f>
        <v>110.88000000000001</v>
      </c>
      <c r="Z59" s="245">
        <v>0</v>
      </c>
      <c r="AA59" s="246">
        <v>0</v>
      </c>
      <c r="AB59" s="320">
        <f>(AB58-V062A_20303133[[#This Row],[CYLINDER MP]])+V062A_20303133[[#This Row],[FAENA EN LTS]]</f>
        <v>3330</v>
      </c>
      <c r="AC59" s="246">
        <v>0</v>
      </c>
      <c r="AD59" s="246">
        <v>0</v>
      </c>
      <c r="AE59" s="320">
        <f>(AE58-V062A_20303133[[#This Row],[CARTER MP.]])+V062A_20303133[[#This Row],[FAENA EN LTS2]]</f>
        <v>1700</v>
      </c>
      <c r="AF59" s="246">
        <v>0</v>
      </c>
      <c r="AG59" s="246">
        <v>0</v>
      </c>
      <c r="AH59" s="320">
        <f>(AH58-V062A_20303133[[#This Row],[MOT AUX]])+V062A_20303133[[#This Row],[FAENA EN  LTS]]</f>
        <v>3170</v>
      </c>
      <c r="AI59" s="246">
        <v>0</v>
      </c>
      <c r="AJ59" s="246">
        <v>0</v>
      </c>
      <c r="AK59" s="321">
        <f>(AK58-V062A_20303133[[#This Row],[HIDRAULICO]])+V062A_20303133[[#This Row],[FAENA EN LTS3]]</f>
        <v>2400</v>
      </c>
    </row>
    <row r="60" spans="1:37" x14ac:dyDescent="0.25">
      <c r="A60" s="431" t="s">
        <v>290</v>
      </c>
      <c r="B60" s="48">
        <v>44121</v>
      </c>
      <c r="C60" s="362">
        <v>0.47083333333333338</v>
      </c>
      <c r="D60" s="418">
        <f>IF(V062A_20303133[[#This Row],[FECHA]]-B59=1,((V062A_20303133[[#This Row],[HORA]]-C59)*24)+24,(V062A_20303133[[#This Row],[HORA]]-C59)*24)</f>
        <v>2.1000000000000019</v>
      </c>
      <c r="E60" s="409" t="s">
        <v>55</v>
      </c>
      <c r="F60" s="29" t="s">
        <v>299</v>
      </c>
      <c r="G60" s="324">
        <v>30</v>
      </c>
      <c r="H60" s="306">
        <v>2.12</v>
      </c>
      <c r="I60" s="259">
        <f>IF(ISERROR(V062A_20303133[[#This Row],[DISTANCIA POR CARTA]]/V062A_20303133[[#This Row],[TIEMPO DE NAVEGACION]]),0,V062A_20303133[[#This Row],[DISTANCIA POR CARTA]]/V062A_20303133[[#This Row],[TIEMPO DE NAVEGACION]])</f>
        <v>14.150943396226415</v>
      </c>
      <c r="J60" s="242">
        <v>4</v>
      </c>
      <c r="K60" s="325">
        <v>97</v>
      </c>
      <c r="L60" s="418">
        <v>1.75</v>
      </c>
      <c r="M60" s="245">
        <v>0.13</v>
      </c>
      <c r="N60" s="245">
        <v>0.11</v>
      </c>
      <c r="O60" s="257">
        <f>SUM(V062A_20303133[[#This Row],[MPAL]]+V062A_20303133[[#This Row],[AUX.]]+V062A_20303133[[#This Row],[CALDERA]])</f>
        <v>1.99</v>
      </c>
      <c r="P60" s="319"/>
      <c r="Q60" s="281">
        <f>(Q59-V062A_20303133[[#This Row],[TOTAL ]])+V062A_20303133[[#This Row],[FAENA]]</f>
        <v>880.7600000000001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SUM(V062A_20303133[[#This Row],[MPAL2]:[GI]])</f>
        <v>0</v>
      </c>
      <c r="X60" s="246"/>
      <c r="Y60" s="282">
        <f>(Y59-V062A_20303133[[#This Row],[TOTAL]])+V062A_20303133[[#This Row],[FAENA2]]</f>
        <v>110.88000000000001</v>
      </c>
      <c r="Z60" s="245">
        <v>10</v>
      </c>
      <c r="AA60" s="246">
        <v>0</v>
      </c>
      <c r="AB60" s="320">
        <f>(AB59-V062A_20303133[[#This Row],[CYLINDER MP]])+V062A_20303133[[#This Row],[FAENA EN LTS]]</f>
        <v>3320</v>
      </c>
      <c r="AC60" s="246">
        <v>0</v>
      </c>
      <c r="AD60" s="246">
        <v>0</v>
      </c>
      <c r="AE60" s="320">
        <f>(AE59-V062A_20303133[[#This Row],[CARTER MP.]])+V062A_20303133[[#This Row],[FAENA EN LTS2]]</f>
        <v>1700</v>
      </c>
      <c r="AF60" s="246">
        <v>0</v>
      </c>
      <c r="AG60" s="246">
        <v>0</v>
      </c>
      <c r="AH60" s="320">
        <f>(AH59-V062A_20303133[[#This Row],[MOT AUX]])+V062A_20303133[[#This Row],[FAENA EN  LTS]]</f>
        <v>3170</v>
      </c>
      <c r="AI60" s="246">
        <v>0</v>
      </c>
      <c r="AJ60" s="246">
        <v>0</v>
      </c>
      <c r="AK60" s="321">
        <f>(AK59-V062A_20303133[[#This Row],[HIDRAULICO]])+V062A_20303133[[#This Row],[FAENA EN LTS3]]</f>
        <v>2400</v>
      </c>
    </row>
    <row r="61" spans="1:37" x14ac:dyDescent="0.25">
      <c r="A61" s="431" t="s">
        <v>290</v>
      </c>
      <c r="B61" s="48">
        <v>44121</v>
      </c>
      <c r="C61" s="351">
        <v>0.6333333333333333</v>
      </c>
      <c r="D61" s="418">
        <f>IF(V062A_20303133[[#This Row],[FECHA]]-B60=1,((V062A_20303133[[#This Row],[HORA]]-C60)*24)+24,(V062A_20303133[[#This Row],[HORA]]-C60)*24)</f>
        <v>3.8999999999999981</v>
      </c>
      <c r="E61" s="409" t="s">
        <v>47</v>
      </c>
      <c r="F61" s="29" t="s">
        <v>300</v>
      </c>
      <c r="G61" s="324"/>
      <c r="H61" s="306"/>
      <c r="I61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1" s="242"/>
      <c r="K61" s="325"/>
      <c r="L61" s="418">
        <v>0.33</v>
      </c>
      <c r="M61" s="245">
        <v>0.24</v>
      </c>
      <c r="N61" s="245">
        <v>0.2</v>
      </c>
      <c r="O61" s="257">
        <f>SUM(V062A_20303133[[#This Row],[MPAL]]+V062A_20303133[[#This Row],[AUX.]]+V062A_20303133[[#This Row],[CALDERA]])</f>
        <v>0.77</v>
      </c>
      <c r="P61" s="319"/>
      <c r="Q61" s="281">
        <f>(Q60-V062A_20303133[[#This Row],[TOTAL ]])+V062A_20303133[[#This Row],[FAENA]]</f>
        <v>879.99000000000012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SUM(V062A_20303133[[#This Row],[MPAL2]:[GI]])</f>
        <v>0</v>
      </c>
      <c r="X61" s="246"/>
      <c r="Y61" s="282">
        <f>(Y60-V062A_20303133[[#This Row],[TOTAL]])+V062A_20303133[[#This Row],[FAENA2]]</f>
        <v>110.88000000000001</v>
      </c>
      <c r="Z61" s="245">
        <v>0</v>
      </c>
      <c r="AA61" s="246">
        <v>0</v>
      </c>
      <c r="AB61" s="320">
        <f>(AB60-V062A_20303133[[#This Row],[CYLINDER MP]])+V062A_20303133[[#This Row],[FAENA EN LTS]]</f>
        <v>3320</v>
      </c>
      <c r="AC61" s="246">
        <v>0</v>
      </c>
      <c r="AD61" s="246">
        <v>0</v>
      </c>
      <c r="AE61" s="320">
        <f>(AE60-V062A_20303133[[#This Row],[CARTER MP.]])+V062A_20303133[[#This Row],[FAENA EN LTS2]]</f>
        <v>1700</v>
      </c>
      <c r="AF61" s="246">
        <v>0</v>
      </c>
      <c r="AG61" s="246">
        <v>0</v>
      </c>
      <c r="AH61" s="320">
        <f>(AH60-V062A_20303133[[#This Row],[MOT AUX]])+V062A_20303133[[#This Row],[FAENA EN  LTS]]</f>
        <v>3170</v>
      </c>
      <c r="AI61" s="246">
        <v>0</v>
      </c>
      <c r="AJ61" s="246">
        <v>0</v>
      </c>
      <c r="AK61" s="321">
        <f>(AK60-V062A_20303133[[#This Row],[HIDRAULICO]])+V062A_20303133[[#This Row],[FAENA EN LTS3]]</f>
        <v>2400</v>
      </c>
    </row>
    <row r="62" spans="1:37" x14ac:dyDescent="0.25">
      <c r="A62" s="431" t="s">
        <v>290</v>
      </c>
      <c r="B62" s="48">
        <v>44122</v>
      </c>
      <c r="C62" s="362">
        <v>0.33333333333333331</v>
      </c>
      <c r="D62" s="418">
        <f>IF(V062A_20303133[[#This Row],[FECHA]]-B61=1,((V062A_20303133[[#This Row],[HORA]]-C61)*24)+24,(V062A_20303133[[#This Row],[HORA]]-C61)*24)</f>
        <v>16.8</v>
      </c>
      <c r="E62" s="409" t="s">
        <v>49</v>
      </c>
      <c r="F62" s="29" t="s">
        <v>301</v>
      </c>
      <c r="G62" s="324"/>
      <c r="H62" s="306"/>
      <c r="I62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2" s="242"/>
      <c r="K62" s="325"/>
      <c r="L62" s="418">
        <v>0</v>
      </c>
      <c r="M62" s="245">
        <v>1.05</v>
      </c>
      <c r="N62" s="245">
        <v>0.84</v>
      </c>
      <c r="O62" s="257">
        <f>SUM(V062A_20303133[[#This Row],[MPAL]]+V062A_20303133[[#This Row],[AUX.]]+V062A_20303133[[#This Row],[CALDERA]])</f>
        <v>1.8900000000000001</v>
      </c>
      <c r="P62" s="319"/>
      <c r="Q62" s="281">
        <f>(Q61-V062A_20303133[[#This Row],[TOTAL ]])+V062A_20303133[[#This Row],[FAENA]]</f>
        <v>878.10000000000014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SUM(V062A_20303133[[#This Row],[MPAL2]:[GI]])</f>
        <v>0</v>
      </c>
      <c r="X62" s="246"/>
      <c r="Y62" s="282">
        <f>(Y61-V062A_20303133[[#This Row],[TOTAL]])+V062A_20303133[[#This Row],[FAENA2]]</f>
        <v>110.88000000000001</v>
      </c>
      <c r="Z62" s="245">
        <v>0</v>
      </c>
      <c r="AA62" s="246">
        <v>0</v>
      </c>
      <c r="AB62" s="320">
        <f>(AB61-V062A_20303133[[#This Row],[CYLINDER MP]])+V062A_20303133[[#This Row],[FAENA EN LTS]]</f>
        <v>3320</v>
      </c>
      <c r="AC62" s="246">
        <v>0</v>
      </c>
      <c r="AD62" s="246">
        <v>0</v>
      </c>
      <c r="AE62" s="320">
        <f>(AE61-V062A_20303133[[#This Row],[CARTER MP.]])+V062A_20303133[[#This Row],[FAENA EN LTS2]]</f>
        <v>1700</v>
      </c>
      <c r="AF62" s="246">
        <v>10</v>
      </c>
      <c r="AG62" s="246">
        <v>0</v>
      </c>
      <c r="AH62" s="320">
        <f>(AH61-V062A_20303133[[#This Row],[MOT AUX]])+V062A_20303133[[#This Row],[FAENA EN  LTS]]</f>
        <v>3160</v>
      </c>
      <c r="AI62" s="246">
        <v>0</v>
      </c>
      <c r="AJ62" s="246">
        <v>0</v>
      </c>
      <c r="AK62" s="321">
        <f>(AK61-V062A_20303133[[#This Row],[HIDRAULICO]])+V062A_20303133[[#This Row],[FAENA EN LTS3]]</f>
        <v>2400</v>
      </c>
    </row>
    <row r="63" spans="1:37" x14ac:dyDescent="0.25">
      <c r="A63" s="431" t="s">
        <v>290</v>
      </c>
      <c r="B63" s="48">
        <v>44123</v>
      </c>
      <c r="C63" s="41">
        <v>0.16666666666666666</v>
      </c>
      <c r="D63" s="418">
        <f>IF(V062A_20303133[[#This Row],[FECHA]]-B62=1,((V062A_20303133[[#This Row],[HORA]]-C62)*24)+24,(V062A_20303133[[#This Row],[HORA]]-C62)*24)</f>
        <v>20</v>
      </c>
      <c r="E63" s="239" t="s">
        <v>51</v>
      </c>
      <c r="F63" s="29" t="s">
        <v>302</v>
      </c>
      <c r="G63" s="324"/>
      <c r="H63" s="306"/>
      <c r="I6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3" s="380"/>
      <c r="K63" s="325"/>
      <c r="L63" s="418">
        <v>0</v>
      </c>
      <c r="M63" s="245">
        <v>3.5</v>
      </c>
      <c r="N63" s="245">
        <v>1</v>
      </c>
      <c r="O63" s="257">
        <f>SUM(V062A_20303133[[#This Row],[MPAL]]+V062A_20303133[[#This Row],[AUX.]]+V062A_20303133[[#This Row],[CALDERA]])</f>
        <v>4.5</v>
      </c>
      <c r="P63" s="319"/>
      <c r="Q63" s="281">
        <f>(Q62-V062A_20303133[[#This Row],[TOTAL ]])+V062A_20303133[[#This Row],[FAENA]]</f>
        <v>873.60000000000014</v>
      </c>
      <c r="R63" s="245">
        <v>0</v>
      </c>
      <c r="S63" s="246">
        <v>0</v>
      </c>
      <c r="T63" s="246">
        <v>0</v>
      </c>
      <c r="U63" s="246">
        <v>0</v>
      </c>
      <c r="V63" s="246">
        <v>5.08</v>
      </c>
      <c r="W63" s="257">
        <f>SUM(V062A_20303133[[#This Row],[MPAL2]:[GI]])</f>
        <v>5.08</v>
      </c>
      <c r="X63" s="246"/>
      <c r="Y63" s="282">
        <f>(Y62-V062A_20303133[[#This Row],[TOTAL]])+V062A_20303133[[#This Row],[FAENA2]]</f>
        <v>105.80000000000001</v>
      </c>
      <c r="Z63" s="245">
        <v>0</v>
      </c>
      <c r="AA63" s="246">
        <v>0</v>
      </c>
      <c r="AB63" s="320">
        <f>(AB62-V062A_20303133[[#This Row],[CYLINDER MP]])+V062A_20303133[[#This Row],[FAENA EN LTS]]</f>
        <v>3320</v>
      </c>
      <c r="AC63" s="246">
        <v>0</v>
      </c>
      <c r="AD63" s="246">
        <v>0</v>
      </c>
      <c r="AE63" s="320">
        <f>(AE62-V062A_20303133[[#This Row],[CARTER MP.]])+V062A_20303133[[#This Row],[FAENA EN LTS2]]</f>
        <v>1700</v>
      </c>
      <c r="AF63" s="246">
        <v>0</v>
      </c>
      <c r="AG63" s="246">
        <v>0</v>
      </c>
      <c r="AH63" s="320">
        <f>(AH62-V062A_20303133[[#This Row],[MOT AUX]])+V062A_20303133[[#This Row],[FAENA EN  LTS]]</f>
        <v>3160</v>
      </c>
      <c r="AI63" s="246">
        <v>0</v>
      </c>
      <c r="AJ63" s="246">
        <v>0</v>
      </c>
      <c r="AK63" s="321">
        <f>(AK62-V062A_20303133[[#This Row],[HIDRAULICO]])+V062A_20303133[[#This Row],[FAENA EN LTS3]]</f>
        <v>2400</v>
      </c>
    </row>
    <row r="64" spans="1:37" x14ac:dyDescent="0.25">
      <c r="A64" s="431" t="s">
        <v>290</v>
      </c>
      <c r="B64" s="48">
        <v>44123</v>
      </c>
      <c r="C64" s="41">
        <v>0.33333333333333331</v>
      </c>
      <c r="D64" s="418">
        <f>IF(V062A_20303133[[#This Row],[FECHA]]-B63=1,((V062A_20303133[[#This Row],[HORA]]-C63)*24)+24,(V062A_20303133[[#This Row],[HORA]]-C63)*24)</f>
        <v>4</v>
      </c>
      <c r="E64" s="239" t="s">
        <v>49</v>
      </c>
      <c r="F64" s="29" t="s">
        <v>303</v>
      </c>
      <c r="G64" s="324"/>
      <c r="H64" s="306"/>
      <c r="I64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4" s="242"/>
      <c r="K64" s="325"/>
      <c r="L64" s="418">
        <v>0</v>
      </c>
      <c r="M64" s="245">
        <v>0.2</v>
      </c>
      <c r="N64" s="245">
        <v>0.2</v>
      </c>
      <c r="O64" s="257">
        <f>SUM(V062A_20303133[[#This Row],[MPAL]]+V062A_20303133[[#This Row],[AUX.]]+V062A_20303133[[#This Row],[CALDERA]])</f>
        <v>0.4</v>
      </c>
      <c r="P64" s="319"/>
      <c r="Q64" s="281">
        <f>(Q63-V062A_20303133[[#This Row],[TOTAL ]])+V062A_20303133[[#This Row],[FAENA]]</f>
        <v>873.20000000000016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SUM(V062A_20303133[[#This Row],[MPAL2]:[GI]])</f>
        <v>0</v>
      </c>
      <c r="X64" s="246"/>
      <c r="Y64" s="282">
        <f>(Y63-V062A_20303133[[#This Row],[TOTAL]])+V062A_20303133[[#This Row],[FAENA2]]</f>
        <v>105.80000000000001</v>
      </c>
      <c r="Z64" s="245">
        <v>0</v>
      </c>
      <c r="AA64" s="246">
        <v>0</v>
      </c>
      <c r="AB64" s="320">
        <f>(AB63-V062A_20303133[[#This Row],[CYLINDER MP]])+V062A_20303133[[#This Row],[FAENA EN LTS]]</f>
        <v>3320</v>
      </c>
      <c r="AC64" s="246">
        <v>0</v>
      </c>
      <c r="AD64" s="246">
        <v>0</v>
      </c>
      <c r="AE64" s="320">
        <f>(AE63-V062A_20303133[[#This Row],[CARTER MP.]])+V062A_20303133[[#This Row],[FAENA EN LTS2]]</f>
        <v>1700</v>
      </c>
      <c r="AF64" s="246">
        <v>10</v>
      </c>
      <c r="AG64" s="246">
        <v>0</v>
      </c>
      <c r="AH64" s="320">
        <f>(AH63-V062A_20303133[[#This Row],[MOT AUX]])+V062A_20303133[[#This Row],[FAENA EN  LTS]]</f>
        <v>3150</v>
      </c>
      <c r="AI64" s="246">
        <v>0</v>
      </c>
      <c r="AJ64" s="246">
        <v>0</v>
      </c>
      <c r="AK64" s="321">
        <f>(AK63-V062A_20303133[[#This Row],[HIDRAULICO]])+V062A_20303133[[#This Row],[FAENA EN LTS3]]</f>
        <v>2400</v>
      </c>
    </row>
    <row r="65" spans="1:37" x14ac:dyDescent="0.25">
      <c r="A65" s="431" t="s">
        <v>290</v>
      </c>
      <c r="B65" s="48">
        <v>44124</v>
      </c>
      <c r="C65" s="351">
        <v>0.25</v>
      </c>
      <c r="D65" s="418">
        <f>IF(V062A_20303133[[#This Row],[FECHA]]-B64=1,((V062A_20303133[[#This Row],[HORA]]-C64)*24)+24,(V062A_20303133[[#This Row],[HORA]]-C64)*24)</f>
        <v>22</v>
      </c>
      <c r="E65" s="409" t="s">
        <v>51</v>
      </c>
      <c r="F65" s="29" t="s">
        <v>52</v>
      </c>
      <c r="G65" s="324"/>
      <c r="H65" s="306"/>
      <c r="I65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5" s="242"/>
      <c r="K65" s="325"/>
      <c r="L65" s="418">
        <v>0</v>
      </c>
      <c r="M65" s="245">
        <v>2.29</v>
      </c>
      <c r="N65" s="245">
        <v>1.1000000000000001</v>
      </c>
      <c r="O65" s="257">
        <f>SUM(V062A_20303133[[#This Row],[MPAL]]+V062A_20303133[[#This Row],[AUX.]]+V062A_20303133[[#This Row],[CALDERA]])</f>
        <v>3.39</v>
      </c>
      <c r="P65" s="319"/>
      <c r="Q65" s="281">
        <f>(Q64-V062A_20303133[[#This Row],[TOTAL ]])+V062A_20303133[[#This Row],[FAENA]]</f>
        <v>869.81000000000017</v>
      </c>
      <c r="R65" s="245">
        <v>0</v>
      </c>
      <c r="S65" s="246">
        <v>0</v>
      </c>
      <c r="T65" s="246">
        <v>0</v>
      </c>
      <c r="U65" s="246">
        <v>0</v>
      </c>
      <c r="V65" s="246">
        <v>5.5</v>
      </c>
      <c r="W65" s="257">
        <f>SUM(V062A_20303133[[#This Row],[MPAL2]:[GI]])</f>
        <v>5.5</v>
      </c>
      <c r="X65" s="246"/>
      <c r="Y65" s="282">
        <f>(Y64-V062A_20303133[[#This Row],[TOTAL]])+V062A_20303133[[#This Row],[FAENA2]]</f>
        <v>100.30000000000001</v>
      </c>
      <c r="Z65" s="245">
        <v>0</v>
      </c>
      <c r="AA65" s="246">
        <v>0</v>
      </c>
      <c r="AB65" s="320">
        <f>(AB64-V062A_20303133[[#This Row],[CYLINDER MP]])+V062A_20303133[[#This Row],[FAENA EN LTS]]</f>
        <v>3320</v>
      </c>
      <c r="AC65" s="246">
        <v>0</v>
      </c>
      <c r="AD65" s="246">
        <v>0</v>
      </c>
      <c r="AE65" s="320">
        <f>(AE64-V062A_20303133[[#This Row],[CARTER MP.]])+V062A_20303133[[#This Row],[FAENA EN LTS2]]</f>
        <v>1700</v>
      </c>
      <c r="AF65" s="246">
        <v>0</v>
      </c>
      <c r="AG65" s="246">
        <v>0</v>
      </c>
      <c r="AH65" s="320">
        <f>(AH64-V062A_20303133[[#This Row],[MOT AUX]])+V062A_20303133[[#This Row],[FAENA EN  LTS]]</f>
        <v>3150</v>
      </c>
      <c r="AI65" s="246">
        <v>0</v>
      </c>
      <c r="AJ65" s="246">
        <v>0</v>
      </c>
      <c r="AK65" s="321">
        <f>(AK64-V062A_20303133[[#This Row],[HIDRAULICO]])+V062A_20303133[[#This Row],[FAENA EN LTS3]]</f>
        <v>2400</v>
      </c>
    </row>
    <row r="66" spans="1:37" x14ac:dyDescent="0.25">
      <c r="A66" s="431" t="s">
        <v>290</v>
      </c>
      <c r="B66" s="48">
        <v>44124</v>
      </c>
      <c r="C66" s="41">
        <v>0.33333333333333331</v>
      </c>
      <c r="D66" s="418">
        <f>IF(V062A_20303133[[#This Row],[FECHA]]-B65=1,((V062A_20303133[[#This Row],[HORA]]-C65)*24)+24,(V062A_20303133[[#This Row],[HORA]]-C65)*24)</f>
        <v>1.9999999999999996</v>
      </c>
      <c r="E66" s="409" t="s">
        <v>49</v>
      </c>
      <c r="F66" s="29" t="s">
        <v>59</v>
      </c>
      <c r="G66" s="324"/>
      <c r="H66" s="306"/>
      <c r="I66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6" s="242"/>
      <c r="K66" s="325"/>
      <c r="L66" s="418">
        <v>0</v>
      </c>
      <c r="M66" s="245">
        <v>0.1</v>
      </c>
      <c r="N66" s="245">
        <v>0.1</v>
      </c>
      <c r="O66" s="257">
        <f>SUM(V062A_20303133[[#This Row],[MPAL]]+V062A_20303133[[#This Row],[AUX.]]+V062A_20303133[[#This Row],[CALDERA]])</f>
        <v>0.2</v>
      </c>
      <c r="P66" s="319"/>
      <c r="Q66" s="281">
        <f>(Q65-V062A_20303133[[#This Row],[TOTAL ]])+V062A_20303133[[#This Row],[FAENA]]</f>
        <v>869.61000000000013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SUM(V062A_20303133[[#This Row],[MPAL2]:[GI]])</f>
        <v>0</v>
      </c>
      <c r="X66" s="246"/>
      <c r="Y66" s="282">
        <f>(Y65-V062A_20303133[[#This Row],[TOTAL]])+V062A_20303133[[#This Row],[FAENA2]]</f>
        <v>100.30000000000001</v>
      </c>
      <c r="Z66" s="245">
        <v>0</v>
      </c>
      <c r="AA66" s="246">
        <v>0</v>
      </c>
      <c r="AB66" s="320">
        <f>(AB65-V062A_20303133[[#This Row],[CYLINDER MP]])+V062A_20303133[[#This Row],[FAENA EN LTS]]</f>
        <v>3320</v>
      </c>
      <c r="AC66" s="246">
        <v>0</v>
      </c>
      <c r="AD66" s="246">
        <v>0</v>
      </c>
      <c r="AE66" s="320">
        <f>(AE65-V062A_20303133[[#This Row],[CARTER MP.]])+V062A_20303133[[#This Row],[FAENA EN LTS2]]</f>
        <v>1700</v>
      </c>
      <c r="AF66" s="246">
        <v>10</v>
      </c>
      <c r="AG66" s="246">
        <v>0</v>
      </c>
      <c r="AH66" s="320">
        <f>(AH65-V062A_20303133[[#This Row],[MOT AUX]])+V062A_20303133[[#This Row],[FAENA EN  LTS]]</f>
        <v>3140</v>
      </c>
      <c r="AI66" s="246">
        <v>0</v>
      </c>
      <c r="AJ66" s="246">
        <v>0</v>
      </c>
      <c r="AK66" s="321">
        <f>(AK65-V062A_20303133[[#This Row],[HIDRAULICO]])+V062A_20303133[[#This Row],[FAENA EN LTS3]]</f>
        <v>2400</v>
      </c>
    </row>
    <row r="67" spans="1:37" x14ac:dyDescent="0.25">
      <c r="A67" s="431" t="s">
        <v>290</v>
      </c>
      <c r="B67" s="48">
        <v>44124</v>
      </c>
      <c r="C67" s="41">
        <v>0.41666666666666669</v>
      </c>
      <c r="D67" s="418">
        <f>IF(V062A_20303133[[#This Row],[FECHA]]-B66=1,((V062A_20303133[[#This Row],[HORA]]-C66)*24)+24,(V062A_20303133[[#This Row],[HORA]]-C66)*24)</f>
        <v>2.0000000000000009</v>
      </c>
      <c r="E67" s="409" t="s">
        <v>47</v>
      </c>
      <c r="F67" s="29" t="s">
        <v>304</v>
      </c>
      <c r="G67" s="324"/>
      <c r="H67" s="306"/>
      <c r="I67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7" s="242"/>
      <c r="K67" s="325"/>
      <c r="L67" s="418">
        <v>0</v>
      </c>
      <c r="M67" s="245">
        <v>0.1</v>
      </c>
      <c r="N67" s="245">
        <v>0.1</v>
      </c>
      <c r="O67" s="257">
        <f>SUM(V062A_20303133[[#This Row],[MPAL]]+V062A_20303133[[#This Row],[AUX.]]+V062A_20303133[[#This Row],[CALDERA]])</f>
        <v>0.2</v>
      </c>
      <c r="P67" s="319"/>
      <c r="Q67" s="281">
        <f>(Q66-V062A_20303133[[#This Row],[TOTAL ]])+V062A_20303133[[#This Row],[FAENA]]</f>
        <v>869.41000000000008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SUM(V062A_20303133[[#This Row],[MPAL2]:[GI]])</f>
        <v>0</v>
      </c>
      <c r="X67" s="246"/>
      <c r="Y67" s="282">
        <f>(Y66-V062A_20303133[[#This Row],[TOTAL]])+V062A_20303133[[#This Row],[FAENA2]]</f>
        <v>100.30000000000001</v>
      </c>
      <c r="Z67" s="245">
        <v>0</v>
      </c>
      <c r="AA67" s="246">
        <v>0</v>
      </c>
      <c r="AB67" s="320">
        <f>(AB66-V062A_20303133[[#This Row],[CYLINDER MP]])+V062A_20303133[[#This Row],[FAENA EN LTS]]</f>
        <v>3320</v>
      </c>
      <c r="AC67" s="246">
        <v>0</v>
      </c>
      <c r="AD67" s="246">
        <v>0</v>
      </c>
      <c r="AE67" s="320">
        <f>(AE66-V062A_20303133[[#This Row],[CARTER MP.]])+V062A_20303133[[#This Row],[FAENA EN LTS2]]</f>
        <v>1700</v>
      </c>
      <c r="AF67" s="246">
        <v>0</v>
      </c>
      <c r="AG67" s="246">
        <v>0</v>
      </c>
      <c r="AH67" s="320">
        <f>(AH66-V062A_20303133[[#This Row],[MOT AUX]])+V062A_20303133[[#This Row],[FAENA EN  LTS]]</f>
        <v>3140</v>
      </c>
      <c r="AI67" s="246">
        <v>0</v>
      </c>
      <c r="AJ67" s="246">
        <v>0</v>
      </c>
      <c r="AK67" s="321">
        <f>(AK66-V062A_20303133[[#This Row],[HIDRAULICO]])+V062A_20303133[[#This Row],[FAENA EN LTS3]]</f>
        <v>2400</v>
      </c>
    </row>
    <row r="68" spans="1:37" x14ac:dyDescent="0.25">
      <c r="A68" s="431" t="s">
        <v>290</v>
      </c>
      <c r="B68" s="48">
        <v>44124</v>
      </c>
      <c r="C68" s="41">
        <v>0.47500000000000003</v>
      </c>
      <c r="D68" s="418">
        <f>IF(V062A_20303133[[#This Row],[FECHA]]-B67=1,((V062A_20303133[[#This Row],[HORA]]-C67)*24)+24,(V062A_20303133[[#This Row],[HORA]]-C67)*24)</f>
        <v>1.4000000000000004</v>
      </c>
      <c r="E68" s="409" t="s">
        <v>45</v>
      </c>
      <c r="F68" s="29" t="s">
        <v>130</v>
      </c>
      <c r="G68" s="324"/>
      <c r="H68" s="306"/>
      <c r="I68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8" s="242"/>
      <c r="K68" s="325"/>
      <c r="L68" s="418">
        <v>0.12</v>
      </c>
      <c r="M68" s="245">
        <v>0.09</v>
      </c>
      <c r="N68" s="245">
        <v>7.0000000000000007E-2</v>
      </c>
      <c r="O68" s="257">
        <f>SUM(V062A_20303133[[#This Row],[MPAL]]+V062A_20303133[[#This Row],[AUX.]]+V062A_20303133[[#This Row],[CALDERA]])</f>
        <v>0.28000000000000003</v>
      </c>
      <c r="P68" s="319"/>
      <c r="Q68" s="281">
        <f>(Q67-V062A_20303133[[#This Row],[TOTAL ]])+V062A_20303133[[#This Row],[FAENA]]</f>
        <v>869.13000000000011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SUM(V062A_20303133[[#This Row],[MPAL2]:[GI]])</f>
        <v>0</v>
      </c>
      <c r="X68" s="246"/>
      <c r="Y68" s="282">
        <f>(Y67-V062A_20303133[[#This Row],[TOTAL]])+V062A_20303133[[#This Row],[FAENA2]]</f>
        <v>100.30000000000001</v>
      </c>
      <c r="Z68" s="245">
        <v>4</v>
      </c>
      <c r="AA68" s="246">
        <v>0</v>
      </c>
      <c r="AB68" s="320">
        <f>(AB67-V062A_20303133[[#This Row],[CYLINDER MP]])+V062A_20303133[[#This Row],[FAENA EN LTS]]</f>
        <v>3316</v>
      </c>
      <c r="AC68" s="246">
        <v>0</v>
      </c>
      <c r="AD68" s="246">
        <v>0</v>
      </c>
      <c r="AE68" s="320">
        <f>(AE67-V062A_20303133[[#This Row],[CARTER MP.]])+V062A_20303133[[#This Row],[FAENA EN LTS2]]</f>
        <v>1700</v>
      </c>
      <c r="AF68" s="246">
        <v>0</v>
      </c>
      <c r="AG68" s="246">
        <v>0</v>
      </c>
      <c r="AH68" s="320">
        <f>(AH67-V062A_20303133[[#This Row],[MOT AUX]])+V062A_20303133[[#This Row],[FAENA EN  LTS]]</f>
        <v>3140</v>
      </c>
      <c r="AI68" s="246">
        <v>0</v>
      </c>
      <c r="AJ68" s="246">
        <v>0</v>
      </c>
      <c r="AK68" s="321">
        <f>(AK67-V062A_20303133[[#This Row],[HIDRAULICO]])+V062A_20303133[[#This Row],[FAENA EN LTS3]]</f>
        <v>2400</v>
      </c>
    </row>
    <row r="69" spans="1:37" x14ac:dyDescent="0.25">
      <c r="A69" s="431" t="s">
        <v>290</v>
      </c>
      <c r="B69" s="48">
        <v>44124</v>
      </c>
      <c r="C69" s="351">
        <v>0.60416666666666663</v>
      </c>
      <c r="D69" s="418">
        <f>IF(V062A_20303133[[#This Row],[FECHA]]-B68=1,((V062A_20303133[[#This Row],[HORA]]-C68)*24)+24,(V062A_20303133[[#This Row],[HORA]]-C68)*24)</f>
        <v>3.0999999999999983</v>
      </c>
      <c r="E69" s="409" t="s">
        <v>47</v>
      </c>
      <c r="F69" s="29" t="s">
        <v>46</v>
      </c>
      <c r="G69" s="324"/>
      <c r="H69" s="306"/>
      <c r="I69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69" s="242"/>
      <c r="K69" s="325"/>
      <c r="L69" s="418">
        <v>0</v>
      </c>
      <c r="M69" s="245">
        <v>0.19</v>
      </c>
      <c r="N69" s="245">
        <v>0.16</v>
      </c>
      <c r="O69" s="257">
        <f>SUM(V062A_20303133[[#This Row],[MPAL]]+V062A_20303133[[#This Row],[AUX.]]+V062A_20303133[[#This Row],[CALDERA]])</f>
        <v>0.35</v>
      </c>
      <c r="P69" s="319"/>
      <c r="Q69" s="281">
        <f>(Q68-V062A_20303133[[#This Row],[TOTAL ]])+V062A_20303133[[#This Row],[FAENA]]</f>
        <v>868.78000000000009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SUM(V062A_20303133[[#This Row],[MPAL2]:[GI]])</f>
        <v>0</v>
      </c>
      <c r="X69" s="246"/>
      <c r="Y69" s="282">
        <f>(Y68-V062A_20303133[[#This Row],[TOTAL]])+V062A_20303133[[#This Row],[FAENA2]]</f>
        <v>100.30000000000001</v>
      </c>
      <c r="Z69" s="245">
        <v>0</v>
      </c>
      <c r="AA69" s="246">
        <v>0</v>
      </c>
      <c r="AB69" s="320">
        <f>(AB68-V062A_20303133[[#This Row],[CYLINDER MP]])+V062A_20303133[[#This Row],[FAENA EN LTS]]</f>
        <v>3316</v>
      </c>
      <c r="AC69" s="246">
        <v>0</v>
      </c>
      <c r="AD69" s="246">
        <v>0</v>
      </c>
      <c r="AE69" s="320">
        <f>(AE68-V062A_20303133[[#This Row],[CARTER MP.]])+V062A_20303133[[#This Row],[FAENA EN LTS2]]</f>
        <v>1700</v>
      </c>
      <c r="AF69" s="246">
        <v>0</v>
      </c>
      <c r="AG69" s="246">
        <v>0</v>
      </c>
      <c r="AH69" s="320">
        <f>(AH68-V062A_20303133[[#This Row],[MOT AUX]])+V062A_20303133[[#This Row],[FAENA EN  LTS]]</f>
        <v>3140</v>
      </c>
      <c r="AI69" s="246">
        <v>0</v>
      </c>
      <c r="AJ69" s="246">
        <v>0</v>
      </c>
      <c r="AK69" s="321">
        <f>(AK68-V062A_20303133[[#This Row],[HIDRAULICO]])+V062A_20303133[[#This Row],[FAENA EN LTS3]]</f>
        <v>2400</v>
      </c>
    </row>
    <row r="70" spans="1:37" x14ac:dyDescent="0.25">
      <c r="A70" s="431" t="s">
        <v>290</v>
      </c>
      <c r="B70" s="48">
        <v>44124</v>
      </c>
      <c r="C70" s="362">
        <v>0.625</v>
      </c>
      <c r="D70" s="418">
        <f>IF(V062A_20303133[[#This Row],[FECHA]]-B69=1,((V062A_20303133[[#This Row],[HORA]]-C69)*24)+24,(V062A_20303133[[#This Row],[HORA]]-C69)*24)</f>
        <v>0.50000000000000089</v>
      </c>
      <c r="E70" s="239" t="s">
        <v>49</v>
      </c>
      <c r="F70" s="29" t="s">
        <v>212</v>
      </c>
      <c r="G70" s="324"/>
      <c r="H70" s="306"/>
      <c r="I70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0" s="242"/>
      <c r="K70" s="325"/>
      <c r="L70" s="418">
        <v>0.1</v>
      </c>
      <c r="M70" s="245">
        <v>0.03</v>
      </c>
      <c r="N70" s="245">
        <v>0.03</v>
      </c>
      <c r="O70" s="257">
        <f>SUM(V062A_20303133[[#This Row],[MPAL]]+V062A_20303133[[#This Row],[AUX.]]+V062A_20303133[[#This Row],[CALDERA]])</f>
        <v>0.16</v>
      </c>
      <c r="P70" s="319"/>
      <c r="Q70" s="281">
        <f>(Q69-V062A_20303133[[#This Row],[TOTAL ]])+V062A_20303133[[#This Row],[FAENA]]</f>
        <v>868.62000000000012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SUM(V062A_20303133[[#This Row],[MPAL2]:[GI]])</f>
        <v>0</v>
      </c>
      <c r="X70" s="246"/>
      <c r="Y70" s="282">
        <f>(Y69-V062A_20303133[[#This Row],[TOTAL]])+V062A_20303133[[#This Row],[FAENA2]]</f>
        <v>100.30000000000001</v>
      </c>
      <c r="Z70" s="245">
        <v>3</v>
      </c>
      <c r="AA70" s="246">
        <v>0</v>
      </c>
      <c r="AB70" s="320">
        <f>(AB69-V062A_20303133[[#This Row],[CYLINDER MP]])+V062A_20303133[[#This Row],[FAENA EN LTS]]</f>
        <v>3313</v>
      </c>
      <c r="AC70" s="246">
        <v>0</v>
      </c>
      <c r="AD70" s="246">
        <v>0</v>
      </c>
      <c r="AE70" s="320">
        <f>(AE69-V062A_20303133[[#This Row],[CARTER MP.]])+V062A_20303133[[#This Row],[FAENA EN LTS2]]</f>
        <v>1700</v>
      </c>
      <c r="AF70" s="246">
        <v>0</v>
      </c>
      <c r="AG70" s="246">
        <v>0</v>
      </c>
      <c r="AH70" s="320">
        <f>(AH69-V062A_20303133[[#This Row],[MOT AUX]])+V062A_20303133[[#This Row],[FAENA EN  LTS]]</f>
        <v>3140</v>
      </c>
      <c r="AI70" s="246">
        <v>0</v>
      </c>
      <c r="AJ70" s="246">
        <v>0</v>
      </c>
      <c r="AK70" s="321">
        <f>(AK69-V062A_20303133[[#This Row],[HIDRAULICO]])+V062A_20303133[[#This Row],[FAENA EN LTS3]]</f>
        <v>2400</v>
      </c>
    </row>
    <row r="71" spans="1:37" x14ac:dyDescent="0.25">
      <c r="A71" s="431" t="s">
        <v>290</v>
      </c>
      <c r="B71" s="48">
        <v>44125</v>
      </c>
      <c r="C71" s="237">
        <v>0.33333333333333331</v>
      </c>
      <c r="D71" s="418">
        <f>IF(V062A_20303133[[#This Row],[FECHA]]-B70=1,((V062A_20303133[[#This Row],[HORA]]-C70)*24)+24,(V062A_20303133[[#This Row],[HORA]]-C70)*24)</f>
        <v>17</v>
      </c>
      <c r="E71" s="239" t="s">
        <v>55</v>
      </c>
      <c r="F71" s="378" t="s">
        <v>305</v>
      </c>
      <c r="G71" s="324">
        <v>224</v>
      </c>
      <c r="H71" s="306">
        <v>17</v>
      </c>
      <c r="I71" s="259">
        <f>IF(ISERROR(V062A_20303133[[#This Row],[DISTANCIA POR CARTA]]/V062A_20303133[[#This Row],[TIEMPO DE NAVEGACION]]),0,V062A_20303133[[#This Row],[DISTANCIA POR CARTA]]/V062A_20303133[[#This Row],[TIEMPO DE NAVEGACION]])</f>
        <v>13.176470588235293</v>
      </c>
      <c r="J71" s="242">
        <v>3</v>
      </c>
      <c r="K71" s="325">
        <v>97</v>
      </c>
      <c r="L71" s="418">
        <v>16.29</v>
      </c>
      <c r="M71" s="245">
        <v>1.06</v>
      </c>
      <c r="N71" s="245">
        <v>0.85</v>
      </c>
      <c r="O71" s="257">
        <f>SUM(V062A_20303133[[#This Row],[MPAL]]+V062A_20303133[[#This Row],[AUX.]]+V062A_20303133[[#This Row],[CALDERA]])</f>
        <v>18.2</v>
      </c>
      <c r="P71" s="319"/>
      <c r="Q71" s="281">
        <f>(Q70-V062A_20303133[[#This Row],[TOTAL ]])+V062A_20303133[[#This Row],[FAENA]]</f>
        <v>850.42000000000007</v>
      </c>
      <c r="R71" s="245">
        <v>0</v>
      </c>
      <c r="S71" s="246">
        <v>0</v>
      </c>
      <c r="T71" s="246">
        <v>0</v>
      </c>
      <c r="U71" s="246">
        <v>0</v>
      </c>
      <c r="V71" s="246">
        <v>1.8</v>
      </c>
      <c r="W71" s="257">
        <f>SUM(V062A_20303133[[#This Row],[MPAL2]:[GI]])</f>
        <v>1.8</v>
      </c>
      <c r="X71" s="246"/>
      <c r="Y71" s="282">
        <f>(Y70-V062A_20303133[[#This Row],[TOTAL]])+V062A_20303133[[#This Row],[FAENA2]]</f>
        <v>98.500000000000014</v>
      </c>
      <c r="Z71" s="245">
        <v>187</v>
      </c>
      <c r="AA71" s="246">
        <v>0</v>
      </c>
      <c r="AB71" s="320">
        <f>(AB70-V062A_20303133[[#This Row],[CYLINDER MP]])+V062A_20303133[[#This Row],[FAENA EN LTS]]</f>
        <v>3126</v>
      </c>
      <c r="AC71" s="246">
        <v>0</v>
      </c>
      <c r="AD71" s="246">
        <v>0</v>
      </c>
      <c r="AE71" s="320">
        <f>(AE70-V062A_20303133[[#This Row],[CARTER MP.]])+V062A_20303133[[#This Row],[FAENA EN LTS2]]</f>
        <v>1700</v>
      </c>
      <c r="AF71" s="246">
        <v>10</v>
      </c>
      <c r="AG71" s="246">
        <v>0</v>
      </c>
      <c r="AH71" s="320">
        <f>(AH70-V062A_20303133[[#This Row],[MOT AUX]])+V062A_20303133[[#This Row],[FAENA EN  LTS]]</f>
        <v>3130</v>
      </c>
      <c r="AI71" s="246">
        <v>0</v>
      </c>
      <c r="AJ71" s="246">
        <v>0</v>
      </c>
      <c r="AK71" s="321">
        <f>(AK70-V062A_20303133[[#This Row],[HIDRAULICO]])+V062A_20303133[[#This Row],[FAENA EN LTS3]]</f>
        <v>2400</v>
      </c>
    </row>
    <row r="72" spans="1:37" x14ac:dyDescent="0.25">
      <c r="A72" s="431" t="s">
        <v>290</v>
      </c>
      <c r="B72" s="48">
        <v>44125</v>
      </c>
      <c r="C72" s="237">
        <v>0.4458333333333333</v>
      </c>
      <c r="D72" s="418">
        <f>IF(V062A_20303133[[#This Row],[FECHA]]-B71=1,((V062A_20303133[[#This Row],[HORA]]-C71)*24)+24,(V062A_20303133[[#This Row],[HORA]]-C71)*24)</f>
        <v>2.6999999999999997</v>
      </c>
      <c r="E72" s="239" t="s">
        <v>55</v>
      </c>
      <c r="F72" s="378" t="s">
        <v>57</v>
      </c>
      <c r="G72" s="324">
        <v>39</v>
      </c>
      <c r="H72" s="306">
        <v>2.7</v>
      </c>
      <c r="I72" s="259">
        <f>IF(ISERROR(V062A_20303133[[#This Row],[DISTANCIA POR CARTA]]/V062A_20303133[[#This Row],[TIEMPO DE NAVEGACION]]),0,V062A_20303133[[#This Row],[DISTANCIA POR CARTA]]/V062A_20303133[[#This Row],[TIEMPO DE NAVEGACION]])</f>
        <v>14.444444444444443</v>
      </c>
      <c r="J72" s="242">
        <v>3</v>
      </c>
      <c r="K72" s="325">
        <v>97</v>
      </c>
      <c r="L72" s="418">
        <v>2.59</v>
      </c>
      <c r="M72" s="245">
        <v>0.17</v>
      </c>
      <c r="N72" s="245">
        <v>0.14000000000000001</v>
      </c>
      <c r="O72" s="257">
        <f>SUM(V062A_20303133[[#This Row],[MPAL]]+V062A_20303133[[#This Row],[AUX.]]+V062A_20303133[[#This Row],[CALDERA]])</f>
        <v>2.9</v>
      </c>
      <c r="P72" s="319"/>
      <c r="Q72" s="281">
        <f>(Q71-V062A_20303133[[#This Row],[TOTAL ]])+V062A_20303133[[#This Row],[FAENA]]</f>
        <v>847.5200000000001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SUM(V062A_20303133[[#This Row],[MPAL2]:[GI]])</f>
        <v>0</v>
      </c>
      <c r="X72" s="246"/>
      <c r="Y72" s="282">
        <f>(Y71-V062A_20303133[[#This Row],[TOTAL]])+V062A_20303133[[#This Row],[FAENA2]]</f>
        <v>98.500000000000014</v>
      </c>
      <c r="Z72" s="245">
        <v>29</v>
      </c>
      <c r="AA72" s="246">
        <v>0</v>
      </c>
      <c r="AB72" s="320">
        <f>(AB71-V062A_20303133[[#This Row],[CYLINDER MP]])+V062A_20303133[[#This Row],[FAENA EN LTS]]</f>
        <v>3097</v>
      </c>
      <c r="AC72" s="246">
        <v>0</v>
      </c>
      <c r="AD72" s="246">
        <v>0</v>
      </c>
      <c r="AE72" s="320">
        <f>(AE71-V062A_20303133[[#This Row],[CARTER MP.]])+V062A_20303133[[#This Row],[FAENA EN LTS2]]</f>
        <v>1700</v>
      </c>
      <c r="AF72" s="246">
        <v>0</v>
      </c>
      <c r="AG72" s="246">
        <v>0</v>
      </c>
      <c r="AH72" s="320">
        <f>(AH71-V062A_20303133[[#This Row],[MOT AUX]])+V062A_20303133[[#This Row],[FAENA EN  LTS]]</f>
        <v>3130</v>
      </c>
      <c r="AI72" s="246">
        <v>0</v>
      </c>
      <c r="AJ72" s="246">
        <v>0</v>
      </c>
      <c r="AK72" s="321">
        <f>(AK71-V062A_20303133[[#This Row],[HIDRAULICO]])+V062A_20303133[[#This Row],[FAENA EN LTS3]]</f>
        <v>2400</v>
      </c>
    </row>
    <row r="73" spans="1:37" x14ac:dyDescent="0.25">
      <c r="A73" s="431" t="s">
        <v>290</v>
      </c>
      <c r="B73" s="48">
        <v>44125</v>
      </c>
      <c r="C73" s="237">
        <v>0.49583333333333335</v>
      </c>
      <c r="D73" s="418">
        <f>IF(V062A_20303133[[#This Row],[FECHA]]-B72=1,((V062A_20303133[[#This Row],[HORA]]-C72)*24)+24,(V062A_20303133[[#This Row],[HORA]]-C72)*24)</f>
        <v>1.2000000000000011</v>
      </c>
      <c r="E73" s="239" t="s">
        <v>45</v>
      </c>
      <c r="F73" s="378" t="s">
        <v>124</v>
      </c>
      <c r="G73" s="324"/>
      <c r="H73" s="306"/>
      <c r="I73" s="259">
        <f>IF(ISERROR(V062A_20303133[[#This Row],[DISTANCIA POR CARTA]]/V062A_20303133[[#This Row],[TIEMPO DE NAVEGACION]]),0,V062A_20303133[[#This Row],[DISTANCIA POR CARTA]]/V062A_20303133[[#This Row],[TIEMPO DE NAVEGACION]])</f>
        <v>0</v>
      </c>
      <c r="J73" s="380"/>
      <c r="K73" s="325"/>
      <c r="L73" s="418">
        <v>0.5</v>
      </c>
      <c r="M73" s="245">
        <v>0.08</v>
      </c>
      <c r="N73" s="245">
        <v>0.06</v>
      </c>
      <c r="O73" s="257">
        <f>SUM(V062A_20303133[[#This Row],[MPAL]]+V062A_20303133[[#This Row],[AUX.]]+V062A_20303133[[#This Row],[CALDERA]])</f>
        <v>0.6399999999999999</v>
      </c>
      <c r="P73" s="319"/>
      <c r="Q73" s="281">
        <f>(Q72-V062A_20303133[[#This Row],[TOTAL ]])+V062A_20303133[[#This Row],[FAENA]]</f>
        <v>846.88000000000011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SUM(V062A_20303133[[#This Row],[MPAL2]:[GI]])</f>
        <v>0</v>
      </c>
      <c r="X73" s="246"/>
      <c r="Y73" s="282">
        <f>(Y72-V062A_20303133[[#This Row],[TOTAL]])+V062A_20303133[[#This Row],[FAENA2]]</f>
        <v>98.500000000000014</v>
      </c>
      <c r="Z73" s="245">
        <v>6</v>
      </c>
      <c r="AA73" s="246">
        <v>0</v>
      </c>
      <c r="AB73" s="320">
        <f>(AB72-V062A_20303133[[#This Row],[CYLINDER MP]])+V062A_20303133[[#This Row],[FAENA EN LTS]]</f>
        <v>3091</v>
      </c>
      <c r="AC73" s="246">
        <v>0</v>
      </c>
      <c r="AD73" s="246">
        <v>0</v>
      </c>
      <c r="AE73" s="320">
        <f>(AE72-V062A_20303133[[#This Row],[CARTER MP.]])+V062A_20303133[[#This Row],[FAENA EN LTS2]]</f>
        <v>1700</v>
      </c>
      <c r="AF73" s="246">
        <v>0</v>
      </c>
      <c r="AG73" s="246">
        <v>0</v>
      </c>
      <c r="AH73" s="320">
        <f>(AH72-V062A_20303133[[#This Row],[MOT AUX]])+V062A_20303133[[#This Row],[FAENA EN  LTS]]</f>
        <v>3130</v>
      </c>
      <c r="AI73" s="246">
        <v>0</v>
      </c>
      <c r="AJ73" s="246">
        <v>0</v>
      </c>
      <c r="AK73" s="321">
        <f>(AK72-V062A_20303133[[#This Row],[HIDRAULICO]])+V062A_20303133[[#This Row],[FAENA EN LTS3]]</f>
        <v>2400</v>
      </c>
    </row>
    <row r="74" spans="1:37" x14ac:dyDescent="0.25">
      <c r="A74" s="431" t="s">
        <v>290</v>
      </c>
      <c r="B74" s="48">
        <v>44126</v>
      </c>
      <c r="C74" s="237">
        <v>0.33333333333333331</v>
      </c>
      <c r="D74" s="418">
        <f>IF(V062A_20303133[[#This Row],[FECHA]]-B73=1,((V062A_20303133[[#This Row],[HORA]]-C73)*24)+24,(V062A_20303133[[#This Row],[HORA]]-C73)*24)</f>
        <v>20.099999999999998</v>
      </c>
      <c r="E74" s="432" t="s">
        <v>45</v>
      </c>
      <c r="F74" s="378" t="s">
        <v>124</v>
      </c>
      <c r="G74" s="433"/>
      <c r="H74" s="434"/>
      <c r="I74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4" s="436"/>
      <c r="K74" s="437"/>
      <c r="L74" s="245">
        <v>0</v>
      </c>
      <c r="M74" s="246">
        <v>1.26</v>
      </c>
      <c r="N74" s="246">
        <v>1.01</v>
      </c>
      <c r="O74" s="246">
        <f>SUM(V062A_20303133[[#This Row],[MPAL]]+V062A_20303133[[#This Row],[AUX.]]+V062A_20303133[[#This Row],[CALDERA]])</f>
        <v>2.27</v>
      </c>
      <c r="P74" s="319"/>
      <c r="Q74" s="270">
        <f>(Q73-V062A_20303133[[#This Row],[TOTAL ]])+V062A_20303133[[#This Row],[FAENA]]</f>
        <v>844.61000000000013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SUM(V062A_20303133[[#This Row],[MPAL2]:[GI]])</f>
        <v>0</v>
      </c>
      <c r="X74" s="246"/>
      <c r="Y74" s="300">
        <f>(Y73-V062A_20303133[[#This Row],[TOTAL]])+V062A_20303133[[#This Row],[FAENA2]]</f>
        <v>98.500000000000014</v>
      </c>
      <c r="Z74" s="245">
        <v>0</v>
      </c>
      <c r="AA74" s="246">
        <v>0</v>
      </c>
      <c r="AB74" s="438">
        <f>(AB73-V062A_20303133[[#This Row],[CYLINDER MP]])+V062A_20303133[[#This Row],[FAENA EN LTS]]</f>
        <v>3091</v>
      </c>
      <c r="AC74" s="246">
        <v>0</v>
      </c>
      <c r="AD74" s="246">
        <v>0</v>
      </c>
      <c r="AE74" s="438">
        <f>(AE73-V062A_20303133[[#This Row],[CARTER MP.]])+V062A_20303133[[#This Row],[FAENA EN LTS2]]</f>
        <v>1700</v>
      </c>
      <c r="AF74" s="246">
        <v>10</v>
      </c>
      <c r="AG74" s="246">
        <v>0</v>
      </c>
      <c r="AH74" s="438">
        <f>(AH73-V062A_20303133[[#This Row],[MOT AUX]])+V062A_20303133[[#This Row],[FAENA EN  LTS]]</f>
        <v>3120</v>
      </c>
      <c r="AI74" s="246">
        <v>0</v>
      </c>
      <c r="AJ74" s="246">
        <v>0</v>
      </c>
      <c r="AK74" s="439">
        <f>(AK73-V062A_20303133[[#This Row],[HIDRAULICO]])+V062A_20303133[[#This Row],[FAENA EN LTS3]]</f>
        <v>2400</v>
      </c>
    </row>
    <row r="75" spans="1:37" x14ac:dyDescent="0.25">
      <c r="A75" s="431" t="s">
        <v>290</v>
      </c>
      <c r="B75" s="48">
        <v>44127</v>
      </c>
      <c r="C75" s="237">
        <v>0.33333333333333331</v>
      </c>
      <c r="D75" s="418">
        <f>IF(V062A_20303133[[#This Row],[FECHA]]-B74=1,((V062A_20303133[[#This Row],[HORA]]-C74)*24)+24,(V062A_20303133[[#This Row],[HORA]]-C74)*24)</f>
        <v>24</v>
      </c>
      <c r="E75" s="432" t="s">
        <v>45</v>
      </c>
      <c r="F75" s="378" t="s">
        <v>124</v>
      </c>
      <c r="G75" s="433"/>
      <c r="H75" s="434"/>
      <c r="I7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5" s="436"/>
      <c r="K75" s="437"/>
      <c r="L75" s="245">
        <v>0</v>
      </c>
      <c r="M75" s="246">
        <v>1.5</v>
      </c>
      <c r="N75" s="246">
        <v>1.2</v>
      </c>
      <c r="O75" s="246">
        <f>SUM(V062A_20303133[[#This Row],[MPAL]]+V062A_20303133[[#This Row],[AUX.]]+V062A_20303133[[#This Row],[CALDERA]])</f>
        <v>2.7</v>
      </c>
      <c r="P75" s="319"/>
      <c r="Q75" s="270">
        <f>(Q74-V062A_20303133[[#This Row],[TOTAL ]])+V062A_20303133[[#This Row],[FAENA]]</f>
        <v>841.91000000000008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SUM(V062A_20303133[[#This Row],[MPAL2]:[GI]])</f>
        <v>0</v>
      </c>
      <c r="X75" s="246"/>
      <c r="Y75" s="300">
        <f>(Y74-V062A_20303133[[#This Row],[TOTAL]])+V062A_20303133[[#This Row],[FAENA2]]</f>
        <v>98.500000000000014</v>
      </c>
      <c r="Z75" s="245">
        <v>0</v>
      </c>
      <c r="AA75" s="246">
        <v>0</v>
      </c>
      <c r="AB75" s="438">
        <f>(AB74-V062A_20303133[[#This Row],[CYLINDER MP]])+V062A_20303133[[#This Row],[FAENA EN LTS]]</f>
        <v>3091</v>
      </c>
      <c r="AC75" s="246">
        <v>0</v>
      </c>
      <c r="AD75" s="246">
        <v>0</v>
      </c>
      <c r="AE75" s="438">
        <f>(AE74-V062A_20303133[[#This Row],[CARTER MP.]])+V062A_20303133[[#This Row],[FAENA EN LTS2]]</f>
        <v>1700</v>
      </c>
      <c r="AF75" s="246">
        <v>10</v>
      </c>
      <c r="AG75" s="246">
        <v>0</v>
      </c>
      <c r="AH75" s="438">
        <f>(AH74-V062A_20303133[[#This Row],[MOT AUX]])+V062A_20303133[[#This Row],[FAENA EN  LTS]]</f>
        <v>3110</v>
      </c>
      <c r="AI75" s="246">
        <v>0</v>
      </c>
      <c r="AJ75" s="246">
        <v>0</v>
      </c>
      <c r="AK75" s="439">
        <f>(AK74-V062A_20303133[[#This Row],[HIDRAULICO]])+V062A_20303133[[#This Row],[FAENA EN LTS3]]</f>
        <v>2400</v>
      </c>
    </row>
    <row r="76" spans="1:37" x14ac:dyDescent="0.25">
      <c r="A76" s="431" t="s">
        <v>290</v>
      </c>
      <c r="B76" s="48">
        <v>44128</v>
      </c>
      <c r="C76" s="237">
        <v>0.33333333333333331</v>
      </c>
      <c r="D76" s="418">
        <f>IF(V062A_20303133[[#This Row],[FECHA]]-B75=1,((V062A_20303133[[#This Row],[HORA]]-C75)*24)+24,(V062A_20303133[[#This Row],[HORA]]-C75)*24)</f>
        <v>24</v>
      </c>
      <c r="E76" s="432" t="s">
        <v>45</v>
      </c>
      <c r="F76" s="378" t="s">
        <v>124</v>
      </c>
      <c r="G76" s="433"/>
      <c r="H76" s="434"/>
      <c r="I7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6" s="436"/>
      <c r="K76" s="437"/>
      <c r="L76" s="245">
        <v>0</v>
      </c>
      <c r="M76" s="246">
        <v>1.5</v>
      </c>
      <c r="N76" s="246">
        <v>1.2</v>
      </c>
      <c r="O76" s="246">
        <f>SUM(V062A_20303133[[#This Row],[MPAL]]+V062A_20303133[[#This Row],[AUX.]]+V062A_20303133[[#This Row],[CALDERA]])</f>
        <v>2.7</v>
      </c>
      <c r="P76" s="319"/>
      <c r="Q76" s="270">
        <f>(Q75-V062A_20303133[[#This Row],[TOTAL ]])+V062A_20303133[[#This Row],[FAENA]]</f>
        <v>839.21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SUM(V062A_20303133[[#This Row],[MPAL2]:[GI]])</f>
        <v>0</v>
      </c>
      <c r="X76" s="246"/>
      <c r="Y76" s="300">
        <f>(Y75-V062A_20303133[[#This Row],[TOTAL]])+V062A_20303133[[#This Row],[FAENA2]]</f>
        <v>98.500000000000014</v>
      </c>
      <c r="Z76" s="245">
        <v>0</v>
      </c>
      <c r="AA76" s="246">
        <v>0</v>
      </c>
      <c r="AB76" s="438">
        <f>(AB75-V062A_20303133[[#This Row],[CYLINDER MP]])+V062A_20303133[[#This Row],[FAENA EN LTS]]</f>
        <v>3091</v>
      </c>
      <c r="AC76" s="246">
        <v>0</v>
      </c>
      <c r="AD76" s="246">
        <v>0</v>
      </c>
      <c r="AE76" s="438">
        <f>(AE75-V062A_20303133[[#This Row],[CARTER MP.]])+V062A_20303133[[#This Row],[FAENA EN LTS2]]</f>
        <v>1700</v>
      </c>
      <c r="AF76" s="246">
        <v>10</v>
      </c>
      <c r="AG76" s="246">
        <v>0</v>
      </c>
      <c r="AH76" s="438">
        <f>(AH75-V062A_20303133[[#This Row],[MOT AUX]])+V062A_20303133[[#This Row],[FAENA EN  LTS]]</f>
        <v>3100</v>
      </c>
      <c r="AI76" s="246">
        <v>0</v>
      </c>
      <c r="AJ76" s="246">
        <v>0</v>
      </c>
      <c r="AK76" s="439">
        <f>(AK75-V062A_20303133[[#This Row],[HIDRAULICO]])+V062A_20303133[[#This Row],[FAENA EN LTS3]]</f>
        <v>2400</v>
      </c>
    </row>
    <row r="77" spans="1:37" x14ac:dyDescent="0.25">
      <c r="A77" s="431" t="s">
        <v>290</v>
      </c>
      <c r="B77" s="48">
        <v>44128</v>
      </c>
      <c r="C77" s="237">
        <v>0.52083333333333337</v>
      </c>
      <c r="D77" s="418">
        <f>IF(V062A_20303133[[#This Row],[FECHA]]-B76=1,((V062A_20303133[[#This Row],[HORA]]-C76)*24)+24,(V062A_20303133[[#This Row],[HORA]]-C76)*24)</f>
        <v>4.5000000000000018</v>
      </c>
      <c r="E77" s="432" t="s">
        <v>49</v>
      </c>
      <c r="F77" s="470" t="s">
        <v>307</v>
      </c>
      <c r="G77" s="433"/>
      <c r="H77" s="434"/>
      <c r="I7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7" s="436"/>
      <c r="K77" s="437"/>
      <c r="L77" s="245">
        <v>0</v>
      </c>
      <c r="M77" s="246">
        <v>0.28000000000000003</v>
      </c>
      <c r="N77" s="246">
        <v>0.23</v>
      </c>
      <c r="O77" s="246">
        <f>SUM(V062A_20303133[[#This Row],[MPAL]]+V062A_20303133[[#This Row],[AUX.]]+V062A_20303133[[#This Row],[CALDERA]])</f>
        <v>0.51</v>
      </c>
      <c r="P77" s="319"/>
      <c r="Q77" s="270">
        <f>(Q76-V062A_20303133[[#This Row],[TOTAL ]])+V062A_20303133[[#This Row],[FAENA]]</f>
        <v>838.7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SUM(V062A_20303133[[#This Row],[MPAL2]:[GI]])</f>
        <v>0</v>
      </c>
      <c r="X77" s="246"/>
      <c r="Y77" s="300">
        <f>(Y76-V062A_20303133[[#This Row],[TOTAL]])+V062A_20303133[[#This Row],[FAENA2]]</f>
        <v>98.500000000000014</v>
      </c>
      <c r="Z77" s="245">
        <v>0</v>
      </c>
      <c r="AA77" s="246">
        <v>0</v>
      </c>
      <c r="AB77" s="438">
        <f>(AB76-V062A_20303133[[#This Row],[CYLINDER MP]])+V062A_20303133[[#This Row],[FAENA EN LTS]]</f>
        <v>3091</v>
      </c>
      <c r="AC77" s="246">
        <v>0</v>
      </c>
      <c r="AD77" s="246">
        <v>0</v>
      </c>
      <c r="AE77" s="438">
        <f>(AE76-V062A_20303133[[#This Row],[CARTER MP.]])+V062A_20303133[[#This Row],[FAENA EN LTS2]]</f>
        <v>1700</v>
      </c>
      <c r="AF77" s="246">
        <v>0</v>
      </c>
      <c r="AG77" s="246">
        <v>0</v>
      </c>
      <c r="AH77" s="438">
        <f>(AH76-V062A_20303133[[#This Row],[MOT AUX]])+V062A_20303133[[#This Row],[FAENA EN  LTS]]</f>
        <v>3100</v>
      </c>
      <c r="AI77" s="246">
        <v>0</v>
      </c>
      <c r="AJ77" s="246">
        <v>0</v>
      </c>
      <c r="AK77" s="439">
        <f>(AK76-V062A_20303133[[#This Row],[HIDRAULICO]])+V062A_20303133[[#This Row],[FAENA EN LTS3]]</f>
        <v>2400</v>
      </c>
    </row>
    <row r="78" spans="1:37" x14ac:dyDescent="0.25">
      <c r="A78" s="431" t="s">
        <v>290</v>
      </c>
      <c r="B78" s="48">
        <v>44128</v>
      </c>
      <c r="C78" s="237">
        <v>0.60416666666666663</v>
      </c>
      <c r="D78" s="418">
        <f>IF(V062A_20303133[[#This Row],[FECHA]]-B77=1,((V062A_20303133[[#This Row],[HORA]]-C77)*24)+24,(V062A_20303133[[#This Row],[HORA]]-C77)*24)</f>
        <v>1.9999999999999982</v>
      </c>
      <c r="E78" s="432" t="s">
        <v>49</v>
      </c>
      <c r="F78" s="470" t="s">
        <v>306</v>
      </c>
      <c r="G78" s="433"/>
      <c r="H78" s="434"/>
      <c r="I7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8" s="436"/>
      <c r="K78" s="437"/>
      <c r="L78" s="245">
        <v>0.24</v>
      </c>
      <c r="M78" s="246">
        <v>0.13</v>
      </c>
      <c r="N78" s="246">
        <v>0.1</v>
      </c>
      <c r="O78" s="246">
        <f>SUM(V062A_20303133[[#This Row],[MPAL]]+V062A_20303133[[#This Row],[AUX.]]+V062A_20303133[[#This Row],[CALDERA]])</f>
        <v>0.47</v>
      </c>
      <c r="P78" s="319"/>
      <c r="Q78" s="270">
        <f>(Q77-V062A_20303133[[#This Row],[TOTAL ]])+V062A_20303133[[#This Row],[FAENA]]</f>
        <v>838.23</v>
      </c>
      <c r="R78" s="245">
        <v>0</v>
      </c>
      <c r="S78" s="246">
        <v>0</v>
      </c>
      <c r="T78" s="246">
        <v>0</v>
      </c>
      <c r="U78" s="246">
        <v>0</v>
      </c>
      <c r="V78" s="246">
        <v>1.1000000000000001</v>
      </c>
      <c r="W78" s="246">
        <f>SUM(V062A_20303133[[#This Row],[MPAL2]:[GI]])</f>
        <v>1.1000000000000001</v>
      </c>
      <c r="X78" s="246"/>
      <c r="Y78" s="300">
        <f>(Y77-V062A_20303133[[#This Row],[TOTAL]])+V062A_20303133[[#This Row],[FAENA2]]</f>
        <v>97.40000000000002</v>
      </c>
      <c r="Z78" s="245">
        <v>0</v>
      </c>
      <c r="AA78" s="246">
        <v>0</v>
      </c>
      <c r="AB78" s="438">
        <f>(AB77-V062A_20303133[[#This Row],[CYLINDER MP]])+V062A_20303133[[#This Row],[FAENA EN LTS]]</f>
        <v>3091</v>
      </c>
      <c r="AC78" s="246">
        <v>0</v>
      </c>
      <c r="AD78" s="246">
        <v>0</v>
      </c>
      <c r="AE78" s="438">
        <f>(AE77-V062A_20303133[[#This Row],[CARTER MP.]])+V062A_20303133[[#This Row],[FAENA EN LTS2]]</f>
        <v>1700</v>
      </c>
      <c r="AF78" s="246">
        <v>0</v>
      </c>
      <c r="AG78" s="246">
        <v>0</v>
      </c>
      <c r="AH78" s="438">
        <f>(AH77-V062A_20303133[[#This Row],[MOT AUX]])+V062A_20303133[[#This Row],[FAENA EN  LTS]]</f>
        <v>3100</v>
      </c>
      <c r="AI78" s="246">
        <v>0</v>
      </c>
      <c r="AJ78" s="246">
        <v>0</v>
      </c>
      <c r="AK78" s="439">
        <f>(AK77-V062A_20303133[[#This Row],[HIDRAULICO]])+V062A_20303133[[#This Row],[FAENA EN LTS3]]</f>
        <v>2400</v>
      </c>
    </row>
    <row r="79" spans="1:37" x14ac:dyDescent="0.25">
      <c r="A79" s="431" t="s">
        <v>290</v>
      </c>
      <c r="B79" s="48">
        <v>44128</v>
      </c>
      <c r="C79" s="237">
        <v>0.87083333333333324</v>
      </c>
      <c r="D79" s="418">
        <f>IF(V062A_20303133[[#This Row],[FECHA]]-B78=1,((V062A_20303133[[#This Row],[HORA]]-C78)*24)+24,(V062A_20303133[[#This Row],[HORA]]-C78)*24)</f>
        <v>6.3999999999999986</v>
      </c>
      <c r="E79" s="432" t="s">
        <v>51</v>
      </c>
      <c r="F79" s="470" t="s">
        <v>52</v>
      </c>
      <c r="G79" s="433"/>
      <c r="H79" s="434"/>
      <c r="I7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79" s="436"/>
      <c r="K79" s="437"/>
      <c r="L79" s="245">
        <v>0</v>
      </c>
      <c r="M79" s="246">
        <v>0.4</v>
      </c>
      <c r="N79" s="246">
        <v>0.32</v>
      </c>
      <c r="O79" s="246">
        <f>SUM(V062A_20303133[[#This Row],[MPAL]]+V062A_20303133[[#This Row],[AUX.]]+V062A_20303133[[#This Row],[CALDERA]])</f>
        <v>0.72</v>
      </c>
      <c r="P79" s="319"/>
      <c r="Q79" s="270">
        <f>(Q78-V062A_20303133[[#This Row],[TOTAL ]])+V062A_20303133[[#This Row],[FAENA]]</f>
        <v>837.51</v>
      </c>
      <c r="R79" s="245">
        <v>0</v>
      </c>
      <c r="S79" s="246">
        <v>0</v>
      </c>
      <c r="T79" s="246">
        <v>0</v>
      </c>
      <c r="U79" s="246">
        <v>0</v>
      </c>
      <c r="V79" s="246">
        <v>1.7</v>
      </c>
      <c r="W79" s="246">
        <f>SUM(V062A_20303133[[#This Row],[MPAL2]:[GI]])</f>
        <v>1.7</v>
      </c>
      <c r="X79" s="246"/>
      <c r="Y79" s="300">
        <f>(Y78-V062A_20303133[[#This Row],[TOTAL]])+V062A_20303133[[#This Row],[FAENA2]]</f>
        <v>95.700000000000017</v>
      </c>
      <c r="Z79" s="245">
        <v>0</v>
      </c>
      <c r="AA79" s="246">
        <v>0</v>
      </c>
      <c r="AB79" s="438">
        <f>(AB78-V062A_20303133[[#This Row],[CYLINDER MP]])+V062A_20303133[[#This Row],[FAENA EN LTS]]</f>
        <v>3091</v>
      </c>
      <c r="AC79" s="246">
        <v>0</v>
      </c>
      <c r="AD79" s="246">
        <v>0</v>
      </c>
      <c r="AE79" s="438">
        <f>(AE78-V062A_20303133[[#This Row],[CARTER MP.]])+V062A_20303133[[#This Row],[FAENA EN LTS2]]</f>
        <v>1700</v>
      </c>
      <c r="AF79" s="246">
        <v>0</v>
      </c>
      <c r="AG79" s="246">
        <v>0</v>
      </c>
      <c r="AH79" s="438">
        <f>(AH78-V062A_20303133[[#This Row],[MOT AUX]])+V062A_20303133[[#This Row],[FAENA EN  LTS]]</f>
        <v>3100</v>
      </c>
      <c r="AI79" s="246">
        <v>0</v>
      </c>
      <c r="AJ79" s="246">
        <v>0</v>
      </c>
      <c r="AK79" s="439">
        <f>(AK78-V062A_20303133[[#This Row],[HIDRAULICO]])+V062A_20303133[[#This Row],[FAENA EN LTS3]]</f>
        <v>2400</v>
      </c>
    </row>
    <row r="80" spans="1:37" x14ac:dyDescent="0.25">
      <c r="A80" s="431" t="s">
        <v>290</v>
      </c>
      <c r="B80" s="48">
        <v>44129</v>
      </c>
      <c r="C80" s="237">
        <v>0.15416666666666667</v>
      </c>
      <c r="D80" s="418">
        <f>IF(V062A_20303133[[#This Row],[FECHA]]-B79=1,((V062A_20303133[[#This Row],[HORA]]-C79)*24)+24,(V062A_20303133[[#This Row],[HORA]]-C79)*24)</f>
        <v>6.8000000000000043</v>
      </c>
      <c r="E80" s="432" t="s">
        <v>51</v>
      </c>
      <c r="F80" s="470" t="s">
        <v>124</v>
      </c>
      <c r="G80" s="433"/>
      <c r="H80" s="434"/>
      <c r="I80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0" s="436"/>
      <c r="K80" s="437"/>
      <c r="L80" s="245">
        <v>0</v>
      </c>
      <c r="M80" s="246">
        <v>0.7</v>
      </c>
      <c r="N80" s="246">
        <v>0.34</v>
      </c>
      <c r="O80" s="246">
        <f>SUM(V062A_20303133[[#This Row],[MPAL]]+V062A_20303133[[#This Row],[AUX.]]+V062A_20303133[[#This Row],[CALDERA]])</f>
        <v>1.04</v>
      </c>
      <c r="P80" s="319"/>
      <c r="Q80" s="270">
        <f>(Q79-V062A_20303133[[#This Row],[TOTAL ]])+V062A_20303133[[#This Row],[FAENA]]</f>
        <v>836.47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SUM(V062A_20303133[[#This Row],[MPAL2]:[GI]])</f>
        <v>0</v>
      </c>
      <c r="X80" s="246"/>
      <c r="Y80" s="300">
        <f>(Y79-V062A_20303133[[#This Row],[TOTAL]])+V062A_20303133[[#This Row],[FAENA2]]</f>
        <v>95.700000000000017</v>
      </c>
      <c r="Z80" s="245">
        <v>0</v>
      </c>
      <c r="AA80" s="246">
        <v>0</v>
      </c>
      <c r="AB80" s="438">
        <f>(AB79-V062A_20303133[[#This Row],[CYLINDER MP]])+V062A_20303133[[#This Row],[FAENA EN LTS]]</f>
        <v>3091</v>
      </c>
      <c r="AC80" s="246">
        <v>0</v>
      </c>
      <c r="AD80" s="246">
        <v>0</v>
      </c>
      <c r="AE80" s="438">
        <f>(AE79-V062A_20303133[[#This Row],[CARTER MP.]])+V062A_20303133[[#This Row],[FAENA EN LTS2]]</f>
        <v>1700</v>
      </c>
      <c r="AF80" s="246">
        <v>0</v>
      </c>
      <c r="AG80" s="246">
        <v>0</v>
      </c>
      <c r="AH80" s="438">
        <f>(AH79-V062A_20303133[[#This Row],[MOT AUX]])+V062A_20303133[[#This Row],[FAENA EN  LTS]]</f>
        <v>3100</v>
      </c>
      <c r="AI80" s="246">
        <v>0</v>
      </c>
      <c r="AJ80" s="246">
        <v>0</v>
      </c>
      <c r="AK80" s="439">
        <f>(AK79-V062A_20303133[[#This Row],[HIDRAULICO]])+V062A_20303133[[#This Row],[FAENA EN LTS3]]</f>
        <v>2400</v>
      </c>
    </row>
    <row r="81" spans="1:37" x14ac:dyDescent="0.25">
      <c r="A81" s="431" t="s">
        <v>290</v>
      </c>
      <c r="B81" s="48">
        <v>44129</v>
      </c>
      <c r="C81" s="237">
        <v>0.3125</v>
      </c>
      <c r="D81" s="418">
        <f>IF(V062A_20303133[[#This Row],[FECHA]]-B80=1,((V062A_20303133[[#This Row],[HORA]]-C80)*24)+24,(V062A_20303133[[#This Row],[HORA]]-C80)*24)</f>
        <v>3.8</v>
      </c>
      <c r="E81" s="432" t="s">
        <v>47</v>
      </c>
      <c r="F81" s="470" t="s">
        <v>308</v>
      </c>
      <c r="G81" s="433"/>
      <c r="H81" s="434"/>
      <c r="I81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1" s="436"/>
      <c r="K81" s="437"/>
      <c r="L81" s="245">
        <v>0</v>
      </c>
      <c r="M81" s="246">
        <v>0.24</v>
      </c>
      <c r="N81" s="246">
        <v>0.19</v>
      </c>
      <c r="O81" s="246">
        <f>SUM(V062A_20303133[[#This Row],[MPAL]]+V062A_20303133[[#This Row],[AUX.]]+V062A_20303133[[#This Row],[CALDERA]])</f>
        <v>0.43</v>
      </c>
      <c r="P81" s="319"/>
      <c r="Q81" s="270">
        <f>(Q80-V062A_20303133[[#This Row],[TOTAL ]])+V062A_20303133[[#This Row],[FAENA]]</f>
        <v>836.04000000000008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SUM(V062A_20303133[[#This Row],[MPAL2]:[GI]])</f>
        <v>0</v>
      </c>
      <c r="X81" s="246"/>
      <c r="Y81" s="300">
        <f>(Y80-V062A_20303133[[#This Row],[TOTAL]])+V062A_20303133[[#This Row],[FAENA2]]</f>
        <v>95.700000000000017</v>
      </c>
      <c r="Z81" s="245">
        <v>0</v>
      </c>
      <c r="AA81" s="246">
        <v>0</v>
      </c>
      <c r="AB81" s="438">
        <f>(AB80-V062A_20303133[[#This Row],[CYLINDER MP]])+V062A_20303133[[#This Row],[FAENA EN LTS]]</f>
        <v>3091</v>
      </c>
      <c r="AC81" s="246">
        <v>0</v>
      </c>
      <c r="AD81" s="246">
        <v>0</v>
      </c>
      <c r="AE81" s="438">
        <f>(AE80-V062A_20303133[[#This Row],[CARTER MP.]])+V062A_20303133[[#This Row],[FAENA EN LTS2]]</f>
        <v>1700</v>
      </c>
      <c r="AF81" s="246">
        <v>20</v>
      </c>
      <c r="AG81" s="246">
        <v>0</v>
      </c>
      <c r="AH81" s="438">
        <f>(AH80-V062A_20303133[[#This Row],[MOT AUX]])+V062A_20303133[[#This Row],[FAENA EN  LTS]]</f>
        <v>3080</v>
      </c>
      <c r="AI81" s="246">
        <v>0</v>
      </c>
      <c r="AJ81" s="246">
        <v>0</v>
      </c>
      <c r="AK81" s="439">
        <f>(AK80-V062A_20303133[[#This Row],[HIDRAULICO]])+V062A_20303133[[#This Row],[FAENA EN LTS3]]</f>
        <v>2400</v>
      </c>
    </row>
    <row r="82" spans="1:37" x14ac:dyDescent="0.25">
      <c r="A82" s="431" t="s">
        <v>290</v>
      </c>
      <c r="B82" s="48">
        <v>44129</v>
      </c>
      <c r="C82" s="237">
        <v>0.33333333333333331</v>
      </c>
      <c r="D82" s="418">
        <f>IF(V062A_20303133[[#This Row],[FECHA]]-B81=1,((V062A_20303133[[#This Row],[HORA]]-C81)*24)+24,(V062A_20303133[[#This Row],[HORA]]-C81)*24)</f>
        <v>0.49999999999999956</v>
      </c>
      <c r="E82" s="432" t="s">
        <v>55</v>
      </c>
      <c r="F82" s="470" t="s">
        <v>238</v>
      </c>
      <c r="G82" s="433"/>
      <c r="H82" s="434"/>
      <c r="I82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2" s="436"/>
      <c r="K82" s="437"/>
      <c r="L82" s="245">
        <v>0.13</v>
      </c>
      <c r="M82" s="246">
        <v>0.03</v>
      </c>
      <c r="N82" s="246">
        <v>0.03</v>
      </c>
      <c r="O82" s="246">
        <f>SUM(V062A_20303133[[#This Row],[MPAL]]+V062A_20303133[[#This Row],[AUX.]]+V062A_20303133[[#This Row],[CALDERA]])</f>
        <v>0.19</v>
      </c>
      <c r="P82" s="319"/>
      <c r="Q82" s="270">
        <f>(Q81-V062A_20303133[[#This Row],[TOTAL ]])+V062A_20303133[[#This Row],[FAENA]]</f>
        <v>835.85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SUM(V062A_20303133[[#This Row],[MPAL2]:[GI]])</f>
        <v>0</v>
      </c>
      <c r="X82" s="246"/>
      <c r="Y82" s="300">
        <f>(Y81-V062A_20303133[[#This Row],[TOTAL]])+V062A_20303133[[#This Row],[FAENA2]]</f>
        <v>95.700000000000017</v>
      </c>
      <c r="Z82" s="245">
        <v>5</v>
      </c>
      <c r="AA82" s="246">
        <v>0</v>
      </c>
      <c r="AB82" s="438">
        <f>(AB81-V062A_20303133[[#This Row],[CYLINDER MP]])+V062A_20303133[[#This Row],[FAENA EN LTS]]</f>
        <v>3086</v>
      </c>
      <c r="AC82" s="246">
        <v>0</v>
      </c>
      <c r="AD82" s="246">
        <v>0</v>
      </c>
      <c r="AE82" s="438">
        <f>(AE81-V062A_20303133[[#This Row],[CARTER MP.]])+V062A_20303133[[#This Row],[FAENA EN LTS2]]</f>
        <v>1700</v>
      </c>
      <c r="AF82" s="246">
        <v>0</v>
      </c>
      <c r="AG82" s="246">
        <v>0</v>
      </c>
      <c r="AH82" s="438">
        <f>(AH81-V062A_20303133[[#This Row],[MOT AUX]])+V062A_20303133[[#This Row],[FAENA EN  LTS]]</f>
        <v>3080</v>
      </c>
      <c r="AI82" s="246">
        <v>0</v>
      </c>
      <c r="AJ82" s="246">
        <v>0</v>
      </c>
      <c r="AK82" s="439">
        <f>(AK81-V062A_20303133[[#This Row],[HIDRAULICO]])+V062A_20303133[[#This Row],[FAENA EN LTS3]]</f>
        <v>2400</v>
      </c>
    </row>
    <row r="83" spans="1:37" x14ac:dyDescent="0.25">
      <c r="A83" s="431" t="s">
        <v>290</v>
      </c>
      <c r="B83" s="48">
        <v>44130</v>
      </c>
      <c r="C83" s="237">
        <v>0</v>
      </c>
      <c r="D83" s="418">
        <f>IF(V062A_20303133[[#This Row],[FECHA]]-B82=1,((V062A_20303133[[#This Row],[HORA]]-C82)*24)+24,(V062A_20303133[[#This Row],[HORA]]-C82)*24)</f>
        <v>16</v>
      </c>
      <c r="E83" s="432" t="s">
        <v>55</v>
      </c>
      <c r="F83" s="470" t="s">
        <v>309</v>
      </c>
      <c r="G83" s="433">
        <v>225.7</v>
      </c>
      <c r="H83" s="434">
        <v>16</v>
      </c>
      <c r="I83" s="435">
        <f>IF(ISERROR(V062A_20303133[[#This Row],[DISTANCIA POR CARTA]]/V062A_20303133[[#This Row],[TIEMPO DE NAVEGACION]]),0,V062A_20303133[[#This Row],[DISTANCIA POR CARTA]]/V062A_20303133[[#This Row],[TIEMPO DE NAVEGACION]])</f>
        <v>14.106249999999999</v>
      </c>
      <c r="J83" s="436">
        <v>3</v>
      </c>
      <c r="K83" s="437">
        <v>97</v>
      </c>
      <c r="L83" s="245">
        <v>14.67</v>
      </c>
      <c r="M83" s="246">
        <v>1</v>
      </c>
      <c r="N83" s="246">
        <v>0.8</v>
      </c>
      <c r="O83" s="246">
        <f>SUM(V062A_20303133[[#This Row],[MPAL]]+V062A_20303133[[#This Row],[AUX.]]+V062A_20303133[[#This Row],[CALDERA]])</f>
        <v>16.47</v>
      </c>
      <c r="P83" s="319"/>
      <c r="Q83" s="270">
        <f>(Q82-V062A_20303133[[#This Row],[TOTAL ]])+V062A_20303133[[#This Row],[FAENA]]</f>
        <v>819.38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SUM(V062A_20303133[[#This Row],[MPAL2]:[GI]])</f>
        <v>0</v>
      </c>
      <c r="X83" s="246"/>
      <c r="Y83" s="300">
        <f>(Y82-V062A_20303133[[#This Row],[TOTAL]])+V062A_20303133[[#This Row],[FAENA2]]</f>
        <v>95.700000000000017</v>
      </c>
      <c r="Z83" s="245">
        <v>176</v>
      </c>
      <c r="AA83" s="246">
        <v>0</v>
      </c>
      <c r="AB83" s="438">
        <f>(AB82-V062A_20303133[[#This Row],[CYLINDER MP]])+V062A_20303133[[#This Row],[FAENA EN LTS]]</f>
        <v>2910</v>
      </c>
      <c r="AC83" s="246">
        <v>0</v>
      </c>
      <c r="AD83" s="246">
        <v>0</v>
      </c>
      <c r="AE83" s="438">
        <f>(AE82-V062A_20303133[[#This Row],[CARTER MP.]])+V062A_20303133[[#This Row],[FAENA EN LTS2]]</f>
        <v>1700</v>
      </c>
      <c r="AF83" s="246">
        <v>0</v>
      </c>
      <c r="AG83" s="246">
        <v>0</v>
      </c>
      <c r="AH83" s="438">
        <f>(AH82-V062A_20303133[[#This Row],[MOT AUX]])+V062A_20303133[[#This Row],[FAENA EN  LTS]]</f>
        <v>3080</v>
      </c>
      <c r="AI83" s="246">
        <v>0</v>
      </c>
      <c r="AJ83" s="246">
        <v>0</v>
      </c>
      <c r="AK83" s="439">
        <f>(AK82-V062A_20303133[[#This Row],[HIDRAULICO]])+V062A_20303133[[#This Row],[FAENA EN LTS3]]</f>
        <v>2400</v>
      </c>
    </row>
    <row r="84" spans="1:37" x14ac:dyDescent="0.25">
      <c r="A84" s="431" t="s">
        <v>290</v>
      </c>
      <c r="B84" s="48">
        <v>44130</v>
      </c>
      <c r="C84" s="237">
        <v>0.17500000000000002</v>
      </c>
      <c r="D84" s="418">
        <f>IF(V062A_20303133[[#This Row],[FECHA]]-B83=1,((V062A_20303133[[#This Row],[HORA]]-C83)*24)+24,(V062A_20303133[[#This Row],[HORA]]-C83)*24)</f>
        <v>4.2</v>
      </c>
      <c r="E84" s="432" t="s">
        <v>55</v>
      </c>
      <c r="F84" s="470" t="s">
        <v>160</v>
      </c>
      <c r="G84" s="433">
        <v>59.3</v>
      </c>
      <c r="H84" s="434">
        <v>4.2</v>
      </c>
      <c r="I84" s="435">
        <f>IF(ISERROR(V062A_20303133[[#This Row],[DISTANCIA POR CARTA]]/V062A_20303133[[#This Row],[TIEMPO DE NAVEGACION]]),0,V062A_20303133[[#This Row],[DISTANCIA POR CARTA]]/V062A_20303133[[#This Row],[TIEMPO DE NAVEGACION]])</f>
        <v>14.119047619047619</v>
      </c>
      <c r="J84" s="436">
        <v>3</v>
      </c>
      <c r="K84" s="437">
        <v>97</v>
      </c>
      <c r="L84" s="245">
        <v>3.85</v>
      </c>
      <c r="M84" s="246">
        <v>0.26</v>
      </c>
      <c r="N84" s="246">
        <v>0.21</v>
      </c>
      <c r="O84" s="246">
        <f>SUM(V062A_20303133[[#This Row],[MPAL]]+V062A_20303133[[#This Row],[AUX.]]+V062A_20303133[[#This Row],[CALDERA]])</f>
        <v>4.32</v>
      </c>
      <c r="P84" s="319"/>
      <c r="Q84" s="270">
        <f>(Q83-V062A_20303133[[#This Row],[TOTAL ]])+V062A_20303133[[#This Row],[FAENA]]</f>
        <v>815.06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SUM(V062A_20303133[[#This Row],[MPAL2]:[GI]])</f>
        <v>0</v>
      </c>
      <c r="X84" s="246"/>
      <c r="Y84" s="300">
        <f>(Y83-V062A_20303133[[#This Row],[TOTAL]])+V062A_20303133[[#This Row],[FAENA2]]</f>
        <v>95.700000000000017</v>
      </c>
      <c r="Z84" s="245">
        <v>46</v>
      </c>
      <c r="AA84" s="246">
        <v>0</v>
      </c>
      <c r="AB84" s="438">
        <f>(AB83-V062A_20303133[[#This Row],[CYLINDER MP]])+V062A_20303133[[#This Row],[FAENA EN LTS]]</f>
        <v>2864</v>
      </c>
      <c r="AC84" s="246">
        <v>0</v>
      </c>
      <c r="AD84" s="246">
        <v>0</v>
      </c>
      <c r="AE84" s="438">
        <f>(AE83-V062A_20303133[[#This Row],[CARTER MP.]])+V062A_20303133[[#This Row],[FAENA EN LTS2]]</f>
        <v>1700</v>
      </c>
      <c r="AF84" s="246">
        <v>0</v>
      </c>
      <c r="AG84" s="246">
        <v>0</v>
      </c>
      <c r="AH84" s="438">
        <f>(AH83-V062A_20303133[[#This Row],[MOT AUX]])+V062A_20303133[[#This Row],[FAENA EN  LTS]]</f>
        <v>3080</v>
      </c>
      <c r="AI84" s="246">
        <v>0</v>
      </c>
      <c r="AJ84" s="246">
        <v>0</v>
      </c>
      <c r="AK84" s="439">
        <f>(AK83-V062A_20303133[[#This Row],[HIDRAULICO]])+V062A_20303133[[#This Row],[FAENA EN LTS3]]</f>
        <v>2400</v>
      </c>
    </row>
    <row r="85" spans="1:37" x14ac:dyDescent="0.25">
      <c r="A85" s="431"/>
      <c r="B85" s="48"/>
      <c r="C85" s="237"/>
      <c r="D85" s="418">
        <f>IF(V062A_20303133[[#This Row],[FECHA]]-B84=1,((V062A_20303133[[#This Row],[HORA]]-C84)*24)+24,(V062A_20303133[[#This Row],[HORA]]-C84)*24)</f>
        <v>-4.2</v>
      </c>
      <c r="E85" s="432"/>
      <c r="F85" s="470"/>
      <c r="G85" s="433"/>
      <c r="H85" s="434"/>
      <c r="I85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5" s="436"/>
      <c r="K85" s="437"/>
      <c r="L85" s="245"/>
      <c r="M85" s="246"/>
      <c r="N85" s="246"/>
      <c r="O85" s="246">
        <f>SUM(V062A_20303133[[#This Row],[MPAL]]+V062A_20303133[[#This Row],[AUX.]]+V062A_20303133[[#This Row],[CALDERA]])</f>
        <v>0</v>
      </c>
      <c r="P85" s="319"/>
      <c r="Q85" s="270">
        <f>(Q84-V062A_20303133[[#This Row],[TOTAL ]])+V062A_20303133[[#This Row],[FAENA]]</f>
        <v>815.06</v>
      </c>
      <c r="R85" s="245"/>
      <c r="S85" s="246"/>
      <c r="T85" s="246"/>
      <c r="U85" s="246"/>
      <c r="V85" s="246"/>
      <c r="W85" s="246">
        <f>SUM(V062A_20303133[[#This Row],[MPAL2]:[GI]])</f>
        <v>0</v>
      </c>
      <c r="X85" s="246"/>
      <c r="Y85" s="300">
        <f>(Y84-V062A_20303133[[#This Row],[TOTAL]])+V062A_20303133[[#This Row],[FAENA2]]</f>
        <v>95.700000000000017</v>
      </c>
      <c r="Z85" s="245"/>
      <c r="AA85" s="246"/>
      <c r="AB85" s="438">
        <f>(AB84-V062A_20303133[[#This Row],[CYLINDER MP]])+V062A_20303133[[#This Row],[FAENA EN LTS]]</f>
        <v>2864</v>
      </c>
      <c r="AC85" s="246"/>
      <c r="AD85" s="246"/>
      <c r="AE85" s="438">
        <f>(AE84-V062A_20303133[[#This Row],[CARTER MP.]])+V062A_20303133[[#This Row],[FAENA EN LTS2]]</f>
        <v>1700</v>
      </c>
      <c r="AF85" s="246"/>
      <c r="AG85" s="246"/>
      <c r="AH85" s="438">
        <f>(AH84-V062A_20303133[[#This Row],[MOT AUX]])+V062A_20303133[[#This Row],[FAENA EN  LTS]]</f>
        <v>3080</v>
      </c>
      <c r="AI85" s="246"/>
      <c r="AJ85" s="246"/>
      <c r="AK85" s="439">
        <f>(AK84-V062A_20303133[[#This Row],[HIDRAULICO]])+V062A_20303133[[#This Row],[FAENA EN LTS3]]</f>
        <v>2400</v>
      </c>
    </row>
    <row r="86" spans="1:37" x14ac:dyDescent="0.25">
      <c r="A86" s="431"/>
      <c r="B86" s="48"/>
      <c r="C86" s="237"/>
      <c r="D86" s="418">
        <f>IF(V062A_20303133[[#This Row],[FECHA]]-B85=1,((V062A_20303133[[#This Row],[HORA]]-C85)*24)+24,(V062A_20303133[[#This Row],[HORA]]-C85)*24)</f>
        <v>0</v>
      </c>
      <c r="E86" s="432"/>
      <c r="F86" s="470"/>
      <c r="G86" s="433"/>
      <c r="H86" s="434"/>
      <c r="I86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6" s="436"/>
      <c r="K86" s="437"/>
      <c r="L86" s="245"/>
      <c r="M86" s="246"/>
      <c r="N86" s="246"/>
      <c r="O86" s="246">
        <f>SUM(V062A_20303133[[#This Row],[MPAL]]+V062A_20303133[[#This Row],[AUX.]]+V062A_20303133[[#This Row],[CALDERA]])</f>
        <v>0</v>
      </c>
      <c r="P86" s="319"/>
      <c r="Q86" s="270">
        <f>(Q85-V062A_20303133[[#This Row],[TOTAL ]])+V062A_20303133[[#This Row],[FAENA]]</f>
        <v>815.06</v>
      </c>
      <c r="R86" s="245"/>
      <c r="S86" s="246"/>
      <c r="T86" s="246"/>
      <c r="U86" s="246"/>
      <c r="V86" s="246"/>
      <c r="W86" s="246">
        <f>SUM(V062A_20303133[[#This Row],[MPAL2]:[GI]])</f>
        <v>0</v>
      </c>
      <c r="X86" s="246"/>
      <c r="Y86" s="300">
        <f>(Y85-V062A_20303133[[#This Row],[TOTAL]])+V062A_20303133[[#This Row],[FAENA2]]</f>
        <v>95.700000000000017</v>
      </c>
      <c r="Z86" s="245"/>
      <c r="AA86" s="246"/>
      <c r="AB86" s="438">
        <f>(AB85-V062A_20303133[[#This Row],[CYLINDER MP]])+V062A_20303133[[#This Row],[FAENA EN LTS]]</f>
        <v>2864</v>
      </c>
      <c r="AC86" s="246"/>
      <c r="AD86" s="246"/>
      <c r="AE86" s="438">
        <f>(AE85-V062A_20303133[[#This Row],[CARTER MP.]])+V062A_20303133[[#This Row],[FAENA EN LTS2]]</f>
        <v>1700</v>
      </c>
      <c r="AF86" s="246"/>
      <c r="AG86" s="246"/>
      <c r="AH86" s="438">
        <f>(AH85-V062A_20303133[[#This Row],[MOT AUX]])+V062A_20303133[[#This Row],[FAENA EN  LTS]]</f>
        <v>3080</v>
      </c>
      <c r="AI86" s="246"/>
      <c r="AJ86" s="246"/>
      <c r="AK86" s="439">
        <f>(AK85-V062A_20303133[[#This Row],[HIDRAULICO]])+V062A_20303133[[#This Row],[FAENA EN LTS3]]</f>
        <v>2400</v>
      </c>
    </row>
    <row r="87" spans="1:37" x14ac:dyDescent="0.25">
      <c r="A87" s="431"/>
      <c r="B87" s="48"/>
      <c r="C87" s="237"/>
      <c r="D87" s="418">
        <f>IF(V062A_20303133[[#This Row],[FECHA]]-B86=1,((V062A_20303133[[#This Row],[HORA]]-C86)*24)+24,(V062A_20303133[[#This Row],[HORA]]-C86)*24)</f>
        <v>0</v>
      </c>
      <c r="E87" s="432"/>
      <c r="F87" s="378"/>
      <c r="G87" s="433"/>
      <c r="H87" s="434"/>
      <c r="I87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7" s="436"/>
      <c r="K87" s="437"/>
      <c r="L87" s="245"/>
      <c r="M87" s="246"/>
      <c r="N87" s="246"/>
      <c r="O87" s="246">
        <f>SUM(V062A_20303133[[#This Row],[MPAL]]+V062A_20303133[[#This Row],[AUX.]]+V062A_20303133[[#This Row],[CALDERA]])</f>
        <v>0</v>
      </c>
      <c r="P87" s="319"/>
      <c r="Q87" s="270">
        <f>(Q86-V062A_20303133[[#This Row],[TOTAL ]])+V062A_20303133[[#This Row],[FAENA]]</f>
        <v>815.06</v>
      </c>
      <c r="R87" s="245"/>
      <c r="S87" s="246"/>
      <c r="T87" s="246"/>
      <c r="U87" s="246"/>
      <c r="V87" s="246"/>
      <c r="W87" s="246">
        <f>SUM(V062A_20303133[[#This Row],[MPAL2]:[GI]])</f>
        <v>0</v>
      </c>
      <c r="X87" s="246"/>
      <c r="Y87" s="300">
        <f>(Y86-V062A_20303133[[#This Row],[TOTAL]])+V062A_20303133[[#This Row],[FAENA2]]</f>
        <v>95.700000000000017</v>
      </c>
      <c r="Z87" s="245"/>
      <c r="AA87" s="246"/>
      <c r="AB87" s="438">
        <f>(AB86-V062A_20303133[[#This Row],[CYLINDER MP]])+V062A_20303133[[#This Row],[FAENA EN LTS]]</f>
        <v>2864</v>
      </c>
      <c r="AC87" s="246"/>
      <c r="AD87" s="246"/>
      <c r="AE87" s="438">
        <f>(AE86-V062A_20303133[[#This Row],[CARTER MP.]])+V062A_20303133[[#This Row],[FAENA EN LTS2]]</f>
        <v>1700</v>
      </c>
      <c r="AF87" s="246"/>
      <c r="AG87" s="246"/>
      <c r="AH87" s="438">
        <f>(AH86-V062A_20303133[[#This Row],[MOT AUX]])+V062A_20303133[[#This Row],[FAENA EN  LTS]]</f>
        <v>3080</v>
      </c>
      <c r="AI87" s="246"/>
      <c r="AJ87" s="246"/>
      <c r="AK87" s="439">
        <f>(AK86-V062A_20303133[[#This Row],[HIDRAULICO]])+V062A_20303133[[#This Row],[FAENA EN LTS3]]</f>
        <v>2400</v>
      </c>
    </row>
    <row r="88" spans="1:37" x14ac:dyDescent="0.25">
      <c r="A88" s="468"/>
      <c r="B88" s="469"/>
      <c r="C88" s="237"/>
      <c r="D88" s="418">
        <f>IF(V062A_20303133[[#This Row],[FECHA]]-B87=1,((V062A_20303133[[#This Row],[HORA]]-C87)*24)+24,(V062A_20303133[[#This Row],[HORA]]-C87)*24)</f>
        <v>0</v>
      </c>
      <c r="E88" s="432"/>
      <c r="F88" s="470"/>
      <c r="G88" s="433"/>
      <c r="H88" s="434"/>
      <c r="I88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8" s="436"/>
      <c r="K88" s="437"/>
      <c r="L88" s="245"/>
      <c r="M88" s="246"/>
      <c r="N88" s="246"/>
      <c r="O88" s="246">
        <f>SUM(V062A_20303133[[#This Row],[MPAL]]+V062A_20303133[[#This Row],[AUX.]]+V062A_20303133[[#This Row],[CALDERA]])</f>
        <v>0</v>
      </c>
      <c r="P88" s="319"/>
      <c r="Q88" s="270">
        <f>(Q87-V062A_20303133[[#This Row],[TOTAL ]])+V062A_20303133[[#This Row],[FAENA]]</f>
        <v>815.06</v>
      </c>
      <c r="R88" s="245"/>
      <c r="S88" s="246"/>
      <c r="T88" s="246"/>
      <c r="U88" s="246"/>
      <c r="V88" s="246"/>
      <c r="W88" s="246">
        <f>SUM(V062A_20303133[[#This Row],[MPAL2]:[GI]])</f>
        <v>0</v>
      </c>
      <c r="X88" s="246"/>
      <c r="Y88" s="300">
        <f>(Y87-V062A_20303133[[#This Row],[TOTAL]])+V062A_20303133[[#This Row],[FAENA2]]</f>
        <v>95.700000000000017</v>
      </c>
      <c r="Z88" s="245"/>
      <c r="AA88" s="246"/>
      <c r="AB88" s="438">
        <f>(AB87-V062A_20303133[[#This Row],[CYLINDER MP]])+V062A_20303133[[#This Row],[FAENA EN LTS]]</f>
        <v>2864</v>
      </c>
      <c r="AC88" s="246"/>
      <c r="AD88" s="246"/>
      <c r="AE88" s="438">
        <f>(AE87-V062A_20303133[[#This Row],[CARTER MP.]])+V062A_20303133[[#This Row],[FAENA EN LTS2]]</f>
        <v>1700</v>
      </c>
      <c r="AF88" s="246"/>
      <c r="AG88" s="246"/>
      <c r="AH88" s="438">
        <f>(AH87-V062A_20303133[[#This Row],[MOT AUX]])+V062A_20303133[[#This Row],[FAENA EN  LTS]]</f>
        <v>3080</v>
      </c>
      <c r="AI88" s="246"/>
      <c r="AJ88" s="246"/>
      <c r="AK88" s="439">
        <f>(AK87-V062A_20303133[[#This Row],[HIDRAULICO]])+V062A_20303133[[#This Row],[FAENA EN LTS3]]</f>
        <v>2400</v>
      </c>
    </row>
    <row r="89" spans="1:37" x14ac:dyDescent="0.25">
      <c r="A89" s="468"/>
      <c r="B89" s="469"/>
      <c r="C89" s="237"/>
      <c r="D89" s="418">
        <f>IF(V062A_20303133[[#This Row],[FECHA]]-B88=1,((V062A_20303133[[#This Row],[HORA]]-C88)*24)+24,(V062A_20303133[[#This Row],[HORA]]-C88)*24)</f>
        <v>0</v>
      </c>
      <c r="E89" s="432"/>
      <c r="F89" s="470"/>
      <c r="G89" s="433"/>
      <c r="H89" s="434"/>
      <c r="I89" s="435">
        <f>IF(ISERROR(V062A_20303133[[#This Row],[DISTANCIA POR CARTA]]/V062A_20303133[[#This Row],[TIEMPO DE NAVEGACION]]),0,V062A_20303133[[#This Row],[DISTANCIA POR CARTA]]/V062A_20303133[[#This Row],[TIEMPO DE NAVEGACION]])</f>
        <v>0</v>
      </c>
      <c r="J89" s="436"/>
      <c r="K89" s="437"/>
      <c r="L89" s="245"/>
      <c r="M89" s="246"/>
      <c r="N89" s="246"/>
      <c r="O89" s="246">
        <f>SUM(V062A_20303133[[#This Row],[MPAL]]+V062A_20303133[[#This Row],[AUX.]]+V062A_20303133[[#This Row],[CALDERA]])</f>
        <v>0</v>
      </c>
      <c r="P89" s="319"/>
      <c r="Q89" s="270">
        <f>(Q88-V062A_20303133[[#This Row],[TOTAL ]])+V062A_20303133[[#This Row],[FAENA]]</f>
        <v>815.06</v>
      </c>
      <c r="R89" s="245"/>
      <c r="S89" s="246"/>
      <c r="T89" s="246"/>
      <c r="U89" s="246"/>
      <c r="V89" s="246"/>
      <c r="W89" s="246">
        <f>SUM(V062A_20303133[[#This Row],[MPAL2]:[GI]])</f>
        <v>0</v>
      </c>
      <c r="X89" s="246"/>
      <c r="Y89" s="300">
        <f>(Y88-V062A_20303133[[#This Row],[TOTAL]])+V062A_20303133[[#This Row],[FAENA2]]</f>
        <v>95.700000000000017</v>
      </c>
      <c r="Z89" s="245"/>
      <c r="AA89" s="246"/>
      <c r="AB89" s="438">
        <f>(AB88-V062A_20303133[[#This Row],[CYLINDER MP]])+V062A_20303133[[#This Row],[FAENA EN LTS]]</f>
        <v>2864</v>
      </c>
      <c r="AC89" s="246"/>
      <c r="AD89" s="246"/>
      <c r="AE89" s="438">
        <f>(AE88-V062A_20303133[[#This Row],[CARTER MP.]])+V062A_20303133[[#This Row],[FAENA EN LTS2]]</f>
        <v>1700</v>
      </c>
      <c r="AF89" s="246"/>
      <c r="AG89" s="246"/>
      <c r="AH89" s="438">
        <f>(AH88-V062A_20303133[[#This Row],[MOT AUX]])+V062A_20303133[[#This Row],[FAENA EN  LTS]]</f>
        <v>3080</v>
      </c>
      <c r="AI89" s="246"/>
      <c r="AJ89" s="246"/>
      <c r="AK89" s="439">
        <f>(AK88-V062A_20303133[[#This Row],[HIDRAULICO]])+V062A_20303133[[#This Row],[FAENA EN LTS3]]</f>
        <v>2400</v>
      </c>
    </row>
    <row r="90" spans="1:37" x14ac:dyDescent="0.25">
      <c r="A90" s="440"/>
      <c r="B90" s="441"/>
      <c r="C90" s="442"/>
      <c r="D90" s="418">
        <f>IF(V062A_20303133[[#This Row],[FECHA]]-B89=1,((V062A_20303133[[#This Row],[HORA]]-C89)*24)+24,(V062A_20303133[[#This Row],[HORA]]-C89)*24)</f>
        <v>0</v>
      </c>
      <c r="E90" s="444"/>
      <c r="F90" s="445"/>
      <c r="G90" s="446"/>
      <c r="H90" s="447"/>
      <c r="I90" s="448">
        <f>IF(ISERROR(V062A_20303133[[#This Row],[DISTANCIA POR CARTA]]/V062A_20303133[[#This Row],[TIEMPO DE NAVEGACION]]),0,V062A_20303133[[#This Row],[DISTANCIA POR CARTA]]/V062A_20303133[[#This Row],[TIEMPO DE NAVEGACION]])</f>
        <v>0</v>
      </c>
      <c r="J90" s="449"/>
      <c r="K90" s="450"/>
      <c r="L90" s="451">
        <v>0</v>
      </c>
      <c r="M90" s="443"/>
      <c r="N90" s="443"/>
      <c r="O90" s="246">
        <f>SUM(V062A_20303133[[#This Row],[MPAL]]+V062A_20303133[[#This Row],[AUX.]]+V062A_20303133[[#This Row],[CALDERA]])</f>
        <v>0</v>
      </c>
      <c r="P90" s="452"/>
      <c r="Q90" s="270">
        <f>(Q89-V062A_20303133[[#This Row],[TOTAL ]])+V062A_20303133[[#This Row],[FAENA]]</f>
        <v>815.06</v>
      </c>
      <c r="R90" s="451">
        <v>0</v>
      </c>
      <c r="S90" s="443">
        <v>0</v>
      </c>
      <c r="T90" s="443">
        <v>0</v>
      </c>
      <c r="U90" s="443">
        <v>0</v>
      </c>
      <c r="V90" s="443">
        <v>0</v>
      </c>
      <c r="W90" s="443">
        <f>SUM(V062A_20303133[[#This Row],[MPAL2]:[GI]])</f>
        <v>0</v>
      </c>
      <c r="X90" s="443"/>
      <c r="Y90" s="300">
        <f>(Y89-V062A_20303133[[#This Row],[TOTAL]])+V062A_20303133[[#This Row],[FAENA2]]</f>
        <v>95.700000000000017</v>
      </c>
      <c r="Z90" s="451"/>
      <c r="AA90" s="443"/>
      <c r="AB90" s="438">
        <f>(AB89-V062A_20303133[[#This Row],[CYLINDER MP]])+V062A_20303133[[#This Row],[FAENA EN LTS]]</f>
        <v>2864</v>
      </c>
      <c r="AC90" s="443"/>
      <c r="AD90" s="443"/>
      <c r="AE90" s="438">
        <f>(AE89-V062A_20303133[[#This Row],[CARTER MP.]])+V062A_20303133[[#This Row],[FAENA EN LTS2]]</f>
        <v>1700</v>
      </c>
      <c r="AF90" s="443"/>
      <c r="AG90" s="443"/>
      <c r="AH90" s="438">
        <f>(AH89-V062A_20303133[[#This Row],[MOT AUX]])+V062A_20303133[[#This Row],[FAENA EN  LTS]]</f>
        <v>3080</v>
      </c>
      <c r="AI90" s="443"/>
      <c r="AJ90" s="443"/>
      <c r="AK90" s="439">
        <f>(AK89-V062A_20303133[[#This Row],[HIDRAULICO]])+V062A_20303133[[#This Row],[FAENA EN LTS3]]</f>
        <v>2400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>
        <f>SUBTOTAL(109,V062A_203031[MPAL])</f>
        <v>215.76999999999998</v>
      </c>
      <c r="M91" s="68">
        <f>SUBTOTAL(109,V062A_203031[AUX.])</f>
        <v>31.56999999999999</v>
      </c>
      <c r="N91" s="68">
        <f>SUBTOTAL(109,V062A_203031[CALDERA])</f>
        <v>39.29999999999999</v>
      </c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286.64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3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3" x14ac:dyDescent="0.25">
      <c r="C98" s="77" t="s">
        <v>71</v>
      </c>
      <c r="D98" s="376">
        <f>SUMIF($E$6:$E$84,C98,$D$6:$D$84)</f>
        <v>85.1</v>
      </c>
      <c r="E98" s="279"/>
      <c r="F98" s="288"/>
      <c r="G98" s="137"/>
      <c r="H98" s="84">
        <f t="shared" ref="H98:H99" si="0">SUMIF($E$6:$E$73,C98,$L$6:$L$73)+SUMIF($E$6:$E$73,C98,$M$6:$M$73)+SUMIF($E$6:$E$73,C98,$N$6:$N$73)</f>
        <v>9.61</v>
      </c>
      <c r="I98" s="139">
        <f t="shared" ref="I98:I105" si="1">IF(ISERROR(H98*24/D98),0,H98*24/D98)</f>
        <v>2.7102232667450057</v>
      </c>
      <c r="J98" s="137">
        <v>6</v>
      </c>
      <c r="K98" s="80"/>
      <c r="L98" s="38">
        <f>D98*J98/24</f>
        <v>21.274999999999999</v>
      </c>
      <c r="M98" s="80">
        <f t="shared" ref="M98:M105" si="2">L98-H98</f>
        <v>11.664999999999999</v>
      </c>
      <c r="N98" s="86"/>
      <c r="Q98" s="82"/>
      <c r="R98" s="83" t="s">
        <v>105</v>
      </c>
      <c r="S98" s="228">
        <f>SUM(V5:V87)</f>
        <v>30.78</v>
      </c>
      <c r="T98" s="84">
        <f>S98*24/($D$99+$D$105)</f>
        <v>4.05</v>
      </c>
      <c r="U98" s="84">
        <v>6</v>
      </c>
      <c r="V98" s="85">
        <f>($D$99+$D$105)*U98/24</f>
        <v>45.6</v>
      </c>
      <c r="W98" s="86">
        <f>V98-S98</f>
        <v>14.82</v>
      </c>
    </row>
    <row r="99" spans="3:23" x14ac:dyDescent="0.25">
      <c r="C99" s="87" t="s">
        <v>51</v>
      </c>
      <c r="D99" s="264">
        <f>SUMIF($E$6:$E$84,C99,$D$6:$D$84)</f>
        <v>119.30000000000001</v>
      </c>
      <c r="E99" s="264"/>
      <c r="F99" s="289"/>
      <c r="G99" s="139"/>
      <c r="H99" s="88">
        <f t="shared" si="0"/>
        <v>17.82</v>
      </c>
      <c r="I99" s="139">
        <f t="shared" si="1"/>
        <v>3.5849119865884322</v>
      </c>
      <c r="J99" s="139">
        <v>6</v>
      </c>
      <c r="K99" s="88"/>
      <c r="L99" s="418">
        <f t="shared" ref="L99:L105" si="3">D99*J99/24</f>
        <v>29.825000000000003</v>
      </c>
      <c r="M99" s="88">
        <f t="shared" si="2"/>
        <v>12.005000000000003</v>
      </c>
      <c r="N99" s="121"/>
      <c r="R99" s="90" t="s">
        <v>106</v>
      </c>
      <c r="S99" s="286">
        <f>SUM(S5:S73)</f>
        <v>0</v>
      </c>
      <c r="T99" s="84">
        <f>S99*24/($D$99+$D$105)</f>
        <v>0</v>
      </c>
      <c r="U99" s="88"/>
      <c r="V99" s="88"/>
      <c r="W99" s="121"/>
    </row>
    <row r="100" spans="3:23" x14ac:dyDescent="0.25">
      <c r="C100" s="87" t="s">
        <v>61</v>
      </c>
      <c r="D100" s="264">
        <f>SUMIF($E$6:$E$84,C100,$D$6:$D$84)</f>
        <v>0</v>
      </c>
      <c r="E100" s="264">
        <f>SUMIF($E$6:$E$90,C100,$G$6:$G$90)</f>
        <v>0</v>
      </c>
      <c r="F100" s="289" t="e">
        <f>E100/D100</f>
        <v>#DIV/0!</v>
      </c>
      <c r="G100" s="139">
        <v>12</v>
      </c>
      <c r="H100" s="88">
        <f t="shared" ref="H100:H105" si="4">SUMIF($E$6:$E$90,C100,$L$6:$L$90)+SUMIF($E$6:$E$90,C100,$M$6:$M$90)+SUMIF($E$6:$E$90,C100,$N$6:$N$90)</f>
        <v>0</v>
      </c>
      <c r="I100" s="139">
        <f t="shared" si="1"/>
        <v>0</v>
      </c>
      <c r="J100" s="139">
        <v>27</v>
      </c>
      <c r="K100" s="88">
        <f>E100/G100</f>
        <v>0</v>
      </c>
      <c r="L100" s="418">
        <f>K100*J100/24</f>
        <v>0</v>
      </c>
      <c r="M100" s="88">
        <f t="shared" si="2"/>
        <v>0</v>
      </c>
      <c r="N100" s="121">
        <f>K100-D100</f>
        <v>0</v>
      </c>
      <c r="R100" s="90" t="s">
        <v>20</v>
      </c>
      <c r="S100" s="286">
        <f>SUM(T5:T90)</f>
        <v>0</v>
      </c>
      <c r="T100" s="84">
        <f>S100*24/($D$99+$D$105)</f>
        <v>0</v>
      </c>
      <c r="U100" s="88"/>
      <c r="V100" s="88"/>
      <c r="W100" s="121"/>
    </row>
    <row r="101" spans="3:23" x14ac:dyDescent="0.25">
      <c r="C101" s="87" t="s">
        <v>55</v>
      </c>
      <c r="D101" s="264">
        <f>SUMIF($E$6:$E$84,C101,$D$6:$D$84)</f>
        <v>127.00000000000003</v>
      </c>
      <c r="E101" s="264">
        <f>SUMIF($E$6:$E$90,C101,$G$6:$G$90)</f>
        <v>1663</v>
      </c>
      <c r="F101" s="289">
        <f>E101/D101</f>
        <v>13.094488188976374</v>
      </c>
      <c r="G101" s="139">
        <v>12</v>
      </c>
      <c r="H101" s="88">
        <f>SUMIF($E$6:$E$90,C101,$L$6:$L$90)+SUMIF($E$6:$E$90,C101,$M$6:$M$90)+SUMIF($E$6:$E$90,C101,$N$6:$N$90)</f>
        <v>127.33000000000001</v>
      </c>
      <c r="I101" s="139">
        <f t="shared" si="1"/>
        <v>24.062362204724405</v>
      </c>
      <c r="J101" s="139">
        <v>27</v>
      </c>
      <c r="K101" s="88">
        <f>E101/G101</f>
        <v>138.58333333333334</v>
      </c>
      <c r="L101" s="418">
        <f>K101*J101/24</f>
        <v>155.90625000000003</v>
      </c>
      <c r="M101" s="88">
        <f t="shared" si="2"/>
        <v>28.576250000000016</v>
      </c>
      <c r="N101" s="121">
        <f>K101-D101</f>
        <v>11.583333333333314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3" ht="15.75" thickBot="1" x14ac:dyDescent="0.3">
      <c r="C102" s="87" t="s">
        <v>108</v>
      </c>
      <c r="D102" s="264">
        <f>SUMIF($E$6:$E$90,C102,$D$6:$D$90)</f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 t="shared" si="4"/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3" x14ac:dyDescent="0.25">
      <c r="C103" s="87" t="s">
        <v>45</v>
      </c>
      <c r="D103" s="264">
        <f>SUMIF($E$6:$E$84,C103,$D$6:$D$84)</f>
        <v>188.79999999999998</v>
      </c>
      <c r="E103" s="264"/>
      <c r="F103" s="289"/>
      <c r="G103" s="139"/>
      <c r="H103" s="88">
        <f t="shared" si="4"/>
        <v>22.199999999999996</v>
      </c>
      <c r="I103" s="139">
        <f t="shared" si="1"/>
        <v>2.8220338983050848</v>
      </c>
      <c r="J103" s="139">
        <v>6</v>
      </c>
      <c r="K103" s="88"/>
      <c r="L103" s="418">
        <f t="shared" si="3"/>
        <v>47.199999999999996</v>
      </c>
      <c r="M103" s="88">
        <f t="shared" si="2"/>
        <v>25</v>
      </c>
      <c r="N103" s="121"/>
      <c r="S103" s="68"/>
      <c r="T103" s="143"/>
      <c r="U103" s="68"/>
      <c r="V103" s="68"/>
      <c r="W103" s="68"/>
    </row>
    <row r="104" spans="3:23" x14ac:dyDescent="0.25">
      <c r="C104" s="87" t="s">
        <v>47</v>
      </c>
      <c r="D104" s="264">
        <f>SUMIF($E$6:$E$84,C104,$D$6:$D$84)</f>
        <v>34.4</v>
      </c>
      <c r="E104" s="264"/>
      <c r="F104" s="289"/>
      <c r="G104" s="139"/>
      <c r="H104" s="88">
        <f t="shared" si="4"/>
        <v>9.86</v>
      </c>
      <c r="I104" s="139">
        <f t="shared" si="1"/>
        <v>6.8790697674418606</v>
      </c>
      <c r="J104" s="139">
        <v>6</v>
      </c>
      <c r="K104" s="88"/>
      <c r="L104" s="418">
        <f t="shared" si="3"/>
        <v>8.6</v>
      </c>
      <c r="M104" s="88">
        <f t="shared" si="2"/>
        <v>-1.2599999999999998</v>
      </c>
      <c r="N104" s="121"/>
      <c r="S104" s="68"/>
      <c r="T104" s="68"/>
      <c r="U104" s="68"/>
      <c r="V104" s="68"/>
      <c r="W104" s="68"/>
    </row>
    <row r="105" spans="3:23" ht="15.75" thickBot="1" x14ac:dyDescent="0.3">
      <c r="C105" s="97" t="s">
        <v>49</v>
      </c>
      <c r="D105" s="290">
        <f>SUMIF($E$6:$E$84,C105,$D$6:$D$84)</f>
        <v>63.099999999999994</v>
      </c>
      <c r="E105" s="290"/>
      <c r="F105" s="291"/>
      <c r="G105" s="140"/>
      <c r="H105" s="98">
        <f t="shared" si="4"/>
        <v>7.15</v>
      </c>
      <c r="I105" s="141">
        <f t="shared" si="1"/>
        <v>2.719492868462758</v>
      </c>
      <c r="J105" s="141">
        <v>8</v>
      </c>
      <c r="K105" s="98"/>
      <c r="L105" s="99">
        <f t="shared" si="3"/>
        <v>21.033333333333331</v>
      </c>
      <c r="M105" s="98">
        <f t="shared" si="2"/>
        <v>13.883333333333331</v>
      </c>
      <c r="N105" s="122"/>
      <c r="O105" s="68"/>
      <c r="S105" s="68"/>
      <c r="T105" s="68"/>
      <c r="U105" s="68"/>
      <c r="V105" s="68"/>
      <c r="W105" s="68"/>
    </row>
    <row r="106" spans="3:23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3" ht="15.75" thickBot="1" x14ac:dyDescent="0.3">
      <c r="C107" s="103" t="s">
        <v>29</v>
      </c>
      <c r="D107" s="284">
        <f>SUM(D98:D105)</f>
        <v>617.70000000000005</v>
      </c>
      <c r="E107" s="284">
        <f>SUM(E98:E104)</f>
        <v>1663</v>
      </c>
      <c r="F107" s="284" t="e">
        <f>SUM(F98:F104)/2</f>
        <v>#DIV/0!</v>
      </c>
      <c r="H107" s="101">
        <f>SUM(H98:H105)</f>
        <v>193.97</v>
      </c>
      <c r="K107" s="142"/>
      <c r="L107" s="104">
        <f>SUM(L98:L105)</f>
        <v>283.83958333333339</v>
      </c>
      <c r="M107" s="101">
        <f>SUM(M98:M105)</f>
        <v>89.869583333333338</v>
      </c>
      <c r="N107" s="101">
        <f>SUM(N98:N105)</f>
        <v>11.583333333333314</v>
      </c>
      <c r="R107" s="100" t="s">
        <v>29</v>
      </c>
      <c r="S107" s="101">
        <f>SUM(S98:S102)</f>
        <v>30.78</v>
      </c>
      <c r="T107" s="101">
        <f>SUM(T98:T102)</f>
        <v>4.05</v>
      </c>
      <c r="U107" s="68"/>
      <c r="V107" s="68"/>
      <c r="W107" s="68"/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8:AG94" name="Rango12"/>
    <protectedRange sqref="AC6:AD94" name="Rango10"/>
    <protectedRange sqref="Z8:AA94" name="Rango8"/>
    <protectedRange sqref="X6:X94" name="Rango6"/>
    <protectedRange sqref="R6:V94" name="Rango5"/>
    <protectedRange sqref="P6:P94" name="Rango3"/>
    <protectedRange sqref="G6:H7 J6:K7 J93:N94 J91:K92 J8:N90 E8:H94" name="Rango2"/>
    <protectedRange sqref="A6:C94" name="Rango1"/>
    <protectedRange sqref="B4:C4" name="Rango16"/>
    <protectedRange sqref="E6:F7" name="Rango2_1"/>
    <protectedRange sqref="L6:N6" name="Rango2_3"/>
    <protectedRange sqref="L7:N7" name="Rango2_4"/>
    <protectedRange sqref="Z6:AA7" name="Rango8_1"/>
    <protectedRange sqref="AF6:AG7" name="Rango12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73">
    <cfRule type="cellIs" dxfId="576" priority="7" operator="greaterThan">
      <formula>"S5"</formula>
    </cfRule>
  </conditionalFormatting>
  <conditionalFormatting sqref="I54:I73">
    <cfRule type="cellIs" dxfId="575" priority="6" operator="greaterThan">
      <formula>0</formula>
    </cfRule>
  </conditionalFormatting>
  <conditionalFormatting sqref="J6:J9">
    <cfRule type="cellIs" dxfId="574" priority="5" operator="greaterThan">
      <formula>"S5"</formula>
    </cfRule>
  </conditionalFormatting>
  <conditionalFormatting sqref="I6:I9">
    <cfRule type="cellIs" dxfId="573" priority="4" operator="greaterThan">
      <formula>0</formula>
    </cfRule>
  </conditionalFormatting>
  <conditionalFormatting sqref="I10:I53">
    <cfRule type="cellIs" dxfId="572" priority="3" operator="greaterThan">
      <formula>0</formula>
    </cfRule>
  </conditionalFormatting>
  <conditionalFormatting sqref="I74:I94">
    <cfRule type="cellIs" dxfId="571" priority="1" operator="greaterThan">
      <formula>0</formula>
    </cfRule>
  </conditionalFormatting>
  <conditionalFormatting sqref="J74:J94">
    <cfRule type="cellIs" dxfId="570" priority="2" operator="greaterThan">
      <formula>"S5"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90" zoomScaleNormal="90" workbookViewId="0">
      <pane xSplit="6" ySplit="5" topLeftCell="L12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D138" sqref="D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44130</v>
      </c>
      <c r="C4" s="341">
        <v>0.17500000000000002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815.06</v>
      </c>
      <c r="R4" s="553" t="s">
        <v>183</v>
      </c>
      <c r="S4" s="554"/>
      <c r="T4" s="554"/>
      <c r="U4" s="554"/>
      <c r="V4" s="554"/>
      <c r="W4" s="554"/>
      <c r="X4" s="555"/>
      <c r="Y4" s="283">
        <v>95.7</v>
      </c>
      <c r="Z4" s="6"/>
      <c r="AA4" s="7" t="s">
        <v>184</v>
      </c>
      <c r="AB4" s="304">
        <v>2861</v>
      </c>
      <c r="AC4" s="9"/>
      <c r="AD4" s="7" t="s">
        <v>184</v>
      </c>
      <c r="AE4" s="304">
        <v>1700</v>
      </c>
      <c r="AG4" s="7" t="s">
        <v>184</v>
      </c>
      <c r="AH4" s="304">
        <v>3080</v>
      </c>
      <c r="AJ4" s="7" t="s">
        <v>184</v>
      </c>
      <c r="AK4" s="304">
        <v>2400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323</v>
      </c>
      <c r="B6" s="48">
        <v>44130</v>
      </c>
      <c r="C6" s="237">
        <v>0.20833333333333334</v>
      </c>
      <c r="D6" s="418">
        <v>0.8</v>
      </c>
      <c r="E6" s="432" t="s">
        <v>45</v>
      </c>
      <c r="F6" s="470" t="s">
        <v>310</v>
      </c>
      <c r="G6" s="433"/>
      <c r="H6" s="434"/>
      <c r="I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" s="436"/>
      <c r="K6" s="437"/>
      <c r="L6" s="245">
        <v>0.11</v>
      </c>
      <c r="M6" s="246">
        <v>0.06</v>
      </c>
      <c r="N6" s="246">
        <v>0.05</v>
      </c>
      <c r="O6" s="246">
        <f>SUM(V062A_2030313334[[#This Row],[MPAL]]+V062A_2030313334[[#This Row],[AUX.]]+V062A_2030313334[[#This Row],[CALDERA]])</f>
        <v>0.21999999999999997</v>
      </c>
      <c r="P6" s="319"/>
      <c r="Q6" s="270">
        <f>(Q4-V062A_2030313334[[#This Row],[TOTAL ]])+V062A_2030313334[[#This Row],[FAENA]]</f>
        <v>814.83999999999992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SUM(V062A_2030313334[[#This Row],[MPAL2]:[GI]])</f>
        <v>0</v>
      </c>
      <c r="X6" s="246"/>
      <c r="Y6" s="300">
        <f>(Y4-V062A_2030313334[[#This Row],[TOTAL]])+V062A_2030313334[[#This Row],[FAENA2]]</f>
        <v>95.7</v>
      </c>
      <c r="Z6" s="245">
        <v>3</v>
      </c>
      <c r="AA6" s="246">
        <v>0</v>
      </c>
      <c r="AB6" s="438">
        <f>(AB4-V062A_2030313334[[#This Row],[CYLINDER MP]])+V062A_2030313334[[#This Row],[FAENA EN LTS]]</f>
        <v>2858</v>
      </c>
      <c r="AC6" s="246">
        <v>0</v>
      </c>
      <c r="AD6" s="246">
        <v>0</v>
      </c>
      <c r="AE6" s="438">
        <f>(AE4-V062A_2030313334[[#This Row],[CARTER MP.]])+V062A_2030313334[[#This Row],[FAENA EN LTS2]]</f>
        <v>1700</v>
      </c>
      <c r="AF6" s="246">
        <v>0</v>
      </c>
      <c r="AG6" s="246">
        <v>0</v>
      </c>
      <c r="AH6" s="438">
        <f>(AH4-V062A_2030313334[[#This Row],[MOT AUX]])+V062A_2030313334[[#This Row],[FAENA EN  LTS]]</f>
        <v>3080</v>
      </c>
      <c r="AI6" s="246">
        <v>0</v>
      </c>
      <c r="AJ6" s="246">
        <v>0</v>
      </c>
      <c r="AK6" s="439">
        <f>(AK4-V062A_2030313334[[#This Row],[HIDRAULICO]])+V062A_2030313334[[#This Row],[FAENA EN LTS3]]</f>
        <v>2400</v>
      </c>
    </row>
    <row r="7" spans="1:37" x14ac:dyDescent="0.25">
      <c r="A7" s="431" t="s">
        <v>323</v>
      </c>
      <c r="B7" s="48">
        <v>44130</v>
      </c>
      <c r="C7" s="237">
        <v>0.33333333333333331</v>
      </c>
      <c r="D7" s="418">
        <f>IF(V062A_2030313334[[#This Row],[FECHA]]-B6=1,((V062A_2030313334[[#This Row],[HORA]]-C6)*24)+24,(V062A_2030313334[[#This Row],[HORA]]-C6)*24)</f>
        <v>2.9999999999999991</v>
      </c>
      <c r="E7" s="432" t="s">
        <v>45</v>
      </c>
      <c r="F7" s="470" t="s">
        <v>310</v>
      </c>
      <c r="G7" s="433"/>
      <c r="H7" s="434"/>
      <c r="I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" s="436"/>
      <c r="K7" s="437"/>
      <c r="L7" s="245">
        <v>0</v>
      </c>
      <c r="M7" s="246">
        <v>0.18</v>
      </c>
      <c r="N7" s="246">
        <v>0.15</v>
      </c>
      <c r="O7" s="246">
        <f>SUM(V062A_2030313334[[#This Row],[MPAL]]+V062A_2030313334[[#This Row],[AUX.]]+V062A_2030313334[[#This Row],[CALDERA]])</f>
        <v>0.32999999999999996</v>
      </c>
      <c r="P7" s="319"/>
      <c r="Q7" s="270">
        <f>(Q6-V062A_2030313334[[#This Row],[TOTAL ]])+V062A_2030313334[[#This Row],[FAENA]]</f>
        <v>814.50999999999988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SUM(V062A_2030313334[[#This Row],[MPAL2]:[GI]])</f>
        <v>0</v>
      </c>
      <c r="X7" s="246"/>
      <c r="Y7" s="300">
        <f>(Y6-V062A_2030313334[[#This Row],[TOTAL]])+V062A_2030313334[[#This Row],[FAENA2]]</f>
        <v>95.7</v>
      </c>
      <c r="Z7" s="245">
        <v>0</v>
      </c>
      <c r="AA7" s="246">
        <v>0</v>
      </c>
      <c r="AB7" s="438">
        <f>(AB6-V062A_2030313334[[#This Row],[CYLINDER MP]])+V062A_2030313334[[#This Row],[FAENA EN LTS]]</f>
        <v>2858</v>
      </c>
      <c r="AC7" s="246">
        <v>450</v>
      </c>
      <c r="AD7" s="246">
        <v>0</v>
      </c>
      <c r="AE7" s="438">
        <f>(AE6-V062A_2030313334[[#This Row],[CARTER MP.]])+V062A_2030313334[[#This Row],[FAENA EN LTS2]]</f>
        <v>1250</v>
      </c>
      <c r="AF7" s="246">
        <v>10</v>
      </c>
      <c r="AG7" s="246">
        <v>0</v>
      </c>
      <c r="AH7" s="438">
        <f>(AH6-V062A_2030313334[[#This Row],[MOT AUX]])+V062A_2030313334[[#This Row],[FAENA EN  LTS]]</f>
        <v>3070</v>
      </c>
      <c r="AI7" s="246">
        <v>0</v>
      </c>
      <c r="AJ7" s="246">
        <v>0</v>
      </c>
      <c r="AK7" s="439">
        <f>(AK6-V062A_2030313334[[#This Row],[HIDRAULICO]])+V062A_2030313334[[#This Row],[FAENA EN LTS3]]</f>
        <v>2400</v>
      </c>
    </row>
    <row r="8" spans="1:37" x14ac:dyDescent="0.25">
      <c r="A8" s="431" t="s">
        <v>323</v>
      </c>
      <c r="B8" s="48">
        <v>44131</v>
      </c>
      <c r="C8" s="237">
        <v>0.33333333333333331</v>
      </c>
      <c r="D8" s="418">
        <f>IF(V062A_2030313334[[#This Row],[FECHA]]-B7=1,((V062A_2030313334[[#This Row],[HORA]]-C7)*24)+24,(V062A_2030313334[[#This Row],[HORA]]-C7)*24)</f>
        <v>24</v>
      </c>
      <c r="E8" s="432" t="s">
        <v>45</v>
      </c>
      <c r="F8" s="378" t="s">
        <v>310</v>
      </c>
      <c r="G8" s="433"/>
      <c r="H8" s="434"/>
      <c r="I8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" s="436"/>
      <c r="K8" s="437"/>
      <c r="L8" s="245">
        <v>0</v>
      </c>
      <c r="M8" s="246">
        <v>1.5</v>
      </c>
      <c r="N8" s="246">
        <v>1.8</v>
      </c>
      <c r="O8" s="246">
        <f>SUM(V062A_2030313334[[#This Row],[MPAL]]+V062A_2030313334[[#This Row],[AUX.]]+V062A_2030313334[[#This Row],[CALDERA]])</f>
        <v>3.3</v>
      </c>
      <c r="P8" s="319"/>
      <c r="Q8" s="270">
        <f>(Q7-V062A_2030313334[[#This Row],[TOTAL ]])+V062A_2030313334[[#This Row],[FAENA]]</f>
        <v>811.20999999999992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SUM(V062A_2030313334[[#This Row],[MPAL2]:[GI]])</f>
        <v>0</v>
      </c>
      <c r="X8" s="246"/>
      <c r="Y8" s="300">
        <f>(Y7-V062A_2030313334[[#This Row],[TOTAL]])+V062A_2030313334[[#This Row],[FAENA2]]</f>
        <v>95.7</v>
      </c>
      <c r="Z8" s="245">
        <v>0</v>
      </c>
      <c r="AA8" s="246">
        <v>0</v>
      </c>
      <c r="AB8" s="438">
        <f>(AB7-V062A_2030313334[[#This Row],[CYLINDER MP]])+V062A_2030313334[[#This Row],[FAENA EN LTS]]</f>
        <v>2858</v>
      </c>
      <c r="AC8" s="246">
        <v>0</v>
      </c>
      <c r="AD8" s="246">
        <v>0</v>
      </c>
      <c r="AE8" s="438">
        <f>(AE7-V062A_2030313334[[#This Row],[CARTER MP.]])+V062A_2030313334[[#This Row],[FAENA EN LTS2]]</f>
        <v>1250</v>
      </c>
      <c r="AF8" s="246">
        <v>10</v>
      </c>
      <c r="AG8" s="246">
        <v>0</v>
      </c>
      <c r="AH8" s="438">
        <f>(AH7-V062A_2030313334[[#This Row],[MOT AUX]])+V062A_2030313334[[#This Row],[FAENA EN  LTS]]</f>
        <v>3060</v>
      </c>
      <c r="AI8" s="246">
        <v>0</v>
      </c>
      <c r="AJ8" s="246">
        <v>0</v>
      </c>
      <c r="AK8" s="439">
        <f>(AK7-V062A_2030313334[[#This Row],[HIDRAULICO]])+V062A_2030313334[[#This Row],[FAENA EN LTS3]]</f>
        <v>2400</v>
      </c>
    </row>
    <row r="9" spans="1:37" x14ac:dyDescent="0.25">
      <c r="A9" s="431" t="s">
        <v>323</v>
      </c>
      <c r="B9" s="48">
        <v>44132</v>
      </c>
      <c r="C9" s="41">
        <v>0.27083333333333331</v>
      </c>
      <c r="D9" s="418">
        <f>IF(V062A_2030313334[[#This Row],[FECHA]]-B8=1,((V062A_2030313334[[#This Row],[HORA]]-C8)*24)+24,(V062A_2030313334[[#This Row],[HORA]]-C8)*24)</f>
        <v>22.5</v>
      </c>
      <c r="E9" s="239" t="s">
        <v>45</v>
      </c>
      <c r="F9" s="29" t="s">
        <v>311</v>
      </c>
      <c r="G9" s="324"/>
      <c r="H9" s="306"/>
      <c r="I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" s="242"/>
      <c r="K9" s="325"/>
      <c r="L9" s="418">
        <v>0</v>
      </c>
      <c r="M9" s="245">
        <v>1.41</v>
      </c>
      <c r="N9" s="245">
        <v>1.7</v>
      </c>
      <c r="O9" s="257">
        <f>SUM(V062A_2030313334[[#This Row],[MPAL]]+V062A_2030313334[[#This Row],[AUX.]]+V062A_2030313334[[#This Row],[CALDERA]])</f>
        <v>3.11</v>
      </c>
      <c r="P9" s="319"/>
      <c r="Q9" s="281">
        <f>(Q8-V062A_2030313334[[#This Row],[TOTAL ]])+V062A_2030313334[[#This Row],[FAENA]]</f>
        <v>808.09999999999991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SUM(V062A_2030313334[[#This Row],[MPAL2]:[GI]])</f>
        <v>0</v>
      </c>
      <c r="X9" s="246"/>
      <c r="Y9" s="282">
        <f>(Y8-V062A_2030313334[[#This Row],[TOTAL]])+V062A_2030313334[[#This Row],[FAENA2]]</f>
        <v>95.7</v>
      </c>
      <c r="Z9" s="245">
        <v>0</v>
      </c>
      <c r="AA9" s="246">
        <v>0</v>
      </c>
      <c r="AB9" s="320">
        <f>(AB8-V062A_2030313334[[#This Row],[CYLINDER MP]])+V062A_2030313334[[#This Row],[FAENA EN LTS]]</f>
        <v>2858</v>
      </c>
      <c r="AC9" s="246">
        <v>0</v>
      </c>
      <c r="AD9" s="246">
        <v>0</v>
      </c>
      <c r="AE9" s="320">
        <f>(AE8-V062A_2030313334[[#This Row],[CARTER MP.]])+V062A_2030313334[[#This Row],[FAENA EN LTS2]]</f>
        <v>1250</v>
      </c>
      <c r="AF9" s="246">
        <v>0</v>
      </c>
      <c r="AG9" s="246">
        <v>0</v>
      </c>
      <c r="AH9" s="320">
        <f>(AH8-V062A_2030313334[[#This Row],[MOT AUX]])+V062A_2030313334[[#This Row],[FAENA EN  LTS]]</f>
        <v>3060</v>
      </c>
      <c r="AI9" s="246">
        <v>0</v>
      </c>
      <c r="AJ9" s="246">
        <v>0</v>
      </c>
      <c r="AK9" s="321">
        <f>(AK8-V062A_2030313334[[#This Row],[HIDRAULICO]])+V062A_2030313334[[#This Row],[FAENA EN LTS3]]</f>
        <v>2400</v>
      </c>
    </row>
    <row r="10" spans="1:37" x14ac:dyDescent="0.25">
      <c r="A10" s="431" t="s">
        <v>323</v>
      </c>
      <c r="B10" s="48">
        <v>44132</v>
      </c>
      <c r="C10" s="41">
        <v>0.33333333333333331</v>
      </c>
      <c r="D10" s="418">
        <f>IF(V062A_2030313334[[#This Row],[FECHA]]-B9=1,((V062A_2030313334[[#This Row],[HORA]]-C9)*24)+24,(V062A_2030313334[[#This Row],[HORA]]-C9)*24)</f>
        <v>1.5</v>
      </c>
      <c r="E10" s="239" t="s">
        <v>47</v>
      </c>
      <c r="F10" s="29" t="s">
        <v>312</v>
      </c>
      <c r="G10" s="324"/>
      <c r="H10" s="306"/>
      <c r="I1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" s="242"/>
      <c r="K10" s="325"/>
      <c r="L10" s="418">
        <v>0.18</v>
      </c>
      <c r="M10" s="245">
        <v>0.09</v>
      </c>
      <c r="N10" s="245">
        <v>7.0000000000000007E-2</v>
      </c>
      <c r="O10" s="257">
        <f>SUM(V062A_2030313334[[#This Row],[MPAL]]+V062A_2030313334[[#This Row],[AUX.]]+V062A_2030313334[[#This Row],[CALDERA]])</f>
        <v>0.34</v>
      </c>
      <c r="P10" s="319"/>
      <c r="Q10" s="281">
        <f>(Q9-V062A_2030313334[[#This Row],[TOTAL ]])+V062A_2030313334[[#This Row],[FAENA]]</f>
        <v>807.75999999999988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SUM(V062A_2030313334[[#This Row],[MPAL2]:[GI]])</f>
        <v>0</v>
      </c>
      <c r="X10" s="246"/>
      <c r="Y10" s="282">
        <f>(Y9-V062A_2030313334[[#This Row],[TOTAL]])+V062A_2030313334[[#This Row],[FAENA2]]</f>
        <v>95.7</v>
      </c>
      <c r="Z10" s="245">
        <v>3</v>
      </c>
      <c r="AA10" s="246">
        <v>0</v>
      </c>
      <c r="AB10" s="320">
        <f>(AB9-V062A_2030313334[[#This Row],[CYLINDER MP]])+V062A_2030313334[[#This Row],[FAENA EN LTS]]</f>
        <v>2855</v>
      </c>
      <c r="AC10" s="246">
        <v>50</v>
      </c>
      <c r="AD10" s="246">
        <v>0</v>
      </c>
      <c r="AE10" s="320">
        <f>(AE9-V062A_2030313334[[#This Row],[CARTER MP.]])+V062A_2030313334[[#This Row],[FAENA EN LTS2]]</f>
        <v>1200</v>
      </c>
      <c r="AF10" s="246">
        <v>10</v>
      </c>
      <c r="AG10" s="246">
        <v>0</v>
      </c>
      <c r="AH10" s="320">
        <f>(AH9-V062A_2030313334[[#This Row],[MOT AUX]])+V062A_2030313334[[#This Row],[FAENA EN  LTS]]</f>
        <v>3050</v>
      </c>
      <c r="AI10" s="246">
        <v>0</v>
      </c>
      <c r="AJ10" s="246">
        <v>0</v>
      </c>
      <c r="AK10" s="321">
        <f>(AK9-V062A_2030313334[[#This Row],[HIDRAULICO]])+V062A_2030313334[[#This Row],[FAENA EN LTS3]]</f>
        <v>2400</v>
      </c>
    </row>
    <row r="11" spans="1:37" x14ac:dyDescent="0.25">
      <c r="A11" s="431" t="s">
        <v>323</v>
      </c>
      <c r="B11" s="48">
        <v>44132</v>
      </c>
      <c r="C11" s="41">
        <v>0.37916666666666665</v>
      </c>
      <c r="D11" s="418">
        <f>IF(V062A_2030313334[[#This Row],[FECHA]]-B10=1,((V062A_2030313334[[#This Row],[HORA]]-C10)*24)+24,(V062A_2030313334[[#This Row],[HORA]]-C10)*24)</f>
        <v>1.1000000000000001</v>
      </c>
      <c r="E11" s="239" t="s">
        <v>49</v>
      </c>
      <c r="F11" s="29" t="s">
        <v>206</v>
      </c>
      <c r="G11" s="324"/>
      <c r="H11" s="306"/>
      <c r="I1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" s="242"/>
      <c r="K11" s="325"/>
      <c r="L11" s="418">
        <v>0.05</v>
      </c>
      <c r="M11" s="245">
        <v>7.0000000000000007E-2</v>
      </c>
      <c r="N11" s="245">
        <v>0.06</v>
      </c>
      <c r="O11" s="257">
        <f>SUM(V062A_2030313334[[#This Row],[MPAL]]+V062A_2030313334[[#This Row],[AUX.]]+V062A_2030313334[[#This Row],[CALDERA]])</f>
        <v>0.18</v>
      </c>
      <c r="P11" s="319"/>
      <c r="Q11" s="281">
        <f>(Q10-V062A_2030313334[[#This Row],[TOTAL ]])+V062A_2030313334[[#This Row],[FAENA]]</f>
        <v>807.57999999999993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SUM(V062A_2030313334[[#This Row],[MPAL2]:[GI]])</f>
        <v>0</v>
      </c>
      <c r="X11" s="246"/>
      <c r="Y11" s="282">
        <f>(Y10-V062A_2030313334[[#This Row],[TOTAL]])+V062A_2030313334[[#This Row],[FAENA2]]</f>
        <v>95.7</v>
      </c>
      <c r="Z11" s="245">
        <v>1</v>
      </c>
      <c r="AA11" s="246">
        <v>0</v>
      </c>
      <c r="AB11" s="320">
        <f>(AB10-V062A_2030313334[[#This Row],[CYLINDER MP]])+V062A_2030313334[[#This Row],[FAENA EN LTS]]</f>
        <v>2854</v>
      </c>
      <c r="AC11" s="246">
        <v>0</v>
      </c>
      <c r="AD11" s="246">
        <v>0</v>
      </c>
      <c r="AE11" s="320">
        <f>(AE10-V062A_2030313334[[#This Row],[CARTER MP.]])+V062A_2030313334[[#This Row],[FAENA EN LTS2]]</f>
        <v>1200</v>
      </c>
      <c r="AF11" s="246">
        <v>0</v>
      </c>
      <c r="AG11" s="246">
        <v>0</v>
      </c>
      <c r="AH11" s="320">
        <f>(AH10-V062A_2030313334[[#This Row],[MOT AUX]])+V062A_2030313334[[#This Row],[FAENA EN  LTS]]</f>
        <v>3050</v>
      </c>
      <c r="AI11" s="246">
        <v>0</v>
      </c>
      <c r="AJ11" s="246">
        <v>0</v>
      </c>
      <c r="AK11" s="321">
        <f>(AK10-V062A_2030313334[[#This Row],[HIDRAULICO]])+V062A_2030313334[[#This Row],[FAENA EN LTS3]]</f>
        <v>2400</v>
      </c>
    </row>
    <row r="12" spans="1:37" x14ac:dyDescent="0.25">
      <c r="A12" s="431" t="s">
        <v>323</v>
      </c>
      <c r="B12" s="48">
        <v>44132</v>
      </c>
      <c r="C12" s="41">
        <v>0.5541666666666667</v>
      </c>
      <c r="D12" s="418">
        <f>IF(V062A_2030313334[[#This Row],[FECHA]]-B11=1,((V062A_2030313334[[#This Row],[HORA]]-C11)*24)+24,(V062A_2030313334[[#This Row],[HORA]]-C11)*24)</f>
        <v>4.2000000000000011</v>
      </c>
      <c r="E12" s="239" t="s">
        <v>49</v>
      </c>
      <c r="F12" s="29" t="s">
        <v>306</v>
      </c>
      <c r="G12" s="324"/>
      <c r="H12" s="306"/>
      <c r="I1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" s="380"/>
      <c r="K12" s="325"/>
      <c r="L12" s="418">
        <v>0</v>
      </c>
      <c r="M12" s="245">
        <v>0.26</v>
      </c>
      <c r="N12" s="245">
        <v>0.21</v>
      </c>
      <c r="O12" s="257">
        <f>SUM(V062A_2030313334[[#This Row],[MPAL]]+V062A_2030313334[[#This Row],[AUX.]]+V062A_2030313334[[#This Row],[CALDERA]])</f>
        <v>0.47</v>
      </c>
      <c r="P12" s="319"/>
      <c r="Q12" s="281">
        <f>(Q11-V062A_2030313334[[#This Row],[TOTAL ]])+V062A_2030313334[[#This Row],[FAENA]]</f>
        <v>807.1099999999999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SUM(V062A_2030313334[[#This Row],[MPAL2]:[GI]])</f>
        <v>0</v>
      </c>
      <c r="X12" s="246"/>
      <c r="Y12" s="282">
        <f>(Y11-V062A_2030313334[[#This Row],[TOTAL]])+V062A_2030313334[[#This Row],[FAENA2]]</f>
        <v>95.7</v>
      </c>
      <c r="Z12" s="245">
        <v>0</v>
      </c>
      <c r="AA12" s="246">
        <v>0</v>
      </c>
      <c r="AB12" s="320">
        <f>(AB11-V062A_2030313334[[#This Row],[CYLINDER MP]])+V062A_2030313334[[#This Row],[FAENA EN LTS]]</f>
        <v>2854</v>
      </c>
      <c r="AC12" s="246">
        <v>0</v>
      </c>
      <c r="AD12" s="246">
        <v>0</v>
      </c>
      <c r="AE12" s="320">
        <f>(AE11-V062A_2030313334[[#This Row],[CARTER MP.]])+V062A_2030313334[[#This Row],[FAENA EN LTS2]]</f>
        <v>1200</v>
      </c>
      <c r="AF12" s="246">
        <v>0</v>
      </c>
      <c r="AG12" s="246">
        <v>0</v>
      </c>
      <c r="AH12" s="320">
        <f>(AH11-V062A_2030313334[[#This Row],[MOT AUX]])+V062A_2030313334[[#This Row],[FAENA EN  LTS]]</f>
        <v>3050</v>
      </c>
      <c r="AI12" s="246">
        <v>0</v>
      </c>
      <c r="AJ12" s="246">
        <v>0</v>
      </c>
      <c r="AK12" s="321">
        <f>(AK11-V062A_2030313334[[#This Row],[HIDRAULICO]])+V062A_2030313334[[#This Row],[FAENA EN LTS3]]</f>
        <v>2400</v>
      </c>
    </row>
    <row r="13" spans="1:37" x14ac:dyDescent="0.25">
      <c r="A13" s="431" t="s">
        <v>323</v>
      </c>
      <c r="B13" s="48">
        <v>44133</v>
      </c>
      <c r="C13" s="351">
        <v>0.33333333333333331</v>
      </c>
      <c r="D13" s="418">
        <f>IF(V062A_2030313334[[#This Row],[FECHA]]-B12=1,((V062A_2030313334[[#This Row],[HORA]]-C12)*24)+24,(V062A_2030313334[[#This Row],[HORA]]-C12)*24)</f>
        <v>18.7</v>
      </c>
      <c r="E13" s="239" t="s">
        <v>51</v>
      </c>
      <c r="F13" s="29" t="s">
        <v>310</v>
      </c>
      <c r="G13" s="324"/>
      <c r="H13" s="306"/>
      <c r="I1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3" s="380"/>
      <c r="K13" s="325"/>
      <c r="L13" s="418">
        <v>0</v>
      </c>
      <c r="M13" s="245">
        <v>1.4</v>
      </c>
      <c r="N13" s="245">
        <v>0.94</v>
      </c>
      <c r="O13" s="257">
        <f>SUM(V062A_2030313334[[#This Row],[MPAL]]+V062A_2030313334[[#This Row],[AUX.]]+V062A_2030313334[[#This Row],[CALDERA]])</f>
        <v>2.34</v>
      </c>
      <c r="P13" s="319"/>
      <c r="Q13" s="281">
        <f>(Q12-V062A_2030313334[[#This Row],[TOTAL ]])+V062A_2030313334[[#This Row],[FAENA]]</f>
        <v>804.76999999999987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SUM(V062A_2030313334[[#This Row],[MPAL2]:[GI]])</f>
        <v>0</v>
      </c>
      <c r="X13" s="246"/>
      <c r="Y13" s="282">
        <f>(Y12-V062A_2030313334[[#This Row],[TOTAL]])+V062A_2030313334[[#This Row],[FAENA2]]</f>
        <v>95.7</v>
      </c>
      <c r="Z13" s="245">
        <v>0</v>
      </c>
      <c r="AA13" s="246">
        <v>0</v>
      </c>
      <c r="AB13" s="320">
        <f>(AB12-V062A_2030313334[[#This Row],[CYLINDER MP]])+V062A_2030313334[[#This Row],[FAENA EN LTS]]</f>
        <v>2854</v>
      </c>
      <c r="AC13" s="246">
        <v>0</v>
      </c>
      <c r="AD13" s="246">
        <v>0</v>
      </c>
      <c r="AE13" s="320">
        <f>(AE12-V062A_2030313334[[#This Row],[CARTER MP.]])+V062A_2030313334[[#This Row],[FAENA EN LTS2]]</f>
        <v>1200</v>
      </c>
      <c r="AF13" s="246">
        <v>20</v>
      </c>
      <c r="AG13" s="246">
        <v>0</v>
      </c>
      <c r="AH13" s="320">
        <f>(AH12-V062A_2030313334[[#This Row],[MOT AUX]])+V062A_2030313334[[#This Row],[FAENA EN  LTS]]</f>
        <v>3030</v>
      </c>
      <c r="AI13" s="246">
        <v>0</v>
      </c>
      <c r="AJ13" s="246">
        <v>0</v>
      </c>
      <c r="AK13" s="321">
        <f>(AK12-V062A_2030313334[[#This Row],[HIDRAULICO]])+V062A_2030313334[[#This Row],[FAENA EN LTS3]]</f>
        <v>2400</v>
      </c>
    </row>
    <row r="14" spans="1:37" x14ac:dyDescent="0.25">
      <c r="A14" s="431" t="s">
        <v>323</v>
      </c>
      <c r="B14" s="48">
        <v>44133</v>
      </c>
      <c r="C14" s="41">
        <v>0.44861111111111113</v>
      </c>
      <c r="D14" s="418">
        <f>IF(V062A_2030313334[[#This Row],[FECHA]]-B13=1,((V062A_2030313334[[#This Row],[HORA]]-C13)*24)+24,(V062A_2030313334[[#This Row],[HORA]]-C13)*24)</f>
        <v>2.7666666666666675</v>
      </c>
      <c r="E14" s="239" t="s">
        <v>49</v>
      </c>
      <c r="F14" s="29" t="s">
        <v>86</v>
      </c>
      <c r="G14" s="324"/>
      <c r="H14" s="306"/>
      <c r="I1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4" s="380"/>
      <c r="K14" s="325"/>
      <c r="L14" s="418">
        <v>0</v>
      </c>
      <c r="M14" s="245">
        <v>0.16</v>
      </c>
      <c r="N14" s="245">
        <v>0.11</v>
      </c>
      <c r="O14" s="257">
        <f>SUM(V062A_2030313334[[#This Row],[MPAL]]+V062A_2030313334[[#This Row],[AUX.]]+V062A_2030313334[[#This Row],[CALDERA]])</f>
        <v>0.27</v>
      </c>
      <c r="P14" s="319"/>
      <c r="Q14" s="281">
        <f>(Q13-V062A_2030313334[[#This Row],[TOTAL ]])+V062A_2030313334[[#This Row],[FAENA]]</f>
        <v>804.49999999999989</v>
      </c>
      <c r="R14" s="245">
        <v>0</v>
      </c>
      <c r="S14" s="246">
        <v>0</v>
      </c>
      <c r="T14" s="246">
        <v>0</v>
      </c>
      <c r="U14" s="246">
        <v>0</v>
      </c>
      <c r="V14" s="246">
        <v>0.4</v>
      </c>
      <c r="W14" s="257">
        <f>SUM(V062A_2030313334[[#This Row],[MPAL2]:[GI]])</f>
        <v>0.4</v>
      </c>
      <c r="X14" s="246"/>
      <c r="Y14" s="282">
        <f>(Y13-V062A_2030313334[[#This Row],[TOTAL]])+V062A_2030313334[[#This Row],[FAENA2]]</f>
        <v>95.3</v>
      </c>
      <c r="Z14" s="245">
        <v>0</v>
      </c>
      <c r="AA14" s="246">
        <v>0</v>
      </c>
      <c r="AB14" s="320">
        <f>(AB13-V062A_2030313334[[#This Row],[CYLINDER MP]])+V062A_2030313334[[#This Row],[FAENA EN LTS]]</f>
        <v>2854</v>
      </c>
      <c r="AC14" s="246">
        <v>0</v>
      </c>
      <c r="AD14" s="246">
        <v>0</v>
      </c>
      <c r="AE14" s="320">
        <f>(AE13-V062A_2030313334[[#This Row],[CARTER MP.]])+V062A_2030313334[[#This Row],[FAENA EN LTS2]]</f>
        <v>1200</v>
      </c>
      <c r="AF14" s="246">
        <v>20</v>
      </c>
      <c r="AG14" s="246">
        <v>0</v>
      </c>
      <c r="AH14" s="320">
        <f>(AH13-V062A_2030313334[[#This Row],[MOT AUX]])+V062A_2030313334[[#This Row],[FAENA EN  LTS]]</f>
        <v>3010</v>
      </c>
      <c r="AI14" s="246">
        <v>0</v>
      </c>
      <c r="AJ14" s="246">
        <v>0</v>
      </c>
      <c r="AK14" s="321">
        <f>(AK13-V062A_2030313334[[#This Row],[HIDRAULICO]])+V062A_2030313334[[#This Row],[FAENA EN LTS3]]</f>
        <v>2400</v>
      </c>
    </row>
    <row r="15" spans="1:37" x14ac:dyDescent="0.25">
      <c r="A15" s="431" t="s">
        <v>323</v>
      </c>
      <c r="B15" s="48">
        <v>44133</v>
      </c>
      <c r="C15" s="41">
        <v>0.56527777777777777</v>
      </c>
      <c r="D15" s="418">
        <f>IF(V062A_2030313334[[#This Row],[FECHA]]-B14=1,((V062A_2030313334[[#This Row],[HORA]]-C14)*24)+24,(V062A_2030313334[[#This Row],[HORA]]-C14)*24)</f>
        <v>2.7999999999999994</v>
      </c>
      <c r="E15" s="409" t="s">
        <v>49</v>
      </c>
      <c r="F15" s="29" t="s">
        <v>313</v>
      </c>
      <c r="G15" s="324"/>
      <c r="H15" s="306"/>
      <c r="I1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5" s="380"/>
      <c r="K15" s="325"/>
      <c r="L15" s="418">
        <v>0</v>
      </c>
      <c r="M15" s="245">
        <v>0.28999999999999998</v>
      </c>
      <c r="N15" s="245">
        <v>0.19</v>
      </c>
      <c r="O15" s="257">
        <f>SUM(V062A_2030313334[[#This Row],[MPAL]]+V062A_2030313334[[#This Row],[AUX.]]+V062A_2030313334[[#This Row],[CALDERA]])</f>
        <v>0.48</v>
      </c>
      <c r="P15" s="319"/>
      <c r="Q15" s="281">
        <f>(Q14-V062A_2030313334[[#This Row],[TOTAL ]])+V062A_2030313334[[#This Row],[FAENA]]</f>
        <v>804.01999999999987</v>
      </c>
      <c r="R15" s="245">
        <v>0</v>
      </c>
      <c r="S15" s="246">
        <v>0</v>
      </c>
      <c r="T15" s="246">
        <v>0</v>
      </c>
      <c r="U15" s="246">
        <v>0</v>
      </c>
      <c r="V15" s="246">
        <v>4.5999999999999996</v>
      </c>
      <c r="W15" s="257">
        <f>SUM(V062A_2030313334[[#This Row],[MPAL2]:[GI]])</f>
        <v>4.5999999999999996</v>
      </c>
      <c r="X15" s="246"/>
      <c r="Y15" s="282">
        <f>(Y14-V062A_2030313334[[#This Row],[TOTAL]])+V062A_2030313334[[#This Row],[FAENA2]]</f>
        <v>90.7</v>
      </c>
      <c r="Z15" s="245">
        <v>0</v>
      </c>
      <c r="AA15" s="246">
        <v>0</v>
      </c>
      <c r="AB15" s="320">
        <f>(AB14-V062A_2030313334[[#This Row],[CYLINDER MP]])+V062A_2030313334[[#This Row],[FAENA EN LTS]]</f>
        <v>2854</v>
      </c>
      <c r="AC15" s="246">
        <v>0</v>
      </c>
      <c r="AD15" s="246">
        <v>0</v>
      </c>
      <c r="AE15" s="320">
        <f>(AE14-V062A_2030313334[[#This Row],[CARTER MP.]])+V062A_2030313334[[#This Row],[FAENA EN LTS2]]</f>
        <v>1200</v>
      </c>
      <c r="AF15" s="246">
        <v>0</v>
      </c>
      <c r="AG15" s="246">
        <v>0</v>
      </c>
      <c r="AH15" s="320">
        <f>(AH14-V062A_2030313334[[#This Row],[MOT AUX]])+V062A_2030313334[[#This Row],[FAENA EN  LTS]]</f>
        <v>3010</v>
      </c>
      <c r="AI15" s="246">
        <v>0</v>
      </c>
      <c r="AJ15" s="246">
        <v>0</v>
      </c>
      <c r="AK15" s="321">
        <f>(AK14-V062A_2030313334[[#This Row],[HIDRAULICO]])+V062A_2030313334[[#This Row],[FAENA EN LTS3]]</f>
        <v>2400</v>
      </c>
    </row>
    <row r="16" spans="1:37" x14ac:dyDescent="0.25">
      <c r="A16" s="431" t="s">
        <v>323</v>
      </c>
      <c r="B16" s="48">
        <v>44134</v>
      </c>
      <c r="C16" s="41">
        <v>5.8333333333333327E-2</v>
      </c>
      <c r="D16" s="418">
        <f>IF(V062A_2030313334[[#This Row],[FECHA]]-B15=1,((V062A_2030313334[[#This Row],[HORA]]-C15)*24)+24,(V062A_2030313334[[#This Row],[HORA]]-C15)*24)</f>
        <v>11.833333333333334</v>
      </c>
      <c r="E16" s="409" t="s">
        <v>49</v>
      </c>
      <c r="F16" s="29" t="s">
        <v>314</v>
      </c>
      <c r="G16" s="324"/>
      <c r="H16" s="306"/>
      <c r="I1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6" s="380"/>
      <c r="K16" s="325"/>
      <c r="L16" s="418">
        <v>0</v>
      </c>
      <c r="M16" s="245">
        <v>0.72</v>
      </c>
      <c r="N16" s="245">
        <v>0.57999999999999996</v>
      </c>
      <c r="O16" s="257">
        <f>SUM(V062A_2030313334[[#This Row],[MPAL]]+V062A_2030313334[[#This Row],[AUX.]]+V062A_2030313334[[#This Row],[CALDERA]])</f>
        <v>1.2999999999999998</v>
      </c>
      <c r="P16" s="246"/>
      <c r="Q16" s="281">
        <f>(Q15-V062A_2030313334[[#This Row],[TOTAL ]])+V062A_2030313334[[#This Row],[FAENA]]</f>
        <v>802.71999999999991</v>
      </c>
      <c r="R16" s="245">
        <v>0</v>
      </c>
      <c r="S16" s="246">
        <v>0</v>
      </c>
      <c r="T16" s="246">
        <v>0</v>
      </c>
      <c r="U16" s="246">
        <v>0</v>
      </c>
      <c r="V16" s="246">
        <v>2.8</v>
      </c>
      <c r="W16" s="257">
        <f>SUM(V062A_2030313334[[#This Row],[MPAL2]:[GI]])</f>
        <v>2.8</v>
      </c>
      <c r="X16" s="246"/>
      <c r="Y16" s="282">
        <f>(Y15-V062A_2030313334[[#This Row],[TOTAL]])+V062A_2030313334[[#This Row],[FAENA2]]</f>
        <v>87.9</v>
      </c>
      <c r="Z16" s="245">
        <v>0</v>
      </c>
      <c r="AA16" s="246">
        <v>0</v>
      </c>
      <c r="AB16" s="320">
        <f>(AB15-V062A_2030313334[[#This Row],[CYLINDER MP]])+V062A_2030313334[[#This Row],[FAENA EN LTS]]</f>
        <v>2854</v>
      </c>
      <c r="AC16" s="246">
        <v>0</v>
      </c>
      <c r="AD16" s="246">
        <v>0</v>
      </c>
      <c r="AE16" s="320">
        <f>(AE15-V062A_2030313334[[#This Row],[CARTER MP.]])+V062A_2030313334[[#This Row],[FAENA EN LTS2]]</f>
        <v>1200</v>
      </c>
      <c r="AF16" s="246">
        <v>0</v>
      </c>
      <c r="AG16" s="246">
        <v>0</v>
      </c>
      <c r="AH16" s="320">
        <f>(AH15-V062A_2030313334[[#This Row],[MOT AUX]])+V062A_2030313334[[#This Row],[FAENA EN  LTS]]</f>
        <v>3010</v>
      </c>
      <c r="AI16" s="246">
        <v>0</v>
      </c>
      <c r="AJ16" s="246">
        <v>0</v>
      </c>
      <c r="AK16" s="321">
        <f>(AK15-V062A_2030313334[[#This Row],[HIDRAULICO]])+V062A_2030313334[[#This Row],[FAENA EN LTS3]]</f>
        <v>2400</v>
      </c>
    </row>
    <row r="17" spans="1:37" x14ac:dyDescent="0.25">
      <c r="A17" s="431" t="s">
        <v>323</v>
      </c>
      <c r="B17" s="48">
        <v>44134</v>
      </c>
      <c r="C17" s="351">
        <v>0.27499999999999997</v>
      </c>
      <c r="D17" s="418">
        <f>IF(V062A_2030313334[[#This Row],[FECHA]]-B16=1,((V062A_2030313334[[#This Row],[HORA]]-C16)*24)+24,(V062A_2030313334[[#This Row],[HORA]]-C16)*24)</f>
        <v>5.1999999999999993</v>
      </c>
      <c r="E17" s="409" t="s">
        <v>47</v>
      </c>
      <c r="F17" s="29" t="s">
        <v>311</v>
      </c>
      <c r="G17" s="324"/>
      <c r="H17" s="306"/>
      <c r="I1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7" s="380"/>
      <c r="K17" s="325"/>
      <c r="L17" s="418">
        <v>0</v>
      </c>
      <c r="M17" s="245">
        <v>0.33</v>
      </c>
      <c r="N17" s="245">
        <v>0.26</v>
      </c>
      <c r="O17" s="257">
        <f>SUM(V062A_2030313334[[#This Row],[MPAL]]+V062A_2030313334[[#This Row],[AUX.]]+V062A_2030313334[[#This Row],[CALDERA]])</f>
        <v>0.59000000000000008</v>
      </c>
      <c r="P17" s="319"/>
      <c r="Q17" s="281">
        <f>(Q16-V062A_2030313334[[#This Row],[TOTAL ]])+V062A_2030313334[[#This Row],[FAENA]]</f>
        <v>802.12999999999988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SUM(V062A_2030313334[[#This Row],[MPAL2]:[GI]])</f>
        <v>0</v>
      </c>
      <c r="X17" s="246"/>
      <c r="Y17" s="282">
        <f>(Y16-V062A_2030313334[[#This Row],[TOTAL]])+V062A_2030313334[[#This Row],[FAENA2]]</f>
        <v>87.9</v>
      </c>
      <c r="Z17" s="245">
        <v>0</v>
      </c>
      <c r="AA17" s="246">
        <v>0</v>
      </c>
      <c r="AB17" s="320">
        <f>(AB16-V062A_2030313334[[#This Row],[CYLINDER MP]])+V062A_2030313334[[#This Row],[FAENA EN LTS]]</f>
        <v>2854</v>
      </c>
      <c r="AC17" s="246">
        <v>0</v>
      </c>
      <c r="AD17" s="246">
        <v>0</v>
      </c>
      <c r="AE17" s="320">
        <f>(AE16-V062A_2030313334[[#This Row],[CARTER MP.]])+V062A_2030313334[[#This Row],[FAENA EN LTS2]]</f>
        <v>1200</v>
      </c>
      <c r="AF17" s="246">
        <v>0</v>
      </c>
      <c r="AG17" s="246">
        <v>0</v>
      </c>
      <c r="AH17" s="320">
        <f>(AH16-V062A_2030313334[[#This Row],[MOT AUX]])+V062A_2030313334[[#This Row],[FAENA EN  LTS]]</f>
        <v>3010</v>
      </c>
      <c r="AI17" s="246">
        <v>0</v>
      </c>
      <c r="AJ17" s="246">
        <v>0</v>
      </c>
      <c r="AK17" s="321">
        <f>(AK16-V062A_2030313334[[#This Row],[HIDRAULICO]])+V062A_2030313334[[#This Row],[FAENA EN LTS3]]</f>
        <v>2400</v>
      </c>
    </row>
    <row r="18" spans="1:37" x14ac:dyDescent="0.25">
      <c r="A18" s="431" t="s">
        <v>323</v>
      </c>
      <c r="B18" s="48">
        <v>44134</v>
      </c>
      <c r="C18" s="41">
        <v>0.30208333333333331</v>
      </c>
      <c r="D18" s="418">
        <f>IF(V062A_2030313334[[#This Row],[FECHA]]-B17=1,((V062A_2030313334[[#This Row],[HORA]]-C17)*24)+24,(V062A_2030313334[[#This Row],[HORA]]-C17)*24)</f>
        <v>0.65000000000000036</v>
      </c>
      <c r="E18" s="409" t="s">
        <v>49</v>
      </c>
      <c r="F18" s="29" t="s">
        <v>277</v>
      </c>
      <c r="G18" s="324"/>
      <c r="H18" s="306"/>
      <c r="I1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8" s="380"/>
      <c r="K18" s="325"/>
      <c r="L18" s="418">
        <v>0.16</v>
      </c>
      <c r="M18" s="245">
        <v>0.04</v>
      </c>
      <c r="N18" s="245">
        <v>0.03</v>
      </c>
      <c r="O18" s="257">
        <f>SUM(V062A_2030313334[[#This Row],[MPAL]]+V062A_2030313334[[#This Row],[AUX.]]+V062A_2030313334[[#This Row],[CALDERA]])</f>
        <v>0.23</v>
      </c>
      <c r="P18" s="319"/>
      <c r="Q18" s="281">
        <f>(Q17-V062A_2030313334[[#This Row],[TOTAL ]])+V062A_2030313334[[#This Row],[FAENA]]</f>
        <v>801.89999999999986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SUM(V062A_2030313334[[#This Row],[MPAL2]:[GI]])</f>
        <v>0</v>
      </c>
      <c r="X18" s="246"/>
      <c r="Y18" s="282">
        <f>(Y17-V062A_2030313334[[#This Row],[TOTAL]])+V062A_2030313334[[#This Row],[FAENA2]]</f>
        <v>87.9</v>
      </c>
      <c r="Z18" s="245">
        <v>3</v>
      </c>
      <c r="AA18" s="246">
        <v>0</v>
      </c>
      <c r="AB18" s="320">
        <f>(AB17-V062A_2030313334[[#This Row],[CYLINDER MP]])+V062A_2030313334[[#This Row],[FAENA EN LTS]]</f>
        <v>2851</v>
      </c>
      <c r="AC18" s="246">
        <v>0</v>
      </c>
      <c r="AD18" s="246">
        <v>0</v>
      </c>
      <c r="AE18" s="320">
        <f>(AE17-V062A_2030313334[[#This Row],[CARTER MP.]])+V062A_2030313334[[#This Row],[FAENA EN LTS2]]</f>
        <v>1200</v>
      </c>
      <c r="AF18" s="246">
        <v>0</v>
      </c>
      <c r="AG18" s="246">
        <v>0</v>
      </c>
      <c r="AH18" s="320">
        <f>(AH17-V062A_2030313334[[#This Row],[MOT AUX]])+V062A_2030313334[[#This Row],[FAENA EN  LTS]]</f>
        <v>3010</v>
      </c>
      <c r="AI18" s="246">
        <v>0</v>
      </c>
      <c r="AJ18" s="246">
        <v>0</v>
      </c>
      <c r="AK18" s="321">
        <f>(AK17-V062A_2030313334[[#This Row],[HIDRAULICO]])+V062A_2030313334[[#This Row],[FAENA EN LTS3]]</f>
        <v>2400</v>
      </c>
    </row>
    <row r="19" spans="1:37" x14ac:dyDescent="0.25">
      <c r="A19" s="431" t="s">
        <v>323</v>
      </c>
      <c r="B19" s="48">
        <v>44134</v>
      </c>
      <c r="C19" s="41">
        <v>0.33333333333333331</v>
      </c>
      <c r="D19" s="418">
        <f>IF(V062A_2030313334[[#This Row],[FECHA]]-B18=1,((V062A_2030313334[[#This Row],[HORA]]-C18)*24)+24,(V062A_2030313334[[#This Row],[HORA]]-C18)*24)</f>
        <v>0.75</v>
      </c>
      <c r="E19" s="239" t="s">
        <v>55</v>
      </c>
      <c r="F19" s="29" t="s">
        <v>315</v>
      </c>
      <c r="G19" s="324">
        <v>10.95</v>
      </c>
      <c r="H19" s="306">
        <v>0.75</v>
      </c>
      <c r="I19" s="259">
        <f>IF(ISERROR(V062A_2030313334[[#This Row],[DISTANCIA POR CARTA]]/V062A_2030313334[[#This Row],[TIEMPO DE NAVEGACION]]),0,V062A_2030313334[[#This Row],[DISTANCIA POR CARTA]]/V062A_2030313334[[#This Row],[TIEMPO DE NAVEGACION]])</f>
        <v>14.6</v>
      </c>
      <c r="J19" s="380">
        <v>4</v>
      </c>
      <c r="K19" s="325">
        <v>98</v>
      </c>
      <c r="L19" s="418">
        <v>0.69</v>
      </c>
      <c r="M19" s="245">
        <v>0.05</v>
      </c>
      <c r="N19" s="245">
        <v>0.04</v>
      </c>
      <c r="O19" s="257">
        <f>SUM(V062A_2030313334[[#This Row],[MPAL]]+V062A_2030313334[[#This Row],[AUX.]]+V062A_2030313334[[#This Row],[CALDERA]])</f>
        <v>0.78</v>
      </c>
      <c r="P19" s="319"/>
      <c r="Q19" s="281">
        <f>(Q18-V062A_2030313334[[#This Row],[TOTAL ]])+V062A_2030313334[[#This Row],[FAENA]]</f>
        <v>801.11999999999989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SUM(V062A_2030313334[[#This Row],[MPAL2]:[GI]])</f>
        <v>0</v>
      </c>
      <c r="X19" s="246"/>
      <c r="Y19" s="282">
        <f>(Y18-V062A_2030313334[[#This Row],[TOTAL]])+V062A_2030313334[[#This Row],[FAENA2]]</f>
        <v>87.9</v>
      </c>
      <c r="Z19" s="245">
        <v>14</v>
      </c>
      <c r="AA19" s="246">
        <v>0</v>
      </c>
      <c r="AB19" s="320">
        <f>(AB18-V062A_2030313334[[#This Row],[CYLINDER MP]])+V062A_2030313334[[#This Row],[FAENA EN LTS]]</f>
        <v>2837</v>
      </c>
      <c r="AC19" s="246">
        <v>0</v>
      </c>
      <c r="AD19" s="246">
        <v>0</v>
      </c>
      <c r="AE19" s="320">
        <f>(AE18-V062A_2030313334[[#This Row],[CARTER MP.]])+V062A_2030313334[[#This Row],[FAENA EN LTS2]]</f>
        <v>1200</v>
      </c>
      <c r="AF19" s="246">
        <v>30</v>
      </c>
      <c r="AG19" s="246">
        <v>0</v>
      </c>
      <c r="AH19" s="320">
        <f>(AH18-V062A_2030313334[[#This Row],[MOT AUX]])+V062A_2030313334[[#This Row],[FAENA EN  LTS]]</f>
        <v>2980</v>
      </c>
      <c r="AI19" s="246">
        <v>50</v>
      </c>
      <c r="AJ19" s="246">
        <v>0</v>
      </c>
      <c r="AK19" s="321">
        <f>(AK18-V062A_2030313334[[#This Row],[HIDRAULICO]])+V062A_2030313334[[#This Row],[FAENA EN LTS3]]</f>
        <v>2350</v>
      </c>
    </row>
    <row r="20" spans="1:37" x14ac:dyDescent="0.25">
      <c r="A20" s="431" t="s">
        <v>323</v>
      </c>
      <c r="B20" s="48">
        <v>44134</v>
      </c>
      <c r="C20" s="41">
        <v>0.54166666666666663</v>
      </c>
      <c r="D20" s="418">
        <f>IF(V062A_2030313334[[#This Row],[FECHA]]-B19=1,((V062A_2030313334[[#This Row],[HORA]]-C19)*24)+24,(V062A_2030313334[[#This Row],[HORA]]-C19)*24)</f>
        <v>5</v>
      </c>
      <c r="E20" s="239" t="s">
        <v>55</v>
      </c>
      <c r="F20" s="29" t="s">
        <v>316</v>
      </c>
      <c r="G20" s="324">
        <v>74.05</v>
      </c>
      <c r="H20" s="306">
        <v>5</v>
      </c>
      <c r="I20" s="259">
        <f>IF(ISERROR(V062A_2030313334[[#This Row],[DISTANCIA POR CARTA]]/V062A_2030313334[[#This Row],[TIEMPO DE NAVEGACION]]),0,V062A_2030313334[[#This Row],[DISTANCIA POR CARTA]]/V062A_2030313334[[#This Row],[TIEMPO DE NAVEGACION]])</f>
        <v>14.809999999999999</v>
      </c>
      <c r="J20" s="380">
        <v>3</v>
      </c>
      <c r="K20" s="325">
        <v>98</v>
      </c>
      <c r="L20" s="418">
        <v>4.58</v>
      </c>
      <c r="M20" s="245">
        <v>0.31</v>
      </c>
      <c r="N20" s="245">
        <v>0.25</v>
      </c>
      <c r="O20" s="257">
        <f>SUM(V062A_2030313334[[#This Row],[MPAL]]+V062A_2030313334[[#This Row],[AUX.]]+V062A_2030313334[[#This Row],[CALDERA]])</f>
        <v>5.14</v>
      </c>
      <c r="P20" s="319"/>
      <c r="Q20" s="281">
        <f>(Q19-V062A_2030313334[[#This Row],[TOTAL ]])+V062A_2030313334[[#This Row],[FAENA]]</f>
        <v>795.9799999999999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SUM(V062A_2030313334[[#This Row],[MPAL2]:[GI]])</f>
        <v>0</v>
      </c>
      <c r="X20" s="246"/>
      <c r="Y20" s="282">
        <f>(Y19-V062A_2030313334[[#This Row],[TOTAL]])+V062A_2030313334[[#This Row],[FAENA2]]</f>
        <v>87.9</v>
      </c>
      <c r="Z20" s="245">
        <v>55</v>
      </c>
      <c r="AA20" s="246">
        <v>0</v>
      </c>
      <c r="AB20" s="320">
        <f>(AB19-V062A_2030313334[[#This Row],[CYLINDER MP]])+V062A_2030313334[[#This Row],[FAENA EN LTS]]</f>
        <v>2782</v>
      </c>
      <c r="AC20" s="246">
        <v>0</v>
      </c>
      <c r="AD20" s="246">
        <v>0</v>
      </c>
      <c r="AE20" s="320">
        <f>(AE19-V062A_2030313334[[#This Row],[CARTER MP.]])+V062A_2030313334[[#This Row],[FAENA EN LTS2]]</f>
        <v>1200</v>
      </c>
      <c r="AF20" s="246">
        <v>0</v>
      </c>
      <c r="AG20" s="246">
        <v>0</v>
      </c>
      <c r="AH20" s="320">
        <f>(AH19-V062A_2030313334[[#This Row],[MOT AUX]])+V062A_2030313334[[#This Row],[FAENA EN  LTS]]</f>
        <v>2980</v>
      </c>
      <c r="AI20" s="246">
        <v>0</v>
      </c>
      <c r="AJ20" s="246">
        <v>0</v>
      </c>
      <c r="AK20" s="321">
        <f>(AK19-V062A_2030313334[[#This Row],[HIDRAULICO]])+V062A_2030313334[[#This Row],[FAENA EN LTS3]]</f>
        <v>2350</v>
      </c>
    </row>
    <row r="21" spans="1:37" x14ac:dyDescent="0.25">
      <c r="A21" s="431" t="s">
        <v>323</v>
      </c>
      <c r="B21" s="48">
        <v>44134</v>
      </c>
      <c r="C21" s="41">
        <v>0.57916666666666672</v>
      </c>
      <c r="D21" s="418">
        <f>IF(V062A_2030313334[[#This Row],[FECHA]]-B20=1,((V062A_2030313334[[#This Row],[HORA]]-C20)*24)+24,(V062A_2030313334[[#This Row],[HORA]]-C20)*24)</f>
        <v>0.90000000000000213</v>
      </c>
      <c r="E21" s="239" t="s">
        <v>45</v>
      </c>
      <c r="F21" s="29" t="s">
        <v>317</v>
      </c>
      <c r="G21" s="324"/>
      <c r="H21" s="306"/>
      <c r="I2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1" s="380"/>
      <c r="K21" s="325"/>
      <c r="L21" s="418">
        <v>0.23</v>
      </c>
      <c r="M21" s="245">
        <v>0.06</v>
      </c>
      <c r="N21" s="245">
        <v>0.05</v>
      </c>
      <c r="O21" s="257">
        <f>SUM(V062A_2030313334[[#This Row],[MPAL]]+V062A_2030313334[[#This Row],[AUX.]]+V062A_2030313334[[#This Row],[CALDERA]])</f>
        <v>0.34</v>
      </c>
      <c r="P21" s="319"/>
      <c r="Q21" s="281">
        <f>(Q20-V062A_2030313334[[#This Row],[TOTAL ]])+V062A_2030313334[[#This Row],[FAENA]]</f>
        <v>795.63999999999987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SUM(V062A_2030313334[[#This Row],[MPAL2]:[GI]])</f>
        <v>0</v>
      </c>
      <c r="X21" s="246"/>
      <c r="Y21" s="282">
        <f>(Y20-V062A_2030313334[[#This Row],[TOTAL]])+V062A_2030313334[[#This Row],[FAENA2]]</f>
        <v>87.9</v>
      </c>
      <c r="Z21" s="245">
        <v>5</v>
      </c>
      <c r="AA21" s="246">
        <v>0</v>
      </c>
      <c r="AB21" s="320">
        <f>(AB20-V062A_2030313334[[#This Row],[CYLINDER MP]])+V062A_2030313334[[#This Row],[FAENA EN LTS]]</f>
        <v>2777</v>
      </c>
      <c r="AC21" s="246">
        <v>0</v>
      </c>
      <c r="AD21" s="246">
        <v>0</v>
      </c>
      <c r="AE21" s="320">
        <f>(AE20-V062A_2030313334[[#This Row],[CARTER MP.]])+V062A_2030313334[[#This Row],[FAENA EN LTS2]]</f>
        <v>1200</v>
      </c>
      <c r="AF21" s="246">
        <v>0</v>
      </c>
      <c r="AG21" s="246">
        <v>0</v>
      </c>
      <c r="AH21" s="320">
        <f>(AH20-V062A_2030313334[[#This Row],[MOT AUX]])+V062A_2030313334[[#This Row],[FAENA EN  LTS]]</f>
        <v>2980</v>
      </c>
      <c r="AI21" s="246">
        <v>0</v>
      </c>
      <c r="AJ21" s="246">
        <v>0</v>
      </c>
      <c r="AK21" s="321">
        <f>(AK20-V062A_2030313334[[#This Row],[HIDRAULICO]])+V062A_2030313334[[#This Row],[FAENA EN LTS3]]</f>
        <v>2350</v>
      </c>
    </row>
    <row r="22" spans="1:37" x14ac:dyDescent="0.25">
      <c r="A22" s="431" t="s">
        <v>323</v>
      </c>
      <c r="B22" s="48">
        <v>44134</v>
      </c>
      <c r="C22" s="362">
        <v>0.71666666666666667</v>
      </c>
      <c r="D22" s="418">
        <f>IF(V062A_2030313334[[#This Row],[FECHA]]-B21=1,((V062A_2030313334[[#This Row],[HORA]]-C21)*24)+24,(V062A_2030313334[[#This Row],[HORA]]-C21)*24)</f>
        <v>3.2999999999999989</v>
      </c>
      <c r="E22" s="409" t="s">
        <v>47</v>
      </c>
      <c r="F22" s="29" t="s">
        <v>318</v>
      </c>
      <c r="G22" s="324"/>
      <c r="H22" s="306"/>
      <c r="I2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2" s="380"/>
      <c r="K22" s="325"/>
      <c r="L22" s="418">
        <v>0</v>
      </c>
      <c r="M22" s="245">
        <v>0.21</v>
      </c>
      <c r="N22" s="245">
        <v>0.16</v>
      </c>
      <c r="O22" s="257">
        <f>SUM(V062A_2030313334[[#This Row],[MPAL]]+V062A_2030313334[[#This Row],[AUX.]]+V062A_2030313334[[#This Row],[CALDERA]])</f>
        <v>0.37</v>
      </c>
      <c r="P22" s="319"/>
      <c r="Q22" s="281">
        <f>(Q21-V062A_2030313334[[#This Row],[TOTAL ]])+V062A_2030313334[[#This Row],[FAENA]]</f>
        <v>795.26999999999987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SUM(V062A_2030313334[[#This Row],[MPAL2]:[GI]])</f>
        <v>0</v>
      </c>
      <c r="X22" s="246"/>
      <c r="Y22" s="282">
        <f>(Y21-V062A_2030313334[[#This Row],[TOTAL]])+V062A_2030313334[[#This Row],[FAENA2]]</f>
        <v>87.9</v>
      </c>
      <c r="Z22" s="245">
        <v>0</v>
      </c>
      <c r="AA22" s="246">
        <v>0</v>
      </c>
      <c r="AB22" s="320">
        <f>(AB21-V062A_2030313334[[#This Row],[CYLINDER MP]])+V062A_2030313334[[#This Row],[FAENA EN LTS]]</f>
        <v>2777</v>
      </c>
      <c r="AC22" s="246">
        <v>0</v>
      </c>
      <c r="AD22" s="246">
        <v>0</v>
      </c>
      <c r="AE22" s="320">
        <f>(AE21-V062A_2030313334[[#This Row],[CARTER MP.]])+V062A_2030313334[[#This Row],[FAENA EN LTS2]]</f>
        <v>1200</v>
      </c>
      <c r="AF22" s="246">
        <v>0</v>
      </c>
      <c r="AG22" s="246">
        <v>0</v>
      </c>
      <c r="AH22" s="320">
        <f>(AH21-V062A_2030313334[[#This Row],[MOT AUX]])+V062A_2030313334[[#This Row],[FAENA EN  LTS]]</f>
        <v>2980</v>
      </c>
      <c r="AI22" s="246">
        <v>0</v>
      </c>
      <c r="AJ22" s="246">
        <v>0</v>
      </c>
      <c r="AK22" s="321">
        <f>(AK21-V062A_2030313334[[#This Row],[HIDRAULICO]])+V062A_2030313334[[#This Row],[FAENA EN LTS3]]</f>
        <v>2350</v>
      </c>
    </row>
    <row r="23" spans="1:37" x14ac:dyDescent="0.25">
      <c r="A23" s="431" t="s">
        <v>323</v>
      </c>
      <c r="B23" s="48">
        <v>44134</v>
      </c>
      <c r="C23" s="351">
        <v>0.8125</v>
      </c>
      <c r="D23" s="418">
        <f>IF(V062A_2030313334[[#This Row],[FECHA]]-B22=1,((V062A_2030313334[[#This Row],[HORA]]-C22)*24)+24,(V062A_2030313334[[#This Row],[HORA]]-C22)*24)</f>
        <v>2.2999999999999998</v>
      </c>
      <c r="E23" s="409" t="s">
        <v>47</v>
      </c>
      <c r="F23" s="29" t="s">
        <v>319</v>
      </c>
      <c r="G23" s="324"/>
      <c r="H23" s="306"/>
      <c r="I2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3" s="380"/>
      <c r="K23" s="325"/>
      <c r="L23" s="418">
        <v>0.27</v>
      </c>
      <c r="M23" s="245">
        <v>0.13</v>
      </c>
      <c r="N23" s="245">
        <v>0.12</v>
      </c>
      <c r="O23" s="257">
        <f>SUM(V062A_2030313334[[#This Row],[MPAL]]+V062A_2030313334[[#This Row],[AUX.]]+V062A_2030313334[[#This Row],[CALDERA]])</f>
        <v>0.52</v>
      </c>
      <c r="P23" s="319"/>
      <c r="Q23" s="281">
        <f>(Q22-V062A_2030313334[[#This Row],[TOTAL ]])+V062A_2030313334[[#This Row],[FAENA]]</f>
        <v>794.74999999999989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SUM(V062A_2030313334[[#This Row],[MPAL2]:[GI]])</f>
        <v>0</v>
      </c>
      <c r="X23" s="246"/>
      <c r="Y23" s="282">
        <f>(Y22-V062A_2030313334[[#This Row],[TOTAL]])+V062A_2030313334[[#This Row],[FAENA2]]</f>
        <v>87.9</v>
      </c>
      <c r="Z23" s="245">
        <v>0</v>
      </c>
      <c r="AA23" s="246">
        <v>0</v>
      </c>
      <c r="AB23" s="320">
        <f>(AB22-V062A_2030313334[[#This Row],[CYLINDER MP]])+V062A_2030313334[[#This Row],[FAENA EN LTS]]</f>
        <v>2777</v>
      </c>
      <c r="AC23" s="246">
        <v>0</v>
      </c>
      <c r="AD23" s="246">
        <v>0</v>
      </c>
      <c r="AE23" s="320">
        <f>(AE22-V062A_2030313334[[#This Row],[CARTER MP.]])+V062A_2030313334[[#This Row],[FAENA EN LTS2]]</f>
        <v>1200</v>
      </c>
      <c r="AF23" s="246">
        <v>0</v>
      </c>
      <c r="AG23" s="246">
        <v>0</v>
      </c>
      <c r="AH23" s="320">
        <f>(AH22-V062A_2030313334[[#This Row],[MOT AUX]])+V062A_2030313334[[#This Row],[FAENA EN  LTS]]</f>
        <v>2980</v>
      </c>
      <c r="AI23" s="246">
        <v>0</v>
      </c>
      <c r="AJ23" s="246">
        <v>0</v>
      </c>
      <c r="AK23" s="321">
        <f>(AK22-V062A_2030313334[[#This Row],[HIDRAULICO]])+V062A_2030313334[[#This Row],[FAENA EN LTS3]]</f>
        <v>2350</v>
      </c>
    </row>
    <row r="24" spans="1:37" x14ac:dyDescent="0.25">
      <c r="A24" s="431" t="s">
        <v>323</v>
      </c>
      <c r="B24" s="48">
        <v>44134</v>
      </c>
      <c r="C24" s="41">
        <v>0.8833333333333333</v>
      </c>
      <c r="D24" s="418">
        <f>IF(V062A_2030313334[[#This Row],[FECHA]]-B23=1,((V062A_2030313334[[#This Row],[HORA]]-C23)*24)+24,(V062A_2030313334[[#This Row],[HORA]]-C23)*24)</f>
        <v>1.6999999999999993</v>
      </c>
      <c r="E24" s="409" t="s">
        <v>49</v>
      </c>
      <c r="F24" s="29" t="s">
        <v>313</v>
      </c>
      <c r="G24" s="324"/>
      <c r="H24" s="306"/>
      <c r="I2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4" s="242"/>
      <c r="K24" s="325"/>
      <c r="L24" s="418">
        <v>0</v>
      </c>
      <c r="M24" s="245">
        <v>0.11</v>
      </c>
      <c r="N24" s="245">
        <v>0.09</v>
      </c>
      <c r="O24" s="257">
        <f>SUM(V062A_2030313334[[#This Row],[MPAL]]+V062A_2030313334[[#This Row],[AUX.]]+V062A_2030313334[[#This Row],[CALDERA]])</f>
        <v>0.2</v>
      </c>
      <c r="P24" s="319"/>
      <c r="Q24" s="281">
        <f>(Q23-V062A_2030313334[[#This Row],[TOTAL ]])+V062A_2030313334[[#This Row],[FAENA]]</f>
        <v>794.54999999999984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SUM(V062A_2030313334[[#This Row],[MPAL2]:[GI]])</f>
        <v>0</v>
      </c>
      <c r="X24" s="246"/>
      <c r="Y24" s="282">
        <f>(Y23-V062A_2030313334[[#This Row],[TOTAL]])+V062A_2030313334[[#This Row],[FAENA2]]</f>
        <v>87.9</v>
      </c>
      <c r="Z24" s="245">
        <v>0</v>
      </c>
      <c r="AA24" s="246">
        <v>0</v>
      </c>
      <c r="AB24" s="320">
        <f>(AB23-V062A_2030313334[[#This Row],[CYLINDER MP]])+V062A_2030313334[[#This Row],[FAENA EN LTS]]</f>
        <v>2777</v>
      </c>
      <c r="AC24" s="246">
        <v>0</v>
      </c>
      <c r="AD24" s="246">
        <v>0</v>
      </c>
      <c r="AE24" s="320">
        <f>(AE23-V062A_2030313334[[#This Row],[CARTER MP.]])+V062A_2030313334[[#This Row],[FAENA EN LTS2]]</f>
        <v>1200</v>
      </c>
      <c r="AF24" s="246">
        <v>0</v>
      </c>
      <c r="AG24" s="246">
        <v>0</v>
      </c>
      <c r="AH24" s="320">
        <f>(AH23-V062A_2030313334[[#This Row],[MOT AUX]])+V062A_2030313334[[#This Row],[FAENA EN  LTS]]</f>
        <v>2980</v>
      </c>
      <c r="AI24" s="246">
        <v>0</v>
      </c>
      <c r="AJ24" s="246">
        <v>0</v>
      </c>
      <c r="AK24" s="321">
        <f>(AK23-V062A_2030313334[[#This Row],[HIDRAULICO]])+V062A_2030313334[[#This Row],[FAENA EN LTS3]]</f>
        <v>2350</v>
      </c>
    </row>
    <row r="25" spans="1:37" x14ac:dyDescent="0.25">
      <c r="A25" s="431" t="s">
        <v>323</v>
      </c>
      <c r="B25" s="48">
        <v>44135</v>
      </c>
      <c r="C25" s="41">
        <v>0.17083333333333331</v>
      </c>
      <c r="D25" s="418">
        <f>IF(V062A_2030313334[[#This Row],[FECHA]]-B24=1,((V062A_2030313334[[#This Row],[HORA]]-C24)*24)+24,(V062A_2030313334[[#This Row],[HORA]]-C24)*24)</f>
        <v>6.8999999999999986</v>
      </c>
      <c r="E25" s="239" t="s">
        <v>49</v>
      </c>
      <c r="F25" s="29" t="s">
        <v>314</v>
      </c>
      <c r="G25" s="324"/>
      <c r="H25" s="306"/>
      <c r="I2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5" s="242"/>
      <c r="K25" s="325"/>
      <c r="L25" s="418">
        <v>0</v>
      </c>
      <c r="M25" s="245">
        <v>0.4</v>
      </c>
      <c r="N25" s="245">
        <v>0.4</v>
      </c>
      <c r="O25" s="257">
        <f>SUM(V062A_2030313334[[#This Row],[MPAL]]+V062A_2030313334[[#This Row],[AUX.]]+V062A_2030313334[[#This Row],[CALDERA]])</f>
        <v>0.8</v>
      </c>
      <c r="P25" s="319"/>
      <c r="Q25" s="281">
        <f>(Q24-V062A_2030313334[[#This Row],[TOTAL ]])+V062A_2030313334[[#This Row],[FAENA]]</f>
        <v>793.74999999999989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SUM(V062A_2030313334[[#This Row],[MPAL2]:[GI]])</f>
        <v>0</v>
      </c>
      <c r="X25" s="246"/>
      <c r="Y25" s="282">
        <f>(Y24-V062A_2030313334[[#This Row],[TOTAL]])+V062A_2030313334[[#This Row],[FAENA2]]</f>
        <v>87.9</v>
      </c>
      <c r="Z25" s="245">
        <v>0</v>
      </c>
      <c r="AA25" s="246">
        <v>0</v>
      </c>
      <c r="AB25" s="320">
        <f>(AB24-V062A_2030313334[[#This Row],[CYLINDER MP]])+V062A_2030313334[[#This Row],[FAENA EN LTS]]</f>
        <v>2777</v>
      </c>
      <c r="AC25" s="246">
        <v>0</v>
      </c>
      <c r="AD25" s="246">
        <v>0</v>
      </c>
      <c r="AE25" s="320">
        <f>(AE24-V062A_2030313334[[#This Row],[CARTER MP.]])+V062A_2030313334[[#This Row],[FAENA EN LTS2]]</f>
        <v>1200</v>
      </c>
      <c r="AF25" s="246">
        <v>0</v>
      </c>
      <c r="AG25" s="246">
        <v>0</v>
      </c>
      <c r="AH25" s="320">
        <f>(AH24-V062A_2030313334[[#This Row],[MOT AUX]])+V062A_2030313334[[#This Row],[FAENA EN  LTS]]</f>
        <v>2980</v>
      </c>
      <c r="AI25" s="246">
        <v>0</v>
      </c>
      <c r="AJ25" s="246">
        <v>0</v>
      </c>
      <c r="AK25" s="321">
        <f>(AK24-V062A_2030313334[[#This Row],[HIDRAULICO]])+V062A_2030313334[[#This Row],[FAENA EN LTS3]]</f>
        <v>2350</v>
      </c>
    </row>
    <row r="26" spans="1:37" x14ac:dyDescent="0.25">
      <c r="A26" s="431" t="s">
        <v>323</v>
      </c>
      <c r="B26" s="48">
        <v>44135</v>
      </c>
      <c r="C26" s="362">
        <v>0.3125</v>
      </c>
      <c r="D26" s="418">
        <f>IF(V062A_2030313334[[#This Row],[FECHA]]-B25=1,((V062A_2030313334[[#This Row],[HORA]]-C25)*24)+24,(V062A_2030313334[[#This Row],[HORA]]-C25)*24)</f>
        <v>3.4000000000000004</v>
      </c>
      <c r="E26" s="239" t="s">
        <v>47</v>
      </c>
      <c r="F26" s="29" t="s">
        <v>320</v>
      </c>
      <c r="G26" s="324"/>
      <c r="H26" s="306"/>
      <c r="I2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6" s="242"/>
      <c r="K26" s="325"/>
      <c r="L26" s="418">
        <v>0.27</v>
      </c>
      <c r="M26" s="245">
        <v>0.21</v>
      </c>
      <c r="N26" s="245">
        <v>0.2</v>
      </c>
      <c r="O26" s="257">
        <f>SUM(V062A_2030313334[[#This Row],[MPAL]]+V062A_2030313334[[#This Row],[AUX.]]+V062A_2030313334[[#This Row],[CALDERA]])</f>
        <v>0.67999999999999994</v>
      </c>
      <c r="P26" s="319"/>
      <c r="Q26" s="281">
        <f>(Q25-V062A_2030313334[[#This Row],[TOTAL ]])+V062A_2030313334[[#This Row],[FAENA]]</f>
        <v>793.06999999999994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SUM(V062A_2030313334[[#This Row],[MPAL2]:[GI]])</f>
        <v>0</v>
      </c>
      <c r="X26" s="246"/>
      <c r="Y26" s="282">
        <f>(Y25-V062A_2030313334[[#This Row],[TOTAL]])+V062A_2030313334[[#This Row],[FAENA2]]</f>
        <v>87.9</v>
      </c>
      <c r="Z26" s="245">
        <v>3</v>
      </c>
      <c r="AA26" s="246">
        <v>0</v>
      </c>
      <c r="AB26" s="320">
        <f>(AB25-V062A_2030313334[[#This Row],[CYLINDER MP]])+V062A_2030313334[[#This Row],[FAENA EN LTS]]</f>
        <v>2774</v>
      </c>
      <c r="AC26" s="246">
        <v>0</v>
      </c>
      <c r="AD26" s="246">
        <v>0</v>
      </c>
      <c r="AE26" s="320">
        <f>(AE25-V062A_2030313334[[#This Row],[CARTER MP.]])+V062A_2030313334[[#This Row],[FAENA EN LTS2]]</f>
        <v>1200</v>
      </c>
      <c r="AF26" s="246">
        <v>0</v>
      </c>
      <c r="AG26" s="246">
        <v>0</v>
      </c>
      <c r="AH26" s="320">
        <f>(AH25-V062A_2030313334[[#This Row],[MOT AUX]])+V062A_2030313334[[#This Row],[FAENA EN  LTS]]</f>
        <v>2980</v>
      </c>
      <c r="AI26" s="246">
        <v>0</v>
      </c>
      <c r="AJ26" s="246">
        <v>0</v>
      </c>
      <c r="AK26" s="321">
        <f>(AK25-V062A_2030313334[[#This Row],[HIDRAULICO]])+V062A_2030313334[[#This Row],[FAENA EN LTS3]]</f>
        <v>2350</v>
      </c>
    </row>
    <row r="27" spans="1:37" x14ac:dyDescent="0.25">
      <c r="A27" s="431" t="s">
        <v>323</v>
      </c>
      <c r="B27" s="48">
        <v>44135</v>
      </c>
      <c r="C27" s="351">
        <v>0.33333333333333331</v>
      </c>
      <c r="D27" s="418">
        <f>IF(V062A_2030313334[[#This Row],[FECHA]]-B26=1,((V062A_2030313334[[#This Row],[HORA]]-C26)*24)+24,(V062A_2030313334[[#This Row],[HORA]]-C26)*24)</f>
        <v>0.49999999999999956</v>
      </c>
      <c r="E27" s="239" t="s">
        <v>49</v>
      </c>
      <c r="F27" s="29" t="s">
        <v>321</v>
      </c>
      <c r="G27" s="324"/>
      <c r="H27" s="306"/>
      <c r="I2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27" s="242"/>
      <c r="K27" s="325"/>
      <c r="L27" s="418">
        <v>0.46</v>
      </c>
      <c r="M27" s="245">
        <v>0.03</v>
      </c>
      <c r="N27" s="245">
        <v>0.03</v>
      </c>
      <c r="O27" s="257">
        <f>SUM(V062A_2030313334[[#This Row],[MPAL]]+V062A_2030313334[[#This Row],[AUX.]]+V062A_2030313334[[#This Row],[CALDERA]])</f>
        <v>0.52</v>
      </c>
      <c r="P27" s="319"/>
      <c r="Q27" s="281">
        <f>(Q26-V062A_2030313334[[#This Row],[TOTAL ]])+V062A_2030313334[[#This Row],[FAENA]]</f>
        <v>792.55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SUM(V062A_2030313334[[#This Row],[MPAL2]:[GI]])</f>
        <v>0</v>
      </c>
      <c r="X27" s="246"/>
      <c r="Y27" s="282">
        <f>(Y26-V062A_2030313334[[#This Row],[TOTAL]])+V062A_2030313334[[#This Row],[FAENA2]]</f>
        <v>87.9</v>
      </c>
      <c r="Z27" s="245">
        <v>6</v>
      </c>
      <c r="AA27" s="246">
        <v>0</v>
      </c>
      <c r="AB27" s="320">
        <f>(AB26-V062A_2030313334[[#This Row],[CYLINDER MP]])+V062A_2030313334[[#This Row],[FAENA EN LTS]]</f>
        <v>2768</v>
      </c>
      <c r="AC27" s="246">
        <v>0</v>
      </c>
      <c r="AD27" s="246">
        <v>0</v>
      </c>
      <c r="AE27" s="320">
        <f>(AE26-V062A_2030313334[[#This Row],[CARTER MP.]])+V062A_2030313334[[#This Row],[FAENA EN LTS2]]</f>
        <v>1200</v>
      </c>
      <c r="AF27" s="246">
        <v>20</v>
      </c>
      <c r="AG27" s="246">
        <v>0</v>
      </c>
      <c r="AH27" s="320">
        <f>(AH26-V062A_2030313334[[#This Row],[MOT AUX]])+V062A_2030313334[[#This Row],[FAENA EN  LTS]]</f>
        <v>2960</v>
      </c>
      <c r="AI27" s="246">
        <v>0</v>
      </c>
      <c r="AJ27" s="246">
        <v>0</v>
      </c>
      <c r="AK27" s="321">
        <f>(AK26-V062A_2030313334[[#This Row],[HIDRAULICO]])+V062A_2030313334[[#This Row],[FAENA EN LTS3]]</f>
        <v>2350</v>
      </c>
    </row>
    <row r="28" spans="1:37" x14ac:dyDescent="0.25">
      <c r="A28" s="431" t="s">
        <v>323</v>
      </c>
      <c r="B28" s="48">
        <v>44136</v>
      </c>
      <c r="C28" s="351">
        <v>0.33333333333333331</v>
      </c>
      <c r="D28" s="418">
        <f>IF(V062A_2030313334[[#This Row],[FECHA]]-B27=1,((V062A_2030313334[[#This Row],[HORA]]-C27)*24)+24,(V062A_2030313334[[#This Row],[HORA]]-C27)*24)</f>
        <v>24</v>
      </c>
      <c r="E28" s="409" t="s">
        <v>55</v>
      </c>
      <c r="F28" s="29" t="s">
        <v>322</v>
      </c>
      <c r="G28" s="324">
        <v>288.89999999999998</v>
      </c>
      <c r="H28" s="306">
        <v>24</v>
      </c>
      <c r="I28" s="259">
        <f>IF(ISERROR(V062A_2030313334[[#This Row],[DISTANCIA POR CARTA]]/V062A_2030313334[[#This Row],[TIEMPO DE NAVEGACION]]),0,V062A_2030313334[[#This Row],[DISTANCIA POR CARTA]]/V062A_2030313334[[#This Row],[TIEMPO DE NAVEGACION]])</f>
        <v>12.0375</v>
      </c>
      <c r="J28" s="380">
        <v>5</v>
      </c>
      <c r="K28" s="325">
        <v>97</v>
      </c>
      <c r="L28" s="418">
        <v>23</v>
      </c>
      <c r="M28" s="245">
        <v>1.5</v>
      </c>
      <c r="N28" s="245">
        <v>1.2</v>
      </c>
      <c r="O28" s="257">
        <f>SUM(V062A_2030313334[[#This Row],[MPAL]]+V062A_2030313334[[#This Row],[AUX.]]+V062A_2030313334[[#This Row],[CALDERA]])</f>
        <v>25.7</v>
      </c>
      <c r="P28" s="319"/>
      <c r="Q28" s="281">
        <f>(Q27-V062A_2030313334[[#This Row],[TOTAL ]])+V062A_2030313334[[#This Row],[FAENA]]</f>
        <v>766.84999999999991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SUM(V062A_2030313334[[#This Row],[MPAL2]:[GI]])</f>
        <v>0</v>
      </c>
      <c r="X28" s="246"/>
      <c r="Y28" s="282">
        <f>(Y27-V062A_2030313334[[#This Row],[TOTAL]])+V062A_2030313334[[#This Row],[FAENA2]]</f>
        <v>87.9</v>
      </c>
      <c r="Z28" s="245">
        <v>270</v>
      </c>
      <c r="AA28" s="246">
        <v>0</v>
      </c>
      <c r="AB28" s="320">
        <f>(AB27-V062A_2030313334[[#This Row],[CYLINDER MP]])+V062A_2030313334[[#This Row],[FAENA EN LTS]]</f>
        <v>2498</v>
      </c>
      <c r="AC28" s="246">
        <v>0</v>
      </c>
      <c r="AD28" s="246">
        <v>0</v>
      </c>
      <c r="AE28" s="320">
        <f>(AE27-V062A_2030313334[[#This Row],[CARTER MP.]])+V062A_2030313334[[#This Row],[FAENA EN LTS2]]</f>
        <v>1200</v>
      </c>
      <c r="AF28" s="246">
        <v>20</v>
      </c>
      <c r="AG28" s="246">
        <v>0</v>
      </c>
      <c r="AH28" s="320">
        <f>(AH27-V062A_2030313334[[#This Row],[MOT AUX]])+V062A_2030313334[[#This Row],[FAENA EN  LTS]]</f>
        <v>2940</v>
      </c>
      <c r="AI28" s="246">
        <v>0</v>
      </c>
      <c r="AJ28" s="246">
        <v>0</v>
      </c>
      <c r="AK28" s="321">
        <f>(AK27-V062A_2030313334[[#This Row],[HIDRAULICO]])+V062A_2030313334[[#This Row],[FAENA EN LTS3]]</f>
        <v>2350</v>
      </c>
    </row>
    <row r="29" spans="1:37" x14ac:dyDescent="0.25">
      <c r="A29" s="431" t="s">
        <v>323</v>
      </c>
      <c r="B29" s="48">
        <v>44136</v>
      </c>
      <c r="C29" s="351">
        <v>0.89583333333333337</v>
      </c>
      <c r="D29" s="418">
        <f>IF(V062A_2030313334[[#This Row],[FECHA]]-B28=1,((V062A_2030313334[[#This Row],[HORA]]-C28)*24)+24,(V062A_2030313334[[#This Row],[HORA]]-C28)*24)</f>
        <v>13.5</v>
      </c>
      <c r="E29" s="409" t="s">
        <v>55</v>
      </c>
      <c r="F29" s="29" t="s">
        <v>62</v>
      </c>
      <c r="G29" s="324">
        <v>166.1</v>
      </c>
      <c r="H29" s="306">
        <v>13.5</v>
      </c>
      <c r="I29" s="259">
        <f>IF(ISERROR(V062A_2030313334[[#This Row],[DISTANCIA POR CARTA]]/V062A_2030313334[[#This Row],[TIEMPO DE NAVEGACION]]),0,V062A_2030313334[[#This Row],[DISTANCIA POR CARTA]]/V062A_2030313334[[#This Row],[TIEMPO DE NAVEGACION]])</f>
        <v>12.303703703703704</v>
      </c>
      <c r="J29" s="242">
        <v>5</v>
      </c>
      <c r="K29" s="325">
        <v>97</v>
      </c>
      <c r="L29" s="418">
        <v>12.94</v>
      </c>
      <c r="M29" s="245">
        <v>0.84</v>
      </c>
      <c r="N29" s="245">
        <v>0.68</v>
      </c>
      <c r="O29" s="257">
        <f>SUM(V062A_2030313334[[#This Row],[MPAL]]+V062A_2030313334[[#This Row],[AUX.]]+V062A_2030313334[[#This Row],[CALDERA]])</f>
        <v>14.459999999999999</v>
      </c>
      <c r="P29" s="319"/>
      <c r="Q29" s="281">
        <f>(Q28-V062A_2030313334[[#This Row],[TOTAL ]])+V062A_2030313334[[#This Row],[FAENA]]</f>
        <v>752.38999999999987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SUM(V062A_2030313334[[#This Row],[MPAL2]:[GI]])</f>
        <v>0</v>
      </c>
      <c r="X29" s="246"/>
      <c r="Y29" s="282">
        <f>(Y28-V062A_2030313334[[#This Row],[TOTAL]])+V062A_2030313334[[#This Row],[FAENA2]]</f>
        <v>87.9</v>
      </c>
      <c r="Z29" s="245">
        <v>152</v>
      </c>
      <c r="AA29" s="246">
        <v>0</v>
      </c>
      <c r="AB29" s="320">
        <f>(AB28-V062A_2030313334[[#This Row],[CYLINDER MP]])+V062A_2030313334[[#This Row],[FAENA EN LTS]]</f>
        <v>2346</v>
      </c>
      <c r="AC29" s="246">
        <v>0</v>
      </c>
      <c r="AD29" s="246">
        <v>0</v>
      </c>
      <c r="AE29" s="320">
        <f>(AE28-V062A_2030313334[[#This Row],[CARTER MP.]])+V062A_2030313334[[#This Row],[FAENA EN LTS2]]</f>
        <v>1200</v>
      </c>
      <c r="AF29" s="246">
        <v>0</v>
      </c>
      <c r="AG29" s="246">
        <v>0</v>
      </c>
      <c r="AH29" s="320">
        <f>(AH28-V062A_2030313334[[#This Row],[MOT AUX]])+V062A_2030313334[[#This Row],[FAENA EN  LTS]]</f>
        <v>2940</v>
      </c>
      <c r="AI29" s="246">
        <v>0</v>
      </c>
      <c r="AJ29" s="246">
        <v>0</v>
      </c>
      <c r="AK29" s="321">
        <f>(AK28-V062A_2030313334[[#This Row],[HIDRAULICO]])+V062A_2030313334[[#This Row],[FAENA EN LTS3]]</f>
        <v>2350</v>
      </c>
    </row>
    <row r="30" spans="1:37" x14ac:dyDescent="0.25">
      <c r="A30" s="431" t="s">
        <v>323</v>
      </c>
      <c r="B30" s="48">
        <v>44136</v>
      </c>
      <c r="C30" s="471">
        <v>22.24</v>
      </c>
      <c r="D30" s="418">
        <v>0.9</v>
      </c>
      <c r="E30" s="409" t="s">
        <v>45</v>
      </c>
      <c r="F30" s="29" t="s">
        <v>130</v>
      </c>
      <c r="G30" s="324"/>
      <c r="H30" s="306"/>
      <c r="I3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0" s="380"/>
      <c r="K30" s="325"/>
      <c r="L30" s="418">
        <v>0.11</v>
      </c>
      <c r="M30" s="245">
        <v>0.06</v>
      </c>
      <c r="N30" s="245">
        <v>0.04</v>
      </c>
      <c r="O30" s="257">
        <f>SUM(V062A_2030313334[[#This Row],[MPAL]]+V062A_2030313334[[#This Row],[AUX.]]+V062A_2030313334[[#This Row],[CALDERA]])</f>
        <v>0.21</v>
      </c>
      <c r="P30" s="319"/>
      <c r="Q30" s="281">
        <f>(Q29-V062A_2030313334[[#This Row],[TOTAL ]])+V062A_2030313334[[#This Row],[FAENA]]</f>
        <v>752.17999999999984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SUM(V062A_2030313334[[#This Row],[MPAL2]:[GI]])</f>
        <v>0</v>
      </c>
      <c r="X30" s="246"/>
      <c r="Y30" s="282">
        <f>(Y29-V062A_2030313334[[#This Row],[TOTAL]])+V062A_2030313334[[#This Row],[FAENA2]]</f>
        <v>87.9</v>
      </c>
      <c r="Z30" s="245">
        <v>3</v>
      </c>
      <c r="AA30" s="246">
        <v>0</v>
      </c>
      <c r="AB30" s="320">
        <f>(AB29-V062A_2030313334[[#This Row],[CYLINDER MP]])+V062A_2030313334[[#This Row],[FAENA EN LTS]]</f>
        <v>2343</v>
      </c>
      <c r="AC30" s="246">
        <v>0</v>
      </c>
      <c r="AD30" s="246">
        <v>0</v>
      </c>
      <c r="AE30" s="320">
        <f>(AE29-V062A_2030313334[[#This Row],[CARTER MP.]])+V062A_2030313334[[#This Row],[FAENA EN LTS2]]</f>
        <v>1200</v>
      </c>
      <c r="AF30" s="246">
        <v>0</v>
      </c>
      <c r="AG30" s="246">
        <v>0</v>
      </c>
      <c r="AH30" s="320">
        <f>(AH29-V062A_2030313334[[#This Row],[MOT AUX]])+V062A_2030313334[[#This Row],[FAENA EN  LTS]]</f>
        <v>2940</v>
      </c>
      <c r="AI30" s="246">
        <v>0</v>
      </c>
      <c r="AJ30" s="246">
        <v>0</v>
      </c>
      <c r="AK30" s="321">
        <f>(AK29-V062A_2030313334[[#This Row],[HIDRAULICO]])+V062A_2030313334[[#This Row],[FAENA EN LTS3]]</f>
        <v>2350</v>
      </c>
    </row>
    <row r="31" spans="1:37" x14ac:dyDescent="0.25">
      <c r="A31" s="431" t="s">
        <v>323</v>
      </c>
      <c r="B31" s="48">
        <v>44137</v>
      </c>
      <c r="C31" s="351">
        <v>0.33333333333333331</v>
      </c>
      <c r="D31" s="418">
        <v>9.6</v>
      </c>
      <c r="E31" s="409" t="s">
        <v>45</v>
      </c>
      <c r="F31" s="29" t="s">
        <v>130</v>
      </c>
      <c r="G31" s="324"/>
      <c r="H31" s="306"/>
      <c r="I3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1" s="242"/>
      <c r="K31" s="325"/>
      <c r="L31" s="418">
        <v>0</v>
      </c>
      <c r="M31" s="245">
        <v>0.6</v>
      </c>
      <c r="N31" s="245">
        <v>0.48</v>
      </c>
      <c r="O31" s="257">
        <f>SUM(V062A_2030313334[[#This Row],[MPAL]]+V062A_2030313334[[#This Row],[AUX.]]+V062A_2030313334[[#This Row],[CALDERA]])</f>
        <v>1.08</v>
      </c>
      <c r="P31" s="319"/>
      <c r="Q31" s="281">
        <f>(Q30-V062A_2030313334[[#This Row],[TOTAL ]])+V062A_2030313334[[#This Row],[FAENA]]</f>
        <v>751.0999999999998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SUM(V062A_2030313334[[#This Row],[MPAL2]:[GI]])</f>
        <v>0</v>
      </c>
      <c r="X31" s="246"/>
      <c r="Y31" s="282">
        <f>(Y30-V062A_2030313334[[#This Row],[TOTAL]])+V062A_2030313334[[#This Row],[FAENA2]]</f>
        <v>87.9</v>
      </c>
      <c r="Z31" s="245">
        <v>0</v>
      </c>
      <c r="AA31" s="246">
        <v>0</v>
      </c>
      <c r="AB31" s="320">
        <f>(AB30-V062A_2030313334[[#This Row],[CYLINDER MP]])+V062A_2030313334[[#This Row],[FAENA EN LTS]]</f>
        <v>2343</v>
      </c>
      <c r="AC31" s="246">
        <v>0</v>
      </c>
      <c r="AD31" s="246">
        <v>0</v>
      </c>
      <c r="AE31" s="320">
        <f>(AE30-V062A_2030313334[[#This Row],[CARTER MP.]])+V062A_2030313334[[#This Row],[FAENA EN LTS2]]</f>
        <v>1200</v>
      </c>
      <c r="AF31" s="246">
        <v>20</v>
      </c>
      <c r="AG31" s="246">
        <v>0</v>
      </c>
      <c r="AH31" s="320">
        <f>(AH30-V062A_2030313334[[#This Row],[MOT AUX]])+V062A_2030313334[[#This Row],[FAENA EN  LTS]]</f>
        <v>2920</v>
      </c>
      <c r="AI31" s="246">
        <v>0</v>
      </c>
      <c r="AJ31" s="246">
        <v>0</v>
      </c>
      <c r="AK31" s="321">
        <f>(AK30-V062A_2030313334[[#This Row],[HIDRAULICO]])+V062A_2030313334[[#This Row],[FAENA EN LTS3]]</f>
        <v>2350</v>
      </c>
    </row>
    <row r="32" spans="1:37" x14ac:dyDescent="0.25">
      <c r="A32" s="431" t="s">
        <v>323</v>
      </c>
      <c r="B32" s="48">
        <v>44138</v>
      </c>
      <c r="C32" s="351">
        <v>0.33333333333333331</v>
      </c>
      <c r="D32" s="418">
        <f>IF(V062A_2030313334[[#This Row],[FECHA]]-B31=1,((V062A_2030313334[[#This Row],[HORA]]-C31)*24)+24,(V062A_2030313334[[#This Row],[HORA]]-C31)*24)</f>
        <v>24</v>
      </c>
      <c r="E32" s="409" t="s">
        <v>45</v>
      </c>
      <c r="F32" s="29" t="s">
        <v>130</v>
      </c>
      <c r="G32" s="324"/>
      <c r="H32" s="306"/>
      <c r="I3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2" s="242"/>
      <c r="K32" s="325"/>
      <c r="L32" s="418">
        <v>0</v>
      </c>
      <c r="M32" s="245">
        <v>1.5</v>
      </c>
      <c r="N32" s="245">
        <v>1.2</v>
      </c>
      <c r="O32" s="257">
        <f>SUM(V062A_2030313334[[#This Row],[MPAL]]+V062A_2030313334[[#This Row],[AUX.]]+V062A_2030313334[[#This Row],[CALDERA]])</f>
        <v>2.7</v>
      </c>
      <c r="P32" s="319"/>
      <c r="Q32" s="281">
        <f>(Q31-V062A_2030313334[[#This Row],[TOTAL ]])+V062A_2030313334[[#This Row],[FAENA]]</f>
        <v>748.39999999999975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SUM(V062A_2030313334[[#This Row],[MPAL2]:[GI]])</f>
        <v>0</v>
      </c>
      <c r="X32" s="246"/>
      <c r="Y32" s="282">
        <f>(Y31-V062A_2030313334[[#This Row],[TOTAL]])+V062A_2030313334[[#This Row],[FAENA2]]</f>
        <v>87.9</v>
      </c>
      <c r="Z32" s="245">
        <v>0</v>
      </c>
      <c r="AA32" s="246">
        <v>3000</v>
      </c>
      <c r="AB32" s="320">
        <f>(AB31-V062A_2030313334[[#This Row],[CYLINDER MP]])+V062A_2030313334[[#This Row],[FAENA EN LTS]]</f>
        <v>5343</v>
      </c>
      <c r="AC32" s="246">
        <v>0</v>
      </c>
      <c r="AD32" s="246">
        <v>3000</v>
      </c>
      <c r="AE32" s="320">
        <f>(AE31-V062A_2030313334[[#This Row],[CARTER MP.]])+V062A_2030313334[[#This Row],[FAENA EN LTS2]]</f>
        <v>4200</v>
      </c>
      <c r="AF32" s="246">
        <v>10</v>
      </c>
      <c r="AG32" s="246">
        <v>0</v>
      </c>
      <c r="AH32" s="320">
        <f>(AH31-V062A_2030313334[[#This Row],[MOT AUX]])+V062A_2030313334[[#This Row],[FAENA EN  LTS]]</f>
        <v>2910</v>
      </c>
      <c r="AI32" s="246">
        <v>0</v>
      </c>
      <c r="AJ32" s="246">
        <v>0</v>
      </c>
      <c r="AK32" s="321">
        <f>(AK31-V062A_2030313334[[#This Row],[HIDRAULICO]])+V062A_2030313334[[#This Row],[FAENA EN LTS3]]</f>
        <v>2350</v>
      </c>
    </row>
    <row r="33" spans="1:37" x14ac:dyDescent="0.25">
      <c r="A33" s="431" t="s">
        <v>323</v>
      </c>
      <c r="B33" s="48">
        <v>44139</v>
      </c>
      <c r="C33" s="351">
        <v>0.33333333333333331</v>
      </c>
      <c r="D33" s="418">
        <f>IF(V062A_2030313334[[#This Row],[FECHA]]-B32=1,((V062A_2030313334[[#This Row],[HORA]]-C32)*24)+24,(V062A_2030313334[[#This Row],[HORA]]-C32)*24)</f>
        <v>24</v>
      </c>
      <c r="E33" s="409" t="s">
        <v>45</v>
      </c>
      <c r="F33" s="29" t="s">
        <v>130</v>
      </c>
      <c r="G33" s="324"/>
      <c r="H33" s="306"/>
      <c r="I3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3" s="242"/>
      <c r="K33" s="325"/>
      <c r="L33" s="418">
        <v>0</v>
      </c>
      <c r="M33" s="245">
        <v>1.5</v>
      </c>
      <c r="N33" s="245">
        <v>1.2</v>
      </c>
      <c r="O33" s="257">
        <f>SUM(V062A_2030313334[[#This Row],[MPAL]]+V062A_2030313334[[#This Row],[AUX.]]+V062A_2030313334[[#This Row],[CALDERA]])</f>
        <v>2.7</v>
      </c>
      <c r="P33" s="319"/>
      <c r="Q33" s="281">
        <f>(Q32-V062A_2030313334[[#This Row],[TOTAL ]])+V062A_2030313334[[#This Row],[FAENA]]</f>
        <v>745.6999999999997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SUM(V062A_2030313334[[#This Row],[MPAL2]:[GI]])</f>
        <v>0</v>
      </c>
      <c r="X33" s="246"/>
      <c r="Y33" s="282">
        <f>(Y32-V062A_2030313334[[#This Row],[TOTAL]])+V062A_2030313334[[#This Row],[FAENA2]]</f>
        <v>87.9</v>
      </c>
      <c r="Z33" s="245">
        <v>0</v>
      </c>
      <c r="AA33" s="246">
        <v>0</v>
      </c>
      <c r="AB33" s="320">
        <f>(AB32-V062A_2030313334[[#This Row],[CYLINDER MP]])+V062A_2030313334[[#This Row],[FAENA EN LTS]]</f>
        <v>5343</v>
      </c>
      <c r="AC33" s="246">
        <v>0</v>
      </c>
      <c r="AD33" s="246">
        <v>0</v>
      </c>
      <c r="AE33" s="320">
        <f>(AE32-V062A_2030313334[[#This Row],[CARTER MP.]])+V062A_2030313334[[#This Row],[FAENA EN LTS2]]</f>
        <v>4200</v>
      </c>
      <c r="AF33" s="246">
        <v>10</v>
      </c>
      <c r="AG33" s="246">
        <v>0</v>
      </c>
      <c r="AH33" s="320">
        <f>(AH32-V062A_2030313334[[#This Row],[MOT AUX]])+V062A_2030313334[[#This Row],[FAENA EN  LTS]]</f>
        <v>2900</v>
      </c>
      <c r="AI33" s="246">
        <v>0</v>
      </c>
      <c r="AJ33" s="246">
        <v>0</v>
      </c>
      <c r="AK33" s="321">
        <f>(AK32-V062A_2030313334[[#This Row],[HIDRAULICO]])+V062A_2030313334[[#This Row],[FAENA EN LTS3]]</f>
        <v>2350</v>
      </c>
    </row>
    <row r="34" spans="1:37" x14ac:dyDescent="0.25">
      <c r="A34" s="431" t="s">
        <v>323</v>
      </c>
      <c r="B34" s="48">
        <v>44140</v>
      </c>
      <c r="C34" s="362">
        <v>6.25E-2</v>
      </c>
      <c r="D34" s="418">
        <f>IF(V062A_2030313334[[#This Row],[FECHA]]-B33=1,((V062A_2030313334[[#This Row],[HORA]]-C33)*24)+24,(V062A_2030313334[[#This Row],[HORA]]-C33)*24)</f>
        <v>17.5</v>
      </c>
      <c r="E34" s="409" t="s">
        <v>47</v>
      </c>
      <c r="F34" s="29" t="s">
        <v>46</v>
      </c>
      <c r="G34" s="324"/>
      <c r="H34" s="306"/>
      <c r="I3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4" s="242"/>
      <c r="K34" s="325"/>
      <c r="L34" s="418">
        <v>0</v>
      </c>
      <c r="M34" s="245">
        <v>1.0900000000000001</v>
      </c>
      <c r="N34" s="245">
        <v>0.88</v>
      </c>
      <c r="O34" s="257">
        <f>SUM(V062A_2030313334[[#This Row],[MPAL]]+V062A_2030313334[[#This Row],[AUX.]]+V062A_2030313334[[#This Row],[CALDERA]])</f>
        <v>1.9700000000000002</v>
      </c>
      <c r="P34" s="319"/>
      <c r="Q34" s="281">
        <f>(Q33-V062A_2030313334[[#This Row],[TOTAL ]])+V062A_2030313334[[#This Row],[FAENA]]</f>
        <v>743.72999999999968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SUM(V062A_2030313334[[#This Row],[MPAL2]:[GI]])</f>
        <v>0</v>
      </c>
      <c r="X34" s="246"/>
      <c r="Y34" s="282">
        <f>(Y33-V062A_2030313334[[#This Row],[TOTAL]])+V062A_2030313334[[#This Row],[FAENA2]]</f>
        <v>87.9</v>
      </c>
      <c r="Z34" s="245">
        <v>0</v>
      </c>
      <c r="AA34" s="246">
        <v>0</v>
      </c>
      <c r="AB34" s="320">
        <f>(AB33-V062A_2030313334[[#This Row],[CYLINDER MP]])+V062A_2030313334[[#This Row],[FAENA EN LTS]]</f>
        <v>5343</v>
      </c>
      <c r="AC34" s="246">
        <v>0</v>
      </c>
      <c r="AD34" s="246">
        <v>0</v>
      </c>
      <c r="AE34" s="320">
        <f>(AE33-V062A_2030313334[[#This Row],[CARTER MP.]])+V062A_2030313334[[#This Row],[FAENA EN LTS2]]</f>
        <v>4200</v>
      </c>
      <c r="AF34" s="246">
        <v>0</v>
      </c>
      <c r="AG34" s="246">
        <v>0</v>
      </c>
      <c r="AH34" s="320">
        <f>(AH33-V062A_2030313334[[#This Row],[MOT AUX]])+V062A_2030313334[[#This Row],[FAENA EN  LTS]]</f>
        <v>2900</v>
      </c>
      <c r="AI34" s="246">
        <v>0</v>
      </c>
      <c r="AJ34" s="246">
        <v>0</v>
      </c>
      <c r="AK34" s="321">
        <f>(AK33-V062A_2030313334[[#This Row],[HIDRAULICO]])+V062A_2030313334[[#This Row],[FAENA EN LTS3]]</f>
        <v>2350</v>
      </c>
    </row>
    <row r="35" spans="1:37" x14ac:dyDescent="0.25">
      <c r="A35" s="431" t="s">
        <v>323</v>
      </c>
      <c r="B35" s="48">
        <v>44140</v>
      </c>
      <c r="C35" s="351">
        <v>0.10416666666666667</v>
      </c>
      <c r="D35" s="418">
        <f>IF(V062A_2030313334[[#This Row],[FECHA]]-B34=1,((V062A_2030313334[[#This Row],[HORA]]-C34)*24)+24,(V062A_2030313334[[#This Row],[HORA]]-C34)*24)</f>
        <v>1</v>
      </c>
      <c r="E35" s="409" t="s">
        <v>49</v>
      </c>
      <c r="F35" s="29" t="s">
        <v>212</v>
      </c>
      <c r="G35" s="324"/>
      <c r="H35" s="306"/>
      <c r="I3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5" s="242"/>
      <c r="K35" s="325"/>
      <c r="L35" s="418">
        <v>0.13</v>
      </c>
      <c r="M35" s="245">
        <v>0.06</v>
      </c>
      <c r="N35" s="245">
        <v>0.05</v>
      </c>
      <c r="O35" s="257">
        <f>SUM(V062A_2030313334[[#This Row],[MPAL]]+V062A_2030313334[[#This Row],[AUX.]]+V062A_2030313334[[#This Row],[CALDERA]])</f>
        <v>0.24</v>
      </c>
      <c r="P35" s="319"/>
      <c r="Q35" s="281">
        <f>(Q34-V062A_2030313334[[#This Row],[TOTAL ]])+V062A_2030313334[[#This Row],[FAENA]]</f>
        <v>743.48999999999967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SUM(V062A_2030313334[[#This Row],[MPAL2]:[GI]])</f>
        <v>0</v>
      </c>
      <c r="X35" s="246"/>
      <c r="Y35" s="282">
        <f>(Y34-V062A_2030313334[[#This Row],[TOTAL]])+V062A_2030313334[[#This Row],[FAENA2]]</f>
        <v>87.9</v>
      </c>
      <c r="Z35" s="245">
        <v>5</v>
      </c>
      <c r="AA35" s="246">
        <v>0</v>
      </c>
      <c r="AB35" s="320">
        <f>(AB34-V062A_2030313334[[#This Row],[CYLINDER MP]])+V062A_2030313334[[#This Row],[FAENA EN LTS]]</f>
        <v>5338</v>
      </c>
      <c r="AC35" s="246">
        <v>300</v>
      </c>
      <c r="AD35" s="246">
        <v>0</v>
      </c>
      <c r="AE35" s="320">
        <f>(AE34-V062A_2030313334[[#This Row],[CARTER MP.]])+V062A_2030313334[[#This Row],[FAENA EN LTS2]]</f>
        <v>3900</v>
      </c>
      <c r="AF35" s="246">
        <v>20</v>
      </c>
      <c r="AG35" s="246">
        <v>0</v>
      </c>
      <c r="AH35" s="320">
        <f>(AH34-V062A_2030313334[[#This Row],[MOT AUX]])+V062A_2030313334[[#This Row],[FAENA EN  LTS]]</f>
        <v>2880</v>
      </c>
      <c r="AI35" s="246">
        <v>0</v>
      </c>
      <c r="AJ35" s="246">
        <v>0</v>
      </c>
      <c r="AK35" s="321">
        <f>(AK34-V062A_2030313334[[#This Row],[HIDRAULICO]])+V062A_2030313334[[#This Row],[FAENA EN LTS3]]</f>
        <v>2350</v>
      </c>
    </row>
    <row r="36" spans="1:37" x14ac:dyDescent="0.25">
      <c r="A36" s="431" t="s">
        <v>323</v>
      </c>
      <c r="B36" s="48">
        <v>44140</v>
      </c>
      <c r="C36" s="362">
        <v>0.19166666666666665</v>
      </c>
      <c r="D36" s="418">
        <f>IF(V062A_2030313334[[#This Row],[FECHA]]-B35=1,((V062A_2030313334[[#This Row],[HORA]]-C35)*24)+24,(V062A_2030313334[[#This Row],[HORA]]-C35)*24)</f>
        <v>2.0999999999999996</v>
      </c>
      <c r="E36" s="409" t="s">
        <v>55</v>
      </c>
      <c r="F36" s="29" t="s">
        <v>271</v>
      </c>
      <c r="G36" s="324">
        <v>30</v>
      </c>
      <c r="H36" s="306">
        <v>2.1</v>
      </c>
      <c r="I36" s="259">
        <f>IF(ISERROR(V062A_2030313334[[#This Row],[DISTANCIA POR CARTA]]/V062A_2030313334[[#This Row],[TIEMPO DE NAVEGACION]]),0,V062A_2030313334[[#This Row],[DISTANCIA POR CARTA]]/V062A_2030313334[[#This Row],[TIEMPO DE NAVEGACION]])</f>
        <v>14.285714285714285</v>
      </c>
      <c r="J36" s="242">
        <v>3</v>
      </c>
      <c r="K36" s="325">
        <v>97</v>
      </c>
      <c r="L36" s="418">
        <v>1.93</v>
      </c>
      <c r="M36" s="245">
        <v>0.13</v>
      </c>
      <c r="N36" s="245">
        <v>0.11</v>
      </c>
      <c r="O36" s="257">
        <f>SUM(V062A_2030313334[[#This Row],[MPAL]]+V062A_2030313334[[#This Row],[AUX.]]+V062A_2030313334[[#This Row],[CALDERA]])</f>
        <v>2.17</v>
      </c>
      <c r="P36" s="319"/>
      <c r="Q36" s="281">
        <f>(Q35-V062A_2030313334[[#This Row],[TOTAL ]])+V062A_2030313334[[#This Row],[FAENA]]</f>
        <v>741.31999999999971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57">
        <f>SUM(V062A_2030313334[[#This Row],[MPAL2]:[GI]])</f>
        <v>0</v>
      </c>
      <c r="X36" s="246"/>
      <c r="Y36" s="282">
        <f>(Y35-V062A_2030313334[[#This Row],[TOTAL]])+V062A_2030313334[[#This Row],[FAENA2]]</f>
        <v>87.9</v>
      </c>
      <c r="Z36" s="245">
        <v>24</v>
      </c>
      <c r="AA36" s="246">
        <v>0</v>
      </c>
      <c r="AB36" s="320">
        <f>(AB35-V062A_2030313334[[#This Row],[CYLINDER MP]])+V062A_2030313334[[#This Row],[FAENA EN LTS]]</f>
        <v>5314</v>
      </c>
      <c r="AC36" s="246">
        <v>0</v>
      </c>
      <c r="AD36" s="246">
        <v>0</v>
      </c>
      <c r="AE36" s="320">
        <f>(AE35-V062A_2030313334[[#This Row],[CARTER MP.]])+V062A_2030313334[[#This Row],[FAENA EN LTS2]]</f>
        <v>3900</v>
      </c>
      <c r="AF36" s="246">
        <v>0</v>
      </c>
      <c r="AG36" s="246">
        <v>0</v>
      </c>
      <c r="AH36" s="320">
        <f>(AH35-V062A_2030313334[[#This Row],[MOT AUX]])+V062A_2030313334[[#This Row],[FAENA EN  LTS]]</f>
        <v>2880</v>
      </c>
      <c r="AI36" s="246">
        <v>0</v>
      </c>
      <c r="AJ36" s="246">
        <v>0</v>
      </c>
      <c r="AK36" s="321">
        <f>(AK35-V062A_2030313334[[#This Row],[HIDRAULICO]])+V062A_2030313334[[#This Row],[FAENA EN LTS3]]</f>
        <v>2350</v>
      </c>
    </row>
    <row r="37" spans="1:37" x14ac:dyDescent="0.25">
      <c r="A37" s="431" t="s">
        <v>323</v>
      </c>
      <c r="B37" s="48">
        <v>44140</v>
      </c>
      <c r="C37" s="351">
        <v>0.31666666666666665</v>
      </c>
      <c r="D37" s="418">
        <f>IF(V062A_2030313334[[#This Row],[FECHA]]-B36=1,((V062A_2030313334[[#This Row],[HORA]]-C36)*24)+24,(V062A_2030313334[[#This Row],[HORA]]-C36)*24)</f>
        <v>3</v>
      </c>
      <c r="E37" s="409" t="s">
        <v>47</v>
      </c>
      <c r="F37" s="29" t="s">
        <v>324</v>
      </c>
      <c r="G37" s="324"/>
      <c r="H37" s="306"/>
      <c r="I3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7" s="380"/>
      <c r="K37" s="325"/>
      <c r="L37" s="418">
        <v>0.38</v>
      </c>
      <c r="M37" s="245">
        <v>0.19</v>
      </c>
      <c r="N37" s="245">
        <v>0.15</v>
      </c>
      <c r="O37" s="257">
        <f>SUM(V062A_2030313334[[#This Row],[MPAL]]+V062A_2030313334[[#This Row],[AUX.]]+V062A_2030313334[[#This Row],[CALDERA]])</f>
        <v>0.72000000000000008</v>
      </c>
      <c r="P37" s="319"/>
      <c r="Q37" s="281">
        <f>(Q36-V062A_2030313334[[#This Row],[TOTAL ]])+V062A_2030313334[[#This Row],[FAENA]]</f>
        <v>740.59999999999968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SUM(V062A_2030313334[[#This Row],[MPAL2]:[GI]])</f>
        <v>0</v>
      </c>
      <c r="X37" s="246"/>
      <c r="Y37" s="282">
        <f>(Y36-V062A_2030313334[[#This Row],[TOTAL]])+V062A_2030313334[[#This Row],[FAENA2]]</f>
        <v>87.9</v>
      </c>
      <c r="Z37" s="245">
        <v>3</v>
      </c>
      <c r="AA37" s="246">
        <v>0</v>
      </c>
      <c r="AB37" s="320">
        <f>(AB36-V062A_2030313334[[#This Row],[CYLINDER MP]])+V062A_2030313334[[#This Row],[FAENA EN LTS]]</f>
        <v>5311</v>
      </c>
      <c r="AC37" s="246">
        <v>0</v>
      </c>
      <c r="AD37" s="246">
        <v>0</v>
      </c>
      <c r="AE37" s="320">
        <f>(AE36-V062A_2030313334[[#This Row],[CARTER MP.]])+V062A_2030313334[[#This Row],[FAENA EN LTS2]]</f>
        <v>3900</v>
      </c>
      <c r="AF37" s="246">
        <v>0</v>
      </c>
      <c r="AG37" s="246">
        <v>0</v>
      </c>
      <c r="AH37" s="320">
        <f>(AH36-V062A_2030313334[[#This Row],[MOT AUX]])+V062A_2030313334[[#This Row],[FAENA EN  LTS]]</f>
        <v>2880</v>
      </c>
      <c r="AI37" s="246">
        <v>0</v>
      </c>
      <c r="AJ37" s="246">
        <v>0</v>
      </c>
      <c r="AK37" s="321">
        <f>(AK36-V062A_2030313334[[#This Row],[HIDRAULICO]])+V062A_2030313334[[#This Row],[FAENA EN LTS3]]</f>
        <v>2350</v>
      </c>
    </row>
    <row r="38" spans="1:37" x14ac:dyDescent="0.25">
      <c r="A38" s="431" t="s">
        <v>323</v>
      </c>
      <c r="B38" s="48">
        <v>44140</v>
      </c>
      <c r="C38" s="362">
        <v>0.33333333333333331</v>
      </c>
      <c r="D38" s="418">
        <f>IF(V062A_2030313334[[#This Row],[FECHA]]-B37=1,((V062A_2030313334[[#This Row],[HORA]]-C37)*24)+24,(V062A_2030313334[[#This Row],[HORA]]-C37)*24)</f>
        <v>0.39999999999999991</v>
      </c>
      <c r="E38" s="409" t="s">
        <v>49</v>
      </c>
      <c r="F38" s="29" t="s">
        <v>325</v>
      </c>
      <c r="G38" s="324"/>
      <c r="H38" s="306"/>
      <c r="I3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8" s="242"/>
      <c r="K38" s="325"/>
      <c r="L38" s="418">
        <v>0</v>
      </c>
      <c r="M38" s="245">
        <v>0.03</v>
      </c>
      <c r="N38" s="245">
        <v>0.02</v>
      </c>
      <c r="O38" s="257">
        <f>SUM(V062A_2030313334[[#This Row],[MPAL]]+V062A_2030313334[[#This Row],[AUX.]]+V062A_2030313334[[#This Row],[CALDERA]])</f>
        <v>0.05</v>
      </c>
      <c r="P38" s="319"/>
      <c r="Q38" s="281">
        <f>(Q37-V062A_2030313334[[#This Row],[TOTAL ]])+V062A_2030313334[[#This Row],[FAENA]]</f>
        <v>740.54999999999973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SUM(V062A_2030313334[[#This Row],[MPAL2]:[GI]])</f>
        <v>0</v>
      </c>
      <c r="X38" s="246"/>
      <c r="Y38" s="282">
        <f>(Y37-V062A_2030313334[[#This Row],[TOTAL]])+V062A_2030313334[[#This Row],[FAENA2]]</f>
        <v>87.9</v>
      </c>
      <c r="Z38" s="245">
        <v>0</v>
      </c>
      <c r="AA38" s="246">
        <v>0</v>
      </c>
      <c r="AB38" s="320">
        <f>(AB37-V062A_2030313334[[#This Row],[CYLINDER MP]])+V062A_2030313334[[#This Row],[FAENA EN LTS]]</f>
        <v>5311</v>
      </c>
      <c r="AC38" s="246">
        <v>0</v>
      </c>
      <c r="AD38" s="246">
        <v>0</v>
      </c>
      <c r="AE38" s="320">
        <f>(AE37-V062A_2030313334[[#This Row],[CARTER MP.]])+V062A_2030313334[[#This Row],[FAENA EN LTS2]]</f>
        <v>3900</v>
      </c>
      <c r="AF38" s="246">
        <v>0</v>
      </c>
      <c r="AG38" s="246">
        <v>0</v>
      </c>
      <c r="AH38" s="320">
        <f>(AH37-V062A_2030313334[[#This Row],[MOT AUX]])+V062A_2030313334[[#This Row],[FAENA EN  LTS]]</f>
        <v>2880</v>
      </c>
      <c r="AI38" s="246">
        <v>0</v>
      </c>
      <c r="AJ38" s="246">
        <v>0</v>
      </c>
      <c r="AK38" s="321">
        <f>(AK37-V062A_2030313334[[#This Row],[HIDRAULICO]])+V062A_2030313334[[#This Row],[FAENA EN LTS3]]</f>
        <v>2350</v>
      </c>
    </row>
    <row r="39" spans="1:37" x14ac:dyDescent="0.25">
      <c r="A39" s="431" t="s">
        <v>323</v>
      </c>
      <c r="B39" s="48">
        <v>44140</v>
      </c>
      <c r="C39" s="351">
        <v>0.4458333333333333</v>
      </c>
      <c r="D39" s="418">
        <f>IF(V062A_2030313334[[#This Row],[FECHA]]-B38=1,((V062A_2030313334[[#This Row],[HORA]]-C38)*24)+24,(V062A_2030313334[[#This Row],[HORA]]-C38)*24)</f>
        <v>2.6999999999999997</v>
      </c>
      <c r="E39" s="409" t="s">
        <v>49</v>
      </c>
      <c r="F39" s="29" t="s">
        <v>306</v>
      </c>
      <c r="G39" s="324"/>
      <c r="H39" s="306"/>
      <c r="I3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39" s="242"/>
      <c r="K39" s="325"/>
      <c r="L39" s="418">
        <v>0</v>
      </c>
      <c r="M39" s="245">
        <v>0.17</v>
      </c>
      <c r="N39" s="245">
        <v>0.02</v>
      </c>
      <c r="O39" s="257">
        <f>SUM(V062A_2030313334[[#This Row],[MPAL]]+V062A_2030313334[[#This Row],[AUX.]]+V062A_2030313334[[#This Row],[CALDERA]])</f>
        <v>0.19</v>
      </c>
      <c r="P39" s="319"/>
      <c r="Q39" s="281">
        <f>(Q38-V062A_2030313334[[#This Row],[TOTAL ]])+V062A_2030313334[[#This Row],[FAENA]]</f>
        <v>740.35999999999967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SUM(V062A_2030313334[[#This Row],[MPAL2]:[GI]])</f>
        <v>0</v>
      </c>
      <c r="X39" s="246"/>
      <c r="Y39" s="282">
        <f>(Y38-V062A_2030313334[[#This Row],[TOTAL]])+V062A_2030313334[[#This Row],[FAENA2]]</f>
        <v>87.9</v>
      </c>
      <c r="Z39" s="245">
        <v>0</v>
      </c>
      <c r="AA39" s="246">
        <v>0</v>
      </c>
      <c r="AB39" s="320">
        <f>(AB38-V062A_2030313334[[#This Row],[CYLINDER MP]])+V062A_2030313334[[#This Row],[FAENA EN LTS]]</f>
        <v>5311</v>
      </c>
      <c r="AC39" s="246">
        <v>0</v>
      </c>
      <c r="AD39" s="246">
        <v>0</v>
      </c>
      <c r="AE39" s="320">
        <f>(AE38-V062A_2030313334[[#This Row],[CARTER MP.]])+V062A_2030313334[[#This Row],[FAENA EN LTS2]]</f>
        <v>3900</v>
      </c>
      <c r="AF39" s="246">
        <v>0</v>
      </c>
      <c r="AG39" s="246">
        <v>0</v>
      </c>
      <c r="AH39" s="320">
        <f>(AH38-V062A_2030313334[[#This Row],[MOT AUX]])+V062A_2030313334[[#This Row],[FAENA EN  LTS]]</f>
        <v>2880</v>
      </c>
      <c r="AI39" s="246">
        <v>0</v>
      </c>
      <c r="AJ39" s="246">
        <v>0</v>
      </c>
      <c r="AK39" s="321">
        <f>(AK38-V062A_2030313334[[#This Row],[HIDRAULICO]])+V062A_2030313334[[#This Row],[FAENA EN LTS3]]</f>
        <v>2350</v>
      </c>
    </row>
    <row r="40" spans="1:37" x14ac:dyDescent="0.25">
      <c r="A40" s="431" t="s">
        <v>323</v>
      </c>
      <c r="B40" s="48">
        <v>44140</v>
      </c>
      <c r="C40" s="362">
        <v>0.46249999999999997</v>
      </c>
      <c r="D40" s="472">
        <f>IF(V062A_2030313334[[#This Row],[FECHA]]-B39=1,((V062A_2030313334[[#This Row],[HORA]]-C39)*24)+24,(V062A_2030313334[[#This Row],[HORA]]-C39)*24)</f>
        <v>0.39999999999999991</v>
      </c>
      <c r="E40" s="409" t="s">
        <v>49</v>
      </c>
      <c r="F40" s="29" t="s">
        <v>326</v>
      </c>
      <c r="G40" s="324"/>
      <c r="H40" s="306"/>
      <c r="I4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0" s="242"/>
      <c r="K40" s="325"/>
      <c r="L40" s="418">
        <v>0</v>
      </c>
      <c r="M40" s="245">
        <v>0.03</v>
      </c>
      <c r="N40" s="245">
        <v>0.14000000000000001</v>
      </c>
      <c r="O40" s="257">
        <f>SUM(V062A_2030313334[[#This Row],[MPAL]]+V062A_2030313334[[#This Row],[AUX.]]+V062A_2030313334[[#This Row],[CALDERA]])</f>
        <v>0.17</v>
      </c>
      <c r="P40" s="319"/>
      <c r="Q40" s="281">
        <f>(Q39-V062A_2030313334[[#This Row],[TOTAL ]])+V062A_2030313334[[#This Row],[FAENA]]</f>
        <v>740.18999999999971</v>
      </c>
      <c r="R40" s="245">
        <v>0</v>
      </c>
      <c r="S40" s="246">
        <v>0</v>
      </c>
      <c r="T40" s="246">
        <v>0</v>
      </c>
      <c r="U40" s="246">
        <v>0</v>
      </c>
      <c r="V40" s="246">
        <v>0.22</v>
      </c>
      <c r="W40" s="257">
        <f>SUM(V062A_2030313334[[#This Row],[MPAL2]:[GI]])</f>
        <v>0.22</v>
      </c>
      <c r="X40" s="246"/>
      <c r="Y40" s="282">
        <f>(Y39-V062A_2030313334[[#This Row],[TOTAL]])+V062A_2030313334[[#This Row],[FAENA2]]</f>
        <v>87.68</v>
      </c>
      <c r="Z40" s="245">
        <v>0</v>
      </c>
      <c r="AA40" s="246">
        <v>0</v>
      </c>
      <c r="AB40" s="320">
        <f>(AB39-V062A_2030313334[[#This Row],[CYLINDER MP]])+V062A_2030313334[[#This Row],[FAENA EN LTS]]</f>
        <v>5311</v>
      </c>
      <c r="AC40" s="246">
        <v>0</v>
      </c>
      <c r="AD40" s="246">
        <v>0</v>
      </c>
      <c r="AE40" s="320">
        <f>(AE39-V062A_2030313334[[#This Row],[CARTER MP.]])+V062A_2030313334[[#This Row],[FAENA EN LTS2]]</f>
        <v>3900</v>
      </c>
      <c r="AF40" s="246">
        <v>10</v>
      </c>
      <c r="AG40" s="246">
        <v>0</v>
      </c>
      <c r="AH40" s="320">
        <f>(AH39-V062A_2030313334[[#This Row],[MOT AUX]])+V062A_2030313334[[#This Row],[FAENA EN  LTS]]</f>
        <v>2870</v>
      </c>
      <c r="AI40" s="246">
        <v>0</v>
      </c>
      <c r="AJ40" s="246">
        <v>0</v>
      </c>
      <c r="AK40" s="321">
        <f>(AK39-V062A_2030313334[[#This Row],[HIDRAULICO]])+V062A_2030313334[[#This Row],[FAENA EN LTS3]]</f>
        <v>2350</v>
      </c>
    </row>
    <row r="41" spans="1:37" x14ac:dyDescent="0.25">
      <c r="A41" s="431" t="s">
        <v>323</v>
      </c>
      <c r="B41" s="48">
        <v>44140</v>
      </c>
      <c r="C41" s="351">
        <v>0.66249999999999998</v>
      </c>
      <c r="D41" s="472">
        <f>IF(V062A_2030313334[[#This Row],[FECHA]]-B40=1,((V062A_2030313334[[#This Row],[HORA]]-C40)*24)+24,(V062A_2030313334[[#This Row],[HORA]]-C40)*24)</f>
        <v>4.8000000000000007</v>
      </c>
      <c r="E41" s="239" t="s">
        <v>49</v>
      </c>
      <c r="F41" s="29" t="s">
        <v>313</v>
      </c>
      <c r="G41" s="324"/>
      <c r="H41" s="306"/>
      <c r="I4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1" s="242"/>
      <c r="K41" s="325"/>
      <c r="L41" s="418">
        <v>0</v>
      </c>
      <c r="M41" s="245">
        <v>0.3</v>
      </c>
      <c r="N41" s="245">
        <v>0.02</v>
      </c>
      <c r="O41" s="257">
        <f>SUM(V062A_2030313334[[#This Row],[MPAL]]+V062A_2030313334[[#This Row],[AUX.]]+V062A_2030313334[[#This Row],[CALDERA]])</f>
        <v>0.32</v>
      </c>
      <c r="P41" s="319"/>
      <c r="Q41" s="281">
        <f>(Q40-V062A_2030313334[[#This Row],[TOTAL ]])+V062A_2030313334[[#This Row],[FAENA]]</f>
        <v>739.86999999999966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SUM(V062A_2030313334[[#This Row],[MPAL2]:[GI]])</f>
        <v>0</v>
      </c>
      <c r="X41" s="246"/>
      <c r="Y41" s="282">
        <f>(Y40-V062A_2030313334[[#This Row],[TOTAL]])+V062A_2030313334[[#This Row],[FAENA2]]</f>
        <v>87.68</v>
      </c>
      <c r="Z41" s="245">
        <v>0</v>
      </c>
      <c r="AA41" s="246">
        <v>0</v>
      </c>
      <c r="AB41" s="320">
        <f>(AB40-V062A_2030313334[[#This Row],[CYLINDER MP]])+V062A_2030313334[[#This Row],[FAENA EN LTS]]</f>
        <v>5311</v>
      </c>
      <c r="AC41" s="246">
        <v>0</v>
      </c>
      <c r="AD41" s="246">
        <v>0</v>
      </c>
      <c r="AE41" s="320">
        <f>(AE40-V062A_2030313334[[#This Row],[CARTER MP.]])+V062A_2030313334[[#This Row],[FAENA EN LTS2]]</f>
        <v>3900</v>
      </c>
      <c r="AF41" s="246">
        <v>0</v>
      </c>
      <c r="AG41" s="246">
        <v>0</v>
      </c>
      <c r="AH41" s="320">
        <f>(AH40-V062A_2030313334[[#This Row],[MOT AUX]])+V062A_2030313334[[#This Row],[FAENA EN  LTS]]</f>
        <v>2870</v>
      </c>
      <c r="AI41" s="246">
        <v>0</v>
      </c>
      <c r="AJ41" s="246">
        <v>0</v>
      </c>
      <c r="AK41" s="321">
        <f>(AK40-V062A_2030313334[[#This Row],[HIDRAULICO]])+V062A_2030313334[[#This Row],[FAENA EN LTS3]]</f>
        <v>2350</v>
      </c>
    </row>
    <row r="42" spans="1:37" x14ac:dyDescent="0.25">
      <c r="A42" s="431" t="s">
        <v>323</v>
      </c>
      <c r="B42" s="48">
        <v>44141</v>
      </c>
      <c r="C42" s="362">
        <v>0.33333333333333331</v>
      </c>
      <c r="D42" s="472">
        <f>IF(V062A_2030313334[[#This Row],[FECHA]]-B41=1,((V062A_2030313334[[#This Row],[HORA]]-C41)*24)+24,(V062A_2030313334[[#This Row],[HORA]]-C41)*24)</f>
        <v>16.100000000000001</v>
      </c>
      <c r="E42" s="409" t="s">
        <v>49</v>
      </c>
      <c r="F42" s="29" t="s">
        <v>71</v>
      </c>
      <c r="G42" s="324"/>
      <c r="H42" s="306"/>
      <c r="I4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2" s="242"/>
      <c r="K42" s="325"/>
      <c r="L42" s="418">
        <v>0</v>
      </c>
      <c r="M42" s="245">
        <v>1.1100000000000001</v>
      </c>
      <c r="N42" s="245">
        <v>0.82</v>
      </c>
      <c r="O42" s="257">
        <f>SUM(V062A_2030313334[[#This Row],[MPAL]]+V062A_2030313334[[#This Row],[AUX.]]+V062A_2030313334[[#This Row],[CALDERA]])</f>
        <v>1.9300000000000002</v>
      </c>
      <c r="P42" s="319"/>
      <c r="Q42" s="281">
        <f>(Q41-V062A_2030313334[[#This Row],[TOTAL ]])+V062A_2030313334[[#This Row],[FAENA]]</f>
        <v>737.93999999999971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SUM(V062A_2030313334[[#This Row],[MPAL2]:[GI]])</f>
        <v>0</v>
      </c>
      <c r="X42" s="246"/>
      <c r="Y42" s="282">
        <f>(Y41-V062A_2030313334[[#This Row],[TOTAL]])+V062A_2030313334[[#This Row],[FAENA2]]</f>
        <v>87.68</v>
      </c>
      <c r="Z42" s="245">
        <v>0</v>
      </c>
      <c r="AA42" s="246">
        <v>0</v>
      </c>
      <c r="AB42" s="320">
        <f>(AB41-V062A_2030313334[[#This Row],[CYLINDER MP]])+V062A_2030313334[[#This Row],[FAENA EN LTS]]</f>
        <v>5311</v>
      </c>
      <c r="AC42" s="246">
        <v>0</v>
      </c>
      <c r="AD42" s="246">
        <v>0</v>
      </c>
      <c r="AE42" s="320">
        <f>(AE41-V062A_2030313334[[#This Row],[CARTER MP.]])+V062A_2030313334[[#This Row],[FAENA EN LTS2]]</f>
        <v>3900</v>
      </c>
      <c r="AF42" s="246">
        <v>10</v>
      </c>
      <c r="AG42" s="246">
        <v>0</v>
      </c>
      <c r="AH42" s="320">
        <f>(AH41-V062A_2030313334[[#This Row],[MOT AUX]])+V062A_2030313334[[#This Row],[FAENA EN  LTS]]</f>
        <v>2860</v>
      </c>
      <c r="AI42" s="246">
        <v>0</v>
      </c>
      <c r="AJ42" s="246">
        <v>0</v>
      </c>
      <c r="AK42" s="321">
        <f>(AK41-V062A_2030313334[[#This Row],[HIDRAULICO]])+V062A_2030313334[[#This Row],[FAENA EN LTS3]]</f>
        <v>2350</v>
      </c>
    </row>
    <row r="43" spans="1:37" x14ac:dyDescent="0.25">
      <c r="A43" s="431" t="s">
        <v>323</v>
      </c>
      <c r="B43" s="48">
        <v>44142</v>
      </c>
      <c r="C43" s="362">
        <v>0.33333333333333331</v>
      </c>
      <c r="D43" s="418">
        <f>IF(V062A_2030313334[[#This Row],[FECHA]]-B42=1,((V062A_2030313334[[#This Row],[HORA]]-C42)*24)+24,(V062A_2030313334[[#This Row],[HORA]]-C42)*24)</f>
        <v>24</v>
      </c>
      <c r="E43" s="409" t="s">
        <v>49</v>
      </c>
      <c r="F43" s="29" t="s">
        <v>71</v>
      </c>
      <c r="G43" s="324"/>
      <c r="H43" s="306"/>
      <c r="I4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3" s="242"/>
      <c r="K43" s="325"/>
      <c r="L43" s="418">
        <v>0</v>
      </c>
      <c r="M43" s="245">
        <v>1.5</v>
      </c>
      <c r="N43" s="245">
        <v>1.2</v>
      </c>
      <c r="O43" s="257">
        <f>SUM(V062A_2030313334[[#This Row],[MPAL]]+V062A_2030313334[[#This Row],[AUX.]]+V062A_2030313334[[#This Row],[CALDERA]])</f>
        <v>2.7</v>
      </c>
      <c r="P43" s="319"/>
      <c r="Q43" s="281">
        <f>(Q42-V062A_2030313334[[#This Row],[TOTAL ]])+V062A_2030313334[[#This Row],[FAENA]]</f>
        <v>735.23999999999967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SUM(V062A_2030313334[[#This Row],[MPAL2]:[GI]])</f>
        <v>0</v>
      </c>
      <c r="X43" s="246"/>
      <c r="Y43" s="282">
        <f>(Y42-V062A_2030313334[[#This Row],[TOTAL]])+V062A_2030313334[[#This Row],[FAENA2]]</f>
        <v>87.68</v>
      </c>
      <c r="Z43" s="245">
        <v>0</v>
      </c>
      <c r="AA43" s="246">
        <v>0</v>
      </c>
      <c r="AB43" s="320">
        <f>(AB42-V062A_2030313334[[#This Row],[CYLINDER MP]])+V062A_2030313334[[#This Row],[FAENA EN LTS]]</f>
        <v>5311</v>
      </c>
      <c r="AC43" s="246">
        <v>0</v>
      </c>
      <c r="AD43" s="246">
        <v>0</v>
      </c>
      <c r="AE43" s="320">
        <f>(AE42-V062A_2030313334[[#This Row],[CARTER MP.]])+V062A_2030313334[[#This Row],[FAENA EN LTS2]]</f>
        <v>3900</v>
      </c>
      <c r="AF43" s="246">
        <v>20</v>
      </c>
      <c r="AG43" s="246">
        <v>0</v>
      </c>
      <c r="AH43" s="320">
        <f>(AH42-V062A_2030313334[[#This Row],[MOT AUX]])+V062A_2030313334[[#This Row],[FAENA EN  LTS]]</f>
        <v>2840</v>
      </c>
      <c r="AI43" s="246">
        <v>660</v>
      </c>
      <c r="AJ43" s="246">
        <v>0</v>
      </c>
      <c r="AK43" s="321">
        <f>(AK42-V062A_2030313334[[#This Row],[HIDRAULICO]])+V062A_2030313334[[#This Row],[FAENA EN LTS3]]</f>
        <v>1690</v>
      </c>
    </row>
    <row r="44" spans="1:37" x14ac:dyDescent="0.25">
      <c r="A44" s="431" t="s">
        <v>323</v>
      </c>
      <c r="B44" s="48">
        <v>44142</v>
      </c>
      <c r="C44" s="362">
        <v>0.71666666666666667</v>
      </c>
      <c r="D44" s="418">
        <f>IF(V062A_2030313334[[#This Row],[FECHA]]-B43=1,((V062A_2030313334[[#This Row],[HORA]]-C43)*24)+24,(V062A_2030313334[[#This Row],[HORA]]-C43)*24)</f>
        <v>9.2000000000000011</v>
      </c>
      <c r="E44" s="409" t="s">
        <v>49</v>
      </c>
      <c r="F44" s="29" t="s">
        <v>314</v>
      </c>
      <c r="G44" s="324"/>
      <c r="H44" s="306"/>
      <c r="I4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4" s="242"/>
      <c r="K44" s="325"/>
      <c r="L44" s="418">
        <v>0</v>
      </c>
      <c r="M44" s="245">
        <v>0.57999999999999996</v>
      </c>
      <c r="N44" s="245">
        <v>0.46</v>
      </c>
      <c r="O44" s="257">
        <f>SUM(V062A_2030313334[[#This Row],[MPAL]]+V062A_2030313334[[#This Row],[AUX.]]+V062A_2030313334[[#This Row],[CALDERA]])</f>
        <v>1.04</v>
      </c>
      <c r="P44" s="319"/>
      <c r="Q44" s="281">
        <f>(Q43-V062A_2030313334[[#This Row],[TOTAL ]])+V062A_2030313334[[#This Row],[FAENA]]</f>
        <v>734.1999999999997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SUM(V062A_2030313334[[#This Row],[MPAL2]:[GI]])</f>
        <v>0</v>
      </c>
      <c r="X44" s="246"/>
      <c r="Y44" s="282">
        <f>(Y43-V062A_2030313334[[#This Row],[TOTAL]])+V062A_2030313334[[#This Row],[FAENA2]]</f>
        <v>87.68</v>
      </c>
      <c r="Z44" s="245">
        <v>0</v>
      </c>
      <c r="AA44" s="246">
        <v>0</v>
      </c>
      <c r="AB44" s="320">
        <f>(AB43-V062A_2030313334[[#This Row],[CYLINDER MP]])+V062A_2030313334[[#This Row],[FAENA EN LTS]]</f>
        <v>5311</v>
      </c>
      <c r="AC44" s="246">
        <v>0</v>
      </c>
      <c r="AD44" s="246">
        <v>0</v>
      </c>
      <c r="AE44" s="320">
        <f>(AE43-V062A_2030313334[[#This Row],[CARTER MP.]])+V062A_2030313334[[#This Row],[FAENA EN LTS2]]</f>
        <v>3900</v>
      </c>
      <c r="AF44" s="246">
        <v>0</v>
      </c>
      <c r="AG44" s="246">
        <v>0</v>
      </c>
      <c r="AH44" s="320">
        <f>(AH43-V062A_2030313334[[#This Row],[MOT AUX]])+V062A_2030313334[[#This Row],[FAENA EN  LTS]]</f>
        <v>2840</v>
      </c>
      <c r="AI44" s="246">
        <v>0</v>
      </c>
      <c r="AJ44" s="246">
        <v>0</v>
      </c>
      <c r="AK44" s="321">
        <f>(AK43-V062A_2030313334[[#This Row],[HIDRAULICO]])+V062A_2030313334[[#This Row],[FAENA EN LTS3]]</f>
        <v>1690</v>
      </c>
    </row>
    <row r="45" spans="1:37" x14ac:dyDescent="0.25">
      <c r="A45" s="431" t="s">
        <v>323</v>
      </c>
      <c r="B45" s="48">
        <v>44143</v>
      </c>
      <c r="C45" s="362">
        <v>0.33333333333333331</v>
      </c>
      <c r="D45" s="418">
        <f>IF(V062A_2030313334[[#This Row],[FECHA]]-B44=1,((V062A_2030313334[[#This Row],[HORA]]-C44)*24)+24,(V062A_2030313334[[#This Row],[HORA]]-C44)*24)</f>
        <v>14.799999999999999</v>
      </c>
      <c r="E45" s="409" t="s">
        <v>49</v>
      </c>
      <c r="F45" s="29" t="s">
        <v>327</v>
      </c>
      <c r="G45" s="324"/>
      <c r="H45" s="306"/>
      <c r="I4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5" s="242"/>
      <c r="K45" s="325"/>
      <c r="L45" s="418">
        <v>0</v>
      </c>
      <c r="M45" s="245">
        <v>1.1100000000000001</v>
      </c>
      <c r="N45" s="245">
        <v>0.74</v>
      </c>
      <c r="O45" s="257">
        <f>SUM(V062A_2030313334[[#This Row],[MPAL]]+V062A_2030313334[[#This Row],[AUX.]]+V062A_2030313334[[#This Row],[CALDERA]])</f>
        <v>1.85</v>
      </c>
      <c r="P45" s="319"/>
      <c r="Q45" s="281">
        <f>(Q44-V062A_2030313334[[#This Row],[TOTAL ]])+V062A_2030313334[[#This Row],[FAENA]]</f>
        <v>732.34999999999968</v>
      </c>
      <c r="R45" s="245">
        <v>0</v>
      </c>
      <c r="S45" s="246">
        <v>0</v>
      </c>
      <c r="T45" s="246">
        <v>0</v>
      </c>
      <c r="U45" s="246">
        <v>0</v>
      </c>
      <c r="V45" s="246">
        <v>2.1</v>
      </c>
      <c r="W45" s="257">
        <f>SUM(V062A_2030313334[[#This Row],[MPAL2]:[GI]])</f>
        <v>2.1</v>
      </c>
      <c r="X45" s="246"/>
      <c r="Y45" s="282">
        <f>(Y44-V062A_2030313334[[#This Row],[TOTAL]])+V062A_2030313334[[#This Row],[FAENA2]]</f>
        <v>85.580000000000013</v>
      </c>
      <c r="Z45" s="245">
        <v>0</v>
      </c>
      <c r="AA45" s="246">
        <v>0</v>
      </c>
      <c r="AB45" s="320">
        <f>(AB44-V062A_2030313334[[#This Row],[CYLINDER MP]])+V062A_2030313334[[#This Row],[FAENA EN LTS]]</f>
        <v>5311</v>
      </c>
      <c r="AC45" s="246">
        <v>0</v>
      </c>
      <c r="AD45" s="246">
        <v>0</v>
      </c>
      <c r="AE45" s="320">
        <f>(AE44-V062A_2030313334[[#This Row],[CARTER MP.]])+V062A_2030313334[[#This Row],[FAENA EN LTS2]]</f>
        <v>3900</v>
      </c>
      <c r="AF45" s="246">
        <v>10</v>
      </c>
      <c r="AG45" s="246">
        <v>0</v>
      </c>
      <c r="AH45" s="320">
        <f>(AH44-V062A_2030313334[[#This Row],[MOT AUX]])+V062A_2030313334[[#This Row],[FAENA EN  LTS]]</f>
        <v>2830</v>
      </c>
      <c r="AI45" s="246">
        <v>0</v>
      </c>
      <c r="AJ45" s="246">
        <v>0</v>
      </c>
      <c r="AK45" s="321">
        <f>(AK44-V062A_2030313334[[#This Row],[HIDRAULICO]])+V062A_2030313334[[#This Row],[FAENA EN LTS3]]</f>
        <v>1690</v>
      </c>
    </row>
    <row r="46" spans="1:37" x14ac:dyDescent="0.25">
      <c r="A46" s="431" t="s">
        <v>323</v>
      </c>
      <c r="B46" s="48">
        <v>44144</v>
      </c>
      <c r="C46" s="362">
        <v>0.12916666666666668</v>
      </c>
      <c r="D46" s="418">
        <f>IF(V062A_2030313334[[#This Row],[FECHA]]-B45=1,((V062A_2030313334[[#This Row],[HORA]]-C45)*24)+24,(V062A_2030313334[[#This Row],[HORA]]-C45)*24)</f>
        <v>19.100000000000001</v>
      </c>
      <c r="E46" s="409" t="s">
        <v>49</v>
      </c>
      <c r="F46" s="29" t="s">
        <v>328</v>
      </c>
      <c r="G46" s="324"/>
      <c r="H46" s="306"/>
      <c r="I4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6" s="380"/>
      <c r="K46" s="325"/>
      <c r="L46" s="418">
        <v>0</v>
      </c>
      <c r="M46" s="245">
        <v>1.43</v>
      </c>
      <c r="N46" s="245">
        <v>0.96</v>
      </c>
      <c r="O46" s="257">
        <f>SUM(V062A_2030313334[[#This Row],[MPAL]]+V062A_2030313334[[#This Row],[AUX.]]+V062A_2030313334[[#This Row],[CALDERA]])</f>
        <v>2.3899999999999997</v>
      </c>
      <c r="P46" s="319"/>
      <c r="Q46" s="281">
        <f>(Q45-V062A_2030313334[[#This Row],[TOTAL ]])+V062A_2030313334[[#This Row],[FAENA]]</f>
        <v>729.9599999999997</v>
      </c>
      <c r="R46" s="245">
        <v>0</v>
      </c>
      <c r="S46" s="246">
        <v>0</v>
      </c>
      <c r="T46" s="246">
        <v>0</v>
      </c>
      <c r="U46" s="246">
        <v>0</v>
      </c>
      <c r="V46" s="246">
        <v>4.7</v>
      </c>
      <c r="W46" s="257">
        <f>SUM(V062A_2030313334[[#This Row],[MPAL2]:[GI]])</f>
        <v>4.7</v>
      </c>
      <c r="X46" s="246"/>
      <c r="Y46" s="282">
        <f>(Y45-V062A_2030313334[[#This Row],[TOTAL]])+V062A_2030313334[[#This Row],[FAENA2]]</f>
        <v>80.88000000000001</v>
      </c>
      <c r="Z46" s="245">
        <v>0</v>
      </c>
      <c r="AA46" s="246">
        <v>0</v>
      </c>
      <c r="AB46" s="320">
        <f>(AB45-V062A_2030313334[[#This Row],[CYLINDER MP]])+V062A_2030313334[[#This Row],[FAENA EN LTS]]</f>
        <v>5311</v>
      </c>
      <c r="AC46" s="246">
        <v>0</v>
      </c>
      <c r="AD46" s="246">
        <v>0</v>
      </c>
      <c r="AE46" s="320">
        <f>(AE45-V062A_2030313334[[#This Row],[CARTER MP.]])+V062A_2030313334[[#This Row],[FAENA EN LTS2]]</f>
        <v>3900</v>
      </c>
      <c r="AF46" s="246">
        <v>20</v>
      </c>
      <c r="AG46" s="246">
        <v>0</v>
      </c>
      <c r="AH46" s="320">
        <f>(AH45-V062A_2030313334[[#This Row],[MOT AUX]])+V062A_2030313334[[#This Row],[FAENA EN  LTS]]</f>
        <v>2810</v>
      </c>
      <c r="AI46" s="246">
        <v>200</v>
      </c>
      <c r="AJ46" s="246">
        <v>0</v>
      </c>
      <c r="AK46" s="321">
        <f>(AK45-V062A_2030313334[[#This Row],[HIDRAULICO]])+V062A_2030313334[[#This Row],[FAENA EN LTS3]]</f>
        <v>1490</v>
      </c>
    </row>
    <row r="47" spans="1:37" x14ac:dyDescent="0.25">
      <c r="A47" s="431" t="s">
        <v>323</v>
      </c>
      <c r="B47" s="48">
        <v>44144</v>
      </c>
      <c r="C47" s="41">
        <v>0.33333333333333331</v>
      </c>
      <c r="D47" s="418">
        <f>IF(V062A_2030313334[[#This Row],[FECHA]]-B46=1,((V062A_2030313334[[#This Row],[HORA]]-C46)*24)+24,(V062A_2030313334[[#This Row],[HORA]]-C46)*24)</f>
        <v>4.8999999999999995</v>
      </c>
      <c r="E47" s="409" t="s">
        <v>47</v>
      </c>
      <c r="F47" s="29" t="s">
        <v>329</v>
      </c>
      <c r="G47" s="324"/>
      <c r="H47" s="306"/>
      <c r="I4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7" s="380"/>
      <c r="K47" s="325"/>
      <c r="L47" s="418">
        <v>0</v>
      </c>
      <c r="M47" s="245">
        <v>0.31</v>
      </c>
      <c r="N47" s="245">
        <v>0.25</v>
      </c>
      <c r="O47" s="257">
        <f>SUM(V062A_2030313334[[#This Row],[MPAL]]+V062A_2030313334[[#This Row],[AUX.]]+V062A_2030313334[[#This Row],[CALDERA]])</f>
        <v>0.56000000000000005</v>
      </c>
      <c r="P47" s="319"/>
      <c r="Q47" s="281">
        <f>(Q46-V062A_2030313334[[#This Row],[TOTAL ]])+V062A_2030313334[[#This Row],[FAENA]]</f>
        <v>729.39999999999975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SUM(V062A_2030313334[[#This Row],[MPAL2]:[GI]])</f>
        <v>0</v>
      </c>
      <c r="X47" s="246"/>
      <c r="Y47" s="282">
        <f>(Y46-V062A_2030313334[[#This Row],[TOTAL]])+V062A_2030313334[[#This Row],[FAENA2]]</f>
        <v>80.88000000000001</v>
      </c>
      <c r="Z47" s="245">
        <v>0</v>
      </c>
      <c r="AA47" s="246">
        <v>0</v>
      </c>
      <c r="AB47" s="320">
        <f>(AB46-V062A_2030313334[[#This Row],[CYLINDER MP]])+V062A_2030313334[[#This Row],[FAENA EN LTS]]</f>
        <v>5311</v>
      </c>
      <c r="AC47" s="246">
        <v>0</v>
      </c>
      <c r="AD47" s="246">
        <v>0</v>
      </c>
      <c r="AE47" s="320">
        <f>(AE46-V062A_2030313334[[#This Row],[CARTER MP.]])+V062A_2030313334[[#This Row],[FAENA EN LTS2]]</f>
        <v>3900</v>
      </c>
      <c r="AF47" s="246">
        <v>0</v>
      </c>
      <c r="AG47" s="246">
        <v>0</v>
      </c>
      <c r="AH47" s="320">
        <f>(AH46-V062A_2030313334[[#This Row],[MOT AUX]])+V062A_2030313334[[#This Row],[FAENA EN  LTS]]</f>
        <v>2810</v>
      </c>
      <c r="AI47" s="246">
        <v>0</v>
      </c>
      <c r="AJ47" s="246">
        <v>0</v>
      </c>
      <c r="AK47" s="321">
        <f>(AK46-V062A_2030313334[[#This Row],[HIDRAULICO]])+V062A_2030313334[[#This Row],[FAENA EN LTS3]]</f>
        <v>1490</v>
      </c>
    </row>
    <row r="48" spans="1:37" x14ac:dyDescent="0.25">
      <c r="A48" s="431" t="s">
        <v>323</v>
      </c>
      <c r="B48" s="48">
        <v>44144</v>
      </c>
      <c r="C48" s="41">
        <v>0.37083333333333335</v>
      </c>
      <c r="D48" s="418">
        <f>IF(V062A_2030313334[[#This Row],[FECHA]]-B47=1,((V062A_2030313334[[#This Row],[HORA]]-C47)*24)+24,(V062A_2030313334[[#This Row],[HORA]]-C47)*24)</f>
        <v>0.9000000000000008</v>
      </c>
      <c r="E48" s="409" t="s">
        <v>49</v>
      </c>
      <c r="F48" s="29" t="s">
        <v>332</v>
      </c>
      <c r="G48" s="324"/>
      <c r="H48" s="306"/>
      <c r="I4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8" s="380"/>
      <c r="K48" s="325"/>
      <c r="L48" s="418">
        <v>0</v>
      </c>
      <c r="M48" s="245">
        <v>0.06</v>
      </c>
      <c r="N48" s="245">
        <v>0.05</v>
      </c>
      <c r="O48" s="257">
        <f>SUM(V062A_2030313334[[#This Row],[MPAL]]+V062A_2030313334[[#This Row],[AUX.]]+V062A_2030313334[[#This Row],[CALDERA]])</f>
        <v>0.11</v>
      </c>
      <c r="P48" s="319"/>
      <c r="Q48" s="281">
        <f>(Q47-V062A_2030313334[[#This Row],[TOTAL ]])+V062A_2030313334[[#This Row],[FAENA]]</f>
        <v>729.28999999999974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SUM(V062A_2030313334[[#This Row],[MPAL2]:[GI]])</f>
        <v>0</v>
      </c>
      <c r="X48" s="246"/>
      <c r="Y48" s="282">
        <f>(Y47-V062A_2030313334[[#This Row],[TOTAL]])+V062A_2030313334[[#This Row],[FAENA2]]</f>
        <v>80.88000000000001</v>
      </c>
      <c r="Z48" s="245">
        <v>0</v>
      </c>
      <c r="AA48" s="246">
        <v>0</v>
      </c>
      <c r="AB48" s="320">
        <f>(AB47-V062A_2030313334[[#This Row],[CYLINDER MP]])+V062A_2030313334[[#This Row],[FAENA EN LTS]]</f>
        <v>5311</v>
      </c>
      <c r="AC48" s="246">
        <v>0</v>
      </c>
      <c r="AD48" s="246">
        <v>0</v>
      </c>
      <c r="AE48" s="320">
        <f>(AE47-V062A_2030313334[[#This Row],[CARTER MP.]])+V062A_2030313334[[#This Row],[FAENA EN LTS2]]</f>
        <v>3900</v>
      </c>
      <c r="AF48" s="246">
        <v>0</v>
      </c>
      <c r="AG48" s="246">
        <v>0</v>
      </c>
      <c r="AH48" s="320">
        <f>(AH47-V062A_2030313334[[#This Row],[MOT AUX]])+V062A_2030313334[[#This Row],[FAENA EN  LTS]]</f>
        <v>2810</v>
      </c>
      <c r="AI48" s="246">
        <v>0</v>
      </c>
      <c r="AJ48" s="246">
        <v>0</v>
      </c>
      <c r="AK48" s="321">
        <f>(AK47-V062A_2030313334[[#This Row],[HIDRAULICO]])+V062A_2030313334[[#This Row],[FAENA EN LTS3]]</f>
        <v>1490</v>
      </c>
    </row>
    <row r="49" spans="1:37" x14ac:dyDescent="0.25">
      <c r="A49" s="431" t="s">
        <v>323</v>
      </c>
      <c r="B49" s="48">
        <v>44144</v>
      </c>
      <c r="C49" s="41">
        <v>0.38750000000000001</v>
      </c>
      <c r="D49" s="418">
        <f>IF(V062A_2030313334[[#This Row],[FECHA]]-B48=1,((V062A_2030313334[[#This Row],[HORA]]-C48)*24)+24,(V062A_2030313334[[#This Row],[HORA]]-C48)*24)</f>
        <v>0.39999999999999991</v>
      </c>
      <c r="E49" s="409" t="s">
        <v>47</v>
      </c>
      <c r="F49" s="29" t="s">
        <v>272</v>
      </c>
      <c r="G49" s="324"/>
      <c r="H49" s="306"/>
      <c r="I4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49" s="380"/>
      <c r="K49" s="325"/>
      <c r="L49" s="418">
        <v>0.1</v>
      </c>
      <c r="M49" s="245">
        <v>0.03</v>
      </c>
      <c r="N49" s="245">
        <v>0.02</v>
      </c>
      <c r="O49" s="257">
        <f>SUM(V062A_2030313334[[#This Row],[MPAL]]+V062A_2030313334[[#This Row],[AUX.]]+V062A_2030313334[[#This Row],[CALDERA]])</f>
        <v>0.15</v>
      </c>
      <c r="P49" s="319"/>
      <c r="Q49" s="281">
        <f>(Q48-V062A_2030313334[[#This Row],[TOTAL ]])+V062A_2030313334[[#This Row],[FAENA]]</f>
        <v>729.13999999999976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SUM(V062A_2030313334[[#This Row],[MPAL2]:[GI]])</f>
        <v>0</v>
      </c>
      <c r="X49" s="246"/>
      <c r="Y49" s="282">
        <f>(Y48-V062A_2030313334[[#This Row],[TOTAL]])+V062A_2030313334[[#This Row],[FAENA2]]</f>
        <v>80.88000000000001</v>
      </c>
      <c r="Z49" s="245">
        <v>3</v>
      </c>
      <c r="AA49" s="246">
        <v>0</v>
      </c>
      <c r="AB49" s="320">
        <f>(AB48-V062A_2030313334[[#This Row],[CYLINDER MP]])+V062A_2030313334[[#This Row],[FAENA EN LTS]]</f>
        <v>5308</v>
      </c>
      <c r="AC49" s="246">
        <v>0</v>
      </c>
      <c r="AD49" s="246">
        <v>0</v>
      </c>
      <c r="AE49" s="320">
        <f>(AE48-V062A_2030313334[[#This Row],[CARTER MP.]])+V062A_2030313334[[#This Row],[FAENA EN LTS2]]</f>
        <v>3900</v>
      </c>
      <c r="AF49" s="246">
        <v>0</v>
      </c>
      <c r="AG49" s="246">
        <v>0</v>
      </c>
      <c r="AH49" s="320">
        <f>(AH48-V062A_2030313334[[#This Row],[MOT AUX]])+V062A_2030313334[[#This Row],[FAENA EN  LTS]]</f>
        <v>2810</v>
      </c>
      <c r="AI49" s="246">
        <v>0</v>
      </c>
      <c r="AJ49" s="246">
        <v>0</v>
      </c>
      <c r="AK49" s="321">
        <f>(AK48-V062A_2030313334[[#This Row],[HIDRAULICO]])+V062A_2030313334[[#This Row],[FAENA EN LTS3]]</f>
        <v>1490</v>
      </c>
    </row>
    <row r="50" spans="1:37" x14ac:dyDescent="0.25">
      <c r="A50" s="431" t="s">
        <v>323</v>
      </c>
      <c r="B50" s="48">
        <v>44144</v>
      </c>
      <c r="C50" s="362">
        <v>0.47916666666666669</v>
      </c>
      <c r="D50" s="418">
        <f>IF(V062A_2030313334[[#This Row],[FECHA]]-B49=1,((V062A_2030313334[[#This Row],[HORA]]-C49)*24)+24,(V062A_2030313334[[#This Row],[HORA]]-C49)*24)</f>
        <v>2.2000000000000002</v>
      </c>
      <c r="E50" s="409" t="s">
        <v>55</v>
      </c>
      <c r="F50" s="29" t="s">
        <v>62</v>
      </c>
      <c r="G50" s="324">
        <v>30</v>
      </c>
      <c r="H50" s="306">
        <v>2.2000000000000002</v>
      </c>
      <c r="I50" s="259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50" s="242">
        <v>3</v>
      </c>
      <c r="K50" s="325">
        <v>97</v>
      </c>
      <c r="L50" s="418">
        <v>2.11</v>
      </c>
      <c r="M50" s="245">
        <v>0.14000000000000001</v>
      </c>
      <c r="N50" s="245">
        <v>0.11</v>
      </c>
      <c r="O50" s="257">
        <f>SUM(V062A_2030313334[[#This Row],[MPAL]]+V062A_2030313334[[#This Row],[AUX.]]+V062A_2030313334[[#This Row],[CALDERA]])</f>
        <v>2.36</v>
      </c>
      <c r="P50" s="319"/>
      <c r="Q50" s="281">
        <f>(Q49-V062A_2030313334[[#This Row],[TOTAL ]])+V062A_2030313334[[#This Row],[FAENA]]</f>
        <v>726.77999999999975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SUM(V062A_2030313334[[#This Row],[MPAL2]:[GI]])</f>
        <v>0</v>
      </c>
      <c r="X50" s="246"/>
      <c r="Y50" s="282">
        <f>(Y49-V062A_2030313334[[#This Row],[TOTAL]])+V062A_2030313334[[#This Row],[FAENA2]]</f>
        <v>80.88000000000001</v>
      </c>
      <c r="Z50" s="245">
        <v>25</v>
      </c>
      <c r="AA50" s="246">
        <v>0</v>
      </c>
      <c r="AB50" s="320">
        <f>(AB49-V062A_2030313334[[#This Row],[CYLINDER MP]])+V062A_2030313334[[#This Row],[FAENA EN LTS]]</f>
        <v>5283</v>
      </c>
      <c r="AC50" s="246">
        <v>0</v>
      </c>
      <c r="AD50" s="246">
        <v>0</v>
      </c>
      <c r="AE50" s="320">
        <f>(AE49-V062A_2030313334[[#This Row],[CARTER MP.]])+V062A_2030313334[[#This Row],[FAENA EN LTS2]]</f>
        <v>3900</v>
      </c>
      <c r="AF50" s="246">
        <v>0</v>
      </c>
      <c r="AG50" s="246">
        <v>0</v>
      </c>
      <c r="AH50" s="320">
        <f>(AH49-V062A_2030313334[[#This Row],[MOT AUX]])+V062A_2030313334[[#This Row],[FAENA EN  LTS]]</f>
        <v>2810</v>
      </c>
      <c r="AI50" s="246">
        <v>0</v>
      </c>
      <c r="AJ50" s="246">
        <v>0</v>
      </c>
      <c r="AK50" s="321">
        <f>(AK49-V062A_2030313334[[#This Row],[HIDRAULICO]])+V062A_2030313334[[#This Row],[FAENA EN LTS3]]</f>
        <v>1490</v>
      </c>
    </row>
    <row r="51" spans="1:37" x14ac:dyDescent="0.25">
      <c r="A51" s="431" t="s">
        <v>323</v>
      </c>
      <c r="B51" s="48">
        <v>44144</v>
      </c>
      <c r="C51" s="351">
        <v>0.52916666666666667</v>
      </c>
      <c r="D51" s="418">
        <f>IF(V062A_2030313334[[#This Row],[FECHA]]-B50=1,((V062A_2030313334[[#This Row],[HORA]]-C50)*24)+24,(V062A_2030313334[[#This Row],[HORA]]-C50)*24)</f>
        <v>1.1999999999999997</v>
      </c>
      <c r="E51" s="239" t="s">
        <v>45</v>
      </c>
      <c r="F51" s="29" t="s">
        <v>330</v>
      </c>
      <c r="G51" s="324"/>
      <c r="H51" s="306"/>
      <c r="I5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1" s="242"/>
      <c r="K51" s="325"/>
      <c r="L51" s="418">
        <v>0.15</v>
      </c>
      <c r="M51" s="245">
        <v>0.08</v>
      </c>
      <c r="N51" s="245">
        <v>0.06</v>
      </c>
      <c r="O51" s="257">
        <f>SUM(V062A_2030313334[[#This Row],[MPAL]]+V062A_2030313334[[#This Row],[AUX.]]+V062A_2030313334[[#This Row],[CALDERA]])</f>
        <v>0.28999999999999998</v>
      </c>
      <c r="P51" s="319"/>
      <c r="Q51" s="281">
        <f>(Q50-V062A_2030313334[[#This Row],[TOTAL ]])+V062A_2030313334[[#This Row],[FAENA]]</f>
        <v>726.48999999999978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SUM(V062A_2030313334[[#This Row],[MPAL2]:[GI]])</f>
        <v>0</v>
      </c>
      <c r="X51" s="246"/>
      <c r="Y51" s="282">
        <f>(Y50-V062A_2030313334[[#This Row],[TOTAL]])+V062A_2030313334[[#This Row],[FAENA2]]</f>
        <v>80.88000000000001</v>
      </c>
      <c r="Z51" s="245">
        <v>3</v>
      </c>
      <c r="AA51" s="246">
        <v>0</v>
      </c>
      <c r="AB51" s="320">
        <f>(AB50-V062A_2030313334[[#This Row],[CYLINDER MP]])+V062A_2030313334[[#This Row],[FAENA EN LTS]]</f>
        <v>5280</v>
      </c>
      <c r="AC51" s="246">
        <v>0</v>
      </c>
      <c r="AD51" s="246">
        <v>0</v>
      </c>
      <c r="AE51" s="320">
        <f>(AE50-V062A_2030313334[[#This Row],[CARTER MP.]])+V062A_2030313334[[#This Row],[FAENA EN LTS2]]</f>
        <v>3900</v>
      </c>
      <c r="AF51" s="246">
        <v>0</v>
      </c>
      <c r="AG51" s="246">
        <v>0</v>
      </c>
      <c r="AH51" s="320">
        <f>(AH50-V062A_2030313334[[#This Row],[MOT AUX]])+V062A_2030313334[[#This Row],[FAENA EN  LTS]]</f>
        <v>2810</v>
      </c>
      <c r="AI51" s="246">
        <v>0</v>
      </c>
      <c r="AJ51" s="246">
        <v>0</v>
      </c>
      <c r="AK51" s="321">
        <f>(AK50-V062A_2030313334[[#This Row],[HIDRAULICO]])+V062A_2030313334[[#This Row],[FAENA EN LTS3]]</f>
        <v>1490</v>
      </c>
    </row>
    <row r="52" spans="1:37" x14ac:dyDescent="0.25">
      <c r="A52" s="431" t="s">
        <v>323</v>
      </c>
      <c r="B52" s="48">
        <v>44145</v>
      </c>
      <c r="C52" s="362">
        <v>9.5833333333333326E-2</v>
      </c>
      <c r="D52" s="418">
        <f>IF(V062A_2030313334[[#This Row],[FECHA]]-B51=1,((V062A_2030313334[[#This Row],[HORA]]-C51)*24)+24,(V062A_2030313334[[#This Row],[HORA]]-C51)*24)</f>
        <v>13.6</v>
      </c>
      <c r="E52" s="409" t="s">
        <v>47</v>
      </c>
      <c r="F52" s="29" t="s">
        <v>46</v>
      </c>
      <c r="G52" s="324"/>
      <c r="H52" s="306"/>
      <c r="I5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2" s="242"/>
      <c r="K52" s="325"/>
      <c r="L52" s="418">
        <v>0</v>
      </c>
      <c r="M52" s="245">
        <v>0.85</v>
      </c>
      <c r="N52" s="245">
        <v>0.68</v>
      </c>
      <c r="O52" s="257">
        <f>SUM(V062A_2030313334[[#This Row],[MPAL]]+V062A_2030313334[[#This Row],[AUX.]]+V062A_2030313334[[#This Row],[CALDERA]])</f>
        <v>1.53</v>
      </c>
      <c r="P52" s="319"/>
      <c r="Q52" s="281">
        <f>(Q51-V062A_2030313334[[#This Row],[TOTAL ]])+V062A_2030313334[[#This Row],[FAENA]]</f>
        <v>724.95999999999981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SUM(V062A_2030313334[[#This Row],[MPAL2]:[GI]])</f>
        <v>0</v>
      </c>
      <c r="X52" s="246"/>
      <c r="Y52" s="282">
        <f>(Y51-V062A_2030313334[[#This Row],[TOTAL]])+V062A_2030313334[[#This Row],[FAENA2]]</f>
        <v>80.88000000000001</v>
      </c>
      <c r="Z52" s="245">
        <v>0</v>
      </c>
      <c r="AA52" s="246">
        <v>0</v>
      </c>
      <c r="AB52" s="320">
        <f>(AB51-V062A_2030313334[[#This Row],[CYLINDER MP]])+V062A_2030313334[[#This Row],[FAENA EN LTS]]</f>
        <v>5280</v>
      </c>
      <c r="AC52" s="246">
        <v>0</v>
      </c>
      <c r="AD52" s="246">
        <v>0</v>
      </c>
      <c r="AE52" s="320">
        <f>(AE51-V062A_2030313334[[#This Row],[CARTER MP.]])+V062A_2030313334[[#This Row],[FAENA EN LTS2]]</f>
        <v>3900</v>
      </c>
      <c r="AF52" s="246">
        <v>0</v>
      </c>
      <c r="AG52" s="246">
        <v>0</v>
      </c>
      <c r="AH52" s="320">
        <f>(AH51-V062A_2030313334[[#This Row],[MOT AUX]])+V062A_2030313334[[#This Row],[FAENA EN  LTS]]</f>
        <v>2810</v>
      </c>
      <c r="AI52" s="246">
        <v>0</v>
      </c>
      <c r="AJ52" s="246">
        <v>0</v>
      </c>
      <c r="AK52" s="321">
        <f>(AK51-V062A_2030313334[[#This Row],[HIDRAULICO]])+V062A_2030313334[[#This Row],[FAENA EN LTS3]]</f>
        <v>1490</v>
      </c>
    </row>
    <row r="53" spans="1:37" x14ac:dyDescent="0.25">
      <c r="A53" s="431" t="s">
        <v>323</v>
      </c>
      <c r="B53" s="48">
        <v>44145</v>
      </c>
      <c r="C53" s="351">
        <v>0.13333333333333333</v>
      </c>
      <c r="D53" s="418">
        <f>IF(V062A_2030313334[[#This Row],[FECHA]]-B52=1,((V062A_2030313334[[#This Row],[HORA]]-C52)*24)+24,(V062A_2030313334[[#This Row],[HORA]]-C52)*24)</f>
        <v>0.90000000000000013</v>
      </c>
      <c r="E53" s="409" t="s">
        <v>45</v>
      </c>
      <c r="F53" s="29" t="s">
        <v>331</v>
      </c>
      <c r="G53" s="324"/>
      <c r="H53" s="306"/>
      <c r="I5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3" s="242"/>
      <c r="K53" s="325"/>
      <c r="L53" s="418">
        <v>0.11</v>
      </c>
      <c r="M53" s="245">
        <v>0.06</v>
      </c>
      <c r="N53" s="245">
        <v>0.05</v>
      </c>
      <c r="O53" s="257">
        <f>SUM(V062A_2030313334[[#This Row],[MPAL]]+V062A_2030313334[[#This Row],[AUX.]]+V062A_2030313334[[#This Row],[CALDERA]])</f>
        <v>0.21999999999999997</v>
      </c>
      <c r="P53" s="319"/>
      <c r="Q53" s="281">
        <f>(Q52-V062A_2030313334[[#This Row],[TOTAL ]])+V062A_2030313334[[#This Row],[FAENA]]</f>
        <v>724.73999999999978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SUM(V062A_2030313334[[#This Row],[MPAL2]:[GI]])</f>
        <v>0</v>
      </c>
      <c r="X53" s="246"/>
      <c r="Y53" s="282">
        <f>(Y52-V062A_2030313334[[#This Row],[TOTAL]])+V062A_2030313334[[#This Row],[FAENA2]]</f>
        <v>80.88000000000001</v>
      </c>
      <c r="Z53" s="245">
        <v>3</v>
      </c>
      <c r="AA53" s="246">
        <v>0</v>
      </c>
      <c r="AB53" s="320">
        <f>(AB52-V062A_2030313334[[#This Row],[CYLINDER MP]])+V062A_2030313334[[#This Row],[FAENA EN LTS]]</f>
        <v>5277</v>
      </c>
      <c r="AC53" s="246">
        <v>0</v>
      </c>
      <c r="AD53" s="246">
        <v>0</v>
      </c>
      <c r="AE53" s="320">
        <f>(AE52-V062A_2030313334[[#This Row],[CARTER MP.]])+V062A_2030313334[[#This Row],[FAENA EN LTS2]]</f>
        <v>3900</v>
      </c>
      <c r="AF53" s="246">
        <v>0</v>
      </c>
      <c r="AG53" s="246">
        <v>0</v>
      </c>
      <c r="AH53" s="320">
        <f>(AH52-V062A_2030313334[[#This Row],[MOT AUX]])+V062A_2030313334[[#This Row],[FAENA EN  LTS]]</f>
        <v>2810</v>
      </c>
      <c r="AI53" s="246">
        <v>0</v>
      </c>
      <c r="AJ53" s="246">
        <v>0</v>
      </c>
      <c r="AK53" s="321">
        <f>(AK52-V062A_2030313334[[#This Row],[HIDRAULICO]])+V062A_2030313334[[#This Row],[FAENA EN LTS3]]</f>
        <v>1490</v>
      </c>
    </row>
    <row r="54" spans="1:37" x14ac:dyDescent="0.25">
      <c r="A54" s="431" t="s">
        <v>323</v>
      </c>
      <c r="B54" s="48">
        <v>44145</v>
      </c>
      <c r="C54" s="41">
        <v>0.33333333333333331</v>
      </c>
      <c r="D54" s="418">
        <f>IF(V062A_2030313334[[#This Row],[FECHA]]-B53=1,((V062A_2030313334[[#This Row],[HORA]]-C53)*24)+24,(V062A_2030313334[[#This Row],[HORA]]-C53)*24)</f>
        <v>4.8</v>
      </c>
      <c r="E54" s="409" t="s">
        <v>45</v>
      </c>
      <c r="F54" s="29" t="s">
        <v>130</v>
      </c>
      <c r="G54" s="324"/>
      <c r="H54" s="306"/>
      <c r="I5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4" s="242"/>
      <c r="K54" s="325"/>
      <c r="L54" s="418">
        <v>0</v>
      </c>
      <c r="M54" s="245">
        <v>0.3</v>
      </c>
      <c r="N54" s="245">
        <v>0.24</v>
      </c>
      <c r="O54" s="257">
        <f>SUM(V062A_2030313334[[#This Row],[MPAL]]+V062A_2030313334[[#This Row],[AUX.]]+V062A_2030313334[[#This Row],[CALDERA]])</f>
        <v>0.54</v>
      </c>
      <c r="P54" s="319"/>
      <c r="Q54" s="281">
        <f>(Q53-V062A_2030313334[[#This Row],[TOTAL ]])+V062A_2030313334[[#This Row],[FAENA]]</f>
        <v>724.19999999999982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SUM(V062A_2030313334[[#This Row],[MPAL2]:[GI]])</f>
        <v>0</v>
      </c>
      <c r="X54" s="246"/>
      <c r="Y54" s="282">
        <f>(Y53-V062A_2030313334[[#This Row],[TOTAL]])+V062A_2030313334[[#This Row],[FAENA2]]</f>
        <v>80.88000000000001</v>
      </c>
      <c r="Z54" s="245">
        <v>0</v>
      </c>
      <c r="AA54" s="246">
        <v>0</v>
      </c>
      <c r="AB54" s="320">
        <f>(AB53-V062A_2030313334[[#This Row],[CYLINDER MP]])+V062A_2030313334[[#This Row],[FAENA EN LTS]]</f>
        <v>5277</v>
      </c>
      <c r="AC54" s="246">
        <v>0</v>
      </c>
      <c r="AD54" s="246">
        <v>0</v>
      </c>
      <c r="AE54" s="320">
        <f>(AE53-V062A_2030313334[[#This Row],[CARTER MP.]])+V062A_2030313334[[#This Row],[FAENA EN LTS2]]</f>
        <v>3900</v>
      </c>
      <c r="AF54" s="246">
        <v>10</v>
      </c>
      <c r="AG54" s="246">
        <v>0</v>
      </c>
      <c r="AH54" s="320">
        <f>(AH53-V062A_2030313334[[#This Row],[MOT AUX]])+V062A_2030313334[[#This Row],[FAENA EN  LTS]]</f>
        <v>2800</v>
      </c>
      <c r="AI54" s="246">
        <v>0</v>
      </c>
      <c r="AJ54" s="246">
        <v>0</v>
      </c>
      <c r="AK54" s="321">
        <f>(AK53-V062A_2030313334[[#This Row],[HIDRAULICO]])+V062A_2030313334[[#This Row],[FAENA EN LTS3]]</f>
        <v>1490</v>
      </c>
    </row>
    <row r="55" spans="1:37" x14ac:dyDescent="0.25">
      <c r="A55" s="431" t="s">
        <v>323</v>
      </c>
      <c r="B55" s="48">
        <v>44146</v>
      </c>
      <c r="C55" s="41">
        <v>0.33333333333333331</v>
      </c>
      <c r="D55" s="418">
        <f>IF(V062A_2030313334[[#This Row],[FECHA]]-B54=1,((V062A_2030313334[[#This Row],[HORA]]-C54)*24)+24,(V062A_2030313334[[#This Row],[HORA]]-C54)*24)</f>
        <v>24</v>
      </c>
      <c r="E55" s="409" t="s">
        <v>45</v>
      </c>
      <c r="F55" s="29" t="s">
        <v>130</v>
      </c>
      <c r="G55" s="324"/>
      <c r="H55" s="306"/>
      <c r="I55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5" s="242"/>
      <c r="K55" s="325"/>
      <c r="L55" s="418">
        <v>0</v>
      </c>
      <c r="M55" s="245">
        <v>1.5</v>
      </c>
      <c r="N55" s="245">
        <v>1.2</v>
      </c>
      <c r="O55" s="257">
        <f>SUM(V062A_2030313334[[#This Row],[MPAL]]+V062A_2030313334[[#This Row],[AUX.]]+V062A_2030313334[[#This Row],[CALDERA]])</f>
        <v>2.7</v>
      </c>
      <c r="P55" s="319"/>
      <c r="Q55" s="281">
        <f>(Q54-V062A_2030313334[[#This Row],[TOTAL ]])+V062A_2030313334[[#This Row],[FAENA]]</f>
        <v>721.49999999999977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SUM(V062A_2030313334[[#This Row],[MPAL2]:[GI]])</f>
        <v>0</v>
      </c>
      <c r="X55" s="246"/>
      <c r="Y55" s="282">
        <f>(Y54-V062A_2030313334[[#This Row],[TOTAL]])+V062A_2030313334[[#This Row],[FAENA2]]</f>
        <v>80.88000000000001</v>
      </c>
      <c r="Z55" s="245">
        <v>0</v>
      </c>
      <c r="AA55" s="246">
        <v>0</v>
      </c>
      <c r="AB55" s="320">
        <f>(AB54-V062A_2030313334[[#This Row],[CYLINDER MP]])+V062A_2030313334[[#This Row],[FAENA EN LTS]]</f>
        <v>5277</v>
      </c>
      <c r="AC55" s="246">
        <v>400</v>
      </c>
      <c r="AD55" s="246">
        <v>0</v>
      </c>
      <c r="AE55" s="320">
        <f>(AE54-V062A_2030313334[[#This Row],[CARTER MP.]])+V062A_2030313334[[#This Row],[FAENA EN LTS2]]</f>
        <v>3500</v>
      </c>
      <c r="AF55" s="246">
        <v>10</v>
      </c>
      <c r="AG55" s="246">
        <v>0</v>
      </c>
      <c r="AH55" s="320">
        <f>(AH54-V062A_2030313334[[#This Row],[MOT AUX]])+V062A_2030313334[[#This Row],[FAENA EN  LTS]]</f>
        <v>2790</v>
      </c>
      <c r="AI55" s="246">
        <v>0</v>
      </c>
      <c r="AJ55" s="246">
        <v>0</v>
      </c>
      <c r="AK55" s="321">
        <f>(AK54-V062A_2030313334[[#This Row],[HIDRAULICO]])+V062A_2030313334[[#This Row],[FAENA EN LTS3]]</f>
        <v>1490</v>
      </c>
    </row>
    <row r="56" spans="1:37" x14ac:dyDescent="0.25">
      <c r="A56" s="431" t="s">
        <v>323</v>
      </c>
      <c r="B56" s="48">
        <v>44147</v>
      </c>
      <c r="C56" s="41">
        <v>0.33333333333333331</v>
      </c>
      <c r="D56" s="418">
        <f>IF(V062A_2030313334[[#This Row],[FECHA]]-B55=1,((V062A_2030313334[[#This Row],[HORA]]-C55)*24)+24,(V062A_2030313334[[#This Row],[HORA]]-C55)*24)</f>
        <v>24</v>
      </c>
      <c r="E56" s="409" t="s">
        <v>45</v>
      </c>
      <c r="F56" s="29" t="s">
        <v>333</v>
      </c>
      <c r="G56" s="324"/>
      <c r="H56" s="306"/>
      <c r="I56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6" s="242"/>
      <c r="K56" s="325"/>
      <c r="L56" s="418">
        <v>0</v>
      </c>
      <c r="M56" s="245">
        <v>1.5</v>
      </c>
      <c r="N56" s="245">
        <v>1.2</v>
      </c>
      <c r="O56" s="257">
        <f>SUM(V062A_2030313334[[#This Row],[MPAL]]+V062A_2030313334[[#This Row],[AUX.]]+V062A_2030313334[[#This Row],[CALDERA]])</f>
        <v>2.7</v>
      </c>
      <c r="P56" s="319"/>
      <c r="Q56" s="281">
        <f>(Q55-V062A_2030313334[[#This Row],[TOTAL ]])+V062A_2030313334[[#This Row],[FAENA]]</f>
        <v>718.79999999999973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SUM(V062A_2030313334[[#This Row],[MPAL2]:[GI]])</f>
        <v>0</v>
      </c>
      <c r="X56" s="246"/>
      <c r="Y56" s="282">
        <f>(Y55-V062A_2030313334[[#This Row],[TOTAL]])+V062A_2030313334[[#This Row],[FAENA2]]</f>
        <v>80.88000000000001</v>
      </c>
      <c r="Z56" s="245">
        <v>0</v>
      </c>
      <c r="AA56" s="246">
        <v>0</v>
      </c>
      <c r="AB56" s="320">
        <f>(AB55-V062A_2030313334[[#This Row],[CYLINDER MP]])+V062A_2030313334[[#This Row],[FAENA EN LTS]]</f>
        <v>5277</v>
      </c>
      <c r="AC56" s="246">
        <v>0</v>
      </c>
      <c r="AD56" s="246">
        <v>0</v>
      </c>
      <c r="AE56" s="320">
        <f>(AE55-V062A_2030313334[[#This Row],[CARTER MP.]])+V062A_2030313334[[#This Row],[FAENA EN LTS2]]</f>
        <v>3500</v>
      </c>
      <c r="AF56" s="246">
        <v>10</v>
      </c>
      <c r="AG56" s="246">
        <v>0</v>
      </c>
      <c r="AH56" s="320">
        <f>(AH55-V062A_2030313334[[#This Row],[MOT AUX]])+V062A_2030313334[[#This Row],[FAENA EN  LTS]]</f>
        <v>2780</v>
      </c>
      <c r="AI56" s="246">
        <v>0</v>
      </c>
      <c r="AJ56" s="246">
        <v>0</v>
      </c>
      <c r="AK56" s="321">
        <f>(AK55-V062A_2030313334[[#This Row],[HIDRAULICO]])+V062A_2030313334[[#This Row],[FAENA EN LTS3]]</f>
        <v>1490</v>
      </c>
    </row>
    <row r="57" spans="1:37" x14ac:dyDescent="0.25">
      <c r="A57" s="431" t="s">
        <v>323</v>
      </c>
      <c r="B57" s="48">
        <v>44148</v>
      </c>
      <c r="C57" s="41">
        <v>0.3125</v>
      </c>
      <c r="D57" s="418">
        <f>IF(V062A_2030313334[[#This Row],[FECHA]]-B56=1,((V062A_2030313334[[#This Row],[HORA]]-C56)*24)+24,(V062A_2030313334[[#This Row],[HORA]]-C56)*24)</f>
        <v>23.5</v>
      </c>
      <c r="E57" s="409" t="s">
        <v>47</v>
      </c>
      <c r="F57" s="29" t="s">
        <v>46</v>
      </c>
      <c r="G57" s="324"/>
      <c r="H57" s="306"/>
      <c r="I57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7" s="242"/>
      <c r="K57" s="325"/>
      <c r="L57" s="418">
        <v>0</v>
      </c>
      <c r="M57" s="245">
        <v>1.48</v>
      </c>
      <c r="N57" s="245">
        <v>1.18</v>
      </c>
      <c r="O57" s="257">
        <f>SUM(V062A_2030313334[[#This Row],[MPAL]]+V062A_2030313334[[#This Row],[AUX.]]+V062A_2030313334[[#This Row],[CALDERA]])</f>
        <v>2.66</v>
      </c>
      <c r="P57" s="319"/>
      <c r="Q57" s="281">
        <f>(Q56-V062A_2030313334[[#This Row],[TOTAL ]])+V062A_2030313334[[#This Row],[FAENA]]</f>
        <v>716.13999999999976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SUM(V062A_2030313334[[#This Row],[MPAL2]:[GI]])</f>
        <v>0</v>
      </c>
      <c r="X57" s="246"/>
      <c r="Y57" s="282">
        <f>(Y56-V062A_2030313334[[#This Row],[TOTAL]])+V062A_2030313334[[#This Row],[FAENA2]]</f>
        <v>80.88000000000001</v>
      </c>
      <c r="Z57" s="245">
        <v>0</v>
      </c>
      <c r="AA57" s="246">
        <v>0</v>
      </c>
      <c r="AB57" s="320">
        <f>(AB56-V062A_2030313334[[#This Row],[CYLINDER MP]])+V062A_2030313334[[#This Row],[FAENA EN LTS]]</f>
        <v>5277</v>
      </c>
      <c r="AC57" s="246">
        <v>0</v>
      </c>
      <c r="AD57" s="246">
        <v>0</v>
      </c>
      <c r="AE57" s="320">
        <f>(AE56-V062A_2030313334[[#This Row],[CARTER MP.]])+V062A_2030313334[[#This Row],[FAENA EN LTS2]]</f>
        <v>3500</v>
      </c>
      <c r="AF57" s="246">
        <v>0</v>
      </c>
      <c r="AG57" s="246">
        <v>0</v>
      </c>
      <c r="AH57" s="320">
        <f>(AH56-V062A_2030313334[[#This Row],[MOT AUX]])+V062A_2030313334[[#This Row],[FAENA EN  LTS]]</f>
        <v>2780</v>
      </c>
      <c r="AI57" s="246">
        <v>0</v>
      </c>
      <c r="AJ57" s="246">
        <v>0</v>
      </c>
      <c r="AK57" s="321">
        <f>(AK56-V062A_2030313334[[#This Row],[HIDRAULICO]])+V062A_2030313334[[#This Row],[FAENA EN LTS3]]</f>
        <v>1490</v>
      </c>
    </row>
    <row r="58" spans="1:37" x14ac:dyDescent="0.25">
      <c r="A58" s="431" t="s">
        <v>323</v>
      </c>
      <c r="B58" s="48">
        <v>44148</v>
      </c>
      <c r="C58" s="41">
        <v>0.33333333333333331</v>
      </c>
      <c r="D58" s="418">
        <f>IF(V062A_2030313334[[#This Row],[FECHA]]-B57=1,((V062A_2030313334[[#This Row],[HORA]]-C57)*24)+24,(V062A_2030313334[[#This Row],[HORA]]-C57)*24)</f>
        <v>0.49999999999999956</v>
      </c>
      <c r="E58" s="409" t="s">
        <v>47</v>
      </c>
      <c r="F58" s="29" t="s">
        <v>335</v>
      </c>
      <c r="G58" s="324"/>
      <c r="H58" s="306"/>
      <c r="I5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8" s="242"/>
      <c r="K58" s="325"/>
      <c r="L58" s="418">
        <v>0.05</v>
      </c>
      <c r="M58" s="245">
        <v>0.03</v>
      </c>
      <c r="N58" s="245">
        <v>0.05</v>
      </c>
      <c r="O58" s="257">
        <f>SUM(V062A_2030313334[[#This Row],[MPAL]]+V062A_2030313334[[#This Row],[AUX.]]+V062A_2030313334[[#This Row],[CALDERA]])</f>
        <v>0.13</v>
      </c>
      <c r="P58" s="319"/>
      <c r="Q58" s="281">
        <f>(Q57-V062A_2030313334[[#This Row],[TOTAL ]])+V062A_2030313334[[#This Row],[FAENA]]</f>
        <v>716.00999999999976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SUM(V062A_2030313334[[#This Row],[MPAL2]:[GI]])</f>
        <v>0</v>
      </c>
      <c r="X58" s="246"/>
      <c r="Y58" s="282">
        <f>(Y57-V062A_2030313334[[#This Row],[TOTAL]])+V062A_2030313334[[#This Row],[FAENA2]]</f>
        <v>80.88000000000001</v>
      </c>
      <c r="Z58" s="245">
        <v>2</v>
      </c>
      <c r="AA58" s="246">
        <v>0</v>
      </c>
      <c r="AB58" s="320">
        <f>(AB57-V062A_2030313334[[#This Row],[CYLINDER MP]])+V062A_2030313334[[#This Row],[FAENA EN LTS]]</f>
        <v>5275</v>
      </c>
      <c r="AC58" s="246">
        <v>0</v>
      </c>
      <c r="AD58" s="246">
        <v>0</v>
      </c>
      <c r="AE58" s="320">
        <f>(AE57-V062A_2030313334[[#This Row],[CARTER MP.]])+V062A_2030313334[[#This Row],[FAENA EN LTS2]]</f>
        <v>3500</v>
      </c>
      <c r="AF58" s="246">
        <v>10</v>
      </c>
      <c r="AG58" s="246">
        <v>0</v>
      </c>
      <c r="AH58" s="320">
        <f>(AH57-V062A_2030313334[[#This Row],[MOT AUX]])+V062A_2030313334[[#This Row],[FAENA EN  LTS]]</f>
        <v>2770</v>
      </c>
      <c r="AI58" s="246">
        <v>0</v>
      </c>
      <c r="AJ58" s="246">
        <v>0</v>
      </c>
      <c r="AK58" s="321">
        <f>(AK57-V062A_2030313334[[#This Row],[HIDRAULICO]])+V062A_2030313334[[#This Row],[FAENA EN LTS3]]</f>
        <v>1490</v>
      </c>
    </row>
    <row r="59" spans="1:37" x14ac:dyDescent="0.25">
      <c r="A59" s="431" t="s">
        <v>323</v>
      </c>
      <c r="B59" s="48">
        <v>44148</v>
      </c>
      <c r="C59" s="41">
        <v>0.42499999999999999</v>
      </c>
      <c r="D59" s="418">
        <f>IF(V062A_2030313334[[#This Row],[FECHA]]-B58=1,((V062A_2030313334[[#This Row],[HORA]]-C58)*24)+24,(V062A_2030313334[[#This Row],[HORA]]-C58)*24)</f>
        <v>2.2000000000000002</v>
      </c>
      <c r="E59" s="409" t="s">
        <v>49</v>
      </c>
      <c r="F59" s="29" t="s">
        <v>334</v>
      </c>
      <c r="G59" s="324"/>
      <c r="H59" s="306"/>
      <c r="I5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59" s="242"/>
      <c r="K59" s="325"/>
      <c r="L59" s="418">
        <v>0.28000000000000003</v>
      </c>
      <c r="M59" s="245">
        <v>0.14000000000000001</v>
      </c>
      <c r="N59" s="245">
        <v>0.11</v>
      </c>
      <c r="O59" s="257">
        <f>SUM(V062A_2030313334[[#This Row],[MPAL]]+V062A_2030313334[[#This Row],[AUX.]]+V062A_2030313334[[#This Row],[CALDERA]])</f>
        <v>0.53</v>
      </c>
      <c r="P59" s="319"/>
      <c r="Q59" s="281">
        <f>(Q58-V062A_2030313334[[#This Row],[TOTAL ]])+V062A_2030313334[[#This Row],[FAENA]]</f>
        <v>715.47999999999979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SUM(V062A_2030313334[[#This Row],[MPAL2]:[GI]])</f>
        <v>0</v>
      </c>
      <c r="X59" s="246"/>
      <c r="Y59" s="282">
        <f>(Y58-V062A_2030313334[[#This Row],[TOTAL]])+V062A_2030313334[[#This Row],[FAENA2]]</f>
        <v>80.88000000000001</v>
      </c>
      <c r="Z59" s="245">
        <v>3</v>
      </c>
      <c r="AA59" s="246">
        <v>0</v>
      </c>
      <c r="AB59" s="320">
        <f>(AB58-V062A_2030313334[[#This Row],[CYLINDER MP]])+V062A_2030313334[[#This Row],[FAENA EN LTS]]</f>
        <v>5272</v>
      </c>
      <c r="AC59" s="246">
        <v>0</v>
      </c>
      <c r="AD59" s="246">
        <v>0</v>
      </c>
      <c r="AE59" s="320">
        <f>(AE58-V062A_2030313334[[#This Row],[CARTER MP.]])+V062A_2030313334[[#This Row],[FAENA EN LTS2]]</f>
        <v>3500</v>
      </c>
      <c r="AF59" s="246">
        <v>0</v>
      </c>
      <c r="AG59" s="246">
        <v>0</v>
      </c>
      <c r="AH59" s="320">
        <f>(AH58-V062A_2030313334[[#This Row],[MOT AUX]])+V062A_2030313334[[#This Row],[FAENA EN  LTS]]</f>
        <v>2770</v>
      </c>
      <c r="AI59" s="246">
        <v>0</v>
      </c>
      <c r="AJ59" s="246">
        <v>0</v>
      </c>
      <c r="AK59" s="321">
        <f>(AK58-V062A_2030313334[[#This Row],[HIDRAULICO]])+V062A_2030313334[[#This Row],[FAENA EN LTS3]]</f>
        <v>1490</v>
      </c>
    </row>
    <row r="60" spans="1:37" x14ac:dyDescent="0.25">
      <c r="A60" s="431" t="s">
        <v>323</v>
      </c>
      <c r="B60" s="48">
        <v>44148</v>
      </c>
      <c r="C60" s="362">
        <v>0.70833333333333337</v>
      </c>
      <c r="D60" s="418">
        <f>IF(V062A_2030313334[[#This Row],[FECHA]]-B59=1,((V062A_2030313334[[#This Row],[HORA]]-C59)*24)+24,(V062A_2030313334[[#This Row],[HORA]]-C59)*24)</f>
        <v>6.8000000000000007</v>
      </c>
      <c r="E60" s="409" t="s">
        <v>49</v>
      </c>
      <c r="F60" s="29" t="s">
        <v>306</v>
      </c>
      <c r="G60" s="324"/>
      <c r="H60" s="306"/>
      <c r="I6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0" s="242"/>
      <c r="K60" s="325"/>
      <c r="L60" s="418">
        <v>0</v>
      </c>
      <c r="M60" s="245">
        <v>0.43</v>
      </c>
      <c r="N60" s="245">
        <v>0.34</v>
      </c>
      <c r="O60" s="257">
        <f>SUM(V062A_2030313334[[#This Row],[MPAL]]+V062A_2030313334[[#This Row],[AUX.]]+V062A_2030313334[[#This Row],[CALDERA]])</f>
        <v>0.77</v>
      </c>
      <c r="P60" s="319"/>
      <c r="Q60" s="281">
        <f>(Q59-V062A_2030313334[[#This Row],[TOTAL ]])+V062A_2030313334[[#This Row],[FAENA]]</f>
        <v>714.70999999999981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SUM(V062A_2030313334[[#This Row],[MPAL2]:[GI]])</f>
        <v>0</v>
      </c>
      <c r="X60" s="246"/>
      <c r="Y60" s="282">
        <f>(Y59-V062A_2030313334[[#This Row],[TOTAL]])+V062A_2030313334[[#This Row],[FAENA2]]</f>
        <v>80.88000000000001</v>
      </c>
      <c r="Z60" s="245">
        <v>0</v>
      </c>
      <c r="AA60" s="246">
        <v>0</v>
      </c>
      <c r="AB60" s="320">
        <f>(AB59-V062A_2030313334[[#This Row],[CYLINDER MP]])+V062A_2030313334[[#This Row],[FAENA EN LTS]]</f>
        <v>5272</v>
      </c>
      <c r="AC60" s="246">
        <v>0</v>
      </c>
      <c r="AD60" s="246">
        <v>0</v>
      </c>
      <c r="AE60" s="320">
        <f>(AE59-V062A_2030313334[[#This Row],[CARTER MP.]])+V062A_2030313334[[#This Row],[FAENA EN LTS2]]</f>
        <v>3500</v>
      </c>
      <c r="AF60" s="246">
        <v>0</v>
      </c>
      <c r="AG60" s="246">
        <v>0</v>
      </c>
      <c r="AH60" s="320">
        <f>(AH59-V062A_2030313334[[#This Row],[MOT AUX]])+V062A_2030313334[[#This Row],[FAENA EN  LTS]]</f>
        <v>2770</v>
      </c>
      <c r="AI60" s="246">
        <v>0</v>
      </c>
      <c r="AJ60" s="246">
        <v>0</v>
      </c>
      <c r="AK60" s="321">
        <f>(AK59-V062A_2030313334[[#This Row],[HIDRAULICO]])+V062A_2030313334[[#This Row],[FAENA EN LTS3]]</f>
        <v>1490</v>
      </c>
    </row>
    <row r="61" spans="1:37" x14ac:dyDescent="0.25">
      <c r="A61" s="431" t="s">
        <v>323</v>
      </c>
      <c r="B61" s="48">
        <v>44149</v>
      </c>
      <c r="C61" s="351">
        <v>0.33333333333333331</v>
      </c>
      <c r="D61" s="418">
        <f>IF(V062A_2030313334[[#This Row],[FECHA]]-B60=1,((V062A_2030313334[[#This Row],[HORA]]-C60)*24)+24,(V062A_2030313334[[#This Row],[HORA]]-C60)*24)</f>
        <v>14.999999999999998</v>
      </c>
      <c r="E61" s="409" t="s">
        <v>51</v>
      </c>
      <c r="F61" s="29" t="s">
        <v>336</v>
      </c>
      <c r="G61" s="324"/>
      <c r="H61" s="306"/>
      <c r="I6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1" s="242"/>
      <c r="K61" s="325"/>
      <c r="L61" s="418">
        <v>0</v>
      </c>
      <c r="M61" s="245">
        <v>1.1299999999999999</v>
      </c>
      <c r="N61" s="245">
        <v>0.75</v>
      </c>
      <c r="O61" s="257">
        <f>SUM(V062A_2030313334[[#This Row],[MPAL]]+V062A_2030313334[[#This Row],[AUX.]]+V062A_2030313334[[#This Row],[CALDERA]])</f>
        <v>1.88</v>
      </c>
      <c r="P61" s="319"/>
      <c r="Q61" s="281">
        <f>(Q60-V062A_2030313334[[#This Row],[TOTAL ]])+V062A_2030313334[[#This Row],[FAENA]]</f>
        <v>712.82999999999981</v>
      </c>
      <c r="R61" s="245">
        <v>0</v>
      </c>
      <c r="S61" s="246">
        <v>0</v>
      </c>
      <c r="T61" s="246">
        <v>0</v>
      </c>
      <c r="U61" s="246">
        <v>0</v>
      </c>
      <c r="V61" s="246">
        <v>3.75</v>
      </c>
      <c r="W61" s="257">
        <f>SUM(V062A_2030313334[[#This Row],[MPAL2]:[GI]])</f>
        <v>3.75</v>
      </c>
      <c r="X61" s="246"/>
      <c r="Y61" s="282">
        <f>(Y60-V062A_2030313334[[#This Row],[TOTAL]])+V062A_2030313334[[#This Row],[FAENA2]]</f>
        <v>77.13000000000001</v>
      </c>
      <c r="Z61" s="245">
        <v>0</v>
      </c>
      <c r="AA61" s="246">
        <v>0</v>
      </c>
      <c r="AB61" s="320">
        <f>(AB60-V062A_2030313334[[#This Row],[CYLINDER MP]])+V062A_2030313334[[#This Row],[FAENA EN LTS]]</f>
        <v>5272</v>
      </c>
      <c r="AC61" s="246">
        <v>0</v>
      </c>
      <c r="AD61" s="246">
        <v>0</v>
      </c>
      <c r="AE61" s="320">
        <f>(AE60-V062A_2030313334[[#This Row],[CARTER MP.]])+V062A_2030313334[[#This Row],[FAENA EN LTS2]]</f>
        <v>3500</v>
      </c>
      <c r="AF61" s="246">
        <v>1</v>
      </c>
      <c r="AG61" s="246">
        <v>0</v>
      </c>
      <c r="AH61" s="320">
        <f>(AH60-V062A_2030313334[[#This Row],[MOT AUX]])+V062A_2030313334[[#This Row],[FAENA EN  LTS]]</f>
        <v>2769</v>
      </c>
      <c r="AI61" s="246">
        <v>0</v>
      </c>
      <c r="AJ61" s="246">
        <v>0</v>
      </c>
      <c r="AK61" s="321">
        <f>(AK60-V062A_2030313334[[#This Row],[HIDRAULICO]])+V062A_2030313334[[#This Row],[FAENA EN LTS3]]</f>
        <v>1490</v>
      </c>
    </row>
    <row r="62" spans="1:37" x14ac:dyDescent="0.25">
      <c r="A62" s="431" t="s">
        <v>323</v>
      </c>
      <c r="B62" s="48">
        <v>44149</v>
      </c>
      <c r="C62" s="351">
        <v>0.82916666666666661</v>
      </c>
      <c r="D62" s="418">
        <f>IF(V062A_2030313334[[#This Row],[FECHA]]-B61=1,((V062A_2030313334[[#This Row],[HORA]]-C61)*24)+24,(V062A_2030313334[[#This Row],[HORA]]-C61)*24)</f>
        <v>11.899999999999999</v>
      </c>
      <c r="E62" s="409" t="s">
        <v>49</v>
      </c>
      <c r="F62" s="29" t="s">
        <v>328</v>
      </c>
      <c r="G62" s="324"/>
      <c r="H62" s="306"/>
      <c r="I6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2" s="242"/>
      <c r="K62" s="325"/>
      <c r="L62" s="418">
        <v>0</v>
      </c>
      <c r="M62" s="245">
        <v>0.89</v>
      </c>
      <c r="N62" s="245">
        <v>0.6</v>
      </c>
      <c r="O62" s="257">
        <f>SUM(V062A_2030313334[[#This Row],[MPAL]]+V062A_2030313334[[#This Row],[AUX.]]+V062A_2030313334[[#This Row],[CALDERA]])</f>
        <v>1.49</v>
      </c>
      <c r="P62" s="319"/>
      <c r="Q62" s="281">
        <f>(Q61-V062A_2030313334[[#This Row],[TOTAL ]])+V062A_2030313334[[#This Row],[FAENA]]</f>
        <v>711.3399999999998</v>
      </c>
      <c r="R62" s="245">
        <v>0</v>
      </c>
      <c r="S62" s="246">
        <v>0</v>
      </c>
      <c r="T62" s="246">
        <v>0</v>
      </c>
      <c r="U62" s="246">
        <v>0</v>
      </c>
      <c r="V62" s="246">
        <v>2.9</v>
      </c>
      <c r="W62" s="257">
        <f>SUM(V062A_2030313334[[#This Row],[MPAL2]:[GI]])</f>
        <v>2.9</v>
      </c>
      <c r="X62" s="246"/>
      <c r="Y62" s="282">
        <f>(Y61-V062A_2030313334[[#This Row],[TOTAL]])+V062A_2030313334[[#This Row],[FAENA2]]</f>
        <v>74.23</v>
      </c>
      <c r="Z62" s="245">
        <v>0</v>
      </c>
      <c r="AA62" s="246">
        <v>0</v>
      </c>
      <c r="AB62" s="320">
        <f>(AB61-V062A_2030313334[[#This Row],[CYLINDER MP]])+V062A_2030313334[[#This Row],[FAENA EN LTS]]</f>
        <v>5272</v>
      </c>
      <c r="AC62" s="246">
        <v>0</v>
      </c>
      <c r="AD62" s="246">
        <v>0</v>
      </c>
      <c r="AE62" s="320">
        <f>(AE61-V062A_2030313334[[#This Row],[CARTER MP.]])+V062A_2030313334[[#This Row],[FAENA EN LTS2]]</f>
        <v>3500</v>
      </c>
      <c r="AF62" s="246">
        <v>0</v>
      </c>
      <c r="AG62" s="246">
        <v>0</v>
      </c>
      <c r="AH62" s="320">
        <f>(AH61-V062A_2030313334[[#This Row],[MOT AUX]])+V062A_2030313334[[#This Row],[FAENA EN  LTS]]</f>
        <v>2769</v>
      </c>
      <c r="AI62" s="246">
        <v>0</v>
      </c>
      <c r="AJ62" s="246">
        <v>0</v>
      </c>
      <c r="AK62" s="321">
        <f>(AK61-V062A_2030313334[[#This Row],[HIDRAULICO]])+V062A_2030313334[[#This Row],[FAENA EN LTS3]]</f>
        <v>1490</v>
      </c>
    </row>
    <row r="63" spans="1:37" x14ac:dyDescent="0.25">
      <c r="A63" s="431" t="s">
        <v>323</v>
      </c>
      <c r="B63" s="48">
        <v>44150</v>
      </c>
      <c r="C63" s="351">
        <v>2.9166666666666664E-2</v>
      </c>
      <c r="D63" s="418">
        <f>IF(V062A_2030313334[[#This Row],[FECHA]]-B62=1,((V062A_2030313334[[#This Row],[HORA]]-C62)*24)+24,(V062A_2030313334[[#This Row],[HORA]]-C62)*24)</f>
        <v>4.8000000000000007</v>
      </c>
      <c r="E63" s="239" t="s">
        <v>47</v>
      </c>
      <c r="F63" s="29" t="s">
        <v>320</v>
      </c>
      <c r="G63" s="324"/>
      <c r="H63" s="306"/>
      <c r="I6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3" s="380"/>
      <c r="K63" s="325"/>
      <c r="L63" s="418">
        <v>0</v>
      </c>
      <c r="M63" s="245">
        <v>0.3</v>
      </c>
      <c r="N63" s="245">
        <v>0.24</v>
      </c>
      <c r="O63" s="257">
        <f>SUM(V062A_2030313334[[#This Row],[MPAL]]+V062A_2030313334[[#This Row],[AUX.]]+V062A_2030313334[[#This Row],[CALDERA]])</f>
        <v>0.54</v>
      </c>
      <c r="P63" s="319"/>
      <c r="Q63" s="281">
        <f>(Q62-V062A_2030313334[[#This Row],[TOTAL ]])+V062A_2030313334[[#This Row],[FAENA]]</f>
        <v>710.79999999999984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SUM(V062A_2030313334[[#This Row],[MPAL2]:[GI]])</f>
        <v>0</v>
      </c>
      <c r="X63" s="246"/>
      <c r="Y63" s="282">
        <f>(Y62-V062A_2030313334[[#This Row],[TOTAL]])+V062A_2030313334[[#This Row],[FAENA2]]</f>
        <v>74.23</v>
      </c>
      <c r="Z63" s="245">
        <v>0</v>
      </c>
      <c r="AA63" s="246">
        <v>0</v>
      </c>
      <c r="AB63" s="320">
        <f>(AB62-V062A_2030313334[[#This Row],[CYLINDER MP]])+V062A_2030313334[[#This Row],[FAENA EN LTS]]</f>
        <v>5272</v>
      </c>
      <c r="AC63" s="246">
        <v>0</v>
      </c>
      <c r="AD63" s="246">
        <v>0</v>
      </c>
      <c r="AE63" s="320">
        <f>(AE62-V062A_2030313334[[#This Row],[CARTER MP.]])+V062A_2030313334[[#This Row],[FAENA EN LTS2]]</f>
        <v>3500</v>
      </c>
      <c r="AF63" s="246">
        <v>0</v>
      </c>
      <c r="AG63" s="246">
        <v>0</v>
      </c>
      <c r="AH63" s="320">
        <f>(AH62-V062A_2030313334[[#This Row],[MOT AUX]])+V062A_2030313334[[#This Row],[FAENA EN  LTS]]</f>
        <v>2769</v>
      </c>
      <c r="AI63" s="246">
        <v>0</v>
      </c>
      <c r="AJ63" s="246">
        <v>0</v>
      </c>
      <c r="AK63" s="321">
        <f>(AK62-V062A_2030313334[[#This Row],[HIDRAULICO]])+V062A_2030313334[[#This Row],[FAENA EN LTS3]]</f>
        <v>1490</v>
      </c>
    </row>
    <row r="64" spans="1:37" x14ac:dyDescent="0.25">
      <c r="A64" s="431" t="s">
        <v>323</v>
      </c>
      <c r="B64" s="48">
        <v>44150</v>
      </c>
      <c r="C64" s="351">
        <v>6.25E-2</v>
      </c>
      <c r="D64" s="418">
        <f>IF(V062A_2030313334[[#This Row],[FECHA]]-B63=1,((V062A_2030313334[[#This Row],[HORA]]-C63)*24)+24,(V062A_2030313334[[#This Row],[HORA]]-C63)*24)</f>
        <v>0.80000000000000016</v>
      </c>
      <c r="E64" s="239" t="s">
        <v>47</v>
      </c>
      <c r="F64" s="29" t="s">
        <v>212</v>
      </c>
      <c r="G64" s="324"/>
      <c r="H64" s="306"/>
      <c r="I64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4" s="242"/>
      <c r="K64" s="325"/>
      <c r="L64" s="418">
        <v>0.2</v>
      </c>
      <c r="M64" s="245">
        <v>0.05</v>
      </c>
      <c r="N64" s="245">
        <v>0.04</v>
      </c>
      <c r="O64" s="257">
        <f>SUM(V062A_2030313334[[#This Row],[MPAL]]+V062A_2030313334[[#This Row],[AUX.]]+V062A_2030313334[[#This Row],[CALDERA]])</f>
        <v>0.28999999999999998</v>
      </c>
      <c r="P64" s="319"/>
      <c r="Q64" s="281">
        <f>(Q63-V062A_2030313334[[#This Row],[TOTAL ]])+V062A_2030313334[[#This Row],[FAENA]]</f>
        <v>710.50999999999988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SUM(V062A_2030313334[[#This Row],[MPAL2]:[GI]])</f>
        <v>0</v>
      </c>
      <c r="X64" s="246"/>
      <c r="Y64" s="282">
        <f>(Y63-V062A_2030313334[[#This Row],[TOTAL]])+V062A_2030313334[[#This Row],[FAENA2]]</f>
        <v>74.23</v>
      </c>
      <c r="Z64" s="245">
        <v>5</v>
      </c>
      <c r="AA64" s="246">
        <v>0</v>
      </c>
      <c r="AB64" s="320">
        <f>(AB63-V062A_2030313334[[#This Row],[CYLINDER MP]])+V062A_2030313334[[#This Row],[FAENA EN LTS]]</f>
        <v>5267</v>
      </c>
      <c r="AC64" s="246">
        <v>0</v>
      </c>
      <c r="AD64" s="246">
        <v>0</v>
      </c>
      <c r="AE64" s="320">
        <f>(AE63-V062A_2030313334[[#This Row],[CARTER MP.]])+V062A_2030313334[[#This Row],[FAENA EN LTS2]]</f>
        <v>3500</v>
      </c>
      <c r="AF64" s="246">
        <v>0</v>
      </c>
      <c r="AG64" s="246">
        <v>0</v>
      </c>
      <c r="AH64" s="320">
        <f>(AH63-V062A_2030313334[[#This Row],[MOT AUX]])+V062A_2030313334[[#This Row],[FAENA EN  LTS]]</f>
        <v>2769</v>
      </c>
      <c r="AI64" s="246">
        <v>0</v>
      </c>
      <c r="AJ64" s="246">
        <v>0</v>
      </c>
      <c r="AK64" s="321">
        <f>(AK63-V062A_2030313334[[#This Row],[HIDRAULICO]])+V062A_2030313334[[#This Row],[FAENA EN LTS3]]</f>
        <v>1490</v>
      </c>
    </row>
    <row r="65" spans="1:37" x14ac:dyDescent="0.25">
      <c r="A65" s="431" t="s">
        <v>323</v>
      </c>
      <c r="B65" s="48">
        <v>44150</v>
      </c>
      <c r="C65" s="351">
        <v>0.33333333333333331</v>
      </c>
      <c r="D65" s="418">
        <f>IF(V062A_2030313334[[#This Row],[FECHA]]-B64=1,((V062A_2030313334[[#This Row],[HORA]]-C64)*24)+24,(V062A_2030313334[[#This Row],[HORA]]-C64)*24)</f>
        <v>6.5</v>
      </c>
      <c r="E65" s="409" t="s">
        <v>55</v>
      </c>
      <c r="F65" s="29" t="s">
        <v>337</v>
      </c>
      <c r="G65" s="324">
        <v>85.3</v>
      </c>
      <c r="H65" s="306">
        <v>6.5</v>
      </c>
      <c r="I65" s="259">
        <f>IF(ISERROR(V062A_2030313334[[#This Row],[DISTANCIA POR CARTA]]/V062A_2030313334[[#This Row],[TIEMPO DE NAVEGACION]]),0,V062A_2030313334[[#This Row],[DISTANCIA POR CARTA]]/V062A_2030313334[[#This Row],[TIEMPO DE NAVEGACION]])</f>
        <v>13.123076923076923</v>
      </c>
      <c r="J65" s="242">
        <v>3</v>
      </c>
      <c r="K65" s="325">
        <v>97</v>
      </c>
      <c r="L65" s="418">
        <v>6.23</v>
      </c>
      <c r="M65" s="245">
        <v>0.41</v>
      </c>
      <c r="N65" s="245">
        <v>0.33</v>
      </c>
      <c r="O65" s="257">
        <f>SUM(V062A_2030313334[[#This Row],[MPAL]]+V062A_2030313334[[#This Row],[AUX.]]+V062A_2030313334[[#This Row],[CALDERA]])</f>
        <v>6.9700000000000006</v>
      </c>
      <c r="P65" s="319"/>
      <c r="Q65" s="281">
        <f>(Q64-V062A_2030313334[[#This Row],[TOTAL ]])+V062A_2030313334[[#This Row],[FAENA]]</f>
        <v>703.53999999999985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SUM(V062A_2030313334[[#This Row],[MPAL2]:[GI]])</f>
        <v>0</v>
      </c>
      <c r="X65" s="246"/>
      <c r="Y65" s="282">
        <f>(Y64-V062A_2030313334[[#This Row],[TOTAL]])+V062A_2030313334[[#This Row],[FAENA2]]</f>
        <v>74.23</v>
      </c>
      <c r="Z65" s="245">
        <v>73</v>
      </c>
      <c r="AA65" s="246">
        <v>0</v>
      </c>
      <c r="AB65" s="320">
        <f>(AB64-V062A_2030313334[[#This Row],[CYLINDER MP]])+V062A_2030313334[[#This Row],[FAENA EN LTS]]</f>
        <v>5194</v>
      </c>
      <c r="AC65" s="246">
        <v>0</v>
      </c>
      <c r="AD65" s="246">
        <v>0</v>
      </c>
      <c r="AE65" s="320">
        <f>(AE64-V062A_2030313334[[#This Row],[CARTER MP.]])+V062A_2030313334[[#This Row],[FAENA EN LTS2]]</f>
        <v>3500</v>
      </c>
      <c r="AF65" s="246">
        <v>20</v>
      </c>
      <c r="AG65" s="246">
        <v>0</v>
      </c>
      <c r="AH65" s="320">
        <f>(AH64-V062A_2030313334[[#This Row],[MOT AUX]])+V062A_2030313334[[#This Row],[FAENA EN  LTS]]</f>
        <v>2749</v>
      </c>
      <c r="AI65" s="246">
        <v>0</v>
      </c>
      <c r="AJ65" s="246">
        <v>0</v>
      </c>
      <c r="AK65" s="321">
        <f>(AK64-V062A_2030313334[[#This Row],[HIDRAULICO]])+V062A_2030313334[[#This Row],[FAENA EN LTS3]]</f>
        <v>1490</v>
      </c>
    </row>
    <row r="66" spans="1:37" x14ac:dyDescent="0.25">
      <c r="A66" s="431" t="s">
        <v>323</v>
      </c>
      <c r="B66" s="48">
        <v>44151</v>
      </c>
      <c r="C66" s="351">
        <v>0.33333333333333331</v>
      </c>
      <c r="D66" s="418">
        <f>IF(V062A_2030313334[[#This Row],[FECHA]]-B65=1,((V062A_2030313334[[#This Row],[HORA]]-C65)*24)+24,(V062A_2030313334[[#This Row],[HORA]]-C65)*24)</f>
        <v>24</v>
      </c>
      <c r="E66" s="409" t="s">
        <v>55</v>
      </c>
      <c r="F66" s="29" t="s">
        <v>337</v>
      </c>
      <c r="G66" s="324">
        <v>335.5</v>
      </c>
      <c r="H66" s="306">
        <v>24</v>
      </c>
      <c r="I66" s="259">
        <f>IF(ISERROR(V062A_2030313334[[#This Row],[DISTANCIA POR CARTA]]/V062A_2030313334[[#This Row],[TIEMPO DE NAVEGACION]]),0,V062A_2030313334[[#This Row],[DISTANCIA POR CARTA]]/V062A_2030313334[[#This Row],[TIEMPO DE NAVEGACION]])</f>
        <v>13.979166666666666</v>
      </c>
      <c r="J66" s="242">
        <v>3</v>
      </c>
      <c r="K66" s="325">
        <v>97</v>
      </c>
      <c r="L66" s="418">
        <v>23</v>
      </c>
      <c r="M66" s="245">
        <v>1.5</v>
      </c>
      <c r="N66" s="245">
        <v>1.2</v>
      </c>
      <c r="O66" s="257">
        <f>SUM(V062A_2030313334[[#This Row],[MPAL]]+V062A_2030313334[[#This Row],[AUX.]]+V062A_2030313334[[#This Row],[CALDERA]])</f>
        <v>25.7</v>
      </c>
      <c r="P66" s="319"/>
      <c r="Q66" s="281">
        <f>(Q65-V062A_2030313334[[#This Row],[TOTAL ]])+V062A_2030313334[[#This Row],[FAENA]]</f>
        <v>677.8399999999998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SUM(V062A_2030313334[[#This Row],[MPAL2]:[GI]])</f>
        <v>0</v>
      </c>
      <c r="X66" s="246"/>
      <c r="Y66" s="282">
        <f>(Y65-V062A_2030313334[[#This Row],[TOTAL]])+V062A_2030313334[[#This Row],[FAENA2]]</f>
        <v>74.23</v>
      </c>
      <c r="Z66" s="245">
        <v>270</v>
      </c>
      <c r="AA66" s="246">
        <v>0</v>
      </c>
      <c r="AB66" s="320">
        <f>(AB65-V062A_2030313334[[#This Row],[CYLINDER MP]])+V062A_2030313334[[#This Row],[FAENA EN LTS]]</f>
        <v>4924</v>
      </c>
      <c r="AC66" s="246">
        <v>0</v>
      </c>
      <c r="AD66" s="246">
        <v>0</v>
      </c>
      <c r="AE66" s="320">
        <f>(AE65-V062A_2030313334[[#This Row],[CARTER MP.]])+V062A_2030313334[[#This Row],[FAENA EN LTS2]]</f>
        <v>3500</v>
      </c>
      <c r="AF66" s="246">
        <v>0</v>
      </c>
      <c r="AG66" s="246">
        <v>0</v>
      </c>
      <c r="AH66" s="320">
        <f>(AH65-V062A_2030313334[[#This Row],[MOT AUX]])+V062A_2030313334[[#This Row],[FAENA EN  LTS]]</f>
        <v>2749</v>
      </c>
      <c r="AI66" s="246">
        <v>0</v>
      </c>
      <c r="AJ66" s="246">
        <v>0</v>
      </c>
      <c r="AK66" s="321">
        <f>(AK65-V062A_2030313334[[#This Row],[HIDRAULICO]])+V062A_2030313334[[#This Row],[FAENA EN LTS3]]</f>
        <v>1490</v>
      </c>
    </row>
    <row r="67" spans="1:37" x14ac:dyDescent="0.25">
      <c r="A67" s="431" t="s">
        <v>323</v>
      </c>
      <c r="B67" s="48">
        <v>44151</v>
      </c>
      <c r="C67" s="351">
        <v>0.4375</v>
      </c>
      <c r="D67" s="418">
        <f>IF(V062A_2030313334[[#This Row],[FECHA]]-B66=1,((V062A_2030313334[[#This Row],[HORA]]-C66)*24)+24,(V062A_2030313334[[#This Row],[HORA]]-C66)*24)</f>
        <v>2.5000000000000004</v>
      </c>
      <c r="E67" s="409" t="s">
        <v>55</v>
      </c>
      <c r="F67" s="29" t="s">
        <v>338</v>
      </c>
      <c r="G67" s="324">
        <v>34.200000000000003</v>
      </c>
      <c r="H67" s="306">
        <v>2.5</v>
      </c>
      <c r="I67" s="259">
        <f>IF(ISERROR(V062A_2030313334[[#This Row],[DISTANCIA POR CARTA]]/V062A_2030313334[[#This Row],[TIEMPO DE NAVEGACION]]),0,V062A_2030313334[[#This Row],[DISTANCIA POR CARTA]]/V062A_2030313334[[#This Row],[TIEMPO DE NAVEGACION]])</f>
        <v>13.680000000000001</v>
      </c>
      <c r="J67" s="242">
        <v>3</v>
      </c>
      <c r="K67" s="325">
        <v>97</v>
      </c>
      <c r="L67" s="418">
        <v>2.4</v>
      </c>
      <c r="M67" s="245">
        <v>0.16</v>
      </c>
      <c r="N67" s="245">
        <v>0.13</v>
      </c>
      <c r="O67" s="257">
        <f>SUM(V062A_2030313334[[#This Row],[MPAL]]+V062A_2030313334[[#This Row],[AUX.]]+V062A_2030313334[[#This Row],[CALDERA]])</f>
        <v>2.69</v>
      </c>
      <c r="P67" s="319"/>
      <c r="Q67" s="281">
        <f>(Q66-V062A_2030313334[[#This Row],[TOTAL ]])+V062A_2030313334[[#This Row],[FAENA]]</f>
        <v>675.14999999999975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SUM(V062A_2030313334[[#This Row],[MPAL2]:[GI]])</f>
        <v>0</v>
      </c>
      <c r="X67" s="246"/>
      <c r="Y67" s="282">
        <f>(Y66-V062A_2030313334[[#This Row],[TOTAL]])+V062A_2030313334[[#This Row],[FAENA2]]</f>
        <v>74.23</v>
      </c>
      <c r="Z67" s="245">
        <v>28</v>
      </c>
      <c r="AA67" s="246">
        <v>0</v>
      </c>
      <c r="AB67" s="320">
        <f>(AB66-V062A_2030313334[[#This Row],[CYLINDER MP]])+V062A_2030313334[[#This Row],[FAENA EN LTS]]</f>
        <v>4896</v>
      </c>
      <c r="AC67" s="246">
        <v>0</v>
      </c>
      <c r="AD67" s="246">
        <v>0</v>
      </c>
      <c r="AE67" s="320">
        <f>(AE66-V062A_2030313334[[#This Row],[CARTER MP.]])+V062A_2030313334[[#This Row],[FAENA EN LTS2]]</f>
        <v>3500</v>
      </c>
      <c r="AF67" s="246">
        <v>0</v>
      </c>
      <c r="AG67" s="246">
        <v>0</v>
      </c>
      <c r="AH67" s="320">
        <f>(AH66-V062A_2030313334[[#This Row],[MOT AUX]])+V062A_2030313334[[#This Row],[FAENA EN  LTS]]</f>
        <v>2749</v>
      </c>
      <c r="AI67" s="246">
        <v>0</v>
      </c>
      <c r="AJ67" s="246">
        <v>0</v>
      </c>
      <c r="AK67" s="321">
        <f>(AK66-V062A_2030313334[[#This Row],[HIDRAULICO]])+V062A_2030313334[[#This Row],[FAENA EN LTS3]]</f>
        <v>1490</v>
      </c>
    </row>
    <row r="68" spans="1:37" x14ac:dyDescent="0.25">
      <c r="A68" s="431" t="s">
        <v>323</v>
      </c>
      <c r="B68" s="48">
        <v>44151</v>
      </c>
      <c r="C68" s="351">
        <v>0.47916666666666669</v>
      </c>
      <c r="D68" s="418">
        <f>IF(V062A_2030313334[[#This Row],[FECHA]]-B67=1,((V062A_2030313334[[#This Row],[HORA]]-C67)*24)+24,(V062A_2030313334[[#This Row],[HORA]]-C67)*24)</f>
        <v>1.0000000000000004</v>
      </c>
      <c r="E68" s="409" t="s">
        <v>45</v>
      </c>
      <c r="F68" s="29" t="s">
        <v>317</v>
      </c>
      <c r="G68" s="324"/>
      <c r="H68" s="306"/>
      <c r="I68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8" s="242"/>
      <c r="K68" s="325"/>
      <c r="L68" s="418">
        <v>0.13</v>
      </c>
      <c r="M68" s="245">
        <v>0.06</v>
      </c>
      <c r="N68" s="245">
        <v>0.05</v>
      </c>
      <c r="O68" s="257">
        <f>SUM(V062A_2030313334[[#This Row],[MPAL]]+V062A_2030313334[[#This Row],[AUX.]]+V062A_2030313334[[#This Row],[CALDERA]])</f>
        <v>0.24</v>
      </c>
      <c r="P68" s="319"/>
      <c r="Q68" s="281">
        <f>(Q67-V062A_2030313334[[#This Row],[TOTAL ]])+V062A_2030313334[[#This Row],[FAENA]]</f>
        <v>674.90999999999974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SUM(V062A_2030313334[[#This Row],[MPAL2]:[GI]])</f>
        <v>0</v>
      </c>
      <c r="X68" s="246"/>
      <c r="Y68" s="282">
        <f>(Y67-V062A_2030313334[[#This Row],[TOTAL]])+V062A_2030313334[[#This Row],[FAENA2]]</f>
        <v>74.23</v>
      </c>
      <c r="Z68" s="245">
        <v>5</v>
      </c>
      <c r="AA68" s="246">
        <v>0</v>
      </c>
      <c r="AB68" s="320">
        <f>(AB67-V062A_2030313334[[#This Row],[CYLINDER MP]])+V062A_2030313334[[#This Row],[FAENA EN LTS]]</f>
        <v>4891</v>
      </c>
      <c r="AC68" s="246">
        <v>0</v>
      </c>
      <c r="AD68" s="246">
        <v>0</v>
      </c>
      <c r="AE68" s="320">
        <f>(AE67-V062A_2030313334[[#This Row],[CARTER MP.]])+V062A_2030313334[[#This Row],[FAENA EN LTS2]]</f>
        <v>3500</v>
      </c>
      <c r="AF68" s="246">
        <v>0</v>
      </c>
      <c r="AG68" s="246">
        <v>0</v>
      </c>
      <c r="AH68" s="320">
        <f>(AH67-V062A_2030313334[[#This Row],[MOT AUX]])+V062A_2030313334[[#This Row],[FAENA EN  LTS]]</f>
        <v>2749</v>
      </c>
      <c r="AI68" s="246">
        <v>0</v>
      </c>
      <c r="AJ68" s="246">
        <v>0</v>
      </c>
      <c r="AK68" s="321">
        <f>(AK67-V062A_2030313334[[#This Row],[HIDRAULICO]])+V062A_2030313334[[#This Row],[FAENA EN LTS3]]</f>
        <v>1490</v>
      </c>
    </row>
    <row r="69" spans="1:37" x14ac:dyDescent="0.25">
      <c r="A69" s="431" t="s">
        <v>323</v>
      </c>
      <c r="B69" s="48">
        <v>44151</v>
      </c>
      <c r="C69" s="351">
        <v>0.65833333333333333</v>
      </c>
      <c r="D69" s="418">
        <f>IF(V062A_2030313334[[#This Row],[FECHA]]-B68=1,((V062A_2030313334[[#This Row],[HORA]]-C68)*24)+24,(V062A_2030313334[[#This Row],[HORA]]-C68)*24)</f>
        <v>4.2999999999999989</v>
      </c>
      <c r="E69" s="409" t="s">
        <v>47</v>
      </c>
      <c r="F69" s="29" t="s">
        <v>46</v>
      </c>
      <c r="G69" s="324"/>
      <c r="H69" s="306"/>
      <c r="I69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69" s="242"/>
      <c r="K69" s="325"/>
      <c r="L69" s="418">
        <v>0</v>
      </c>
      <c r="M69" s="245">
        <v>0.27</v>
      </c>
      <c r="N69" s="245">
        <v>0.22</v>
      </c>
      <c r="O69" s="257">
        <f>SUM(V062A_2030313334[[#This Row],[MPAL]]+V062A_2030313334[[#This Row],[AUX.]]+V062A_2030313334[[#This Row],[CALDERA]])</f>
        <v>0.49</v>
      </c>
      <c r="P69" s="319"/>
      <c r="Q69" s="281">
        <f>(Q68-V062A_2030313334[[#This Row],[TOTAL ]])+V062A_2030313334[[#This Row],[FAENA]]</f>
        <v>674.41999999999973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SUM(V062A_2030313334[[#This Row],[MPAL2]:[GI]])</f>
        <v>0</v>
      </c>
      <c r="X69" s="246"/>
      <c r="Y69" s="282">
        <f>(Y68-V062A_2030313334[[#This Row],[TOTAL]])+V062A_2030313334[[#This Row],[FAENA2]]</f>
        <v>74.23</v>
      </c>
      <c r="Z69" s="245">
        <v>0</v>
      </c>
      <c r="AA69" s="246">
        <v>0</v>
      </c>
      <c r="AB69" s="320">
        <f>(AB68-V062A_2030313334[[#This Row],[CYLINDER MP]])+V062A_2030313334[[#This Row],[FAENA EN LTS]]</f>
        <v>4891</v>
      </c>
      <c r="AC69" s="246">
        <v>0</v>
      </c>
      <c r="AD69" s="246">
        <v>0</v>
      </c>
      <c r="AE69" s="320">
        <f>(AE68-V062A_2030313334[[#This Row],[CARTER MP.]])+V062A_2030313334[[#This Row],[FAENA EN LTS2]]</f>
        <v>3500</v>
      </c>
      <c r="AF69" s="246">
        <v>0</v>
      </c>
      <c r="AG69" s="246">
        <v>0</v>
      </c>
      <c r="AH69" s="320">
        <f>(AH68-V062A_2030313334[[#This Row],[MOT AUX]])+V062A_2030313334[[#This Row],[FAENA EN  LTS]]</f>
        <v>2749</v>
      </c>
      <c r="AI69" s="246">
        <v>0</v>
      </c>
      <c r="AJ69" s="246">
        <v>0</v>
      </c>
      <c r="AK69" s="321">
        <f>(AK68-V062A_2030313334[[#This Row],[HIDRAULICO]])+V062A_2030313334[[#This Row],[FAENA EN LTS3]]</f>
        <v>1490</v>
      </c>
    </row>
    <row r="70" spans="1:37" x14ac:dyDescent="0.25">
      <c r="A70" s="431" t="s">
        <v>323</v>
      </c>
      <c r="B70" s="48">
        <v>44151</v>
      </c>
      <c r="C70" s="351">
        <v>0.72499999999999998</v>
      </c>
      <c r="D70" s="418">
        <f>IF(V062A_2030313334[[#This Row],[FECHA]]-B69=1,((V062A_2030313334[[#This Row],[HORA]]-C69)*24)+24,(V062A_2030313334[[#This Row],[HORA]]-C69)*24)</f>
        <v>1.5999999999999996</v>
      </c>
      <c r="E70" s="239" t="s">
        <v>45</v>
      </c>
      <c r="F70" s="29" t="s">
        <v>339</v>
      </c>
      <c r="G70" s="324"/>
      <c r="H70" s="306"/>
      <c r="I70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0" s="242"/>
      <c r="K70" s="325"/>
      <c r="L70" s="418">
        <v>0.33</v>
      </c>
      <c r="M70" s="245">
        <v>0.1</v>
      </c>
      <c r="N70" s="245">
        <v>0.08</v>
      </c>
      <c r="O70" s="257">
        <f>SUM(V062A_2030313334[[#This Row],[MPAL]]+V062A_2030313334[[#This Row],[AUX.]]+V062A_2030313334[[#This Row],[CALDERA]])</f>
        <v>0.51</v>
      </c>
      <c r="P70" s="319"/>
      <c r="Q70" s="281">
        <f>(Q69-V062A_2030313334[[#This Row],[TOTAL ]])+V062A_2030313334[[#This Row],[FAENA]]</f>
        <v>673.90999999999974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SUM(V062A_2030313334[[#This Row],[MPAL2]:[GI]])</f>
        <v>0</v>
      </c>
      <c r="X70" s="246"/>
      <c r="Y70" s="282">
        <f>(Y69-V062A_2030313334[[#This Row],[TOTAL]])+V062A_2030313334[[#This Row],[FAENA2]]</f>
        <v>74.23</v>
      </c>
      <c r="Z70" s="245">
        <v>4</v>
      </c>
      <c r="AA70" s="246">
        <v>0</v>
      </c>
      <c r="AB70" s="320">
        <f>(AB69-V062A_2030313334[[#This Row],[CYLINDER MP]])+V062A_2030313334[[#This Row],[FAENA EN LTS]]</f>
        <v>4887</v>
      </c>
      <c r="AC70" s="246">
        <v>0</v>
      </c>
      <c r="AD70" s="246">
        <v>0</v>
      </c>
      <c r="AE70" s="320">
        <f>(AE69-V062A_2030313334[[#This Row],[CARTER MP.]])+V062A_2030313334[[#This Row],[FAENA EN LTS2]]</f>
        <v>3500</v>
      </c>
      <c r="AF70" s="246">
        <v>0</v>
      </c>
      <c r="AG70" s="246">
        <v>0</v>
      </c>
      <c r="AH70" s="320">
        <f>(AH69-V062A_2030313334[[#This Row],[MOT AUX]])+V062A_2030313334[[#This Row],[FAENA EN  LTS]]</f>
        <v>2749</v>
      </c>
      <c r="AI70" s="246">
        <v>0</v>
      </c>
      <c r="AJ70" s="246">
        <v>0</v>
      </c>
      <c r="AK70" s="321">
        <f>(AK69-V062A_2030313334[[#This Row],[HIDRAULICO]])+V062A_2030313334[[#This Row],[FAENA EN LTS3]]</f>
        <v>1490</v>
      </c>
    </row>
    <row r="71" spans="1:37" x14ac:dyDescent="0.25">
      <c r="A71" s="431" t="s">
        <v>323</v>
      </c>
      <c r="B71" s="48">
        <v>44152</v>
      </c>
      <c r="C71" s="351">
        <v>0.33333333333333331</v>
      </c>
      <c r="D71" s="418">
        <f>IF(V062A_2030313334[[#This Row],[FECHA]]-B70=1,((V062A_2030313334[[#This Row],[HORA]]-C70)*24)+24,(V062A_2030313334[[#This Row],[HORA]]-C70)*24)</f>
        <v>14.6</v>
      </c>
      <c r="E71" s="239" t="s">
        <v>45</v>
      </c>
      <c r="F71" s="378" t="s">
        <v>317</v>
      </c>
      <c r="G71" s="324"/>
      <c r="H71" s="306"/>
      <c r="I71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1" s="242"/>
      <c r="K71" s="325"/>
      <c r="L71" s="418">
        <v>0</v>
      </c>
      <c r="M71" s="245">
        <v>0.91</v>
      </c>
      <c r="N71" s="245">
        <v>0.73</v>
      </c>
      <c r="O71" s="257">
        <f>SUM(V062A_2030313334[[#This Row],[MPAL]]+V062A_2030313334[[#This Row],[AUX.]]+V062A_2030313334[[#This Row],[CALDERA]])</f>
        <v>1.6400000000000001</v>
      </c>
      <c r="P71" s="319"/>
      <c r="Q71" s="281">
        <f>(Q70-V062A_2030313334[[#This Row],[TOTAL ]])+V062A_2030313334[[#This Row],[FAENA]]</f>
        <v>672.26999999999975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SUM(V062A_2030313334[[#This Row],[MPAL2]:[GI]])</f>
        <v>0</v>
      </c>
      <c r="X71" s="246"/>
      <c r="Y71" s="282">
        <f>(Y70-V062A_2030313334[[#This Row],[TOTAL]])+V062A_2030313334[[#This Row],[FAENA2]]</f>
        <v>74.23</v>
      </c>
      <c r="Z71" s="245">
        <v>0</v>
      </c>
      <c r="AA71" s="246">
        <v>0</v>
      </c>
      <c r="AB71" s="320">
        <f>(AB70-V062A_2030313334[[#This Row],[CYLINDER MP]])+V062A_2030313334[[#This Row],[FAENA EN LTS]]</f>
        <v>4887</v>
      </c>
      <c r="AC71" s="246">
        <v>0</v>
      </c>
      <c r="AD71" s="246">
        <v>0</v>
      </c>
      <c r="AE71" s="320">
        <f>(AE70-V062A_2030313334[[#This Row],[CARTER MP.]])+V062A_2030313334[[#This Row],[FAENA EN LTS2]]</f>
        <v>3500</v>
      </c>
      <c r="AF71" s="246">
        <v>20</v>
      </c>
      <c r="AG71" s="246">
        <v>0</v>
      </c>
      <c r="AH71" s="320">
        <f>(AH70-V062A_2030313334[[#This Row],[MOT AUX]])+V062A_2030313334[[#This Row],[FAENA EN  LTS]]</f>
        <v>2729</v>
      </c>
      <c r="AI71" s="246">
        <v>0</v>
      </c>
      <c r="AJ71" s="246">
        <v>0</v>
      </c>
      <c r="AK71" s="321">
        <f>(AK70-V062A_2030313334[[#This Row],[HIDRAULICO]])+V062A_2030313334[[#This Row],[FAENA EN LTS3]]</f>
        <v>1490</v>
      </c>
    </row>
    <row r="72" spans="1:37" x14ac:dyDescent="0.25">
      <c r="A72" s="431" t="s">
        <v>323</v>
      </c>
      <c r="B72" s="48">
        <v>44152</v>
      </c>
      <c r="C72" s="237">
        <v>0.47083333333333338</v>
      </c>
      <c r="D72" s="418">
        <f>IF(V062A_2030313334[[#This Row],[FECHA]]-B71=1,((V062A_2030313334[[#This Row],[HORA]]-C71)*24)+24,(V062A_2030313334[[#This Row],[HORA]]-C71)*24)</f>
        <v>3.3000000000000016</v>
      </c>
      <c r="E72" s="239" t="s">
        <v>47</v>
      </c>
      <c r="F72" s="378" t="s">
        <v>342</v>
      </c>
      <c r="G72" s="324"/>
      <c r="H72" s="306"/>
      <c r="I72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2" s="242"/>
      <c r="K72" s="325"/>
      <c r="L72" s="418">
        <v>0.15</v>
      </c>
      <c r="M72" s="245">
        <v>0.11</v>
      </c>
      <c r="N72" s="245">
        <v>0.09</v>
      </c>
      <c r="O72" s="257">
        <f>SUM(V062A_2030313334[[#This Row],[MPAL]]+V062A_2030313334[[#This Row],[AUX.]]+V062A_2030313334[[#This Row],[CALDERA]])</f>
        <v>0.35</v>
      </c>
      <c r="P72" s="319"/>
      <c r="Q72" s="281">
        <f>(Q71-V062A_2030313334[[#This Row],[TOTAL ]])+V062A_2030313334[[#This Row],[FAENA]]</f>
        <v>671.91999999999973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SUM(V062A_2030313334[[#This Row],[MPAL2]:[GI]])</f>
        <v>0</v>
      </c>
      <c r="X72" s="246"/>
      <c r="Y72" s="282">
        <f>(Y71-V062A_2030313334[[#This Row],[TOTAL]])+V062A_2030313334[[#This Row],[FAENA2]]</f>
        <v>74.23</v>
      </c>
      <c r="Z72" s="245">
        <v>4</v>
      </c>
      <c r="AA72" s="246">
        <v>0</v>
      </c>
      <c r="AB72" s="320">
        <f>(AB71-V062A_2030313334[[#This Row],[CYLINDER MP]])+V062A_2030313334[[#This Row],[FAENA EN LTS]]</f>
        <v>4883</v>
      </c>
      <c r="AC72" s="246">
        <v>0</v>
      </c>
      <c r="AD72" s="246">
        <v>0</v>
      </c>
      <c r="AE72" s="320">
        <f>(AE71-V062A_2030313334[[#This Row],[CARTER MP.]])+V062A_2030313334[[#This Row],[FAENA EN LTS2]]</f>
        <v>3500</v>
      </c>
      <c r="AF72" s="246">
        <v>0</v>
      </c>
      <c r="AG72" s="246">
        <v>0</v>
      </c>
      <c r="AH72" s="320">
        <f>(AH71-V062A_2030313334[[#This Row],[MOT AUX]])+V062A_2030313334[[#This Row],[FAENA EN  LTS]]</f>
        <v>2729</v>
      </c>
      <c r="AI72" s="246">
        <v>0</v>
      </c>
      <c r="AJ72" s="246">
        <v>0</v>
      </c>
      <c r="AK72" s="321">
        <f>(AK71-V062A_2030313334[[#This Row],[HIDRAULICO]])+V062A_2030313334[[#This Row],[FAENA EN LTS3]]</f>
        <v>1490</v>
      </c>
    </row>
    <row r="73" spans="1:37" x14ac:dyDescent="0.25">
      <c r="A73" s="431" t="s">
        <v>323</v>
      </c>
      <c r="B73" s="48">
        <v>44152</v>
      </c>
      <c r="C73" s="237">
        <v>0.56666666666666665</v>
      </c>
      <c r="D73" s="418">
        <f>IF(V062A_2030313334[[#This Row],[FECHA]]-B72=1,((V062A_2030313334[[#This Row],[HORA]]-C72)*24)+24,(V062A_2030313334[[#This Row],[HORA]]-C72)*24)</f>
        <v>2.2999999999999985</v>
      </c>
      <c r="E73" s="239" t="s">
        <v>49</v>
      </c>
      <c r="F73" s="378" t="s">
        <v>313</v>
      </c>
      <c r="G73" s="324"/>
      <c r="H73" s="306"/>
      <c r="I73" s="259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3" s="380"/>
      <c r="K73" s="325"/>
      <c r="L73" s="418">
        <v>0</v>
      </c>
      <c r="M73" s="245">
        <v>0.14000000000000001</v>
      </c>
      <c r="N73" s="245">
        <v>0.12</v>
      </c>
      <c r="O73" s="257">
        <f>SUM(V062A_2030313334[[#This Row],[MPAL]]+V062A_2030313334[[#This Row],[AUX.]]+V062A_2030313334[[#This Row],[CALDERA]])</f>
        <v>0.26</v>
      </c>
      <c r="P73" s="319"/>
      <c r="Q73" s="281">
        <f>(Q72-V062A_2030313334[[#This Row],[TOTAL ]])+V062A_2030313334[[#This Row],[FAENA]]</f>
        <v>671.65999999999974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SUM(V062A_2030313334[[#This Row],[MPAL2]:[GI]])</f>
        <v>0</v>
      </c>
      <c r="X73" s="246"/>
      <c r="Y73" s="282">
        <f>(Y72-V062A_2030313334[[#This Row],[TOTAL]])+V062A_2030313334[[#This Row],[FAENA2]]</f>
        <v>74.23</v>
      </c>
      <c r="Z73" s="245">
        <v>0</v>
      </c>
      <c r="AA73" s="246">
        <v>0</v>
      </c>
      <c r="AB73" s="320">
        <f>(AB72-V062A_2030313334[[#This Row],[CYLINDER MP]])+V062A_2030313334[[#This Row],[FAENA EN LTS]]</f>
        <v>4883</v>
      </c>
      <c r="AC73" s="246">
        <v>0</v>
      </c>
      <c r="AD73" s="246">
        <v>0</v>
      </c>
      <c r="AE73" s="320">
        <f>(AE72-V062A_2030313334[[#This Row],[CARTER MP.]])+V062A_2030313334[[#This Row],[FAENA EN LTS2]]</f>
        <v>3500</v>
      </c>
      <c r="AF73" s="246">
        <v>0</v>
      </c>
      <c r="AG73" s="246">
        <v>0</v>
      </c>
      <c r="AH73" s="320">
        <f>(AH72-V062A_2030313334[[#This Row],[MOT AUX]])+V062A_2030313334[[#This Row],[FAENA EN  LTS]]</f>
        <v>2729</v>
      </c>
      <c r="AI73" s="246">
        <v>0</v>
      </c>
      <c r="AJ73" s="246">
        <v>0</v>
      </c>
      <c r="AK73" s="321">
        <f>(AK72-V062A_2030313334[[#This Row],[HIDRAULICO]])+V062A_2030313334[[#This Row],[FAENA EN LTS3]]</f>
        <v>1490</v>
      </c>
    </row>
    <row r="74" spans="1:37" x14ac:dyDescent="0.25">
      <c r="A74" s="431" t="s">
        <v>323</v>
      </c>
      <c r="B74" s="48">
        <v>44153</v>
      </c>
      <c r="C74" s="237">
        <v>0.1125</v>
      </c>
      <c r="D74" s="418">
        <f>IF(V062A_2030313334[[#This Row],[FECHA]]-B73=1,((V062A_2030313334[[#This Row],[HORA]]-C73)*24)+24,(V062A_2030313334[[#This Row],[HORA]]-C73)*24)</f>
        <v>13.1</v>
      </c>
      <c r="E74" s="432" t="s">
        <v>49</v>
      </c>
      <c r="F74" s="378" t="s">
        <v>340</v>
      </c>
      <c r="G74" s="433"/>
      <c r="H74" s="434"/>
      <c r="I7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4" s="436"/>
      <c r="K74" s="437"/>
      <c r="L74" s="245">
        <v>0</v>
      </c>
      <c r="M74" s="246">
        <v>0.82</v>
      </c>
      <c r="N74" s="246">
        <v>0.66</v>
      </c>
      <c r="O74" s="246">
        <f>SUM(V062A_2030313334[[#This Row],[MPAL]]+V062A_2030313334[[#This Row],[AUX.]]+V062A_2030313334[[#This Row],[CALDERA]])</f>
        <v>1.48</v>
      </c>
      <c r="P74" s="319"/>
      <c r="Q74" s="270">
        <f>(Q73-V062A_2030313334[[#This Row],[TOTAL ]])+V062A_2030313334[[#This Row],[FAENA]]</f>
        <v>670.17999999999972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SUM(V062A_2030313334[[#This Row],[MPAL2]:[GI]])</f>
        <v>0</v>
      </c>
      <c r="X74" s="246"/>
      <c r="Y74" s="300">
        <f>(Y73-V062A_2030313334[[#This Row],[TOTAL]])+V062A_2030313334[[#This Row],[FAENA2]]</f>
        <v>74.23</v>
      </c>
      <c r="Z74" s="245">
        <v>0</v>
      </c>
      <c r="AA74" s="246">
        <v>0</v>
      </c>
      <c r="AB74" s="438">
        <f>(AB73-V062A_2030313334[[#This Row],[CYLINDER MP]])+V062A_2030313334[[#This Row],[FAENA EN LTS]]</f>
        <v>4883</v>
      </c>
      <c r="AC74" s="246">
        <v>0</v>
      </c>
      <c r="AD74" s="246">
        <v>0</v>
      </c>
      <c r="AE74" s="438">
        <f>(AE73-V062A_2030313334[[#This Row],[CARTER MP.]])+V062A_2030313334[[#This Row],[FAENA EN LTS2]]</f>
        <v>3500</v>
      </c>
      <c r="AF74" s="246">
        <v>0</v>
      </c>
      <c r="AG74" s="246">
        <v>0</v>
      </c>
      <c r="AH74" s="438">
        <f>(AH73-V062A_2030313334[[#This Row],[MOT AUX]])+V062A_2030313334[[#This Row],[FAENA EN  LTS]]</f>
        <v>2729</v>
      </c>
      <c r="AI74" s="246">
        <v>0</v>
      </c>
      <c r="AJ74" s="246">
        <v>0</v>
      </c>
      <c r="AK74" s="439">
        <f>(AK73-V062A_2030313334[[#This Row],[HIDRAULICO]])+V062A_2030313334[[#This Row],[FAENA EN LTS3]]</f>
        <v>1490</v>
      </c>
    </row>
    <row r="75" spans="1:37" x14ac:dyDescent="0.25">
      <c r="A75" s="431" t="s">
        <v>323</v>
      </c>
      <c r="B75" s="48">
        <v>44153</v>
      </c>
      <c r="C75" s="237">
        <v>0.3125</v>
      </c>
      <c r="D75" s="418">
        <f>IF(V062A_2030313334[[#This Row],[FECHA]]-B74=1,((V062A_2030313334[[#This Row],[HORA]]-C74)*24)+24,(V062A_2030313334[[#This Row],[HORA]]-C74)*24)</f>
        <v>4.8000000000000007</v>
      </c>
      <c r="E75" s="432" t="s">
        <v>47</v>
      </c>
      <c r="F75" s="378" t="s">
        <v>320</v>
      </c>
      <c r="G75" s="433"/>
      <c r="H75" s="434"/>
      <c r="I75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5" s="436"/>
      <c r="K75" s="437"/>
      <c r="L75" s="245">
        <v>0</v>
      </c>
      <c r="M75" s="246">
        <v>0.3</v>
      </c>
      <c r="N75" s="246">
        <v>0.24</v>
      </c>
      <c r="O75" s="246">
        <f>SUM(V062A_2030313334[[#This Row],[MPAL]]+V062A_2030313334[[#This Row],[AUX.]]+V062A_2030313334[[#This Row],[CALDERA]])</f>
        <v>0.54</v>
      </c>
      <c r="P75" s="319"/>
      <c r="Q75" s="270">
        <f>(Q74-V062A_2030313334[[#This Row],[TOTAL ]])+V062A_2030313334[[#This Row],[FAENA]]</f>
        <v>669.63999999999976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SUM(V062A_2030313334[[#This Row],[MPAL2]:[GI]])</f>
        <v>0</v>
      </c>
      <c r="X75" s="246"/>
      <c r="Y75" s="300">
        <f>(Y74-V062A_2030313334[[#This Row],[TOTAL]])+V062A_2030313334[[#This Row],[FAENA2]]</f>
        <v>74.23</v>
      </c>
      <c r="Z75" s="245">
        <v>0</v>
      </c>
      <c r="AA75" s="246">
        <v>0</v>
      </c>
      <c r="AB75" s="438">
        <f>(AB74-V062A_2030313334[[#This Row],[CYLINDER MP]])+V062A_2030313334[[#This Row],[FAENA EN LTS]]</f>
        <v>4883</v>
      </c>
      <c r="AC75" s="246">
        <v>0</v>
      </c>
      <c r="AD75" s="246">
        <v>0</v>
      </c>
      <c r="AE75" s="438">
        <f>(AE74-V062A_2030313334[[#This Row],[CARTER MP.]])+V062A_2030313334[[#This Row],[FAENA EN LTS2]]</f>
        <v>3500</v>
      </c>
      <c r="AF75" s="246">
        <v>0</v>
      </c>
      <c r="AG75" s="246">
        <v>0</v>
      </c>
      <c r="AH75" s="438">
        <f>(AH74-V062A_2030313334[[#This Row],[MOT AUX]])+V062A_2030313334[[#This Row],[FAENA EN  LTS]]</f>
        <v>2729</v>
      </c>
      <c r="AI75" s="246">
        <v>0</v>
      </c>
      <c r="AJ75" s="246">
        <v>0</v>
      </c>
      <c r="AK75" s="439">
        <f>(AK74-V062A_2030313334[[#This Row],[HIDRAULICO]])+V062A_2030313334[[#This Row],[FAENA EN LTS3]]</f>
        <v>1490</v>
      </c>
    </row>
    <row r="76" spans="1:37" x14ac:dyDescent="0.25">
      <c r="A76" s="431" t="s">
        <v>323</v>
      </c>
      <c r="B76" s="48">
        <v>44153</v>
      </c>
      <c r="C76" s="237">
        <v>0.33333333333333331</v>
      </c>
      <c r="D76" s="418">
        <f>IF(V062A_2030313334[[#This Row],[FECHA]]-B75=1,((V062A_2030313334[[#This Row],[HORA]]-C75)*24)+24,(V062A_2030313334[[#This Row],[HORA]]-C75)*24)</f>
        <v>0.49999999999999956</v>
      </c>
      <c r="E76" s="432" t="s">
        <v>47</v>
      </c>
      <c r="F76" s="378" t="s">
        <v>317</v>
      </c>
      <c r="G76" s="433"/>
      <c r="H76" s="434"/>
      <c r="I7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6" s="436"/>
      <c r="K76" s="437"/>
      <c r="L76" s="245">
        <v>0.1</v>
      </c>
      <c r="M76" s="246">
        <v>0.03</v>
      </c>
      <c r="N76" s="246">
        <v>0.03</v>
      </c>
      <c r="O76" s="246">
        <f>SUM(V062A_2030313334[[#This Row],[MPAL]]+V062A_2030313334[[#This Row],[AUX.]]+V062A_2030313334[[#This Row],[CALDERA]])</f>
        <v>0.16</v>
      </c>
      <c r="P76" s="319"/>
      <c r="Q76" s="270">
        <f>(Q75-V062A_2030313334[[#This Row],[TOTAL ]])+V062A_2030313334[[#This Row],[FAENA]]</f>
        <v>669.47999999999979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SUM(V062A_2030313334[[#This Row],[MPAL2]:[GI]])</f>
        <v>0</v>
      </c>
      <c r="X76" s="246"/>
      <c r="Y76" s="300">
        <f>(Y75-V062A_2030313334[[#This Row],[TOTAL]])+V062A_2030313334[[#This Row],[FAENA2]]</f>
        <v>74.23</v>
      </c>
      <c r="Z76" s="245">
        <v>2</v>
      </c>
      <c r="AA76" s="246">
        <v>0</v>
      </c>
      <c r="AB76" s="438">
        <f>(AB75-V062A_2030313334[[#This Row],[CYLINDER MP]])+V062A_2030313334[[#This Row],[FAENA EN LTS]]</f>
        <v>4881</v>
      </c>
      <c r="AC76" s="246">
        <v>0</v>
      </c>
      <c r="AD76" s="246">
        <v>0</v>
      </c>
      <c r="AE76" s="438">
        <f>(AE75-V062A_2030313334[[#This Row],[CARTER MP.]])+V062A_2030313334[[#This Row],[FAENA EN LTS2]]</f>
        <v>3500</v>
      </c>
      <c r="AF76" s="246">
        <v>0</v>
      </c>
      <c r="AG76" s="246">
        <v>0</v>
      </c>
      <c r="AH76" s="438">
        <f>(AH75-V062A_2030313334[[#This Row],[MOT AUX]])+V062A_2030313334[[#This Row],[FAENA EN  LTS]]</f>
        <v>2729</v>
      </c>
      <c r="AI76" s="246">
        <v>0</v>
      </c>
      <c r="AJ76" s="246">
        <v>0</v>
      </c>
      <c r="AK76" s="439">
        <f>(AK75-V062A_2030313334[[#This Row],[HIDRAULICO]])+V062A_2030313334[[#This Row],[FAENA EN LTS3]]</f>
        <v>1490</v>
      </c>
    </row>
    <row r="77" spans="1:37" x14ac:dyDescent="0.25">
      <c r="A77" s="431" t="s">
        <v>323</v>
      </c>
      <c r="B77" s="48">
        <v>44153</v>
      </c>
      <c r="C77" s="237">
        <v>0.35416666666666669</v>
      </c>
      <c r="D77" s="418">
        <f>IF(V062A_2030313334[[#This Row],[FECHA]]-B76=1,((V062A_2030313334[[#This Row],[HORA]]-C76)*24)+24,(V062A_2030313334[[#This Row],[HORA]]-C76)*24)</f>
        <v>0.50000000000000089</v>
      </c>
      <c r="E77" s="432" t="s">
        <v>47</v>
      </c>
      <c r="F77" s="378" t="s">
        <v>321</v>
      </c>
      <c r="G77" s="433"/>
      <c r="H77" s="434"/>
      <c r="I7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77" s="436"/>
      <c r="K77" s="437"/>
      <c r="L77" s="245">
        <v>0.31</v>
      </c>
      <c r="M77" s="246">
        <v>0.03</v>
      </c>
      <c r="N77" s="246">
        <v>0.03</v>
      </c>
      <c r="O77" s="246">
        <f>SUM(V062A_2030313334[[#This Row],[MPAL]]+V062A_2030313334[[#This Row],[AUX.]]+V062A_2030313334[[#This Row],[CALDERA]])</f>
        <v>0.37</v>
      </c>
      <c r="P77" s="319"/>
      <c r="Q77" s="270">
        <f>(Q76-V062A_2030313334[[#This Row],[TOTAL ]])+V062A_2030313334[[#This Row],[FAENA]]</f>
        <v>669.10999999999979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SUM(V062A_2030313334[[#This Row],[MPAL2]:[GI]])</f>
        <v>0</v>
      </c>
      <c r="X77" s="246"/>
      <c r="Y77" s="300">
        <f>(Y76-V062A_2030313334[[#This Row],[TOTAL]])+V062A_2030313334[[#This Row],[FAENA2]]</f>
        <v>74.23</v>
      </c>
      <c r="Z77" s="245">
        <v>5</v>
      </c>
      <c r="AA77" s="246">
        <v>0</v>
      </c>
      <c r="AB77" s="438">
        <f>(AB76-V062A_2030313334[[#This Row],[CYLINDER MP]])+V062A_2030313334[[#This Row],[FAENA EN LTS]]</f>
        <v>4876</v>
      </c>
      <c r="AC77" s="246">
        <v>0</v>
      </c>
      <c r="AD77" s="246">
        <v>0</v>
      </c>
      <c r="AE77" s="438">
        <f>(AE76-V062A_2030313334[[#This Row],[CARTER MP.]])+V062A_2030313334[[#This Row],[FAENA EN LTS2]]</f>
        <v>3500</v>
      </c>
      <c r="AF77" s="246">
        <v>20</v>
      </c>
      <c r="AG77" s="246">
        <v>0</v>
      </c>
      <c r="AH77" s="438">
        <f>(AH76-V062A_2030313334[[#This Row],[MOT AUX]])+V062A_2030313334[[#This Row],[FAENA EN  LTS]]</f>
        <v>2709</v>
      </c>
      <c r="AI77" s="246">
        <v>0</v>
      </c>
      <c r="AJ77" s="246">
        <v>0</v>
      </c>
      <c r="AK77" s="439">
        <f>(AK76-V062A_2030313334[[#This Row],[HIDRAULICO]])+V062A_2030313334[[#This Row],[FAENA EN LTS3]]</f>
        <v>1490</v>
      </c>
    </row>
    <row r="78" spans="1:37" x14ac:dyDescent="0.25">
      <c r="A78" s="431" t="s">
        <v>323</v>
      </c>
      <c r="B78" s="48">
        <v>44154</v>
      </c>
      <c r="C78" s="237">
        <v>0.33333333333333331</v>
      </c>
      <c r="D78" s="418">
        <f>IF(V062A_2030313334[[#This Row],[FECHA]]-B77=1,((V062A_2030313334[[#This Row],[HORA]]-C77)*24)+24,(V062A_2030313334[[#This Row],[HORA]]-C77)*24)</f>
        <v>23.5</v>
      </c>
      <c r="E78" s="432" t="s">
        <v>55</v>
      </c>
      <c r="F78" s="378" t="s">
        <v>341</v>
      </c>
      <c r="G78" s="433">
        <v>276.89999999999998</v>
      </c>
      <c r="H78" s="434">
        <v>23.5</v>
      </c>
      <c r="I78" s="435">
        <f>IF(ISERROR(V062A_2030313334[[#This Row],[DISTANCIA POR CARTA]]/V062A_2030313334[[#This Row],[TIEMPO DE NAVEGACION]]),0,V062A_2030313334[[#This Row],[DISTANCIA POR CARTA]]/V062A_2030313334[[#This Row],[TIEMPO DE NAVEGACION]])</f>
        <v>11.782978723404254</v>
      </c>
      <c r="J78" s="436">
        <v>6</v>
      </c>
      <c r="K78" s="437">
        <v>97</v>
      </c>
      <c r="L78" s="245">
        <v>22.52</v>
      </c>
      <c r="M78" s="246">
        <v>1.47</v>
      </c>
      <c r="N78" s="246">
        <v>1.18</v>
      </c>
      <c r="O78" s="246">
        <f>SUM(V062A_2030313334[[#This Row],[MPAL]]+V062A_2030313334[[#This Row],[AUX.]]+V062A_2030313334[[#This Row],[CALDERA]])</f>
        <v>25.169999999999998</v>
      </c>
      <c r="P78" s="319"/>
      <c r="Q78" s="270">
        <f>(Q77-V062A_2030313334[[#This Row],[TOTAL ]])+V062A_2030313334[[#This Row],[FAENA]]</f>
        <v>643.93999999999983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SUM(V062A_2030313334[[#This Row],[MPAL2]:[GI]])</f>
        <v>0</v>
      </c>
      <c r="X78" s="246"/>
      <c r="Y78" s="300">
        <f>(Y77-V062A_2030313334[[#This Row],[TOTAL]])+V062A_2030313334[[#This Row],[FAENA2]]</f>
        <v>74.23</v>
      </c>
      <c r="Z78" s="245">
        <v>265</v>
      </c>
      <c r="AA78" s="246">
        <v>0</v>
      </c>
      <c r="AB78" s="438">
        <f>(AB77-V062A_2030313334[[#This Row],[CYLINDER MP]])+V062A_2030313334[[#This Row],[FAENA EN LTS]]</f>
        <v>4611</v>
      </c>
      <c r="AC78" s="246">
        <v>0</v>
      </c>
      <c r="AD78" s="246">
        <v>0</v>
      </c>
      <c r="AE78" s="438">
        <f>(AE77-V062A_2030313334[[#This Row],[CARTER MP.]])+V062A_2030313334[[#This Row],[FAENA EN LTS2]]</f>
        <v>3500</v>
      </c>
      <c r="AF78" s="246">
        <v>20</v>
      </c>
      <c r="AG78" s="246">
        <v>0</v>
      </c>
      <c r="AH78" s="438">
        <f>(AH77-V062A_2030313334[[#This Row],[MOT AUX]])+V062A_2030313334[[#This Row],[FAENA EN  LTS]]</f>
        <v>2689</v>
      </c>
      <c r="AI78" s="246">
        <v>0</v>
      </c>
      <c r="AJ78" s="246">
        <v>0</v>
      </c>
      <c r="AK78" s="439">
        <f>(AK77-V062A_2030313334[[#This Row],[HIDRAULICO]])+V062A_2030313334[[#This Row],[FAENA EN LTS3]]</f>
        <v>1490</v>
      </c>
    </row>
    <row r="79" spans="1:37" x14ac:dyDescent="0.25">
      <c r="A79" s="431" t="s">
        <v>323</v>
      </c>
      <c r="B79" s="48">
        <v>44154</v>
      </c>
      <c r="C79" s="237">
        <v>0.91666666666666663</v>
      </c>
      <c r="D79" s="418">
        <f>IF(V062A_2030313334[[#This Row],[FECHA]]-B78=1,((V062A_2030313334[[#This Row],[HORA]]-C78)*24)+24,(V062A_2030313334[[#This Row],[HORA]]-C78)*24)</f>
        <v>13.999999999999998</v>
      </c>
      <c r="E79" s="432" t="s">
        <v>55</v>
      </c>
      <c r="F79" s="378" t="s">
        <v>62</v>
      </c>
      <c r="G79" s="433">
        <v>178.1</v>
      </c>
      <c r="H79" s="434">
        <v>14</v>
      </c>
      <c r="I79" s="435">
        <f>IF(ISERROR(V062A_2030313334[[#This Row],[DISTANCIA POR CARTA]]/V062A_2030313334[[#This Row],[TIEMPO DE NAVEGACION]]),0,V062A_2030313334[[#This Row],[DISTANCIA POR CARTA]]/V062A_2030313334[[#This Row],[TIEMPO DE NAVEGACION]])</f>
        <v>12.721428571428572</v>
      </c>
      <c r="J79" s="436">
        <v>6</v>
      </c>
      <c r="K79" s="437">
        <v>97</v>
      </c>
      <c r="L79" s="245">
        <v>13.42</v>
      </c>
      <c r="M79" s="246">
        <v>0.88</v>
      </c>
      <c r="N79" s="246">
        <v>0.7</v>
      </c>
      <c r="O79" s="246">
        <f>SUM(V062A_2030313334[[#This Row],[MPAL]]+V062A_2030313334[[#This Row],[AUX.]]+V062A_2030313334[[#This Row],[CALDERA]])</f>
        <v>15</v>
      </c>
      <c r="P79" s="319"/>
      <c r="Q79" s="270">
        <f>(Q78-V062A_2030313334[[#This Row],[TOTAL ]])+V062A_2030313334[[#This Row],[FAENA]]</f>
        <v>628.93999999999983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SUM(V062A_2030313334[[#This Row],[MPAL2]:[GI]])</f>
        <v>0</v>
      </c>
      <c r="X79" s="246"/>
      <c r="Y79" s="300">
        <f>(Y78-V062A_2030313334[[#This Row],[TOTAL]])+V062A_2030313334[[#This Row],[FAENA2]]</f>
        <v>74.23</v>
      </c>
      <c r="Z79" s="245">
        <v>157</v>
      </c>
      <c r="AA79" s="246">
        <v>0</v>
      </c>
      <c r="AB79" s="438">
        <f>(AB78-V062A_2030313334[[#This Row],[CYLINDER MP]])+V062A_2030313334[[#This Row],[FAENA EN LTS]]</f>
        <v>4454</v>
      </c>
      <c r="AC79" s="246">
        <v>0</v>
      </c>
      <c r="AD79" s="246">
        <v>0</v>
      </c>
      <c r="AE79" s="438">
        <f>(AE78-V062A_2030313334[[#This Row],[CARTER MP.]])+V062A_2030313334[[#This Row],[FAENA EN LTS2]]</f>
        <v>3500</v>
      </c>
      <c r="AF79" s="246">
        <v>0</v>
      </c>
      <c r="AG79" s="246">
        <v>0</v>
      </c>
      <c r="AH79" s="438">
        <f>(AH78-V062A_2030313334[[#This Row],[MOT AUX]])+V062A_2030313334[[#This Row],[FAENA EN  LTS]]</f>
        <v>2689</v>
      </c>
      <c r="AI79" s="246">
        <v>0</v>
      </c>
      <c r="AJ79" s="246">
        <v>0</v>
      </c>
      <c r="AK79" s="439">
        <f>(AK78-V062A_2030313334[[#This Row],[HIDRAULICO]])+V062A_2030313334[[#This Row],[FAENA EN LTS3]]</f>
        <v>1490</v>
      </c>
    </row>
    <row r="80" spans="1:37" x14ac:dyDescent="0.25">
      <c r="A80" s="431" t="s">
        <v>323</v>
      </c>
      <c r="B80" s="48">
        <v>44154</v>
      </c>
      <c r="C80" s="237">
        <v>0.95416666666666661</v>
      </c>
      <c r="D80" s="418">
        <f>IF(V062A_2030313334[[#This Row],[FECHA]]-B79=1,((V062A_2030313334[[#This Row],[HORA]]-C79)*24)+24,(V062A_2030313334[[#This Row],[HORA]]-C79)*24)</f>
        <v>0.89999999999999947</v>
      </c>
      <c r="E80" s="432" t="s">
        <v>45</v>
      </c>
      <c r="F80" s="378" t="s">
        <v>130</v>
      </c>
      <c r="G80" s="433"/>
      <c r="H80" s="434"/>
      <c r="I80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0" s="436"/>
      <c r="K80" s="437"/>
      <c r="L80" s="245">
        <v>0.23</v>
      </c>
      <c r="M80" s="246">
        <v>0.06</v>
      </c>
      <c r="N80" s="246">
        <v>0.05</v>
      </c>
      <c r="O80" s="246">
        <f>SUM(V062A_2030313334[[#This Row],[MPAL]]+V062A_2030313334[[#This Row],[AUX.]]+V062A_2030313334[[#This Row],[CALDERA]])</f>
        <v>0.34</v>
      </c>
      <c r="P80" s="319">
        <v>-400</v>
      </c>
      <c r="Q80" s="270">
        <f>(Q79-V062A_2030313334[[#This Row],[TOTAL ]])+V062A_2030313334[[#This Row],[FAENA]]</f>
        <v>228.5999999999998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SUM(V062A_2030313334[[#This Row],[MPAL2]:[GI]])</f>
        <v>0</v>
      </c>
      <c r="X80" s="246"/>
      <c r="Y80" s="300">
        <f>(Y79-V062A_2030313334[[#This Row],[TOTAL]])+V062A_2030313334[[#This Row],[FAENA2]]</f>
        <v>74.23</v>
      </c>
      <c r="Z80" s="245">
        <v>6</v>
      </c>
      <c r="AA80" s="246">
        <v>0</v>
      </c>
      <c r="AB80" s="438">
        <f>(AB79-V062A_2030313334[[#This Row],[CYLINDER MP]])+V062A_2030313334[[#This Row],[FAENA EN LTS]]</f>
        <v>4448</v>
      </c>
      <c r="AC80" s="246">
        <v>0</v>
      </c>
      <c r="AD80" s="246">
        <v>0</v>
      </c>
      <c r="AE80" s="438">
        <f>(AE79-V062A_2030313334[[#This Row],[CARTER MP.]])+V062A_2030313334[[#This Row],[FAENA EN LTS2]]</f>
        <v>3500</v>
      </c>
      <c r="AF80" s="246">
        <v>0</v>
      </c>
      <c r="AG80" s="246">
        <v>0</v>
      </c>
      <c r="AH80" s="438">
        <f>(AH79-V062A_2030313334[[#This Row],[MOT AUX]])+V062A_2030313334[[#This Row],[FAENA EN  LTS]]</f>
        <v>2689</v>
      </c>
      <c r="AI80" s="246">
        <v>0</v>
      </c>
      <c r="AJ80" s="246">
        <v>0</v>
      </c>
      <c r="AK80" s="439">
        <f>(AK79-V062A_2030313334[[#This Row],[HIDRAULICO]])+V062A_2030313334[[#This Row],[FAENA EN LTS3]]</f>
        <v>1490</v>
      </c>
    </row>
    <row r="81" spans="1:37" x14ac:dyDescent="0.25">
      <c r="A81" s="431" t="s">
        <v>323</v>
      </c>
      <c r="B81" s="48">
        <v>44155</v>
      </c>
      <c r="C81" s="237">
        <v>0.33333333333333331</v>
      </c>
      <c r="D81" s="418">
        <f>IF(V062A_2030313334[[#This Row],[FECHA]]-B80=1,((V062A_2030313334[[#This Row],[HORA]]-C80)*24)+24,(V062A_2030313334[[#This Row],[HORA]]-C80)*24)</f>
        <v>9.1</v>
      </c>
      <c r="E81" s="432" t="s">
        <v>45</v>
      </c>
      <c r="F81" s="378" t="s">
        <v>130</v>
      </c>
      <c r="G81" s="433"/>
      <c r="H81" s="434"/>
      <c r="I81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1" s="436"/>
      <c r="K81" s="437"/>
      <c r="L81" s="245">
        <v>0</v>
      </c>
      <c r="M81" s="246">
        <v>0.56999999999999995</v>
      </c>
      <c r="N81" s="246">
        <v>0.46</v>
      </c>
      <c r="O81" s="246">
        <f>SUM(V062A_2030313334[[#This Row],[MPAL]]+V062A_2030313334[[#This Row],[AUX.]]+V062A_2030313334[[#This Row],[CALDERA]])</f>
        <v>1.03</v>
      </c>
      <c r="P81" s="319"/>
      <c r="Q81" s="270">
        <f>(Q80-V062A_2030313334[[#This Row],[TOTAL ]])+V062A_2030313334[[#This Row],[FAENA]]</f>
        <v>227.56999999999979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SUM(V062A_2030313334[[#This Row],[MPAL2]:[GI]])</f>
        <v>0</v>
      </c>
      <c r="X81" s="246"/>
      <c r="Y81" s="300">
        <f>(Y80-V062A_2030313334[[#This Row],[TOTAL]])+V062A_2030313334[[#This Row],[FAENA2]]</f>
        <v>74.23</v>
      </c>
      <c r="Z81" s="245">
        <v>0</v>
      </c>
      <c r="AA81" s="246">
        <v>0</v>
      </c>
      <c r="AB81" s="438">
        <f>(AB80-V062A_2030313334[[#This Row],[CYLINDER MP]])+V062A_2030313334[[#This Row],[FAENA EN LTS]]</f>
        <v>4448</v>
      </c>
      <c r="AC81" s="246">
        <v>0</v>
      </c>
      <c r="AD81" s="246">
        <v>0</v>
      </c>
      <c r="AE81" s="438">
        <f>(AE80-V062A_2030313334[[#This Row],[CARTER MP.]])+V062A_2030313334[[#This Row],[FAENA EN LTS2]]</f>
        <v>3500</v>
      </c>
      <c r="AF81" s="246">
        <v>20</v>
      </c>
      <c r="AG81" s="246">
        <v>0</v>
      </c>
      <c r="AH81" s="438">
        <f>(AH80-V062A_2030313334[[#This Row],[MOT AUX]])+V062A_2030313334[[#This Row],[FAENA EN  LTS]]</f>
        <v>2669</v>
      </c>
      <c r="AI81" s="246">
        <v>0</v>
      </c>
      <c r="AJ81" s="246">
        <v>0</v>
      </c>
      <c r="AK81" s="439">
        <f>(AK80-V062A_2030313334[[#This Row],[HIDRAULICO]])+V062A_2030313334[[#This Row],[FAENA EN LTS3]]</f>
        <v>1490</v>
      </c>
    </row>
    <row r="82" spans="1:37" x14ac:dyDescent="0.25">
      <c r="A82" s="431" t="s">
        <v>323</v>
      </c>
      <c r="B82" s="48">
        <v>44156</v>
      </c>
      <c r="C82" s="237">
        <v>0.33333333333333331</v>
      </c>
      <c r="D82" s="418">
        <f>IF(V062A_2030313334[[#This Row],[FECHA]]-B81=1,((V062A_2030313334[[#This Row],[HORA]]-C81)*24)+24,(V062A_2030313334[[#This Row],[HORA]]-C81)*24)</f>
        <v>24</v>
      </c>
      <c r="E82" s="409" t="s">
        <v>45</v>
      </c>
      <c r="F82" s="378" t="s">
        <v>130</v>
      </c>
      <c r="G82" s="433"/>
      <c r="H82" s="434"/>
      <c r="I8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2" s="436"/>
      <c r="K82" s="437"/>
      <c r="L82" s="245">
        <v>0</v>
      </c>
      <c r="M82" s="246">
        <v>1.5</v>
      </c>
      <c r="N82" s="246">
        <v>1.2</v>
      </c>
      <c r="O82" s="246">
        <f>SUM(V062A_2030313334[[#This Row],[MPAL]]+V062A_2030313334[[#This Row],[AUX.]]+V062A_2030313334[[#This Row],[CALDERA]])</f>
        <v>2.7</v>
      </c>
      <c r="P82" s="319"/>
      <c r="Q82" s="270">
        <f>(Q81-V062A_2030313334[[#This Row],[TOTAL ]])+V062A_2030313334[[#This Row],[FAENA]]</f>
        <v>224.86999999999981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SUM(V062A_2030313334[[#This Row],[MPAL2]:[GI]])</f>
        <v>0</v>
      </c>
      <c r="X82" s="246"/>
      <c r="Y82" s="300">
        <f>(Y81-V062A_2030313334[[#This Row],[TOTAL]])+V062A_2030313334[[#This Row],[FAENA2]]</f>
        <v>74.23</v>
      </c>
      <c r="Z82" s="245">
        <v>0</v>
      </c>
      <c r="AA82" s="246">
        <v>0</v>
      </c>
      <c r="AB82" s="438">
        <f>(AB81-V062A_2030313334[[#This Row],[CYLINDER MP]])+V062A_2030313334[[#This Row],[FAENA EN LTS]]</f>
        <v>4448</v>
      </c>
      <c r="AC82" s="246">
        <v>0</v>
      </c>
      <c r="AD82" s="246">
        <v>0</v>
      </c>
      <c r="AE82" s="438">
        <f>(AE81-V062A_2030313334[[#This Row],[CARTER MP.]])+V062A_2030313334[[#This Row],[FAENA EN LTS2]]</f>
        <v>3500</v>
      </c>
      <c r="AF82" s="246">
        <v>20</v>
      </c>
      <c r="AG82" s="246">
        <v>0</v>
      </c>
      <c r="AH82" s="438">
        <f>(AH81-V062A_2030313334[[#This Row],[MOT AUX]])+V062A_2030313334[[#This Row],[FAENA EN  LTS]]</f>
        <v>2649</v>
      </c>
      <c r="AI82" s="246">
        <v>0</v>
      </c>
      <c r="AJ82" s="246">
        <v>0</v>
      </c>
      <c r="AK82" s="439">
        <f>(AK81-V062A_2030313334[[#This Row],[HIDRAULICO]])+V062A_2030313334[[#This Row],[FAENA EN LTS3]]</f>
        <v>1490</v>
      </c>
    </row>
    <row r="83" spans="1:37" x14ac:dyDescent="0.25">
      <c r="A83" s="431" t="s">
        <v>323</v>
      </c>
      <c r="B83" s="48">
        <v>44156</v>
      </c>
      <c r="C83" s="237">
        <v>0.47916666666666669</v>
      </c>
      <c r="D83" s="418">
        <f>IF(V062A_2030313334[[#This Row],[FECHA]]-B82=1,((V062A_2030313334[[#This Row],[HORA]]-C82)*24)+24,(V062A_2030313334[[#This Row],[HORA]]-C82)*24)</f>
        <v>3.5000000000000009</v>
      </c>
      <c r="E83" s="409" t="s">
        <v>45</v>
      </c>
      <c r="F83" s="378" t="s">
        <v>46</v>
      </c>
      <c r="G83" s="433"/>
      <c r="H83" s="434"/>
      <c r="I83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3" s="436"/>
      <c r="K83" s="437"/>
      <c r="L83" s="245">
        <v>0</v>
      </c>
      <c r="M83" s="246">
        <v>0.22</v>
      </c>
      <c r="N83" s="246">
        <v>0.18</v>
      </c>
      <c r="O83" s="246">
        <f>SUM(V062A_2030313334[[#This Row],[MPAL]]+V062A_2030313334[[#This Row],[AUX.]]+V062A_2030313334[[#This Row],[CALDERA]])</f>
        <v>0.4</v>
      </c>
      <c r="P83" s="319"/>
      <c r="Q83" s="270">
        <f>(Q82-V062A_2030313334[[#This Row],[TOTAL ]])+V062A_2030313334[[#This Row],[FAENA]]</f>
        <v>224.4699999999998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SUM(V062A_2030313334[[#This Row],[MPAL2]:[GI]])</f>
        <v>0</v>
      </c>
      <c r="X83" s="246"/>
      <c r="Y83" s="300">
        <f>(Y82-V062A_2030313334[[#This Row],[TOTAL]])+V062A_2030313334[[#This Row],[FAENA2]]</f>
        <v>74.23</v>
      </c>
      <c r="Z83" s="245">
        <v>0</v>
      </c>
      <c r="AA83" s="246">
        <v>0</v>
      </c>
      <c r="AB83" s="438">
        <f>(AB82-V062A_2030313334[[#This Row],[CYLINDER MP]])+V062A_2030313334[[#This Row],[FAENA EN LTS]]</f>
        <v>4448</v>
      </c>
      <c r="AC83" s="246">
        <v>0</v>
      </c>
      <c r="AD83" s="246">
        <v>0</v>
      </c>
      <c r="AE83" s="438">
        <f>(AE82-V062A_2030313334[[#This Row],[CARTER MP.]])+V062A_2030313334[[#This Row],[FAENA EN LTS2]]</f>
        <v>3500</v>
      </c>
      <c r="AF83" s="246">
        <v>0</v>
      </c>
      <c r="AG83" s="246">
        <v>0</v>
      </c>
      <c r="AH83" s="438">
        <f>(AH82-V062A_2030313334[[#This Row],[MOT AUX]])+V062A_2030313334[[#This Row],[FAENA EN  LTS]]</f>
        <v>2649</v>
      </c>
      <c r="AI83" s="246">
        <v>0</v>
      </c>
      <c r="AJ83" s="246">
        <v>0</v>
      </c>
      <c r="AK83" s="439">
        <f>(AK82-V062A_2030313334[[#This Row],[HIDRAULICO]])+V062A_2030313334[[#This Row],[FAENA EN LTS3]]</f>
        <v>1490</v>
      </c>
    </row>
    <row r="84" spans="1:37" x14ac:dyDescent="0.25">
      <c r="A84" s="431" t="s">
        <v>323</v>
      </c>
      <c r="B84" s="48">
        <v>44156</v>
      </c>
      <c r="C84" s="237">
        <v>0.52083333333333337</v>
      </c>
      <c r="D84" s="418">
        <f>IF(V062A_2030313334[[#This Row],[FECHA]]-B83=1,((V062A_2030313334[[#This Row],[HORA]]-C83)*24)+24,(V062A_2030313334[[#This Row],[HORA]]-C83)*24)</f>
        <v>1.0000000000000004</v>
      </c>
      <c r="E84" s="409" t="s">
        <v>47</v>
      </c>
      <c r="F84" s="378" t="s">
        <v>212</v>
      </c>
      <c r="G84" s="433"/>
      <c r="H84" s="434"/>
      <c r="I8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4" s="436"/>
      <c r="K84" s="437"/>
      <c r="L84" s="245">
        <v>0.42</v>
      </c>
      <c r="M84" s="246">
        <v>0.06</v>
      </c>
      <c r="N84" s="246">
        <v>0.05</v>
      </c>
      <c r="O84" s="246">
        <f>SUM(V062A_2030313334[[#This Row],[MPAL]]+V062A_2030313334[[#This Row],[AUX.]]+V062A_2030313334[[#This Row],[CALDERA]])</f>
        <v>0.53</v>
      </c>
      <c r="P84" s="319"/>
      <c r="Q84" s="270">
        <f>(Q83-V062A_2030313334[[#This Row],[TOTAL ]])+V062A_2030313334[[#This Row],[FAENA]]</f>
        <v>223.9399999999998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SUM(V062A_2030313334[[#This Row],[MPAL2]:[GI]])</f>
        <v>0</v>
      </c>
      <c r="X84" s="246"/>
      <c r="Y84" s="300">
        <f>(Y83-V062A_2030313334[[#This Row],[TOTAL]])+V062A_2030313334[[#This Row],[FAENA2]]</f>
        <v>74.23</v>
      </c>
      <c r="Z84" s="245">
        <v>10</v>
      </c>
      <c r="AA84" s="246">
        <v>0</v>
      </c>
      <c r="AB84" s="438">
        <f>(AB83-V062A_2030313334[[#This Row],[CYLINDER MP]])+V062A_2030313334[[#This Row],[FAENA EN LTS]]</f>
        <v>4438</v>
      </c>
      <c r="AC84" s="246">
        <v>0</v>
      </c>
      <c r="AD84" s="246">
        <v>0</v>
      </c>
      <c r="AE84" s="438">
        <f>(AE83-V062A_2030313334[[#This Row],[CARTER MP.]])+V062A_2030313334[[#This Row],[FAENA EN LTS2]]</f>
        <v>3500</v>
      </c>
      <c r="AF84" s="246">
        <v>20</v>
      </c>
      <c r="AG84" s="246">
        <v>0</v>
      </c>
      <c r="AH84" s="438">
        <f>(AH83-V062A_2030313334[[#This Row],[MOT AUX]])+V062A_2030313334[[#This Row],[FAENA EN  LTS]]</f>
        <v>2629</v>
      </c>
      <c r="AI84" s="246">
        <v>0</v>
      </c>
      <c r="AJ84" s="246">
        <v>0</v>
      </c>
      <c r="AK84" s="439">
        <f>(AK83-V062A_2030313334[[#This Row],[HIDRAULICO]])+V062A_2030313334[[#This Row],[FAENA EN LTS3]]</f>
        <v>1490</v>
      </c>
    </row>
    <row r="85" spans="1:37" x14ac:dyDescent="0.25">
      <c r="A85" s="431" t="s">
        <v>323</v>
      </c>
      <c r="B85" s="48">
        <v>44156</v>
      </c>
      <c r="C85" s="237">
        <v>0.625</v>
      </c>
      <c r="D85" s="418">
        <f>IF(V062A_2030313334[[#This Row],[FECHA]]-B84=1,((V062A_2030313334[[#This Row],[HORA]]-C84)*24)+24,(V062A_2030313334[[#This Row],[HORA]]-C84)*24)</f>
        <v>2.4999999999999991</v>
      </c>
      <c r="E85" s="409" t="s">
        <v>55</v>
      </c>
      <c r="F85" s="378" t="s">
        <v>271</v>
      </c>
      <c r="G85" s="433">
        <v>30</v>
      </c>
      <c r="H85" s="434">
        <v>2.5</v>
      </c>
      <c r="I85" s="435">
        <f>IF(ISERROR(V062A_2030313334[[#This Row],[DISTANCIA POR CARTA]]/V062A_2030313334[[#This Row],[TIEMPO DE NAVEGACION]]),0,V062A_2030313334[[#This Row],[DISTANCIA POR CARTA]]/V062A_2030313334[[#This Row],[TIEMPO DE NAVEGACION]])</f>
        <v>12</v>
      </c>
      <c r="J85" s="436">
        <v>5</v>
      </c>
      <c r="K85" s="437">
        <v>97</v>
      </c>
      <c r="L85" s="245">
        <v>2.4</v>
      </c>
      <c r="M85" s="246">
        <v>0.16</v>
      </c>
      <c r="N85" s="246">
        <v>0.13</v>
      </c>
      <c r="O85" s="246">
        <f>SUM(V062A_2030313334[[#This Row],[MPAL]]+V062A_2030313334[[#This Row],[AUX.]]+V062A_2030313334[[#This Row],[CALDERA]])</f>
        <v>2.69</v>
      </c>
      <c r="P85" s="319"/>
      <c r="Q85" s="270">
        <f>(Q84-V062A_2030313334[[#This Row],[TOTAL ]])+V062A_2030313334[[#This Row],[FAENA]]</f>
        <v>221.2499999999998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SUM(V062A_2030313334[[#This Row],[MPAL2]:[GI]])</f>
        <v>0</v>
      </c>
      <c r="X85" s="246"/>
      <c r="Y85" s="300">
        <f>(Y84-V062A_2030313334[[#This Row],[TOTAL]])+V062A_2030313334[[#This Row],[FAENA2]]</f>
        <v>74.23</v>
      </c>
      <c r="Z85" s="245">
        <v>30</v>
      </c>
      <c r="AA85" s="246">
        <v>0</v>
      </c>
      <c r="AB85" s="438">
        <f>(AB84-V062A_2030313334[[#This Row],[CYLINDER MP]])+V062A_2030313334[[#This Row],[FAENA EN LTS]]</f>
        <v>4408</v>
      </c>
      <c r="AC85" s="246">
        <v>0</v>
      </c>
      <c r="AD85" s="246">
        <v>0</v>
      </c>
      <c r="AE85" s="438">
        <f>(AE84-V062A_2030313334[[#This Row],[CARTER MP.]])+V062A_2030313334[[#This Row],[FAENA EN LTS2]]</f>
        <v>3500</v>
      </c>
      <c r="AF85" s="246">
        <v>0</v>
      </c>
      <c r="AG85" s="246">
        <v>0</v>
      </c>
      <c r="AH85" s="438">
        <f>(AH84-V062A_2030313334[[#This Row],[MOT AUX]])+V062A_2030313334[[#This Row],[FAENA EN  LTS]]</f>
        <v>2629</v>
      </c>
      <c r="AI85" s="246">
        <v>0</v>
      </c>
      <c r="AJ85" s="246">
        <v>0</v>
      </c>
      <c r="AK85" s="439">
        <f>(AK84-V062A_2030313334[[#This Row],[HIDRAULICO]])+V062A_2030313334[[#This Row],[FAENA EN LTS3]]</f>
        <v>1490</v>
      </c>
    </row>
    <row r="86" spans="1:37" x14ac:dyDescent="0.25">
      <c r="A86" s="431" t="s">
        <v>323</v>
      </c>
      <c r="B86" s="48">
        <v>44156</v>
      </c>
      <c r="C86" s="237">
        <v>0.77916666666666667</v>
      </c>
      <c r="D86" s="418">
        <f>IF(V062A_2030313334[[#This Row],[FECHA]]-B85=1,((V062A_2030313334[[#This Row],[HORA]]-C85)*24)+24,(V062A_2030313334[[#This Row],[HORA]]-C85)*24)</f>
        <v>3.7</v>
      </c>
      <c r="E86" s="409" t="s">
        <v>47</v>
      </c>
      <c r="F86" s="378" t="s">
        <v>291</v>
      </c>
      <c r="G86" s="433"/>
      <c r="H86" s="434"/>
      <c r="I86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6" s="436"/>
      <c r="K86" s="437"/>
      <c r="L86" s="245">
        <v>1.54</v>
      </c>
      <c r="M86" s="246">
        <v>0.23</v>
      </c>
      <c r="N86" s="246">
        <v>0.19</v>
      </c>
      <c r="O86" s="246">
        <f>SUM(V062A_2030313334[[#This Row],[MPAL]]+V062A_2030313334[[#This Row],[AUX.]]+V062A_2030313334[[#This Row],[CALDERA]])</f>
        <v>1.96</v>
      </c>
      <c r="P86" s="319"/>
      <c r="Q86" s="270">
        <f>(Q85-V062A_2030313334[[#This Row],[TOTAL ]])+V062A_2030313334[[#This Row],[FAENA]]</f>
        <v>219.28999999999979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SUM(V062A_2030313334[[#This Row],[MPAL2]:[GI]])</f>
        <v>0</v>
      </c>
      <c r="X86" s="246"/>
      <c r="Y86" s="300">
        <f>(Y85-V062A_2030313334[[#This Row],[TOTAL]])+V062A_2030313334[[#This Row],[FAENA2]]</f>
        <v>74.23</v>
      </c>
      <c r="Z86" s="245">
        <v>20</v>
      </c>
      <c r="AA86" s="246">
        <v>0</v>
      </c>
      <c r="AB86" s="438">
        <f>(AB85-V062A_2030313334[[#This Row],[CYLINDER MP]])+V062A_2030313334[[#This Row],[FAENA EN LTS]]</f>
        <v>4388</v>
      </c>
      <c r="AC86" s="246">
        <v>0</v>
      </c>
      <c r="AD86" s="246">
        <v>0</v>
      </c>
      <c r="AE86" s="438">
        <f>(AE85-V062A_2030313334[[#This Row],[CARTER MP.]])+V062A_2030313334[[#This Row],[FAENA EN LTS2]]</f>
        <v>3500</v>
      </c>
      <c r="AF86" s="246">
        <v>1000</v>
      </c>
      <c r="AG86" s="246">
        <v>0</v>
      </c>
      <c r="AH86" s="438">
        <f>(AH85-V062A_2030313334[[#This Row],[MOT AUX]])+V062A_2030313334[[#This Row],[FAENA EN  LTS]]</f>
        <v>1629</v>
      </c>
      <c r="AI86" s="246">
        <v>0</v>
      </c>
      <c r="AJ86" s="246">
        <v>0</v>
      </c>
      <c r="AK86" s="439">
        <f>(AK85-V062A_2030313334[[#This Row],[HIDRAULICO]])+V062A_2030313334[[#This Row],[FAENA EN LTS3]]</f>
        <v>1490</v>
      </c>
    </row>
    <row r="87" spans="1:37" x14ac:dyDescent="0.25">
      <c r="A87" s="431" t="s">
        <v>323</v>
      </c>
      <c r="B87" s="48">
        <v>44157</v>
      </c>
      <c r="C87" s="237">
        <v>0.33333333333333331</v>
      </c>
      <c r="D87" s="418">
        <f>IF(V062A_2030313334[[#This Row],[FECHA]]-B86=1,((V062A_2030313334[[#This Row],[HORA]]-C86)*24)+24,(V062A_2030313334[[#This Row],[HORA]]-C86)*24)</f>
        <v>13.299999999999999</v>
      </c>
      <c r="E87" s="409" t="s">
        <v>71</v>
      </c>
      <c r="F87" s="378" t="s">
        <v>343</v>
      </c>
      <c r="G87" s="433"/>
      <c r="H87" s="434"/>
      <c r="I87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7" s="436"/>
      <c r="K87" s="437"/>
      <c r="L87" s="245">
        <v>0</v>
      </c>
      <c r="M87" s="246">
        <v>0.83</v>
      </c>
      <c r="N87" s="246">
        <v>0.67</v>
      </c>
      <c r="O87" s="246">
        <f>SUM(V062A_2030313334[[#This Row],[MPAL]]+V062A_2030313334[[#This Row],[AUX.]]+V062A_2030313334[[#This Row],[CALDERA]])</f>
        <v>1.5</v>
      </c>
      <c r="P87" s="319"/>
      <c r="Q87" s="270">
        <f>(Q86-V062A_2030313334[[#This Row],[TOTAL ]])+V062A_2030313334[[#This Row],[FAENA]]</f>
        <v>217.78999999999979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SUM(V062A_2030313334[[#This Row],[MPAL2]:[GI]])</f>
        <v>0</v>
      </c>
      <c r="X87" s="246"/>
      <c r="Y87" s="300">
        <f>(Y86-V062A_2030313334[[#This Row],[TOTAL]])+V062A_2030313334[[#This Row],[FAENA2]]</f>
        <v>74.23</v>
      </c>
      <c r="Z87" s="245">
        <v>0</v>
      </c>
      <c r="AA87" s="246">
        <v>0</v>
      </c>
      <c r="AB87" s="438">
        <f>(AB86-V062A_2030313334[[#This Row],[CYLINDER MP]])+V062A_2030313334[[#This Row],[FAENA EN LTS]]</f>
        <v>4388</v>
      </c>
      <c r="AC87" s="246">
        <v>0</v>
      </c>
      <c r="AD87" s="246">
        <v>0</v>
      </c>
      <c r="AE87" s="438">
        <f>(AE86-V062A_2030313334[[#This Row],[CARTER MP.]])+V062A_2030313334[[#This Row],[FAENA EN LTS2]]</f>
        <v>3500</v>
      </c>
      <c r="AF87" s="246">
        <v>0</v>
      </c>
      <c r="AG87" s="246">
        <v>0</v>
      </c>
      <c r="AH87" s="438">
        <f>(AH86-V062A_2030313334[[#This Row],[MOT AUX]])+V062A_2030313334[[#This Row],[FAENA EN  LTS]]</f>
        <v>1629</v>
      </c>
      <c r="AI87" s="246">
        <v>0</v>
      </c>
      <c r="AJ87" s="246">
        <v>0</v>
      </c>
      <c r="AK87" s="439">
        <f>(AK86-V062A_2030313334[[#This Row],[HIDRAULICO]])+V062A_2030313334[[#This Row],[FAENA EN LTS3]]</f>
        <v>1490</v>
      </c>
    </row>
    <row r="88" spans="1:37" x14ac:dyDescent="0.25">
      <c r="A88" s="431" t="s">
        <v>323</v>
      </c>
      <c r="B88" s="469">
        <v>44157</v>
      </c>
      <c r="C88" s="237">
        <v>0.90625</v>
      </c>
      <c r="D88" s="418">
        <f>IF(V062A_2030313334[[#This Row],[FECHA]]-B87=1,((V062A_2030313334[[#This Row],[HORA]]-C87)*24)+24,(V062A_2030313334[[#This Row],[HORA]]-C87)*24)</f>
        <v>13.750000000000002</v>
      </c>
      <c r="E88" s="473" t="s">
        <v>71</v>
      </c>
      <c r="F88" s="474" t="s">
        <v>73</v>
      </c>
      <c r="G88" s="475"/>
      <c r="H88" s="476"/>
      <c r="I8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8" s="478"/>
      <c r="K88" s="479"/>
      <c r="L88" s="245">
        <v>0</v>
      </c>
      <c r="M88" s="246">
        <v>0.86</v>
      </c>
      <c r="N88" s="246">
        <v>0.69</v>
      </c>
      <c r="O88" s="246">
        <f>SUM(V062A_2030313334[[#This Row],[MPAL]]+V062A_2030313334[[#This Row],[AUX.]]+V062A_2030313334[[#This Row],[CALDERA]])</f>
        <v>1.5499999999999998</v>
      </c>
      <c r="P88" s="319"/>
      <c r="Q88" s="270">
        <f>(Q87-V062A_2030313334[[#This Row],[TOTAL ]])+V062A_2030313334[[#This Row],[FAENA]]</f>
        <v>216.23999999999978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SUM(V062A_2030313334[[#This Row],[MPAL2]:[GI]])</f>
        <v>0</v>
      </c>
      <c r="X88" s="246"/>
      <c r="Y88" s="300">
        <f>(Y87-V062A_2030313334[[#This Row],[TOTAL]])+V062A_2030313334[[#This Row],[FAENA2]]</f>
        <v>74.23</v>
      </c>
      <c r="Z88" s="245">
        <v>0</v>
      </c>
      <c r="AA88" s="246">
        <v>0</v>
      </c>
      <c r="AB88" s="438">
        <f>(AB87-V062A_2030313334[[#This Row],[CYLINDER MP]])+V062A_2030313334[[#This Row],[FAENA EN LTS]]</f>
        <v>4388</v>
      </c>
      <c r="AC88" s="246">
        <v>0</v>
      </c>
      <c r="AD88" s="246">
        <v>0</v>
      </c>
      <c r="AE88" s="438">
        <f>(AE87-V062A_2030313334[[#This Row],[CARTER MP.]])+V062A_2030313334[[#This Row],[FAENA EN LTS2]]</f>
        <v>3500</v>
      </c>
      <c r="AF88" s="246">
        <v>20</v>
      </c>
      <c r="AG88" s="246">
        <v>0</v>
      </c>
      <c r="AH88" s="438">
        <f>(AH87-V062A_2030313334[[#This Row],[MOT AUX]])+V062A_2030313334[[#This Row],[FAENA EN  LTS]]</f>
        <v>1609</v>
      </c>
      <c r="AI88" s="246">
        <v>0</v>
      </c>
      <c r="AJ88" s="246">
        <v>0</v>
      </c>
      <c r="AK88" s="439">
        <f>(AK87-V062A_2030313334[[#This Row],[HIDRAULICO]])+V062A_2030313334[[#This Row],[FAENA EN LTS3]]</f>
        <v>1490</v>
      </c>
    </row>
    <row r="89" spans="1:37" x14ac:dyDescent="0.25">
      <c r="A89" s="431" t="s">
        <v>323</v>
      </c>
      <c r="B89" s="469">
        <v>44158</v>
      </c>
      <c r="C89" s="237">
        <v>0.10416666666666667</v>
      </c>
      <c r="D89" s="418">
        <f>IF(V062A_2030313334[[#This Row],[FECHA]]-B88=1,((V062A_2030313334[[#This Row],[HORA]]-C88)*24)+24,(V062A_2030313334[[#This Row],[HORA]]-C88)*24)</f>
        <v>4.75</v>
      </c>
      <c r="E89" s="473" t="s">
        <v>49</v>
      </c>
      <c r="F89" s="474" t="s">
        <v>74</v>
      </c>
      <c r="G89" s="475"/>
      <c r="H89" s="476"/>
      <c r="I8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89" s="478"/>
      <c r="K89" s="479"/>
      <c r="L89" s="245">
        <v>0</v>
      </c>
      <c r="M89" s="246">
        <v>0.3</v>
      </c>
      <c r="N89" s="246">
        <v>0.24</v>
      </c>
      <c r="O89" s="246">
        <f>SUM(V062A_2030313334[[#This Row],[MPAL]]+V062A_2030313334[[#This Row],[AUX.]]+V062A_2030313334[[#This Row],[CALDERA]])</f>
        <v>0.54</v>
      </c>
      <c r="P89" s="319"/>
      <c r="Q89" s="270">
        <f>(Q88-V062A_2030313334[[#This Row],[TOTAL ]])+V062A_2030313334[[#This Row],[FAENA]]</f>
        <v>215.69999999999979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SUM(V062A_2030313334[[#This Row],[MPAL2]:[GI]])</f>
        <v>0</v>
      </c>
      <c r="X89" s="246"/>
      <c r="Y89" s="300">
        <f>(Y88-V062A_2030313334[[#This Row],[TOTAL]])+V062A_2030313334[[#This Row],[FAENA2]]</f>
        <v>74.23</v>
      </c>
      <c r="Z89" s="245">
        <v>0</v>
      </c>
      <c r="AA89" s="246">
        <v>0</v>
      </c>
      <c r="AB89" s="438">
        <f>(AB88-V062A_2030313334[[#This Row],[CYLINDER MP]])+V062A_2030313334[[#This Row],[FAENA EN LTS]]</f>
        <v>4388</v>
      </c>
      <c r="AC89" s="246">
        <v>0</v>
      </c>
      <c r="AD89" s="246">
        <v>0</v>
      </c>
      <c r="AE89" s="438">
        <f>(AE88-V062A_2030313334[[#This Row],[CARTER MP.]])+V062A_2030313334[[#This Row],[FAENA EN LTS2]]</f>
        <v>3500</v>
      </c>
      <c r="AF89" s="246">
        <v>0</v>
      </c>
      <c r="AG89" s="246">
        <v>0</v>
      </c>
      <c r="AH89" s="438">
        <f>(AH88-V062A_2030313334[[#This Row],[MOT AUX]])+V062A_2030313334[[#This Row],[FAENA EN  LTS]]</f>
        <v>1609</v>
      </c>
      <c r="AI89" s="246">
        <v>0</v>
      </c>
      <c r="AJ89" s="246">
        <v>0</v>
      </c>
      <c r="AK89" s="439">
        <f>(AK88-V062A_2030313334[[#This Row],[HIDRAULICO]])+V062A_2030313334[[#This Row],[FAENA EN LTS3]]</f>
        <v>1490</v>
      </c>
    </row>
    <row r="90" spans="1:37" x14ac:dyDescent="0.25">
      <c r="A90" s="431" t="s">
        <v>323</v>
      </c>
      <c r="B90" s="469">
        <v>44158</v>
      </c>
      <c r="C90" s="237">
        <v>0.14583333333333334</v>
      </c>
      <c r="D90" s="418">
        <f>IF(V062A_2030313334[[#This Row],[FECHA]]-B89=1,((V062A_2030313334[[#This Row],[HORA]]-C89)*24)+24,(V062A_2030313334[[#This Row],[HORA]]-C89)*24)</f>
        <v>1</v>
      </c>
      <c r="E90" s="473" t="s">
        <v>47</v>
      </c>
      <c r="F90" s="474" t="s">
        <v>272</v>
      </c>
      <c r="G90" s="475"/>
      <c r="H90" s="476"/>
      <c r="I9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0" s="478"/>
      <c r="K90" s="479"/>
      <c r="L90" s="245">
        <v>0.42</v>
      </c>
      <c r="M90" s="246">
        <v>0.06</v>
      </c>
      <c r="N90" s="246">
        <v>0.05</v>
      </c>
      <c r="O90" s="246">
        <f>SUM(V062A_2030313334[[#This Row],[MPAL]]+V062A_2030313334[[#This Row],[AUX.]]+V062A_2030313334[[#This Row],[CALDERA]])</f>
        <v>0.53</v>
      </c>
      <c r="P90" s="319"/>
      <c r="Q90" s="270">
        <f>(Q89-V062A_2030313334[[#This Row],[TOTAL ]])+V062A_2030313334[[#This Row],[FAENA]]</f>
        <v>215.16999999999979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SUM(V062A_2030313334[[#This Row],[MPAL2]:[GI]])</f>
        <v>0</v>
      </c>
      <c r="X90" s="246"/>
      <c r="Y90" s="300">
        <f>(Y89-V062A_2030313334[[#This Row],[TOTAL]])+V062A_2030313334[[#This Row],[FAENA2]]</f>
        <v>74.23</v>
      </c>
      <c r="Z90" s="245">
        <v>20</v>
      </c>
      <c r="AA90" s="246">
        <v>0</v>
      </c>
      <c r="AB90" s="438">
        <f>(AB89-V062A_2030313334[[#This Row],[CYLINDER MP]])+V062A_2030313334[[#This Row],[FAENA EN LTS]]</f>
        <v>4368</v>
      </c>
      <c r="AC90" s="246">
        <v>0</v>
      </c>
      <c r="AD90" s="246">
        <v>0</v>
      </c>
      <c r="AE90" s="438">
        <f>(AE89-V062A_2030313334[[#This Row],[CARTER MP.]])+V062A_2030313334[[#This Row],[FAENA EN LTS2]]</f>
        <v>3500</v>
      </c>
      <c r="AF90" s="246">
        <v>0</v>
      </c>
      <c r="AG90" s="246">
        <v>0</v>
      </c>
      <c r="AH90" s="438">
        <f>(AH89-V062A_2030313334[[#This Row],[MOT AUX]])+V062A_2030313334[[#This Row],[FAENA EN  LTS]]</f>
        <v>1609</v>
      </c>
      <c r="AI90" s="246">
        <v>0</v>
      </c>
      <c r="AJ90" s="246">
        <v>0</v>
      </c>
      <c r="AK90" s="439">
        <f>(AK89-V062A_2030313334[[#This Row],[HIDRAULICO]])+V062A_2030313334[[#This Row],[FAENA EN LTS3]]</f>
        <v>1490</v>
      </c>
    </row>
    <row r="91" spans="1:37" x14ac:dyDescent="0.25">
      <c r="A91" s="431" t="s">
        <v>323</v>
      </c>
      <c r="B91" s="469">
        <v>44158</v>
      </c>
      <c r="C91" s="237">
        <v>0.23750000000000002</v>
      </c>
      <c r="D91" s="418">
        <f>IF(V062A_2030313334[[#This Row],[FECHA]]-B90=1,((V062A_2030313334[[#This Row],[HORA]]-C90)*24)+24,(V062A_2030313334[[#This Row],[HORA]]-C90)*24)</f>
        <v>2.2000000000000002</v>
      </c>
      <c r="E91" s="473" t="s">
        <v>55</v>
      </c>
      <c r="F91" s="474" t="s">
        <v>62</v>
      </c>
      <c r="G91" s="475">
        <v>30</v>
      </c>
      <c r="H91" s="476">
        <v>2.2000000000000002</v>
      </c>
      <c r="I91" s="477">
        <f>IF(ISERROR(V062A_2030313334[[#This Row],[DISTANCIA POR CARTA]]/V062A_2030313334[[#This Row],[TIEMPO DE NAVEGACION]]),0,V062A_2030313334[[#This Row],[DISTANCIA POR CARTA]]/V062A_2030313334[[#This Row],[TIEMPO DE NAVEGACION]])</f>
        <v>13.636363636363635</v>
      </c>
      <c r="J91" s="478">
        <v>4</v>
      </c>
      <c r="K91" s="479">
        <v>97</v>
      </c>
      <c r="L91" s="245">
        <v>2.11</v>
      </c>
      <c r="M91" s="246">
        <v>0.14000000000000001</v>
      </c>
      <c r="N91" s="246">
        <v>0.11</v>
      </c>
      <c r="O91" s="246">
        <f>SUM(V062A_2030313334[[#This Row],[MPAL]]+V062A_2030313334[[#This Row],[AUX.]]+V062A_2030313334[[#This Row],[CALDERA]])</f>
        <v>2.36</v>
      </c>
      <c r="P91" s="319"/>
      <c r="Q91" s="270">
        <f>(Q90-V062A_2030313334[[#This Row],[TOTAL ]])+V062A_2030313334[[#This Row],[FAENA]]</f>
        <v>212.80999999999977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SUM(V062A_2030313334[[#This Row],[MPAL2]:[GI]])</f>
        <v>0</v>
      </c>
      <c r="X91" s="246"/>
      <c r="Y91" s="300">
        <f>(Y90-V062A_2030313334[[#This Row],[TOTAL]])+V062A_2030313334[[#This Row],[FAENA2]]</f>
        <v>74.23</v>
      </c>
      <c r="Z91" s="245">
        <v>25</v>
      </c>
      <c r="AA91" s="246">
        <v>0</v>
      </c>
      <c r="AB91" s="438">
        <f>(AB90-V062A_2030313334[[#This Row],[CYLINDER MP]])+V062A_2030313334[[#This Row],[FAENA EN LTS]]</f>
        <v>4343</v>
      </c>
      <c r="AC91" s="246">
        <v>0</v>
      </c>
      <c r="AD91" s="246">
        <v>0</v>
      </c>
      <c r="AE91" s="438">
        <f>(AE90-V062A_2030313334[[#This Row],[CARTER MP.]])+V062A_2030313334[[#This Row],[FAENA EN LTS2]]</f>
        <v>3500</v>
      </c>
      <c r="AF91" s="246">
        <v>0</v>
      </c>
      <c r="AG91" s="246">
        <v>0</v>
      </c>
      <c r="AH91" s="438">
        <f>(AH90-V062A_2030313334[[#This Row],[MOT AUX]])+V062A_2030313334[[#This Row],[FAENA EN  LTS]]</f>
        <v>1609</v>
      </c>
      <c r="AI91" s="246">
        <v>0</v>
      </c>
      <c r="AJ91" s="246">
        <v>0</v>
      </c>
      <c r="AK91" s="439">
        <f>(AK90-V062A_2030313334[[#This Row],[HIDRAULICO]])+V062A_2030313334[[#This Row],[FAENA EN LTS3]]</f>
        <v>1490</v>
      </c>
    </row>
    <row r="92" spans="1:37" x14ac:dyDescent="0.25">
      <c r="A92" s="431" t="s">
        <v>323</v>
      </c>
      <c r="B92" s="469">
        <v>44158</v>
      </c>
      <c r="C92" s="237">
        <v>0.30416666666666664</v>
      </c>
      <c r="D92" s="418">
        <f>IF(V062A_2030313334[[#This Row],[FECHA]]-B91=1,((V062A_2030313334[[#This Row],[HORA]]-C91)*24)+24,(V062A_2030313334[[#This Row],[HORA]]-C91)*24)</f>
        <v>1.599999999999999</v>
      </c>
      <c r="E92" s="473" t="s">
        <v>47</v>
      </c>
      <c r="F92" s="474" t="s">
        <v>83</v>
      </c>
      <c r="G92" s="475"/>
      <c r="H92" s="476"/>
      <c r="I92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2" s="478"/>
      <c r="K92" s="479"/>
      <c r="L92" s="245">
        <v>0.67</v>
      </c>
      <c r="M92" s="246">
        <v>0.1</v>
      </c>
      <c r="N92" s="246">
        <v>0.08</v>
      </c>
      <c r="O92" s="246">
        <f>SUM(V062A_2030313334[[#This Row],[MPAL]]+V062A_2030313334[[#This Row],[AUX.]]+V062A_2030313334[[#This Row],[CALDERA]])</f>
        <v>0.85</v>
      </c>
      <c r="P92" s="319"/>
      <c r="Q92" s="270">
        <f>(Q91-V062A_2030313334[[#This Row],[TOTAL ]])+V062A_2030313334[[#This Row],[FAENA]]</f>
        <v>211.95999999999978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SUM(V062A_2030313334[[#This Row],[MPAL2]:[GI]])</f>
        <v>0</v>
      </c>
      <c r="X92" s="246"/>
      <c r="Y92" s="300">
        <f>(Y91-V062A_2030313334[[#This Row],[TOTAL]])+V062A_2030313334[[#This Row],[FAENA2]]</f>
        <v>74.23</v>
      </c>
      <c r="Z92" s="245">
        <v>20</v>
      </c>
      <c r="AA92" s="246">
        <v>0</v>
      </c>
      <c r="AB92" s="438">
        <f>(AB91-V062A_2030313334[[#This Row],[CYLINDER MP]])+V062A_2030313334[[#This Row],[FAENA EN LTS]]</f>
        <v>4323</v>
      </c>
      <c r="AC92" s="246">
        <v>0</v>
      </c>
      <c r="AD92" s="246">
        <v>0</v>
      </c>
      <c r="AE92" s="438">
        <f>(AE91-V062A_2030313334[[#This Row],[CARTER MP.]])+V062A_2030313334[[#This Row],[FAENA EN LTS2]]</f>
        <v>3500</v>
      </c>
      <c r="AF92" s="246">
        <v>0</v>
      </c>
      <c r="AG92" s="246">
        <v>0</v>
      </c>
      <c r="AH92" s="438">
        <f>(AH91-V062A_2030313334[[#This Row],[MOT AUX]])+V062A_2030313334[[#This Row],[FAENA EN  LTS]]</f>
        <v>1609</v>
      </c>
      <c r="AI92" s="246">
        <v>0</v>
      </c>
      <c r="AJ92" s="246">
        <v>0</v>
      </c>
      <c r="AK92" s="439">
        <f>(AK91-V062A_2030313334[[#This Row],[HIDRAULICO]])+V062A_2030313334[[#This Row],[FAENA EN LTS3]]</f>
        <v>1490</v>
      </c>
    </row>
    <row r="93" spans="1:37" x14ac:dyDescent="0.25">
      <c r="A93" s="431" t="s">
        <v>323</v>
      </c>
      <c r="B93" s="469">
        <v>44158</v>
      </c>
      <c r="C93" s="237">
        <v>0.33333333333333331</v>
      </c>
      <c r="D93" s="418">
        <f>IF(V062A_2030313334[[#This Row],[FECHA]]-B92=1,((V062A_2030313334[[#This Row],[HORA]]-C92)*24)+24,(V062A_2030313334[[#This Row],[HORA]]-C92)*24)</f>
        <v>0.70000000000000018</v>
      </c>
      <c r="E93" s="473" t="s">
        <v>45</v>
      </c>
      <c r="F93" s="474" t="s">
        <v>208</v>
      </c>
      <c r="G93" s="475"/>
      <c r="H93" s="476"/>
      <c r="I9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3" s="478"/>
      <c r="K93" s="479"/>
      <c r="L93" s="245">
        <v>0</v>
      </c>
      <c r="M93" s="246">
        <v>0.04</v>
      </c>
      <c r="N93" s="246">
        <v>0.04</v>
      </c>
      <c r="O93" s="246">
        <f>SUM(V062A_2030313334[[#This Row],[MPAL]]+V062A_2030313334[[#This Row],[AUX.]]+V062A_2030313334[[#This Row],[CALDERA]])</f>
        <v>0.08</v>
      </c>
      <c r="P93" s="319"/>
      <c r="Q93" s="270">
        <f>(Q92-V062A_2030313334[[#This Row],[TOTAL ]])+V062A_2030313334[[#This Row],[FAENA]]</f>
        <v>211.87999999999977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SUM(V062A_2030313334[[#This Row],[MPAL2]:[GI]])</f>
        <v>0</v>
      </c>
      <c r="X93" s="246"/>
      <c r="Y93" s="300">
        <f>(Y92-V062A_2030313334[[#This Row],[TOTAL]])+V062A_2030313334[[#This Row],[FAENA2]]</f>
        <v>74.23</v>
      </c>
      <c r="Z93" s="245">
        <v>0</v>
      </c>
      <c r="AA93" s="246">
        <v>0</v>
      </c>
      <c r="AB93" s="438">
        <f>(AB92-V062A_2030313334[[#This Row],[CYLINDER MP]])+V062A_2030313334[[#This Row],[FAENA EN LTS]]</f>
        <v>4323</v>
      </c>
      <c r="AC93" s="246">
        <v>0</v>
      </c>
      <c r="AD93" s="246">
        <v>0</v>
      </c>
      <c r="AE93" s="438">
        <f>(AE92-V062A_2030313334[[#This Row],[CARTER MP.]])+V062A_2030313334[[#This Row],[FAENA EN LTS2]]</f>
        <v>3500</v>
      </c>
      <c r="AF93" s="246">
        <v>0</v>
      </c>
      <c r="AG93" s="246">
        <v>0</v>
      </c>
      <c r="AH93" s="438">
        <f>(AH92-V062A_2030313334[[#This Row],[MOT AUX]])+V062A_2030313334[[#This Row],[FAENA EN  LTS]]</f>
        <v>1609</v>
      </c>
      <c r="AI93" s="246">
        <v>0</v>
      </c>
      <c r="AJ93" s="246">
        <v>0</v>
      </c>
      <c r="AK93" s="439">
        <f>(AK92-V062A_2030313334[[#This Row],[HIDRAULICO]])+V062A_2030313334[[#This Row],[FAENA EN LTS3]]</f>
        <v>1490</v>
      </c>
    </row>
    <row r="94" spans="1:37" x14ac:dyDescent="0.25">
      <c r="A94" s="431" t="s">
        <v>323</v>
      </c>
      <c r="B94" s="469">
        <v>44159</v>
      </c>
      <c r="C94" s="237">
        <v>0.33333333333333331</v>
      </c>
      <c r="D94" s="418">
        <f>IF(V062A_2030313334[[#This Row],[FECHA]]-B93=1,((V062A_2030313334[[#This Row],[HORA]]-C93)*24)+24,(V062A_2030313334[[#This Row],[HORA]]-C93)*24)</f>
        <v>24</v>
      </c>
      <c r="E94" s="432" t="s">
        <v>45</v>
      </c>
      <c r="F94" s="474" t="s">
        <v>208</v>
      </c>
      <c r="G94" s="433"/>
      <c r="H94" s="434"/>
      <c r="I94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4" s="436"/>
      <c r="K94" s="437"/>
      <c r="L94" s="245">
        <v>0</v>
      </c>
      <c r="M94" s="246">
        <v>1.5</v>
      </c>
      <c r="N94" s="246">
        <v>1.2</v>
      </c>
      <c r="O94" s="246">
        <f>SUM(V062A_2030313334[[#This Row],[MPAL]]+V062A_2030313334[[#This Row],[AUX.]]+V062A_2030313334[[#This Row],[CALDERA]])</f>
        <v>2.7</v>
      </c>
      <c r="P94" s="319"/>
      <c r="Q94" s="270">
        <f>(Q93-V062A_2030313334[[#This Row],[TOTAL ]])+V062A_2030313334[[#This Row],[FAENA]]</f>
        <v>209.17999999999978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SUM(V062A_2030313334[[#This Row],[MPAL2]:[GI]])</f>
        <v>0</v>
      </c>
      <c r="X94" s="246"/>
      <c r="Y94" s="300">
        <f>(Y93-V062A_2030313334[[#This Row],[TOTAL]])+V062A_2030313334[[#This Row],[FAENA2]]</f>
        <v>74.23</v>
      </c>
      <c r="Z94" s="245">
        <v>0</v>
      </c>
      <c r="AA94" s="246">
        <v>0</v>
      </c>
      <c r="AB94" s="438">
        <f>(AB93-V062A_2030313334[[#This Row],[CYLINDER MP]])+V062A_2030313334[[#This Row],[FAENA EN LTS]]</f>
        <v>4323</v>
      </c>
      <c r="AC94" s="246">
        <v>0</v>
      </c>
      <c r="AD94" s="246">
        <v>0</v>
      </c>
      <c r="AE94" s="438">
        <f>(AE93-V062A_2030313334[[#This Row],[CARTER MP.]])+V062A_2030313334[[#This Row],[FAENA EN LTS2]]</f>
        <v>3500</v>
      </c>
      <c r="AF94" s="246">
        <v>20</v>
      </c>
      <c r="AG94" s="246">
        <v>0</v>
      </c>
      <c r="AH94" s="438">
        <f>(AH93-V062A_2030313334[[#This Row],[MOT AUX]])+V062A_2030313334[[#This Row],[FAENA EN  LTS]]</f>
        <v>1589</v>
      </c>
      <c r="AI94" s="246">
        <v>0</v>
      </c>
      <c r="AJ94" s="246">
        <v>0</v>
      </c>
      <c r="AK94" s="439">
        <f>(AK93-V062A_2030313334[[#This Row],[HIDRAULICO]])+V062A_2030313334[[#This Row],[FAENA EN LTS3]]</f>
        <v>1490</v>
      </c>
    </row>
    <row r="95" spans="1:37" x14ac:dyDescent="0.25">
      <c r="A95" s="431" t="s">
        <v>323</v>
      </c>
      <c r="B95" s="469">
        <v>44160</v>
      </c>
      <c r="C95" s="237">
        <v>0.33333333333333331</v>
      </c>
      <c r="D95" s="418">
        <f>IF(V062A_2030313334[[#This Row],[FECHA]]-B94=1,((V062A_2030313334[[#This Row],[HORA]]-C94)*24)+24,(V062A_2030313334[[#This Row],[HORA]]-C94)*24)</f>
        <v>24</v>
      </c>
      <c r="E95" s="473" t="s">
        <v>45</v>
      </c>
      <c r="F95" s="474" t="s">
        <v>208</v>
      </c>
      <c r="G95" s="475"/>
      <c r="H95" s="476"/>
      <c r="I9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5" s="478"/>
      <c r="K95" s="479"/>
      <c r="L95" s="245">
        <v>0</v>
      </c>
      <c r="M95" s="246">
        <v>1.5</v>
      </c>
      <c r="N95" s="246">
        <v>1.2</v>
      </c>
      <c r="O95" s="246">
        <f>SUM(V062A_2030313334[[#This Row],[MPAL]]+V062A_2030313334[[#This Row],[AUX.]]+V062A_2030313334[[#This Row],[CALDERA]])</f>
        <v>2.7</v>
      </c>
      <c r="P95" s="319"/>
      <c r="Q95" s="270">
        <f>(Q94-V062A_2030313334[[#This Row],[TOTAL ]])+V062A_2030313334[[#This Row],[FAENA]]</f>
        <v>206.47999999999979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SUM(V062A_2030313334[[#This Row],[MPAL2]:[GI]])</f>
        <v>0</v>
      </c>
      <c r="X95" s="246"/>
      <c r="Y95" s="300">
        <f>(Y94-V062A_2030313334[[#This Row],[TOTAL]])+V062A_2030313334[[#This Row],[FAENA2]]</f>
        <v>74.23</v>
      </c>
      <c r="Z95" s="245">
        <v>0</v>
      </c>
      <c r="AA95" s="246">
        <v>0</v>
      </c>
      <c r="AB95" s="438">
        <f>(AB94-V062A_2030313334[[#This Row],[CYLINDER MP]])+V062A_2030313334[[#This Row],[FAENA EN LTS]]</f>
        <v>4323</v>
      </c>
      <c r="AC95" s="246">
        <v>0</v>
      </c>
      <c r="AD95" s="246">
        <v>0</v>
      </c>
      <c r="AE95" s="438">
        <f>(AE94-V062A_2030313334[[#This Row],[CARTER MP.]])+V062A_2030313334[[#This Row],[FAENA EN LTS2]]</f>
        <v>3500</v>
      </c>
      <c r="AF95" s="246">
        <v>20</v>
      </c>
      <c r="AG95" s="246">
        <v>0</v>
      </c>
      <c r="AH95" s="438">
        <f>(AH94-V062A_2030313334[[#This Row],[MOT AUX]])+V062A_2030313334[[#This Row],[FAENA EN  LTS]]</f>
        <v>1569</v>
      </c>
      <c r="AI95" s="246">
        <v>0</v>
      </c>
      <c r="AJ95" s="246">
        <v>0</v>
      </c>
      <c r="AK95" s="439">
        <f>(AK94-V062A_2030313334[[#This Row],[HIDRAULICO]])+V062A_2030313334[[#This Row],[FAENA EN LTS3]]</f>
        <v>1490</v>
      </c>
    </row>
    <row r="96" spans="1:37" x14ac:dyDescent="0.25">
      <c r="A96" s="431" t="s">
        <v>323</v>
      </c>
      <c r="B96" s="469">
        <v>44160</v>
      </c>
      <c r="C96" s="237">
        <v>0.73333333333333339</v>
      </c>
      <c r="D96" s="418">
        <f>IF(V062A_2030313334[[#This Row],[FECHA]]-B95=1,((V062A_2030313334[[#This Row],[HORA]]-C95)*24)+24,(V062A_2030313334[[#This Row],[HORA]]-C95)*24)</f>
        <v>9.6000000000000014</v>
      </c>
      <c r="E96" s="473" t="s">
        <v>45</v>
      </c>
      <c r="F96" s="474" t="s">
        <v>46</v>
      </c>
      <c r="G96" s="475"/>
      <c r="H96" s="476"/>
      <c r="I96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6" s="478"/>
      <c r="K96" s="479"/>
      <c r="L96" s="245">
        <v>0</v>
      </c>
      <c r="M96" s="246">
        <v>0.6</v>
      </c>
      <c r="N96" s="246">
        <v>0.48</v>
      </c>
      <c r="O96" s="246">
        <f>SUM(V062A_2030313334[[#This Row],[MPAL]]+V062A_2030313334[[#This Row],[AUX.]]+V062A_2030313334[[#This Row],[CALDERA]])</f>
        <v>1.08</v>
      </c>
      <c r="P96" s="319"/>
      <c r="Q96" s="270">
        <f>(Q95-V062A_2030313334[[#This Row],[TOTAL ]])+V062A_2030313334[[#This Row],[FAENA]]</f>
        <v>205.39999999999978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SUM(V062A_2030313334[[#This Row],[MPAL2]:[GI]])</f>
        <v>0</v>
      </c>
      <c r="X96" s="246"/>
      <c r="Y96" s="300">
        <f>(Y95-V062A_2030313334[[#This Row],[TOTAL]])+V062A_2030313334[[#This Row],[FAENA2]]</f>
        <v>74.23</v>
      </c>
      <c r="Z96" s="245">
        <v>0</v>
      </c>
      <c r="AA96" s="246">
        <v>0</v>
      </c>
      <c r="AB96" s="438">
        <f>(AB95-V062A_2030313334[[#This Row],[CYLINDER MP]])+V062A_2030313334[[#This Row],[FAENA EN LTS]]</f>
        <v>4323</v>
      </c>
      <c r="AC96" s="246">
        <v>0</v>
      </c>
      <c r="AD96" s="246">
        <v>0</v>
      </c>
      <c r="AE96" s="438">
        <f>(AE95-V062A_2030313334[[#This Row],[CARTER MP.]])+V062A_2030313334[[#This Row],[FAENA EN LTS2]]</f>
        <v>3500</v>
      </c>
      <c r="AF96" s="246">
        <v>0</v>
      </c>
      <c r="AG96" s="246">
        <v>0</v>
      </c>
      <c r="AH96" s="438">
        <f>(AH95-V062A_2030313334[[#This Row],[MOT AUX]])+V062A_2030313334[[#This Row],[FAENA EN  LTS]]</f>
        <v>1569</v>
      </c>
      <c r="AI96" s="246">
        <v>0</v>
      </c>
      <c r="AJ96" s="246">
        <v>0</v>
      </c>
      <c r="AK96" s="439">
        <f>(AK95-V062A_2030313334[[#This Row],[HIDRAULICO]])+V062A_2030313334[[#This Row],[FAENA EN LTS3]]</f>
        <v>1490</v>
      </c>
    </row>
    <row r="97" spans="1:37" x14ac:dyDescent="0.25">
      <c r="A97" s="431" t="s">
        <v>323</v>
      </c>
      <c r="B97" s="469">
        <v>44160</v>
      </c>
      <c r="C97" s="237">
        <v>0.875</v>
      </c>
      <c r="D97" s="418">
        <f>IF(V062A_2030313334[[#This Row],[FECHA]]-B96=1,((V062A_2030313334[[#This Row],[HORA]]-C96)*24)+24,(V062A_2030313334[[#This Row],[HORA]]-C96)*24)</f>
        <v>3.3999999999999986</v>
      </c>
      <c r="E97" s="473" t="s">
        <v>47</v>
      </c>
      <c r="F97" s="474" t="s">
        <v>266</v>
      </c>
      <c r="G97" s="475"/>
      <c r="H97" s="476"/>
      <c r="I9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7" s="478"/>
      <c r="K97" s="479"/>
      <c r="L97" s="245">
        <v>1.42</v>
      </c>
      <c r="M97" s="246">
        <v>0.21</v>
      </c>
      <c r="N97" s="246">
        <v>0.17</v>
      </c>
      <c r="O97" s="246">
        <f>SUM(V062A_2030313334[[#This Row],[MPAL]]+V062A_2030313334[[#This Row],[AUX.]]+V062A_2030313334[[#This Row],[CALDERA]])</f>
        <v>1.7999999999999998</v>
      </c>
      <c r="P97" s="319"/>
      <c r="Q97" s="270">
        <f>(Q96-V062A_2030313334[[#This Row],[TOTAL ]])+V062A_2030313334[[#This Row],[FAENA]]</f>
        <v>203.59999999999977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SUM(V062A_2030313334[[#This Row],[MPAL2]:[GI]])</f>
        <v>0</v>
      </c>
      <c r="X97" s="246"/>
      <c r="Y97" s="300">
        <f>($X$4-V062A_2030313334[[#This Row],[TOTAL]])+V062A_2030313334[[#This Row],[FAENA2]]</f>
        <v>0</v>
      </c>
      <c r="Z97" s="245">
        <v>40</v>
      </c>
      <c r="AA97" s="246">
        <v>0</v>
      </c>
      <c r="AB97" s="438">
        <f>(AB96-V062A_2030313334[[#This Row],[CYLINDER MP]])+V062A_2030313334[[#This Row],[FAENA EN LTS]]</f>
        <v>4283</v>
      </c>
      <c r="AC97" s="246">
        <v>0</v>
      </c>
      <c r="AD97" s="246">
        <v>0</v>
      </c>
      <c r="AE97" s="438">
        <f>(AE96-V062A_2030313334[[#This Row],[CARTER MP.]])+V062A_2030313334[[#This Row],[FAENA EN LTS2]]</f>
        <v>3500</v>
      </c>
      <c r="AF97" s="246">
        <v>20</v>
      </c>
      <c r="AG97" s="246">
        <v>0</v>
      </c>
      <c r="AH97" s="438">
        <f>(AH96-V062A_2030313334[[#This Row],[MOT AUX]])+V062A_2030313334[[#This Row],[FAENA EN  LTS]]</f>
        <v>1549</v>
      </c>
      <c r="AI97" s="246">
        <v>0</v>
      </c>
      <c r="AJ97" s="246">
        <v>0</v>
      </c>
      <c r="AK97" s="439">
        <f>(AK96-V062A_2030313334[[#This Row],[HIDRAULICO]])+V062A_2030313334[[#This Row],[FAENA EN LTS3]]</f>
        <v>1490</v>
      </c>
    </row>
    <row r="98" spans="1:37" x14ac:dyDescent="0.25">
      <c r="A98" s="431" t="s">
        <v>323</v>
      </c>
      <c r="B98" s="469">
        <v>44160</v>
      </c>
      <c r="C98" s="237">
        <v>1</v>
      </c>
      <c r="D98" s="418">
        <f>IF(V062A_2030313334[[#This Row],[FECHA]]-B97=1,((V062A_2030313334[[#This Row],[HORA]]-C97)*24)+24,(V062A_2030313334[[#This Row],[HORA]]-C97)*24)</f>
        <v>3</v>
      </c>
      <c r="E98" s="473" t="s">
        <v>49</v>
      </c>
      <c r="F98" s="474" t="s">
        <v>344</v>
      </c>
      <c r="G98" s="475"/>
      <c r="H98" s="476"/>
      <c r="I9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8" s="478"/>
      <c r="K98" s="479"/>
      <c r="L98" s="245">
        <v>0</v>
      </c>
      <c r="M98" s="246">
        <v>0.19</v>
      </c>
      <c r="N98" s="246">
        <v>0.15</v>
      </c>
      <c r="O98" s="246">
        <f>SUM(V062A_2030313334[[#This Row],[MPAL]]+V062A_2030313334[[#This Row],[AUX.]]+V062A_2030313334[[#This Row],[CALDERA]])</f>
        <v>0.33999999999999997</v>
      </c>
      <c r="P98" s="319"/>
      <c r="Q98" s="270">
        <f>(Q97-V062A_2030313334[[#This Row],[TOTAL ]])+V062A_2030313334[[#This Row],[FAENA]]</f>
        <v>203.25999999999976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SUM(V062A_2030313334[[#This Row],[MPAL2]:[GI]])</f>
        <v>0</v>
      </c>
      <c r="X98" s="246"/>
      <c r="Y98" s="300">
        <f>($X$4-V062A_2030313334[[#This Row],[TOTAL]])+V062A_2030313334[[#This Row],[FAENA2]]</f>
        <v>0</v>
      </c>
      <c r="Z98" s="245">
        <v>0</v>
      </c>
      <c r="AA98" s="246">
        <v>0</v>
      </c>
      <c r="AB98" s="438">
        <f>(AB97-V062A_2030313334[[#This Row],[CYLINDER MP]])+V062A_2030313334[[#This Row],[FAENA EN LTS]]</f>
        <v>4283</v>
      </c>
      <c r="AC98" s="246">
        <v>0</v>
      </c>
      <c r="AD98" s="246">
        <v>0</v>
      </c>
      <c r="AE98" s="438">
        <f>(AE97-V062A_2030313334[[#This Row],[CARTER MP.]])+V062A_2030313334[[#This Row],[FAENA EN LTS2]]</f>
        <v>3500</v>
      </c>
      <c r="AF98" s="246">
        <v>0</v>
      </c>
      <c r="AG98" s="246">
        <v>0</v>
      </c>
      <c r="AH98" s="438">
        <f>(AH97-V062A_2030313334[[#This Row],[MOT AUX]])+V062A_2030313334[[#This Row],[FAENA EN  LTS]]</f>
        <v>1549</v>
      </c>
      <c r="AI98" s="246">
        <v>0</v>
      </c>
      <c r="AJ98" s="246">
        <v>0</v>
      </c>
      <c r="AK98" s="439">
        <f>(AK97-V062A_2030313334[[#This Row],[HIDRAULICO]])+V062A_2030313334[[#This Row],[FAENA EN LTS3]]</f>
        <v>1490</v>
      </c>
    </row>
    <row r="99" spans="1:37" x14ac:dyDescent="0.25">
      <c r="A99" s="431" t="s">
        <v>323</v>
      </c>
      <c r="B99" s="469">
        <v>44161</v>
      </c>
      <c r="C99" s="237">
        <v>4.5833333333333337E-2</v>
      </c>
      <c r="D99" s="418">
        <f>IF(V062A_2030313334[[#This Row],[FECHA]]-B98=1,((V062A_2030313334[[#This Row],[HORA]]-C98)*24)+24,(V062A_2030313334[[#This Row],[HORA]]-C98)*24)</f>
        <v>1.1000000000000014</v>
      </c>
      <c r="E99" s="473" t="s">
        <v>49</v>
      </c>
      <c r="F99" s="474" t="s">
        <v>50</v>
      </c>
      <c r="G99" s="475"/>
      <c r="H99" s="476"/>
      <c r="I9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99" s="478"/>
      <c r="K99" s="479"/>
      <c r="L99" s="245">
        <v>0</v>
      </c>
      <c r="M99" s="246">
        <v>7.0000000000000007E-2</v>
      </c>
      <c r="N99" s="246">
        <v>0.06</v>
      </c>
      <c r="O99" s="246">
        <f>SUM(V062A_2030313334[[#This Row],[MPAL]]+V062A_2030313334[[#This Row],[AUX.]]+V062A_2030313334[[#This Row],[CALDERA]])</f>
        <v>0.13</v>
      </c>
      <c r="P99" s="319"/>
      <c r="Q99" s="270">
        <f>(Q98-V062A_2030313334[[#This Row],[TOTAL ]])+V062A_2030313334[[#This Row],[FAENA]]</f>
        <v>203.12999999999977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SUM(V062A_2030313334[[#This Row],[MPAL2]:[GI]])</f>
        <v>0</v>
      </c>
      <c r="X99" s="246"/>
      <c r="Y99" s="300">
        <f>($X$4-V062A_2030313334[[#This Row],[TOTAL]])+V062A_2030313334[[#This Row],[FAENA2]]</f>
        <v>0</v>
      </c>
      <c r="Z99" s="245">
        <v>0</v>
      </c>
      <c r="AA99" s="246">
        <v>0</v>
      </c>
      <c r="AB99" s="438">
        <f>(AB98-V062A_2030313334[[#This Row],[CYLINDER MP]])+V062A_2030313334[[#This Row],[FAENA EN LTS]]</f>
        <v>4283</v>
      </c>
      <c r="AC99" s="246">
        <v>0</v>
      </c>
      <c r="AD99" s="246">
        <v>0</v>
      </c>
      <c r="AE99" s="438">
        <f>(AE98-V062A_2030313334[[#This Row],[CARTER MP.]])+V062A_2030313334[[#This Row],[FAENA EN LTS2]]</f>
        <v>3500</v>
      </c>
      <c r="AF99" s="246">
        <v>0</v>
      </c>
      <c r="AG99" s="246">
        <v>0</v>
      </c>
      <c r="AH99" s="438">
        <f>(AH98-V062A_2030313334[[#This Row],[MOT AUX]])+V062A_2030313334[[#This Row],[FAENA EN  LTS]]</f>
        <v>1549</v>
      </c>
      <c r="AI99" s="246">
        <v>0</v>
      </c>
      <c r="AJ99" s="246">
        <v>0</v>
      </c>
      <c r="AK99" s="439">
        <f>(AK98-V062A_2030313334[[#This Row],[HIDRAULICO]])+V062A_2030313334[[#This Row],[FAENA EN LTS3]]</f>
        <v>1490</v>
      </c>
    </row>
    <row r="100" spans="1:37" x14ac:dyDescent="0.25">
      <c r="A100" s="431" t="s">
        <v>323</v>
      </c>
      <c r="B100" s="469">
        <v>44161</v>
      </c>
      <c r="C100" s="237">
        <v>0.33333333333333331</v>
      </c>
      <c r="D100" s="418">
        <f>IF(V062A_2030313334[[#This Row],[FECHA]]-B99=1,((V062A_2030313334[[#This Row],[HORA]]-C99)*24)+24,(V062A_2030313334[[#This Row],[HORA]]-C99)*24)</f>
        <v>6.8999999999999995</v>
      </c>
      <c r="E100" s="473" t="s">
        <v>51</v>
      </c>
      <c r="F100" s="474" t="s">
        <v>51</v>
      </c>
      <c r="G100" s="475"/>
      <c r="H100" s="476"/>
      <c r="I10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0" s="478"/>
      <c r="K100" s="479"/>
      <c r="L100" s="245">
        <v>0</v>
      </c>
      <c r="M100" s="246">
        <v>0.43</v>
      </c>
      <c r="N100" s="246">
        <v>0.35</v>
      </c>
      <c r="O100" s="246">
        <f>SUM(V062A_2030313334[[#This Row],[MPAL]]+V062A_2030313334[[#This Row],[AUX.]]+V062A_2030313334[[#This Row],[CALDERA]])</f>
        <v>0.78</v>
      </c>
      <c r="P100" s="319"/>
      <c r="Q100" s="270">
        <f>(Q99-V062A_2030313334[[#This Row],[TOTAL ]])+V062A_2030313334[[#This Row],[FAENA]]</f>
        <v>202.34999999999977</v>
      </c>
      <c r="R100" s="245">
        <v>0</v>
      </c>
      <c r="S100" s="246">
        <v>0</v>
      </c>
      <c r="T100" s="246">
        <v>0</v>
      </c>
      <c r="U100" s="246">
        <v>0</v>
      </c>
      <c r="V100" s="246">
        <v>1.75</v>
      </c>
      <c r="W100" s="246">
        <f>SUM(V062A_2030313334[[#This Row],[MPAL2]:[GI]])</f>
        <v>1.75</v>
      </c>
      <c r="X100" s="246"/>
      <c r="Y100" s="300">
        <f>(Y96-V062A_2030313334[[#This Row],[TOTAL]])+V062A_2030313334[[#This Row],[FAENA2]]</f>
        <v>72.48</v>
      </c>
      <c r="Z100" s="245">
        <v>0</v>
      </c>
      <c r="AA100" s="246">
        <v>0</v>
      </c>
      <c r="AB100" s="438">
        <f>(AB99-V062A_2030313334[[#This Row],[CYLINDER MP]])+V062A_2030313334[[#This Row],[FAENA EN LTS]]</f>
        <v>4283</v>
      </c>
      <c r="AC100" s="246">
        <v>0</v>
      </c>
      <c r="AD100" s="246">
        <v>0</v>
      </c>
      <c r="AE100" s="438">
        <f>(AE99-V062A_2030313334[[#This Row],[CARTER MP.]])+V062A_2030313334[[#This Row],[FAENA EN LTS2]]</f>
        <v>3500</v>
      </c>
      <c r="AF100" s="246">
        <v>0</v>
      </c>
      <c r="AG100" s="246">
        <v>0</v>
      </c>
      <c r="AH100" s="438">
        <f>(AH99-V062A_2030313334[[#This Row],[MOT AUX]])+V062A_2030313334[[#This Row],[FAENA EN  LTS]]</f>
        <v>1549</v>
      </c>
      <c r="AI100" s="246">
        <v>0</v>
      </c>
      <c r="AJ100" s="246">
        <v>0</v>
      </c>
      <c r="AK100" s="439">
        <f>(AK99-V062A_2030313334[[#This Row],[HIDRAULICO]])+V062A_2030313334[[#This Row],[FAENA EN LTS3]]</f>
        <v>1490</v>
      </c>
    </row>
    <row r="101" spans="1:37" x14ac:dyDescent="0.25">
      <c r="A101" s="431" t="s">
        <v>323</v>
      </c>
      <c r="B101" s="469">
        <v>44162</v>
      </c>
      <c r="C101" s="237">
        <v>0.33333333333333331</v>
      </c>
      <c r="D101" s="418">
        <f>IF(V062A_2030313334[[#This Row],[FECHA]]-B100=1,((V062A_2030313334[[#This Row],[HORA]]-C100)*24)+24,(V062A_2030313334[[#This Row],[HORA]]-C100)*24)</f>
        <v>24</v>
      </c>
      <c r="E101" s="473" t="s">
        <v>51</v>
      </c>
      <c r="F101" s="474" t="s">
        <v>51</v>
      </c>
      <c r="G101" s="475"/>
      <c r="H101" s="476"/>
      <c r="I10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1" s="478"/>
      <c r="K101" s="479"/>
      <c r="L101" s="245">
        <v>0</v>
      </c>
      <c r="M101" s="246">
        <v>2.5</v>
      </c>
      <c r="N101" s="246">
        <v>1.2</v>
      </c>
      <c r="O101" s="246">
        <f>SUM(V062A_2030313334[[#This Row],[MPAL]]+V062A_2030313334[[#This Row],[AUX.]]+V062A_2030313334[[#This Row],[CALDERA]])</f>
        <v>3.7</v>
      </c>
      <c r="P101" s="319"/>
      <c r="Q101" s="270">
        <f>(Q100-V062A_2030313334[[#This Row],[TOTAL ]])+V062A_2030313334[[#This Row],[FAENA]]</f>
        <v>198.64999999999978</v>
      </c>
      <c r="R101" s="245">
        <v>0</v>
      </c>
      <c r="S101" s="246">
        <v>0</v>
      </c>
      <c r="T101" s="246">
        <v>0</v>
      </c>
      <c r="U101" s="246">
        <v>0</v>
      </c>
      <c r="V101" s="246">
        <v>6</v>
      </c>
      <c r="W101" s="246">
        <f>SUM(V062A_2030313334[[#This Row],[MPAL2]:[GI]])</f>
        <v>6</v>
      </c>
      <c r="X101" s="246"/>
      <c r="Y101" s="300">
        <f>(Y100-V062A_2030313334[[#This Row],[TOTAL]])+V062A_2030313334[[#This Row],[FAENA2]]</f>
        <v>66.48</v>
      </c>
      <c r="Z101" s="245">
        <v>0</v>
      </c>
      <c r="AA101" s="246">
        <v>0</v>
      </c>
      <c r="AB101" s="438">
        <f>(AB100-V062A_2030313334[[#This Row],[CYLINDER MP]])+V062A_2030313334[[#This Row],[FAENA EN LTS]]</f>
        <v>4283</v>
      </c>
      <c r="AC101" s="246">
        <v>0</v>
      </c>
      <c r="AD101" s="246">
        <v>0</v>
      </c>
      <c r="AE101" s="438">
        <f>(AE100-V062A_2030313334[[#This Row],[CARTER MP.]])+V062A_2030313334[[#This Row],[FAENA EN LTS2]]</f>
        <v>3500</v>
      </c>
      <c r="AF101" s="246">
        <v>60</v>
      </c>
      <c r="AG101" s="246">
        <v>0</v>
      </c>
      <c r="AH101" s="438">
        <f>(AH100-V062A_2030313334[[#This Row],[MOT AUX]])+V062A_2030313334[[#This Row],[FAENA EN  LTS]]</f>
        <v>1489</v>
      </c>
      <c r="AI101" s="246">
        <v>0</v>
      </c>
      <c r="AJ101" s="246">
        <v>0</v>
      </c>
      <c r="AK101" s="439">
        <f>(AK100-V062A_2030313334[[#This Row],[HIDRAULICO]])+V062A_2030313334[[#This Row],[FAENA EN LTS3]]</f>
        <v>1490</v>
      </c>
    </row>
    <row r="102" spans="1:37" x14ac:dyDescent="0.25">
      <c r="A102" s="431" t="s">
        <v>323</v>
      </c>
      <c r="B102" s="469">
        <v>44162</v>
      </c>
      <c r="C102" s="237">
        <v>0.74583333333333324</v>
      </c>
      <c r="D102" s="418">
        <f>IF(V062A_2030313334[[#This Row],[FECHA]]-B101=1,((V062A_2030313334[[#This Row],[HORA]]-C101)*24)+24,(V062A_2030313334[[#This Row],[HORA]]-C101)*24)</f>
        <v>9.8999999999999986</v>
      </c>
      <c r="E102" s="432" t="s">
        <v>51</v>
      </c>
      <c r="F102" s="378" t="s">
        <v>328</v>
      </c>
      <c r="G102" s="433"/>
      <c r="H102" s="434"/>
      <c r="I102" s="435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2" s="436"/>
      <c r="K102" s="437"/>
      <c r="L102" s="245">
        <v>0</v>
      </c>
      <c r="M102" s="246">
        <v>0.83</v>
      </c>
      <c r="N102" s="246">
        <v>0.5</v>
      </c>
      <c r="O102" s="246">
        <f>SUM(V062A_2030313334[[#This Row],[MPAL]]+V062A_2030313334[[#This Row],[AUX.]]+V062A_2030313334[[#This Row],[CALDERA]])</f>
        <v>1.33</v>
      </c>
      <c r="P102" s="319"/>
      <c r="Q102" s="270">
        <f>(Q101-V062A_2030313334[[#This Row],[TOTAL ]])+V062A_2030313334[[#This Row],[FAENA]]</f>
        <v>197.31999999999977</v>
      </c>
      <c r="R102" s="245">
        <v>0</v>
      </c>
      <c r="S102" s="246">
        <v>0</v>
      </c>
      <c r="T102" s="246">
        <v>0</v>
      </c>
      <c r="U102" s="246">
        <v>0</v>
      </c>
      <c r="V102" s="246">
        <v>2.5</v>
      </c>
      <c r="W102" s="246">
        <f>SUM(V062A_2030313334[[#This Row],[MPAL2]:[GI]])</f>
        <v>2.5</v>
      </c>
      <c r="X102" s="246"/>
      <c r="Y102" s="300">
        <f>(Y101-V062A_2030313334[[#This Row],[TOTAL]])+V062A_2030313334[[#This Row],[FAENA2]]</f>
        <v>63.980000000000004</v>
      </c>
      <c r="Z102" s="245">
        <v>0</v>
      </c>
      <c r="AA102" s="246">
        <v>0</v>
      </c>
      <c r="AB102" s="438">
        <f>(AB101-V062A_2030313334[[#This Row],[CYLINDER MP]])+V062A_2030313334[[#This Row],[FAENA EN LTS]]</f>
        <v>4283</v>
      </c>
      <c r="AC102" s="246">
        <v>0</v>
      </c>
      <c r="AD102" s="246">
        <v>0</v>
      </c>
      <c r="AE102" s="438">
        <f>(AE101-V062A_2030313334[[#This Row],[CARTER MP.]])+V062A_2030313334[[#This Row],[FAENA EN LTS2]]</f>
        <v>3500</v>
      </c>
      <c r="AF102" s="246">
        <v>0</v>
      </c>
      <c r="AG102" s="246">
        <v>0</v>
      </c>
      <c r="AH102" s="438">
        <f>(AH101-V062A_2030313334[[#This Row],[MOT AUX]])+V062A_2030313334[[#This Row],[FAENA EN  LTS]]</f>
        <v>1489</v>
      </c>
      <c r="AI102" s="246">
        <v>0</v>
      </c>
      <c r="AJ102" s="246">
        <v>0</v>
      </c>
      <c r="AK102" s="439">
        <f>(AK101-V062A_2030313334[[#This Row],[HIDRAULICO]])+V062A_2030313334[[#This Row],[FAENA EN LTS3]]</f>
        <v>1490</v>
      </c>
    </row>
    <row r="103" spans="1:37" x14ac:dyDescent="0.25">
      <c r="A103" s="431" t="s">
        <v>323</v>
      </c>
      <c r="B103" s="469">
        <v>44162</v>
      </c>
      <c r="C103" s="237">
        <v>0.91666666666666663</v>
      </c>
      <c r="D103" s="418">
        <f>IF(V062A_2030313334[[#This Row],[FECHA]]-B102=1,((V062A_2030313334[[#This Row],[HORA]]-C102)*24)+24,(V062A_2030313334[[#This Row],[HORA]]-C102)*24)</f>
        <v>4.1000000000000014</v>
      </c>
      <c r="E103" s="473" t="s">
        <v>49</v>
      </c>
      <c r="F103" s="474" t="s">
        <v>46</v>
      </c>
      <c r="G103" s="475"/>
      <c r="H103" s="476"/>
      <c r="I10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3" s="478"/>
      <c r="K103" s="479"/>
      <c r="L103" s="245">
        <v>0</v>
      </c>
      <c r="M103" s="246">
        <v>0.34</v>
      </c>
      <c r="N103" s="246">
        <v>0.21</v>
      </c>
      <c r="O103" s="246">
        <f>SUM(V062A_2030313334[[#This Row],[MPAL]]+V062A_2030313334[[#This Row],[AUX.]]+V062A_2030313334[[#This Row],[CALDERA]])</f>
        <v>0.55000000000000004</v>
      </c>
      <c r="P103" s="319"/>
      <c r="Q103" s="270">
        <f>(Q102-V062A_2030313334[[#This Row],[TOTAL ]])+V062A_2030313334[[#This Row],[FAENA]]</f>
        <v>196.76999999999975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SUM(V062A_2030313334[[#This Row],[MPAL2]:[GI]])</f>
        <v>0</v>
      </c>
      <c r="X103" s="246"/>
      <c r="Y103" s="300">
        <f>(Y102-V062A_2030313334[[#This Row],[TOTAL]])+V062A_2030313334[[#This Row],[FAENA2]]</f>
        <v>63.980000000000004</v>
      </c>
      <c r="Z103" s="245">
        <v>0</v>
      </c>
      <c r="AA103" s="246">
        <v>0</v>
      </c>
      <c r="AB103" s="438">
        <f>(AB102-V062A_2030313334[[#This Row],[CYLINDER MP]])+V062A_2030313334[[#This Row],[FAENA EN LTS]]</f>
        <v>4283</v>
      </c>
      <c r="AC103" s="246">
        <v>0</v>
      </c>
      <c r="AD103" s="246">
        <v>0</v>
      </c>
      <c r="AE103" s="438">
        <f>(AE102-V062A_2030313334[[#This Row],[CARTER MP.]])+V062A_2030313334[[#This Row],[FAENA EN LTS2]]</f>
        <v>3500</v>
      </c>
      <c r="AF103" s="246">
        <v>0</v>
      </c>
      <c r="AG103" s="246">
        <v>0</v>
      </c>
      <c r="AH103" s="438">
        <f>(AH102-V062A_2030313334[[#This Row],[MOT AUX]])+V062A_2030313334[[#This Row],[FAENA EN  LTS]]</f>
        <v>1489</v>
      </c>
      <c r="AI103" s="246">
        <v>0</v>
      </c>
      <c r="AJ103" s="246">
        <v>0</v>
      </c>
      <c r="AK103" s="439">
        <f>(AK102-V062A_2030313334[[#This Row],[HIDRAULICO]])+V062A_2030313334[[#This Row],[FAENA EN LTS3]]</f>
        <v>1490</v>
      </c>
    </row>
    <row r="104" spans="1:37" x14ac:dyDescent="0.25">
      <c r="A104" s="431" t="s">
        <v>323</v>
      </c>
      <c r="B104" s="469">
        <v>44162</v>
      </c>
      <c r="C104" s="237">
        <v>0.95833333333333337</v>
      </c>
      <c r="D104" s="418">
        <f>IF(V062A_2030313334[[#This Row],[FECHA]]-B103=1,((V062A_2030313334[[#This Row],[HORA]]-C103)*24)+24,(V062A_2030313334[[#This Row],[HORA]]-C103)*24)</f>
        <v>1.0000000000000018</v>
      </c>
      <c r="E104" s="473" t="s">
        <v>47</v>
      </c>
      <c r="F104" s="474" t="s">
        <v>212</v>
      </c>
      <c r="G104" s="475"/>
      <c r="H104" s="476"/>
      <c r="I104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4" s="478"/>
      <c r="K104" s="479"/>
      <c r="L104" s="245">
        <v>0.42</v>
      </c>
      <c r="M104" s="246">
        <v>0.08</v>
      </c>
      <c r="N104" s="246">
        <v>0.05</v>
      </c>
      <c r="O104" s="246">
        <f>SUM(V062A_2030313334[[#This Row],[MPAL]]+V062A_2030313334[[#This Row],[AUX.]]+V062A_2030313334[[#This Row],[CALDERA]])</f>
        <v>0.55000000000000004</v>
      </c>
      <c r="P104" s="319"/>
      <c r="Q104" s="270">
        <f>(Q103-V062A_2030313334[[#This Row],[TOTAL ]])+V062A_2030313334[[#This Row],[FAENA]]</f>
        <v>196.21999999999974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SUM(V062A_2030313334[[#This Row],[MPAL2]:[GI]])</f>
        <v>0</v>
      </c>
      <c r="X104" s="246"/>
      <c r="Y104" s="300">
        <f>(Y103-V062A_2030313334[[#This Row],[TOTAL]])+V062A_2030313334[[#This Row],[FAENA2]]</f>
        <v>63.980000000000004</v>
      </c>
      <c r="Z104" s="245">
        <v>10</v>
      </c>
      <c r="AA104" s="246">
        <v>0</v>
      </c>
      <c r="AB104" s="438">
        <f>(AB103-V062A_2030313334[[#This Row],[CYLINDER MP]])+V062A_2030313334[[#This Row],[FAENA EN LTS]]</f>
        <v>4273</v>
      </c>
      <c r="AC104" s="246">
        <v>0</v>
      </c>
      <c r="AD104" s="246">
        <v>0</v>
      </c>
      <c r="AE104" s="438">
        <f>(AE103-V062A_2030313334[[#This Row],[CARTER MP.]])+V062A_2030313334[[#This Row],[FAENA EN LTS2]]</f>
        <v>3500</v>
      </c>
      <c r="AF104" s="246">
        <v>0</v>
      </c>
      <c r="AG104" s="246">
        <v>0</v>
      </c>
      <c r="AH104" s="438">
        <f>(AH103-V062A_2030313334[[#This Row],[MOT AUX]])+V062A_2030313334[[#This Row],[FAENA EN  LTS]]</f>
        <v>1489</v>
      </c>
      <c r="AI104" s="246">
        <v>0</v>
      </c>
      <c r="AJ104" s="246">
        <v>0</v>
      </c>
      <c r="AK104" s="439">
        <f>(AK103-V062A_2030313334[[#This Row],[HIDRAULICO]])+V062A_2030313334[[#This Row],[FAENA EN LTS3]]</f>
        <v>1490</v>
      </c>
    </row>
    <row r="105" spans="1:37" x14ac:dyDescent="0.25">
      <c r="A105" s="431" t="s">
        <v>323</v>
      </c>
      <c r="B105" s="469">
        <v>44163</v>
      </c>
      <c r="C105" s="237">
        <v>0.33333333333333331</v>
      </c>
      <c r="D105" s="418">
        <f>IF(V062A_2030313334[[#This Row],[FECHA]]-B104=1,((V062A_2030313334[[#This Row],[HORA]]-C104)*24)+24,(V062A_2030313334[[#This Row],[HORA]]-C104)*24)</f>
        <v>9</v>
      </c>
      <c r="E105" s="473" t="s">
        <v>55</v>
      </c>
      <c r="F105" s="474" t="s">
        <v>56</v>
      </c>
      <c r="G105" s="475"/>
      <c r="H105" s="476"/>
      <c r="I10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5" s="478"/>
      <c r="K105" s="479"/>
      <c r="L105" s="245">
        <v>8.6300000000000008</v>
      </c>
      <c r="M105" s="246">
        <v>0.56000000000000005</v>
      </c>
      <c r="N105" s="246">
        <v>0.45</v>
      </c>
      <c r="O105" s="246">
        <f>SUM(V062A_2030313334[[#This Row],[MPAL]]+V062A_2030313334[[#This Row],[AUX.]]+V062A_2030313334[[#This Row],[CALDERA]])</f>
        <v>9.64</v>
      </c>
      <c r="P105" s="319"/>
      <c r="Q105" s="270">
        <f>(Q104-V062A_2030313334[[#This Row],[TOTAL ]])+V062A_2030313334[[#This Row],[FAENA]]</f>
        <v>186.57999999999976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SUM(V062A_2030313334[[#This Row],[MPAL2]:[GI]])</f>
        <v>0</v>
      </c>
      <c r="X105" s="246"/>
      <c r="Y105" s="300">
        <f>(Y104-V062A_2030313334[[#This Row],[TOTAL]])+V062A_2030313334[[#This Row],[FAENA2]]</f>
        <v>63.980000000000004</v>
      </c>
      <c r="Z105" s="245">
        <v>110</v>
      </c>
      <c r="AA105" s="246">
        <v>0</v>
      </c>
      <c r="AB105" s="438">
        <f>(AB104-V062A_2030313334[[#This Row],[CYLINDER MP]])+V062A_2030313334[[#This Row],[FAENA EN LTS]]</f>
        <v>4163</v>
      </c>
      <c r="AC105" s="246">
        <v>0</v>
      </c>
      <c r="AD105" s="246">
        <v>0</v>
      </c>
      <c r="AE105" s="438">
        <f>(AE104-V062A_2030313334[[#This Row],[CARTER MP.]])+V062A_2030313334[[#This Row],[FAENA EN LTS2]]</f>
        <v>3500</v>
      </c>
      <c r="AF105" s="246">
        <v>40</v>
      </c>
      <c r="AG105" s="246">
        <v>0</v>
      </c>
      <c r="AH105" s="438">
        <f>(AH104-V062A_2030313334[[#This Row],[MOT AUX]])+V062A_2030313334[[#This Row],[FAENA EN  LTS]]</f>
        <v>1449</v>
      </c>
      <c r="AI105" s="246">
        <v>50</v>
      </c>
      <c r="AJ105" s="246">
        <v>0</v>
      </c>
      <c r="AK105" s="439">
        <f>(AK104-V062A_2030313334[[#This Row],[HIDRAULICO]])+V062A_2030313334[[#This Row],[FAENA EN LTS3]]</f>
        <v>1440</v>
      </c>
    </row>
    <row r="106" spans="1:37" x14ac:dyDescent="0.25">
      <c r="A106" s="431" t="s">
        <v>323</v>
      </c>
      <c r="B106" s="469">
        <v>44163</v>
      </c>
      <c r="C106" s="237">
        <v>0.35416666666666669</v>
      </c>
      <c r="D106" s="418">
        <f>IF(V062A_2030313334[[#This Row],[FECHA]]-B105=1,((V062A_2030313334[[#This Row],[HORA]]-C105)*24)+24,(V062A_2030313334[[#This Row],[HORA]]-C105)*24)</f>
        <v>0.50000000000000089</v>
      </c>
      <c r="E106" s="473" t="s">
        <v>55</v>
      </c>
      <c r="F106" s="378" t="s">
        <v>219</v>
      </c>
      <c r="G106" s="475">
        <v>123</v>
      </c>
      <c r="H106" s="476">
        <v>9.5</v>
      </c>
      <c r="I106" s="477">
        <f>IF(ISERROR(V062A_2030313334[[#This Row],[DISTANCIA POR CARTA]]/V062A_2030313334[[#This Row],[TIEMPO DE NAVEGACION]]),0,V062A_2030313334[[#This Row],[DISTANCIA POR CARTA]]/V062A_2030313334[[#This Row],[TIEMPO DE NAVEGACION]])</f>
        <v>12.947368421052632</v>
      </c>
      <c r="J106" s="478">
        <v>4</v>
      </c>
      <c r="K106" s="479">
        <v>97</v>
      </c>
      <c r="L106" s="245">
        <v>0.48</v>
      </c>
      <c r="M106" s="246">
        <v>0.03</v>
      </c>
      <c r="N106" s="246">
        <v>0.03</v>
      </c>
      <c r="O106" s="246">
        <f>SUM(V062A_2030313334[[#This Row],[MPAL]]+V062A_2030313334[[#This Row],[AUX.]]+V062A_2030313334[[#This Row],[CALDERA]])</f>
        <v>0.54</v>
      </c>
      <c r="P106" s="319"/>
      <c r="Q106" s="270">
        <f>(Q105-V062A_2030313334[[#This Row],[TOTAL ]])+V062A_2030313334[[#This Row],[FAENA]]</f>
        <v>186.03999999999976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SUM(V062A_2030313334[[#This Row],[MPAL2]:[GI]])</f>
        <v>0</v>
      </c>
      <c r="X106" s="246"/>
      <c r="Y106" s="300">
        <f>(Y105-V062A_2030313334[[#This Row],[TOTAL]])+V062A_2030313334[[#This Row],[FAENA2]]</f>
        <v>63.980000000000004</v>
      </c>
      <c r="Z106" s="245">
        <v>5</v>
      </c>
      <c r="AA106" s="246">
        <v>0</v>
      </c>
      <c r="AB106" s="438">
        <f>(AB105-V062A_2030313334[[#This Row],[CYLINDER MP]])+V062A_2030313334[[#This Row],[FAENA EN LTS]]</f>
        <v>4158</v>
      </c>
      <c r="AC106" s="246">
        <v>0</v>
      </c>
      <c r="AD106" s="246">
        <v>0</v>
      </c>
      <c r="AE106" s="438">
        <f>(AE105-V062A_2030313334[[#This Row],[CARTER MP.]])+V062A_2030313334[[#This Row],[FAENA EN LTS2]]</f>
        <v>3500</v>
      </c>
      <c r="AF106" s="246">
        <v>20</v>
      </c>
      <c r="AG106" s="246">
        <v>0</v>
      </c>
      <c r="AH106" s="438">
        <f>(AH105-V062A_2030313334[[#This Row],[MOT AUX]])+V062A_2030313334[[#This Row],[FAENA EN  LTS]]</f>
        <v>1429</v>
      </c>
      <c r="AI106" s="246">
        <v>0</v>
      </c>
      <c r="AJ106" s="246">
        <v>0</v>
      </c>
      <c r="AK106" s="439">
        <f>(AK105-V062A_2030313334[[#This Row],[HIDRAULICO]])+V062A_2030313334[[#This Row],[FAENA EN LTS3]]</f>
        <v>1440</v>
      </c>
    </row>
    <row r="107" spans="1:37" x14ac:dyDescent="0.25">
      <c r="A107" s="431" t="s">
        <v>323</v>
      </c>
      <c r="B107" s="469">
        <v>44163</v>
      </c>
      <c r="C107" s="237">
        <v>0.45416666666666666</v>
      </c>
      <c r="D107" s="418">
        <f>IF(V062A_2030313334[[#This Row],[FECHA]]-B106=1,((V062A_2030313334[[#This Row],[HORA]]-C106)*24)+24,(V062A_2030313334[[#This Row],[HORA]]-C106)*24)</f>
        <v>2.3999999999999995</v>
      </c>
      <c r="E107" s="473" t="s">
        <v>47</v>
      </c>
      <c r="F107" s="474" t="s">
        <v>234</v>
      </c>
      <c r="G107" s="475"/>
      <c r="H107" s="476"/>
      <c r="I10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7" s="478"/>
      <c r="K107" s="479"/>
      <c r="L107" s="245">
        <v>1</v>
      </c>
      <c r="M107" s="246">
        <v>0.15</v>
      </c>
      <c r="N107" s="246">
        <v>0.12</v>
      </c>
      <c r="O107" s="246">
        <f>SUM(V062A_2030313334[[#This Row],[MPAL]]+V062A_2030313334[[#This Row],[AUX.]]+V062A_2030313334[[#This Row],[CALDERA]])</f>
        <v>1.27</v>
      </c>
      <c r="P107" s="319"/>
      <c r="Q107" s="270">
        <f>(Q106-V062A_2030313334[[#This Row],[TOTAL ]])+V062A_2030313334[[#This Row],[FAENA]]</f>
        <v>184.76999999999975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SUM(V062A_2030313334[[#This Row],[MPAL2]:[GI]])</f>
        <v>0</v>
      </c>
      <c r="X107" s="246"/>
      <c r="Y107" s="300">
        <f>(Y106-V062A_2030313334[[#This Row],[TOTAL]])+V062A_2030313334[[#This Row],[FAENA2]]</f>
        <v>63.980000000000004</v>
      </c>
      <c r="Z107" s="245">
        <v>30</v>
      </c>
      <c r="AA107" s="246">
        <v>0</v>
      </c>
      <c r="AB107" s="438">
        <f>(AB106-V062A_2030313334[[#This Row],[CYLINDER MP]])+V062A_2030313334[[#This Row],[FAENA EN LTS]]</f>
        <v>4128</v>
      </c>
      <c r="AC107" s="246">
        <v>0</v>
      </c>
      <c r="AD107" s="246">
        <v>0</v>
      </c>
      <c r="AE107" s="438">
        <f>(AE106-V062A_2030313334[[#This Row],[CARTER MP.]])+V062A_2030313334[[#This Row],[FAENA EN LTS2]]</f>
        <v>3500</v>
      </c>
      <c r="AF107" s="246">
        <v>0</v>
      </c>
      <c r="AG107" s="246">
        <v>0</v>
      </c>
      <c r="AH107" s="438">
        <f>(AH106-V062A_2030313334[[#This Row],[MOT AUX]])+V062A_2030313334[[#This Row],[FAENA EN  LTS]]</f>
        <v>1429</v>
      </c>
      <c r="AI107" s="246">
        <v>0</v>
      </c>
      <c r="AJ107" s="246">
        <v>0</v>
      </c>
      <c r="AK107" s="439">
        <f>(AK106-V062A_2030313334[[#This Row],[HIDRAULICO]])+V062A_2030313334[[#This Row],[FAENA EN LTS3]]</f>
        <v>1440</v>
      </c>
    </row>
    <row r="108" spans="1:37" x14ac:dyDescent="0.25">
      <c r="A108" s="431" t="s">
        <v>323</v>
      </c>
      <c r="B108" s="469">
        <v>44163</v>
      </c>
      <c r="C108" s="237">
        <v>0.84166666666666667</v>
      </c>
      <c r="D108" s="418">
        <f>IF(V062A_2030313334[[#This Row],[FECHA]]-B107=1,((V062A_2030313334[[#This Row],[HORA]]-C107)*24)+24,(V062A_2030313334[[#This Row],[HORA]]-C107)*24)</f>
        <v>9.3000000000000007</v>
      </c>
      <c r="E108" s="473" t="s">
        <v>51</v>
      </c>
      <c r="F108" s="474" t="s">
        <v>345</v>
      </c>
      <c r="G108" s="475"/>
      <c r="H108" s="476"/>
      <c r="I10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8" s="478"/>
      <c r="K108" s="479"/>
      <c r="L108" s="245">
        <v>0</v>
      </c>
      <c r="M108" s="246">
        <v>0.78</v>
      </c>
      <c r="N108" s="246">
        <v>0.47</v>
      </c>
      <c r="O108" s="246">
        <f>SUM(V062A_2030313334[[#This Row],[MPAL]]+V062A_2030313334[[#This Row],[AUX.]]+V062A_2030313334[[#This Row],[CALDERA]])</f>
        <v>1.25</v>
      </c>
      <c r="P108" s="319"/>
      <c r="Q108" s="270">
        <f>(Q107-V062A_2030313334[[#This Row],[TOTAL ]])+V062A_2030313334[[#This Row],[FAENA]]</f>
        <v>183.51999999999975</v>
      </c>
      <c r="R108" s="245">
        <v>0</v>
      </c>
      <c r="S108" s="246">
        <v>0</v>
      </c>
      <c r="T108" s="246">
        <v>0</v>
      </c>
      <c r="U108" s="246">
        <v>0</v>
      </c>
      <c r="V108" s="246">
        <v>2.2999999999999998</v>
      </c>
      <c r="W108" s="246">
        <f>SUM(V062A_2030313334[[#This Row],[MPAL2]:[GI]])</f>
        <v>2.2999999999999998</v>
      </c>
      <c r="X108" s="246"/>
      <c r="Y108" s="300">
        <f>(Y107-V062A_2030313334[[#This Row],[TOTAL]])+V062A_2030313334[[#This Row],[FAENA2]]</f>
        <v>61.680000000000007</v>
      </c>
      <c r="Z108" s="245">
        <v>0</v>
      </c>
      <c r="AA108" s="246">
        <v>0</v>
      </c>
      <c r="AB108" s="438">
        <f>(AB107-V062A_2030313334[[#This Row],[CYLINDER MP]])+V062A_2030313334[[#This Row],[FAENA EN LTS]]</f>
        <v>4128</v>
      </c>
      <c r="AC108" s="246">
        <v>0</v>
      </c>
      <c r="AD108" s="246">
        <v>0</v>
      </c>
      <c r="AE108" s="438">
        <f>(AE107-V062A_2030313334[[#This Row],[CARTER MP.]])+V062A_2030313334[[#This Row],[FAENA EN LTS2]]</f>
        <v>3500</v>
      </c>
      <c r="AF108" s="246">
        <v>20</v>
      </c>
      <c r="AG108" s="246">
        <v>0</v>
      </c>
      <c r="AH108" s="438">
        <f>(AH107-V062A_2030313334[[#This Row],[MOT AUX]])+V062A_2030313334[[#This Row],[FAENA EN  LTS]]</f>
        <v>1409</v>
      </c>
      <c r="AI108" s="246">
        <v>0</v>
      </c>
      <c r="AJ108" s="246">
        <v>0</v>
      </c>
      <c r="AK108" s="439">
        <f>(AK107-V062A_2030313334[[#This Row],[HIDRAULICO]])+V062A_2030313334[[#This Row],[FAENA EN LTS3]]</f>
        <v>1440</v>
      </c>
    </row>
    <row r="109" spans="1:37" x14ac:dyDescent="0.25">
      <c r="A109" s="431" t="s">
        <v>323</v>
      </c>
      <c r="B109" s="469">
        <v>44163</v>
      </c>
      <c r="C109" s="237">
        <v>0.98333333333333339</v>
      </c>
      <c r="D109" s="418">
        <f>IF(V062A_2030313334[[#This Row],[FECHA]]-B108=1,((V062A_2030313334[[#This Row],[HORA]]-C108)*24)+24,(V062A_2030313334[[#This Row],[HORA]]-C108)*24)</f>
        <v>3.4000000000000012</v>
      </c>
      <c r="E109" s="473" t="s">
        <v>49</v>
      </c>
      <c r="F109" s="474" t="s">
        <v>46</v>
      </c>
      <c r="G109" s="475"/>
      <c r="H109" s="476"/>
      <c r="I10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09" s="478"/>
      <c r="K109" s="479"/>
      <c r="L109" s="245">
        <v>0</v>
      </c>
      <c r="M109" s="246">
        <v>0.28000000000000003</v>
      </c>
      <c r="N109" s="246">
        <v>0.17</v>
      </c>
      <c r="O109" s="246">
        <f>SUM(V062A_2030313334[[#This Row],[MPAL]]+V062A_2030313334[[#This Row],[AUX.]]+V062A_2030313334[[#This Row],[CALDERA]])</f>
        <v>0.45000000000000007</v>
      </c>
      <c r="P109" s="319"/>
      <c r="Q109" s="270">
        <f>(Q108-V062A_2030313334[[#This Row],[TOTAL ]])+V062A_2030313334[[#This Row],[FAENA]]</f>
        <v>183.06999999999977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SUM(V062A_2030313334[[#This Row],[MPAL2]:[GI]])</f>
        <v>0</v>
      </c>
      <c r="X109" s="246"/>
      <c r="Y109" s="300">
        <f>(Y108-V062A_2030313334[[#This Row],[TOTAL]])+V062A_2030313334[[#This Row],[FAENA2]]</f>
        <v>61.680000000000007</v>
      </c>
      <c r="Z109" s="245">
        <v>0</v>
      </c>
      <c r="AA109" s="246">
        <v>0</v>
      </c>
      <c r="AB109" s="438">
        <f>(AB108-V062A_2030313334[[#This Row],[CYLINDER MP]])+V062A_2030313334[[#This Row],[FAENA EN LTS]]</f>
        <v>4128</v>
      </c>
      <c r="AC109" s="246">
        <v>0</v>
      </c>
      <c r="AD109" s="246">
        <v>0</v>
      </c>
      <c r="AE109" s="438">
        <f>(AE108-V062A_2030313334[[#This Row],[CARTER MP.]])+V062A_2030313334[[#This Row],[FAENA EN LTS2]]</f>
        <v>3500</v>
      </c>
      <c r="AF109" s="246">
        <v>0</v>
      </c>
      <c r="AG109" s="246">
        <v>0</v>
      </c>
      <c r="AH109" s="438">
        <f>(AH108-V062A_2030313334[[#This Row],[MOT AUX]])+V062A_2030313334[[#This Row],[FAENA EN  LTS]]</f>
        <v>1409</v>
      </c>
      <c r="AI109" s="246">
        <v>0</v>
      </c>
      <c r="AJ109" s="246">
        <v>0</v>
      </c>
      <c r="AK109" s="439">
        <f>(AK108-V062A_2030313334[[#This Row],[HIDRAULICO]])+V062A_2030313334[[#This Row],[FAENA EN LTS3]]</f>
        <v>1440</v>
      </c>
    </row>
    <row r="110" spans="1:37" x14ac:dyDescent="0.25">
      <c r="A110" s="431" t="s">
        <v>323</v>
      </c>
      <c r="B110" s="469">
        <v>44164</v>
      </c>
      <c r="C110" s="237">
        <v>0</v>
      </c>
      <c r="D110" s="418">
        <f>IF(V062A_2030313334[[#This Row],[FECHA]]-B109=1,((V062A_2030313334[[#This Row],[HORA]]-C109)*24)+24,(V062A_2030313334[[#This Row],[HORA]]-C109)*24)</f>
        <v>0.39999999999999858</v>
      </c>
      <c r="E110" s="473" t="s">
        <v>47</v>
      </c>
      <c r="F110" s="474" t="s">
        <v>220</v>
      </c>
      <c r="G110" s="475"/>
      <c r="H110" s="476"/>
      <c r="I11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0" s="478"/>
      <c r="K110" s="479"/>
      <c r="L110" s="245">
        <v>0.17</v>
      </c>
      <c r="M110" s="246">
        <v>0.02</v>
      </c>
      <c r="N110" s="246">
        <v>0.02</v>
      </c>
      <c r="O110" s="246">
        <f>SUM(V062A_2030313334[[#This Row],[MPAL]]+V062A_2030313334[[#This Row],[AUX.]]+V062A_2030313334[[#This Row],[CALDERA]])</f>
        <v>0.21</v>
      </c>
      <c r="P110" s="319"/>
      <c r="Q110" s="270">
        <f>(Q109-V062A_2030313334[[#This Row],[TOTAL ]])+V062A_2030313334[[#This Row],[FAENA]]</f>
        <v>182.85999999999976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SUM(V062A_2030313334[[#This Row],[MPAL2]:[GI]])</f>
        <v>0</v>
      </c>
      <c r="X110" s="246"/>
      <c r="Y110" s="300">
        <f>(Y109-V062A_2030313334[[#This Row],[TOTAL]])+V062A_2030313334[[#This Row],[FAENA2]]</f>
        <v>61.680000000000007</v>
      </c>
      <c r="Z110" s="245">
        <v>10</v>
      </c>
      <c r="AA110" s="246">
        <v>0</v>
      </c>
      <c r="AB110" s="438">
        <f>(AB109-V062A_2030313334[[#This Row],[CYLINDER MP]])+V062A_2030313334[[#This Row],[FAENA EN LTS]]</f>
        <v>4118</v>
      </c>
      <c r="AC110" s="246">
        <v>0</v>
      </c>
      <c r="AD110" s="246">
        <v>0</v>
      </c>
      <c r="AE110" s="438">
        <f>(AE109-V062A_2030313334[[#This Row],[CARTER MP.]])+V062A_2030313334[[#This Row],[FAENA EN LTS2]]</f>
        <v>3500</v>
      </c>
      <c r="AF110" s="246">
        <v>0</v>
      </c>
      <c r="AG110" s="246">
        <v>0</v>
      </c>
      <c r="AH110" s="438">
        <f>(AH109-V062A_2030313334[[#This Row],[MOT AUX]])+V062A_2030313334[[#This Row],[FAENA EN  LTS]]</f>
        <v>1409</v>
      </c>
      <c r="AI110" s="246">
        <v>0</v>
      </c>
      <c r="AJ110" s="246">
        <v>0</v>
      </c>
      <c r="AK110" s="439">
        <f>(AK109-V062A_2030313334[[#This Row],[HIDRAULICO]])+V062A_2030313334[[#This Row],[FAENA EN LTS3]]</f>
        <v>1440</v>
      </c>
    </row>
    <row r="111" spans="1:37" x14ac:dyDescent="0.25">
      <c r="A111" s="431" t="s">
        <v>323</v>
      </c>
      <c r="B111" s="469">
        <v>44164</v>
      </c>
      <c r="C111" s="237">
        <v>0.33333333333333331</v>
      </c>
      <c r="D111" s="418">
        <f>IF(V062A_2030313334[[#This Row],[FECHA]]-B110=1,((V062A_2030313334[[#This Row],[HORA]]-C110)*24)+24,(V062A_2030313334[[#This Row],[HORA]]-C110)*24)</f>
        <v>8</v>
      </c>
      <c r="E111" s="473" t="s">
        <v>55</v>
      </c>
      <c r="F111" s="474" t="s">
        <v>56</v>
      </c>
      <c r="G111" s="475"/>
      <c r="H111" s="476"/>
      <c r="I111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1" s="478"/>
      <c r="K111" s="479"/>
      <c r="L111" s="245">
        <v>7.67</v>
      </c>
      <c r="M111" s="246">
        <v>0.5</v>
      </c>
      <c r="N111" s="246">
        <v>0.4</v>
      </c>
      <c r="O111" s="246">
        <f>SUM(V062A_2030313334[[#This Row],[MPAL]]+V062A_2030313334[[#This Row],[AUX.]]+V062A_2030313334[[#This Row],[CALDERA]])</f>
        <v>8.57</v>
      </c>
      <c r="P111" s="319"/>
      <c r="Q111" s="270">
        <f>(Q110-V062A_2030313334[[#This Row],[TOTAL ]])+V062A_2030313334[[#This Row],[FAENA]]</f>
        <v>174.28999999999976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SUM(V062A_2030313334[[#This Row],[MPAL2]:[GI]])</f>
        <v>0</v>
      </c>
      <c r="X111" s="246"/>
      <c r="Y111" s="300">
        <f>(Y110-V062A_2030313334[[#This Row],[TOTAL]])+V062A_2030313334[[#This Row],[FAENA2]]</f>
        <v>61.680000000000007</v>
      </c>
      <c r="Z111" s="245">
        <v>95</v>
      </c>
      <c r="AA111" s="246">
        <v>0</v>
      </c>
      <c r="AB111" s="438">
        <f>(AB110-V062A_2030313334[[#This Row],[CYLINDER MP]])+V062A_2030313334[[#This Row],[FAENA EN LTS]]</f>
        <v>4023</v>
      </c>
      <c r="AC111" s="246">
        <v>0</v>
      </c>
      <c r="AD111" s="246">
        <v>0</v>
      </c>
      <c r="AE111" s="438">
        <f>(AE110-V062A_2030313334[[#This Row],[CARTER MP.]])+V062A_2030313334[[#This Row],[FAENA EN LTS2]]</f>
        <v>3500</v>
      </c>
      <c r="AF111" s="246">
        <v>0</v>
      </c>
      <c r="AG111" s="246">
        <v>0</v>
      </c>
      <c r="AH111" s="438">
        <f>(AH110-V062A_2030313334[[#This Row],[MOT AUX]])+V062A_2030313334[[#This Row],[FAENA EN  LTS]]</f>
        <v>1409</v>
      </c>
      <c r="AI111" s="246">
        <v>0</v>
      </c>
      <c r="AJ111" s="246">
        <v>0</v>
      </c>
      <c r="AK111" s="439">
        <f>(AK110-V062A_2030313334[[#This Row],[HIDRAULICO]])+V062A_2030313334[[#This Row],[FAENA EN LTS3]]</f>
        <v>1440</v>
      </c>
    </row>
    <row r="112" spans="1:37" x14ac:dyDescent="0.25">
      <c r="A112" s="431" t="s">
        <v>323</v>
      </c>
      <c r="B112" s="469">
        <v>44164</v>
      </c>
      <c r="C112" s="237">
        <v>0.38541666666666669</v>
      </c>
      <c r="D112" s="418">
        <f>IF(V062A_2030313334[[#This Row],[FECHA]]-B111=1,((V062A_2030313334[[#This Row],[HORA]]-C111)*24)+24,(V062A_2030313334[[#This Row],[HORA]]-C111)*24)</f>
        <v>1.2500000000000009</v>
      </c>
      <c r="E112" s="473" t="s">
        <v>55</v>
      </c>
      <c r="F112" s="474" t="s">
        <v>62</v>
      </c>
      <c r="G112" s="475">
        <v>123</v>
      </c>
      <c r="H112" s="476">
        <v>9.25</v>
      </c>
      <c r="I112" s="477">
        <f>IF(ISERROR(V062A_2030313334[[#This Row],[DISTANCIA POR CARTA]]/V062A_2030313334[[#This Row],[TIEMPO DE NAVEGACION]]),0,V062A_2030313334[[#This Row],[DISTANCIA POR CARTA]]/V062A_2030313334[[#This Row],[TIEMPO DE NAVEGACION]])</f>
        <v>13.297297297297296</v>
      </c>
      <c r="J112" s="478">
        <v>4</v>
      </c>
      <c r="K112" s="479">
        <v>97</v>
      </c>
      <c r="L112" s="245">
        <v>1.2</v>
      </c>
      <c r="M112" s="246">
        <v>0.08</v>
      </c>
      <c r="N112" s="246">
        <v>0.06</v>
      </c>
      <c r="O112" s="246">
        <f>SUM(V062A_2030313334[[#This Row],[MPAL]]+V062A_2030313334[[#This Row],[AUX.]]+V062A_2030313334[[#This Row],[CALDERA]])</f>
        <v>1.34</v>
      </c>
      <c r="P112" s="319"/>
      <c r="Q112" s="270">
        <f>(Q111-V062A_2030313334[[#This Row],[TOTAL ]])+V062A_2030313334[[#This Row],[FAENA]]</f>
        <v>172.94999999999976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SUM(V062A_2030313334[[#This Row],[MPAL2]:[GI]])</f>
        <v>0</v>
      </c>
      <c r="X112" s="246"/>
      <c r="Y112" s="300">
        <f>(Y111-V062A_2030313334[[#This Row],[TOTAL]])+V062A_2030313334[[#This Row],[FAENA2]]</f>
        <v>61.680000000000007</v>
      </c>
      <c r="Z112" s="245">
        <v>15</v>
      </c>
      <c r="AA112" s="246">
        <v>0</v>
      </c>
      <c r="AB112" s="438">
        <f>(AB111-V062A_2030313334[[#This Row],[CYLINDER MP]])+V062A_2030313334[[#This Row],[FAENA EN LTS]]</f>
        <v>4008</v>
      </c>
      <c r="AC112" s="246">
        <v>0</v>
      </c>
      <c r="AD112" s="246">
        <v>0</v>
      </c>
      <c r="AE112" s="438">
        <f>(AE111-V062A_2030313334[[#This Row],[CARTER MP.]])+V062A_2030313334[[#This Row],[FAENA EN LTS2]]</f>
        <v>3500</v>
      </c>
      <c r="AF112" s="246">
        <v>20</v>
      </c>
      <c r="AG112" s="246">
        <v>0</v>
      </c>
      <c r="AH112" s="438">
        <f>(AH111-V062A_2030313334[[#This Row],[MOT AUX]])+V062A_2030313334[[#This Row],[FAENA EN  LTS]]</f>
        <v>1389</v>
      </c>
      <c r="AI112" s="246">
        <v>0</v>
      </c>
      <c r="AJ112" s="246">
        <v>0</v>
      </c>
      <c r="AK112" s="439">
        <f>(AK111-V062A_2030313334[[#This Row],[HIDRAULICO]])+V062A_2030313334[[#This Row],[FAENA EN LTS3]]</f>
        <v>1440</v>
      </c>
    </row>
    <row r="113" spans="1:37" x14ac:dyDescent="0.25">
      <c r="A113" s="431" t="s">
        <v>323</v>
      </c>
      <c r="B113" s="469">
        <v>44164</v>
      </c>
      <c r="C113" s="237">
        <v>0.43333333333333335</v>
      </c>
      <c r="D113" s="418">
        <f>IF(V062A_2030313334[[#This Row],[FECHA]]-B112=1,((V062A_2030313334[[#This Row],[HORA]]-C112)*24)+24,(V062A_2030313334[[#This Row],[HORA]]-C112)*24)</f>
        <v>1.1499999999999999</v>
      </c>
      <c r="E113" s="473" t="s">
        <v>47</v>
      </c>
      <c r="F113" s="474" t="s">
        <v>346</v>
      </c>
      <c r="G113" s="475"/>
      <c r="H113" s="476"/>
      <c r="I113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3" s="478"/>
      <c r="K113" s="479"/>
      <c r="L113" s="245">
        <v>0.48</v>
      </c>
      <c r="M113" s="246">
        <v>7.0000000000000007E-2</v>
      </c>
      <c r="N113" s="246">
        <v>0.06</v>
      </c>
      <c r="O113" s="246">
        <f>SUM(V062A_2030313334[[#This Row],[MPAL]]+V062A_2030313334[[#This Row],[AUX.]]+V062A_2030313334[[#This Row],[CALDERA]])</f>
        <v>0.6100000000000001</v>
      </c>
      <c r="P113" s="319"/>
      <c r="Q113" s="270">
        <f>(Q112-V062A_2030313334[[#This Row],[TOTAL ]])+V062A_2030313334[[#This Row],[FAENA]]</f>
        <v>172.33999999999975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SUM(V062A_2030313334[[#This Row],[MPAL2]:[GI]])</f>
        <v>0</v>
      </c>
      <c r="X113" s="246"/>
      <c r="Y113" s="300">
        <f>(Y112-V062A_2030313334[[#This Row],[TOTAL]])+V062A_2030313334[[#This Row],[FAENA2]]</f>
        <v>61.680000000000007</v>
      </c>
      <c r="Z113" s="245">
        <v>10</v>
      </c>
      <c r="AA113" s="246">
        <v>0</v>
      </c>
      <c r="AB113" s="438">
        <f>(AB112-V062A_2030313334[[#This Row],[CYLINDER MP]])+V062A_2030313334[[#This Row],[FAENA EN LTS]]</f>
        <v>3998</v>
      </c>
      <c r="AC113" s="246">
        <v>0</v>
      </c>
      <c r="AD113" s="246">
        <v>0</v>
      </c>
      <c r="AE113" s="438">
        <f>(AE112-V062A_2030313334[[#This Row],[CARTER MP.]])+V062A_2030313334[[#This Row],[FAENA EN LTS2]]</f>
        <v>3500</v>
      </c>
      <c r="AF113" s="246">
        <v>0</v>
      </c>
      <c r="AG113" s="246">
        <v>0</v>
      </c>
      <c r="AH113" s="438">
        <f>(AH112-V062A_2030313334[[#This Row],[MOT AUX]])+V062A_2030313334[[#This Row],[FAENA EN  LTS]]</f>
        <v>1389</v>
      </c>
      <c r="AI113" s="246">
        <v>0</v>
      </c>
      <c r="AJ113" s="246">
        <v>0</v>
      </c>
      <c r="AK113" s="439">
        <f>(AK112-V062A_2030313334[[#This Row],[HIDRAULICO]])+V062A_2030313334[[#This Row],[FAENA EN LTS3]]</f>
        <v>1440</v>
      </c>
    </row>
    <row r="114" spans="1:37" x14ac:dyDescent="0.25">
      <c r="A114" s="431" t="s">
        <v>323</v>
      </c>
      <c r="B114" s="469">
        <v>44164</v>
      </c>
      <c r="C114" s="442">
        <v>0.69166666666666676</v>
      </c>
      <c r="D114" s="418">
        <f>IF(V062A_2030313334[[#This Row],[FECHA]]-B113=1,((V062A_2030313334[[#This Row],[HORA]]-C113)*24)+24,(V062A_2030313334[[#This Row],[HORA]]-C113)*24)</f>
        <v>6.200000000000002</v>
      </c>
      <c r="E114" s="444" t="s">
        <v>49</v>
      </c>
      <c r="F114" s="480" t="s">
        <v>46</v>
      </c>
      <c r="G114" s="446"/>
      <c r="H114" s="447"/>
      <c r="I114" s="448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4" s="449"/>
      <c r="K114" s="450"/>
      <c r="L114" s="451">
        <v>0</v>
      </c>
      <c r="M114" s="443">
        <v>0.39</v>
      </c>
      <c r="N114" s="443">
        <v>0.31</v>
      </c>
      <c r="O114" s="246">
        <f>SUM(V062A_2030313334[[#This Row],[MPAL]]+V062A_2030313334[[#This Row],[AUX.]]+V062A_2030313334[[#This Row],[CALDERA]])</f>
        <v>0.7</v>
      </c>
      <c r="P114" s="452"/>
      <c r="Q114" s="270">
        <f>(Q113-V062A_2030313334[[#This Row],[TOTAL ]])+V062A_2030313334[[#This Row],[FAENA]]</f>
        <v>171.63999999999976</v>
      </c>
      <c r="R114" s="451">
        <v>0</v>
      </c>
      <c r="S114" s="443">
        <v>0</v>
      </c>
      <c r="T114" s="443">
        <v>0</v>
      </c>
      <c r="U114" s="443">
        <v>0</v>
      </c>
      <c r="V114" s="443">
        <v>0</v>
      </c>
      <c r="W114" s="443">
        <f>SUM(V062A_2030313334[[#This Row],[MPAL2]:[GI]])</f>
        <v>0</v>
      </c>
      <c r="X114" s="443"/>
      <c r="Y114" s="300">
        <f>(Y113-V062A_2030313334[[#This Row],[TOTAL]])+V062A_2030313334[[#This Row],[FAENA2]]</f>
        <v>61.680000000000007</v>
      </c>
      <c r="Z114" s="451">
        <v>0</v>
      </c>
      <c r="AA114" s="443">
        <v>0</v>
      </c>
      <c r="AB114" s="438">
        <f>(AB113-V062A_2030313334[[#This Row],[CYLINDER MP]])+V062A_2030313334[[#This Row],[FAENA EN LTS]]</f>
        <v>3998</v>
      </c>
      <c r="AC114" s="443">
        <v>0</v>
      </c>
      <c r="AD114" s="443">
        <v>0</v>
      </c>
      <c r="AE114" s="438">
        <f>(AE113-V062A_2030313334[[#This Row],[CARTER MP.]])+V062A_2030313334[[#This Row],[FAENA EN LTS2]]</f>
        <v>3500</v>
      </c>
      <c r="AF114" s="443">
        <v>0</v>
      </c>
      <c r="AG114" s="443">
        <v>0</v>
      </c>
      <c r="AH114" s="438">
        <f>(AH113-V062A_2030313334[[#This Row],[MOT AUX]])+V062A_2030313334[[#This Row],[FAENA EN  LTS]]</f>
        <v>1389</v>
      </c>
      <c r="AI114" s="443">
        <v>0</v>
      </c>
      <c r="AJ114" s="443">
        <v>0</v>
      </c>
      <c r="AK114" s="439">
        <f>(AK113-V062A_2030313334[[#This Row],[HIDRAULICO]])+V062A_2030313334[[#This Row],[FAENA EN LTS3]]</f>
        <v>1440</v>
      </c>
    </row>
    <row r="115" spans="1:37" x14ac:dyDescent="0.25">
      <c r="A115" s="431" t="s">
        <v>323</v>
      </c>
      <c r="B115" s="469">
        <v>44164</v>
      </c>
      <c r="C115" s="237">
        <v>0.71666666666666667</v>
      </c>
      <c r="D115" s="418">
        <f>IF(V062A_2030313334[[#This Row],[FECHA]]-B114=1,((V062A_2030313334[[#This Row],[HORA]]-C114)*24)+24,(V062A_2030313334[[#This Row],[HORA]]-C114)*24)</f>
        <v>0.59999999999999787</v>
      </c>
      <c r="E115" s="473" t="s">
        <v>47</v>
      </c>
      <c r="F115" s="474" t="s">
        <v>347</v>
      </c>
      <c r="G115" s="475"/>
      <c r="H115" s="476"/>
      <c r="I115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5" s="478"/>
      <c r="K115" s="479"/>
      <c r="L115" s="245">
        <v>0.25</v>
      </c>
      <c r="M115" s="246">
        <v>0.04</v>
      </c>
      <c r="N115" s="246">
        <v>0.03</v>
      </c>
      <c r="O115" s="246">
        <f>SUM(V062A_2030313334[[#This Row],[MPAL]]+V062A_2030313334[[#This Row],[AUX.]]+V062A_2030313334[[#This Row],[CALDERA]])</f>
        <v>0.31999999999999995</v>
      </c>
      <c r="P115" s="319"/>
      <c r="Q115" s="270">
        <f>(Q114-V062A_2030313334[[#This Row],[TOTAL ]])+V062A_2030313334[[#This Row],[FAENA]]</f>
        <v>171.31999999999977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SUM(V062A_2030313334[[#This Row],[MPAL2]:[GI]])</f>
        <v>0</v>
      </c>
      <c r="X115" s="246"/>
      <c r="Y115" s="300">
        <f>(Y114-V062A_2030313334[[#This Row],[TOTAL]])+V062A_2030313334[[#This Row],[FAENA2]]</f>
        <v>61.680000000000007</v>
      </c>
      <c r="Z115" s="245">
        <v>7</v>
      </c>
      <c r="AA115" s="246">
        <v>0</v>
      </c>
      <c r="AB115" s="438">
        <f>(AB114-V062A_2030313334[[#This Row],[CYLINDER MP]])+V062A_2030313334[[#This Row],[FAENA EN LTS]]</f>
        <v>3991</v>
      </c>
      <c r="AC115" s="246">
        <v>0</v>
      </c>
      <c r="AD115" s="246">
        <v>0</v>
      </c>
      <c r="AE115" s="438">
        <f>(AE114-V062A_2030313334[[#This Row],[CARTER MP.]])+V062A_2030313334[[#This Row],[FAENA EN LTS2]]</f>
        <v>3500</v>
      </c>
      <c r="AF115" s="246">
        <v>0</v>
      </c>
      <c r="AG115" s="246">
        <v>0</v>
      </c>
      <c r="AH115" s="438">
        <f>(AH114-V062A_2030313334[[#This Row],[MOT AUX]])+V062A_2030313334[[#This Row],[FAENA EN  LTS]]</f>
        <v>1389</v>
      </c>
      <c r="AI115" s="246">
        <v>0</v>
      </c>
      <c r="AJ115" s="246">
        <v>0</v>
      </c>
      <c r="AK115" s="439">
        <f>(AK114-V062A_2030313334[[#This Row],[HIDRAULICO]])+V062A_2030313334[[#This Row],[FAENA EN LTS3]]</f>
        <v>1440</v>
      </c>
    </row>
    <row r="116" spans="1:37" x14ac:dyDescent="0.25">
      <c r="A116" s="431" t="s">
        <v>323</v>
      </c>
      <c r="B116" s="469">
        <v>44164</v>
      </c>
      <c r="C116" s="237">
        <v>0.8125</v>
      </c>
      <c r="D116" s="418">
        <f>IF(V062A_2030313334[[#This Row],[FECHA]]-B115=1,((V062A_2030313334[[#This Row],[HORA]]-C115)*24)+24,(V062A_2030313334[[#This Row],[HORA]]-C115)*24)</f>
        <v>2.2999999999999998</v>
      </c>
      <c r="E116" s="473" t="s">
        <v>55</v>
      </c>
      <c r="F116" s="474" t="s">
        <v>348</v>
      </c>
      <c r="G116" s="475">
        <v>30</v>
      </c>
      <c r="H116" s="476">
        <v>2.2999999999999998</v>
      </c>
      <c r="I116" s="477">
        <f>IF(ISERROR(V062A_2030313334[[#This Row],[DISTANCIA POR CARTA]]/V062A_2030313334[[#This Row],[TIEMPO DE NAVEGACION]]),0,V062A_2030313334[[#This Row],[DISTANCIA POR CARTA]]/V062A_2030313334[[#This Row],[TIEMPO DE NAVEGACION]])</f>
        <v>13.043478260869566</v>
      </c>
      <c r="J116" s="478">
        <v>4</v>
      </c>
      <c r="K116" s="479">
        <v>97</v>
      </c>
      <c r="L116" s="245">
        <v>2.2000000000000002</v>
      </c>
      <c r="M116" s="246">
        <v>0.14000000000000001</v>
      </c>
      <c r="N116" s="246">
        <v>0.12</v>
      </c>
      <c r="O116" s="246">
        <f>SUM(V062A_2030313334[[#This Row],[MPAL]]+V062A_2030313334[[#This Row],[AUX.]]+V062A_2030313334[[#This Row],[CALDERA]])</f>
        <v>2.4600000000000004</v>
      </c>
      <c r="P116" s="319"/>
      <c r="Q116" s="270">
        <f>(Q115-V062A_2030313334[[#This Row],[TOTAL ]])+V062A_2030313334[[#This Row],[FAENA]]</f>
        <v>168.85999999999976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SUM(V062A_2030313334[[#This Row],[MPAL2]:[GI]])</f>
        <v>0</v>
      </c>
      <c r="X116" s="246"/>
      <c r="Y116" s="300">
        <f>(Y115-V062A_2030313334[[#This Row],[TOTAL]])+V062A_2030313334[[#This Row],[FAENA2]]</f>
        <v>61.680000000000007</v>
      </c>
      <c r="Z116" s="245">
        <v>27</v>
      </c>
      <c r="AA116" s="246">
        <v>0</v>
      </c>
      <c r="AB116" s="438">
        <f>(AB115-V062A_2030313334[[#This Row],[CYLINDER MP]])+V062A_2030313334[[#This Row],[FAENA EN LTS]]</f>
        <v>3964</v>
      </c>
      <c r="AC116" s="246">
        <v>0</v>
      </c>
      <c r="AD116" s="246">
        <v>0</v>
      </c>
      <c r="AE116" s="438">
        <f>(AE115-V062A_2030313334[[#This Row],[CARTER MP.]])+V062A_2030313334[[#This Row],[FAENA EN LTS2]]</f>
        <v>3500</v>
      </c>
      <c r="AF116" s="246">
        <v>40</v>
      </c>
      <c r="AG116" s="246">
        <v>0</v>
      </c>
      <c r="AH116" s="438">
        <f>(AH115-V062A_2030313334[[#This Row],[MOT AUX]])+V062A_2030313334[[#This Row],[FAENA EN  LTS]]</f>
        <v>1349</v>
      </c>
      <c r="AI116" s="246">
        <v>0</v>
      </c>
      <c r="AJ116" s="246">
        <v>0</v>
      </c>
      <c r="AK116" s="439">
        <f>(AK115-V062A_2030313334[[#This Row],[HIDRAULICO]])+V062A_2030313334[[#This Row],[FAENA EN LTS3]]</f>
        <v>1440</v>
      </c>
    </row>
    <row r="117" spans="1:37" x14ac:dyDescent="0.25">
      <c r="A117" s="431"/>
      <c r="B117" s="469"/>
      <c r="C117" s="237"/>
      <c r="D117" s="418">
        <f>IF(V062A_2030313334[[#This Row],[FECHA]]-B116=1,((V062A_2030313334[[#This Row],[HORA]]-C116)*24)+24,(V062A_2030313334[[#This Row],[HORA]]-C116)*24)</f>
        <v>-19.5</v>
      </c>
      <c r="E117" s="473"/>
      <c r="F117" s="474"/>
      <c r="G117" s="475"/>
      <c r="H117" s="476"/>
      <c r="I117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7" s="478"/>
      <c r="K117" s="479"/>
      <c r="L117" s="245"/>
      <c r="M117" s="246"/>
      <c r="N117" s="246"/>
      <c r="O117" s="246">
        <f>SUM(V062A_2030313334[[#This Row],[MPAL]]+V062A_2030313334[[#This Row],[AUX.]]+V062A_2030313334[[#This Row],[CALDERA]])</f>
        <v>0</v>
      </c>
      <c r="P117" s="319"/>
      <c r="Q117" s="270">
        <f>(Q116-V062A_2030313334[[#This Row],[TOTAL ]])+V062A_2030313334[[#This Row],[FAENA]]</f>
        <v>168.85999999999976</v>
      </c>
      <c r="R117" s="245"/>
      <c r="S117" s="246"/>
      <c r="T117" s="246"/>
      <c r="U117" s="246"/>
      <c r="V117" s="246"/>
      <c r="W117" s="246">
        <f>SUM(V062A_2030313334[[#This Row],[MPAL2]:[GI]])</f>
        <v>0</v>
      </c>
      <c r="X117" s="246"/>
      <c r="Y117" s="300">
        <f>(Y116-V062A_2030313334[[#This Row],[TOTAL]])+V062A_2030313334[[#This Row],[FAENA2]]</f>
        <v>61.680000000000007</v>
      </c>
      <c r="Z117" s="245"/>
      <c r="AA117" s="246"/>
      <c r="AB117" s="438">
        <f>(AB116-V062A_2030313334[[#This Row],[CYLINDER MP]])+V062A_2030313334[[#This Row],[FAENA EN LTS]]</f>
        <v>3964</v>
      </c>
      <c r="AC117" s="246"/>
      <c r="AD117" s="246"/>
      <c r="AE117" s="438">
        <f>(AE116-V062A_2030313334[[#This Row],[CARTER MP.]])+V062A_2030313334[[#This Row],[FAENA EN LTS2]]</f>
        <v>3500</v>
      </c>
      <c r="AF117" s="246"/>
      <c r="AG117" s="246"/>
      <c r="AH117" s="438">
        <f>(AH116-V062A_2030313334[[#This Row],[MOT AUX]])+V062A_2030313334[[#This Row],[FAENA EN  LTS]]</f>
        <v>1349</v>
      </c>
      <c r="AI117" s="246"/>
      <c r="AJ117" s="246"/>
      <c r="AK117" s="439">
        <f>(AK116-V062A_2030313334[[#This Row],[HIDRAULICO]])+V062A_2030313334[[#This Row],[FAENA EN LTS3]]</f>
        <v>1440</v>
      </c>
    </row>
    <row r="118" spans="1:37" x14ac:dyDescent="0.25">
      <c r="A118" s="431"/>
      <c r="B118" s="469"/>
      <c r="C118" s="237"/>
      <c r="D118" s="418">
        <f>IF(V062A_2030313334[[#This Row],[FECHA]]-B117=1,((V062A_2030313334[[#This Row],[HORA]]-C117)*24)+24,(V062A_2030313334[[#This Row],[HORA]]-C117)*24)</f>
        <v>0</v>
      </c>
      <c r="E118" s="473"/>
      <c r="F118" s="474"/>
      <c r="G118" s="475"/>
      <c r="H118" s="476"/>
      <c r="I118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8" s="478"/>
      <c r="K118" s="479"/>
      <c r="L118" s="245"/>
      <c r="M118" s="246"/>
      <c r="N118" s="246"/>
      <c r="O118" s="246">
        <f>SUM(V062A_2030313334[[#This Row],[MPAL]]+V062A_2030313334[[#This Row],[AUX.]]+V062A_2030313334[[#This Row],[CALDERA]])</f>
        <v>0</v>
      </c>
      <c r="P118" s="319"/>
      <c r="Q118" s="270">
        <f>(Q117-V062A_2030313334[[#This Row],[TOTAL ]])+V062A_2030313334[[#This Row],[FAENA]]</f>
        <v>168.85999999999976</v>
      </c>
      <c r="R118" s="245"/>
      <c r="S118" s="246"/>
      <c r="T118" s="246"/>
      <c r="U118" s="246"/>
      <c r="V118" s="246"/>
      <c r="W118" s="246">
        <f>SUM(V062A_2030313334[[#This Row],[MPAL2]:[GI]])</f>
        <v>0</v>
      </c>
      <c r="X118" s="246"/>
      <c r="Y118" s="300">
        <f>(Y117-V062A_2030313334[[#This Row],[TOTAL]])+V062A_2030313334[[#This Row],[FAENA2]]</f>
        <v>61.680000000000007</v>
      </c>
      <c r="Z118" s="245"/>
      <c r="AA118" s="246"/>
      <c r="AB118" s="438">
        <f>(AB117-V062A_2030313334[[#This Row],[CYLINDER MP]])+V062A_2030313334[[#This Row],[FAENA EN LTS]]</f>
        <v>3964</v>
      </c>
      <c r="AC118" s="246"/>
      <c r="AD118" s="246"/>
      <c r="AE118" s="438">
        <f>(AE117-V062A_2030313334[[#This Row],[CARTER MP.]])+V062A_2030313334[[#This Row],[FAENA EN LTS2]]</f>
        <v>3500</v>
      </c>
      <c r="AF118" s="246"/>
      <c r="AG118" s="246"/>
      <c r="AH118" s="438">
        <f>(AH117-V062A_2030313334[[#This Row],[MOT AUX]])+V062A_2030313334[[#This Row],[FAENA EN  LTS]]</f>
        <v>1349</v>
      </c>
      <c r="AI118" s="246"/>
      <c r="AJ118" s="246"/>
      <c r="AK118" s="439">
        <f>(AK117-V062A_2030313334[[#This Row],[HIDRAULICO]])+V062A_2030313334[[#This Row],[FAENA EN LTS3]]</f>
        <v>1440</v>
      </c>
    </row>
    <row r="119" spans="1:37" x14ac:dyDescent="0.25">
      <c r="A119" s="468"/>
      <c r="B119" s="469"/>
      <c r="C119" s="237"/>
      <c r="D119" s="418">
        <f>IF(V062A_2030313334[[#This Row],[FECHA]]-B118=1,((V062A_2030313334[[#This Row],[HORA]]-C118)*24)+24,(V062A_2030313334[[#This Row],[HORA]]-C118)*24)</f>
        <v>0</v>
      </c>
      <c r="E119" s="473"/>
      <c r="F119" s="474"/>
      <c r="G119" s="475"/>
      <c r="H119" s="476"/>
      <c r="I119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19" s="478"/>
      <c r="K119" s="479"/>
      <c r="L119" s="245"/>
      <c r="M119" s="246"/>
      <c r="N119" s="246"/>
      <c r="O119" s="246">
        <f>SUM(V062A_2030313334[[#This Row],[MPAL]]+V062A_2030313334[[#This Row],[AUX.]]+V062A_2030313334[[#This Row],[CALDERA]])</f>
        <v>0</v>
      </c>
      <c r="P119" s="319"/>
      <c r="Q119" s="270">
        <f>(Q118-V062A_2030313334[[#This Row],[TOTAL ]])+V062A_2030313334[[#This Row],[FAENA]]</f>
        <v>168.85999999999976</v>
      </c>
      <c r="R119" s="245"/>
      <c r="S119" s="246"/>
      <c r="T119" s="246"/>
      <c r="U119" s="246"/>
      <c r="V119" s="246"/>
      <c r="W119" s="246">
        <f>SUM(V062A_2030313334[[#This Row],[MPAL2]:[GI]])</f>
        <v>0</v>
      </c>
      <c r="X119" s="246"/>
      <c r="Y119" s="300">
        <f>(Y118-V062A_2030313334[[#This Row],[TOTAL]])+V062A_2030313334[[#This Row],[FAENA2]]</f>
        <v>61.680000000000007</v>
      </c>
      <c r="Z119" s="245"/>
      <c r="AA119" s="246"/>
      <c r="AB119" s="438">
        <f>(AB118-V062A_2030313334[[#This Row],[CYLINDER MP]])+V062A_2030313334[[#This Row],[FAENA EN LTS]]</f>
        <v>3964</v>
      </c>
      <c r="AC119" s="246"/>
      <c r="AD119" s="246"/>
      <c r="AE119" s="438">
        <f>(AE118-V062A_2030313334[[#This Row],[CARTER MP.]])+V062A_2030313334[[#This Row],[FAENA EN LTS2]]</f>
        <v>3500</v>
      </c>
      <c r="AF119" s="246"/>
      <c r="AG119" s="246"/>
      <c r="AH119" s="438">
        <f>(AH118-V062A_2030313334[[#This Row],[MOT AUX]])+V062A_2030313334[[#This Row],[FAENA EN  LTS]]</f>
        <v>1349</v>
      </c>
      <c r="AI119" s="246"/>
      <c r="AJ119" s="246"/>
      <c r="AK119" s="439">
        <f>(AK118-V062A_2030313334[[#This Row],[HIDRAULICO]])+V062A_2030313334[[#This Row],[FAENA EN LTS3]]</f>
        <v>1440</v>
      </c>
    </row>
    <row r="120" spans="1:37" x14ac:dyDescent="0.25">
      <c r="A120" s="468"/>
      <c r="B120" s="469"/>
      <c r="C120" s="237"/>
      <c r="D120" s="418">
        <f>IF(V062A_2030313334[[#This Row],[FECHA]]-B119=1,((V062A_2030313334[[#This Row],[HORA]]-C119)*24)+24,(V062A_2030313334[[#This Row],[HORA]]-C119)*24)</f>
        <v>0</v>
      </c>
      <c r="E120" s="473"/>
      <c r="F120" s="474"/>
      <c r="G120" s="475"/>
      <c r="H120" s="476"/>
      <c r="I120" s="477">
        <f>IF(ISERROR(V062A_2030313334[[#This Row],[DISTANCIA POR CARTA]]/V062A_2030313334[[#This Row],[TIEMPO DE NAVEGACION]]),0,V062A_2030313334[[#This Row],[DISTANCIA POR CARTA]]/V062A_2030313334[[#This Row],[TIEMPO DE NAVEGACION]])</f>
        <v>0</v>
      </c>
      <c r="J120" s="478"/>
      <c r="K120" s="479"/>
      <c r="L120" s="245"/>
      <c r="M120" s="246"/>
      <c r="N120" s="246"/>
      <c r="O120" s="246">
        <f>SUM(V062A_2030313334[[#This Row],[MPAL]]+V062A_2030313334[[#This Row],[AUX.]]+V062A_2030313334[[#This Row],[CALDERA]])</f>
        <v>0</v>
      </c>
      <c r="P120" s="319"/>
      <c r="Q120" s="270">
        <f>(Q119-V062A_2030313334[[#This Row],[TOTAL ]])+V062A_2030313334[[#This Row],[FAENA]]</f>
        <v>168.85999999999976</v>
      </c>
      <c r="R120" s="245"/>
      <c r="S120" s="246"/>
      <c r="T120" s="246"/>
      <c r="U120" s="246"/>
      <c r="V120" s="246"/>
      <c r="W120" s="246">
        <f>SUM(V062A_2030313334[[#This Row],[MPAL2]:[GI]])</f>
        <v>0</v>
      </c>
      <c r="X120" s="246"/>
      <c r="Y120" s="300">
        <f>(Y119-V062A_2030313334[[#This Row],[TOTAL]])+V062A_2030313334[[#This Row],[FAENA2]]</f>
        <v>61.680000000000007</v>
      </c>
      <c r="Z120" s="245"/>
      <c r="AA120" s="246"/>
      <c r="AB120" s="438">
        <f>(AB119-V062A_2030313334[[#This Row],[CYLINDER MP]])+V062A_2030313334[[#This Row],[FAENA EN LTS]]</f>
        <v>3964</v>
      </c>
      <c r="AC120" s="246"/>
      <c r="AD120" s="246"/>
      <c r="AE120" s="438">
        <f>(AE119-V062A_2030313334[[#This Row],[CARTER MP.]])+V062A_2030313334[[#This Row],[FAENA EN LTS2]]</f>
        <v>3500</v>
      </c>
      <c r="AF120" s="246"/>
      <c r="AG120" s="246"/>
      <c r="AH120" s="438">
        <f>(AH119-V062A_2030313334[[#This Row],[MOT AUX]])+V062A_2030313334[[#This Row],[FAENA EN  LTS]]</f>
        <v>1349</v>
      </c>
      <c r="AI120" s="246"/>
      <c r="AJ120" s="246"/>
      <c r="AK120" s="439">
        <f>(AK119-V062A_2030313334[[#This Row],[HIDRAULICO]])+V062A_2030313334[[#This Row],[FAENA EN LTS3]]</f>
        <v>1440</v>
      </c>
    </row>
    <row r="121" spans="1:37" x14ac:dyDescent="0.25">
      <c r="A121" s="431"/>
      <c r="B121" s="469"/>
      <c r="C121" s="237"/>
      <c r="D121" s="418">
        <f>IF(V062A_2030313334[[#This Row],[FECHA]]-B120=1,((V062A_2030313334[[#This Row],[HORA]]-C120)*24)+24,(V062A_2030313334[[#This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(Q120-V062A_2030313334[[#This Row],[TOTAL ]])+V062A_2030313334[[#This Row],[FAENA]]</f>
        <v>168.85999999999976</v>
      </c>
      <c r="R121" s="245"/>
      <c r="S121" s="246"/>
      <c r="T121" s="246"/>
      <c r="U121" s="246"/>
      <c r="V121" s="246"/>
      <c r="W121" s="246"/>
      <c r="X121" s="246"/>
      <c r="Y121" s="300">
        <f>(Y120-V062A_2030313334[[#This Row],[TOTAL]])+V062A_2030313334[[#This Row],[FAENA2]]</f>
        <v>61.680000000000007</v>
      </c>
      <c r="Z121" s="245"/>
      <c r="AA121" s="246"/>
      <c r="AB121" s="438">
        <f>(AB120-V062A_2030313334[[#This Row],[CYLINDER MP]])+V062A_2030313334[[#This Row],[FAENA EN LTS]]</f>
        <v>3964</v>
      </c>
      <c r="AC121" s="246"/>
      <c r="AD121" s="246"/>
      <c r="AE121" s="438">
        <f>(AE120-V062A_2030313334[[#This Row],[CARTER MP.]])+V062A_2030313334[[#This Row],[FAENA EN LTS2]]</f>
        <v>3500</v>
      </c>
      <c r="AF121" s="246"/>
      <c r="AG121" s="246"/>
      <c r="AH121" s="438">
        <f>(AH120-V062A_2030313334[[#This Row],[MOT AUX]])+V062A_2030313334[[#This Row],[FAENA EN  LTS]]</f>
        <v>1349</v>
      </c>
      <c r="AI121" s="246"/>
      <c r="AJ121" s="246"/>
      <c r="AK121" s="439">
        <f>(AK120-V062A_2030313334[[#This Row],[HIDRAULICO]])+V062A_2030313334[[#This Row],[FAENA EN LTS3]]</f>
        <v>1440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27.05</v>
      </c>
      <c r="E129" s="279"/>
      <c r="F129" s="288"/>
      <c r="G129" s="137"/>
      <c r="H129" s="84">
        <f>SUMIF($E$6:$E$116,C129,$L$6:$L$116)+SUMIF($E$6:$E$116,C129,$M$6:$M$116)+SUMIF($E$6:$E$116,C129,$N$6:$N$116)</f>
        <v>3.05</v>
      </c>
      <c r="I129" s="139">
        <f t="shared" ref="I129:I136" si="0">IF(ISERROR(H129*24/D129),0,H129*24/D129)</f>
        <v>2.7060998151571161</v>
      </c>
      <c r="J129" s="137">
        <v>6</v>
      </c>
      <c r="K129" s="80"/>
      <c r="L129" s="38">
        <f>D129*J129/24</f>
        <v>6.7625000000000002</v>
      </c>
      <c r="M129" s="80">
        <f t="shared" ref="M129:M136" si="1">L129-H129</f>
        <v>3.7125000000000004</v>
      </c>
      <c r="N129" s="86"/>
      <c r="Q129" s="82"/>
      <c r="R129" s="83" t="s">
        <v>105</v>
      </c>
      <c r="S129" s="228">
        <f>SUM(V5:V116)</f>
        <v>34.019999999999996</v>
      </c>
      <c r="T129" s="84">
        <f>S129*24/($D$130+$D$136)</f>
        <v>3.0408938547486031</v>
      </c>
      <c r="U129" s="84">
        <v>6</v>
      </c>
      <c r="V129" s="85">
        <f>($D$130+$D$136)*U129/24</f>
        <v>67.125</v>
      </c>
      <c r="W129" s="86">
        <f>V129-S129</f>
        <v>33.105000000000004</v>
      </c>
    </row>
    <row r="130" spans="3:23" x14ac:dyDescent="0.25">
      <c r="C130" s="87" t="s">
        <v>51</v>
      </c>
      <c r="D130" s="264">
        <f>SUMIF($E$6:$E$116,C130,$D$6:$D$116)</f>
        <v>83.8</v>
      </c>
      <c r="E130" s="264"/>
      <c r="F130" s="289"/>
      <c r="G130" s="139"/>
      <c r="H130" s="88">
        <f>SUMIF($E$6:$E$116,C130,$L$6:$L$116)+SUMIF($E$6:$E$116,C130,$M$6:$M$116)+SUMIF($E$6:$E$116,C130,$N$6:$N$116)</f>
        <v>11.280000000000001</v>
      </c>
      <c r="I130" s="139">
        <f t="shared" si="0"/>
        <v>3.2305489260143201</v>
      </c>
      <c r="J130" s="139">
        <v>6</v>
      </c>
      <c r="K130" s="88"/>
      <c r="L130" s="418">
        <f t="shared" ref="L130:L136" si="2">D130*J130/24</f>
        <v>20.95</v>
      </c>
      <c r="M130" s="88">
        <f t="shared" si="1"/>
        <v>9.6699999999999982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>
        <v>0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143.80000000000001</v>
      </c>
      <c r="E132" s="264">
        <f>SUMIF($E$6:$E$121,C132,$G$6:$G$121)</f>
        <v>1846</v>
      </c>
      <c r="F132" s="289">
        <f>E132/D132</f>
        <v>12.837273991655076</v>
      </c>
      <c r="G132" s="139">
        <v>12</v>
      </c>
      <c r="H132" s="88">
        <f>SUMIF($E$6:$E$121,C132,$L$6:$L$121)+SUMIF($E$6:$E$121,C132,$M$6:$M$121)+SUMIF($E$6:$E$121,C132,$N$6:$N$121)</f>
        <v>153.73999999999998</v>
      </c>
      <c r="I132" s="139">
        <f t="shared" si="0"/>
        <v>25.658970792767725</v>
      </c>
      <c r="J132" s="139">
        <v>27</v>
      </c>
      <c r="K132" s="88">
        <f>E132/G132</f>
        <v>153.83333333333334</v>
      </c>
      <c r="L132" s="418">
        <f>K132*J132/24</f>
        <v>173.0625</v>
      </c>
      <c r="M132" s="88">
        <f t="shared" si="1"/>
        <v>19.322500000000019</v>
      </c>
      <c r="N132" s="121">
        <f>K132-D132</f>
        <v>10.033333333333331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277.60000000000002</v>
      </c>
      <c r="E134" s="264"/>
      <c r="F134" s="289"/>
      <c r="G134" s="139"/>
      <c r="H134" s="88">
        <f>SUMIF($E$6:$E$121,C134,$L$6:$L$121)+SUMIF($E$6:$E$121,C134,$M$6:$M$121)+SUMIF($E$6:$E$121,C134,$N$6:$N$121)</f>
        <v>33.86</v>
      </c>
      <c r="I134" s="139">
        <f t="shared" si="0"/>
        <v>2.9273775216138325</v>
      </c>
      <c r="J134" s="139">
        <v>6</v>
      </c>
      <c r="K134" s="88"/>
      <c r="L134" s="418">
        <f t="shared" si="2"/>
        <v>69.400000000000006</v>
      </c>
      <c r="M134" s="88">
        <f t="shared" si="1"/>
        <v>35.540000000000006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114.35</v>
      </c>
      <c r="E135" s="264"/>
      <c r="F135" s="289"/>
      <c r="G135" s="139"/>
      <c r="H135" s="88">
        <f>SUMIF($E$6:$E$121,C135,$L$6:$L$121)+SUMIF($E$6:$E$121,C135,$M$6:$M$121)+SUMIF($E$6:$E$121,C135,$N$6:$N$121)</f>
        <v>21.59</v>
      </c>
      <c r="I135" s="139">
        <f t="shared" si="0"/>
        <v>4.5313511149978138</v>
      </c>
      <c r="J135" s="139">
        <v>6</v>
      </c>
      <c r="K135" s="88"/>
      <c r="L135" s="418">
        <f t="shared" si="2"/>
        <v>28.587499999999995</v>
      </c>
      <c r="M135" s="88">
        <f t="shared" si="1"/>
        <v>6.9974999999999952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184.7</v>
      </c>
      <c r="E136" s="290"/>
      <c r="F136" s="291"/>
      <c r="G136" s="140"/>
      <c r="H136" s="98">
        <f>SUMIF($E$6:$E$121,C136,$L$6:$L$121)+SUMIF($E$6:$E$121,C136,$M$6:$M$121)+SUMIF($E$6:$E$121,C136,$N$6:$N$121)</f>
        <v>22.680000000000007</v>
      </c>
      <c r="I136" s="141">
        <f t="shared" si="0"/>
        <v>2.9470492690850039</v>
      </c>
      <c r="J136" s="141">
        <v>8</v>
      </c>
      <c r="K136" s="98"/>
      <c r="L136" s="99">
        <f t="shared" si="2"/>
        <v>61.566666666666663</v>
      </c>
      <c r="M136" s="98">
        <f t="shared" si="1"/>
        <v>38.886666666666656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831.3</v>
      </c>
      <c r="E138" s="284">
        <f>SUM(E129:E135)</f>
        <v>1846</v>
      </c>
      <c r="F138" s="284">
        <f>SUM(F129:F135)/2</f>
        <v>6.418636995827538</v>
      </c>
      <c r="H138" s="101">
        <f>SUM(H129:H136)</f>
        <v>246.20000000000002</v>
      </c>
      <c r="K138" s="142"/>
      <c r="L138" s="104">
        <f>SUM(L129:L136)</f>
        <v>360.32916666666665</v>
      </c>
      <c r="M138" s="101">
        <f>SUM(M129:M136)</f>
        <v>114.12916666666669</v>
      </c>
      <c r="N138" s="101">
        <f ca="1">SUM(N129:N136)</f>
        <v>10.033333333333331</v>
      </c>
      <c r="R138" s="100" t="s">
        <v>29</v>
      </c>
      <c r="S138" s="101">
        <f>SUM(S129:S133)</f>
        <v>34.019999999999996</v>
      </c>
      <c r="T138" s="101">
        <f>SUM(T129:T133)</f>
        <v>3.0408938547486031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6:AA125" name="Rango8"/>
    <protectedRange sqref="X6:X125" name="Rango6"/>
    <protectedRange sqref="R6:V125" name="Rango5"/>
    <protectedRange sqref="P6:P125" name="Rango3"/>
    <protectedRange sqref="J124:N125 J122:K123 E6:H125 J6:N121" name="Rango2"/>
    <protectedRange sqref="A6:C125" name="Rango1"/>
    <protectedRange sqref="B4:C4" name="Rango16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528" priority="13" operator="greaterThan">
      <formula>"S5"</formula>
    </cfRule>
  </conditionalFormatting>
  <conditionalFormatting sqref="I54:I117 I119:I125">
    <cfRule type="cellIs" dxfId="527" priority="12" operator="greaterThan">
      <formula>0</formula>
    </cfRule>
  </conditionalFormatting>
  <conditionalFormatting sqref="J9">
    <cfRule type="cellIs" dxfId="526" priority="11" operator="greaterThan">
      <formula>"S5"</formula>
    </cfRule>
  </conditionalFormatting>
  <conditionalFormatting sqref="I9">
    <cfRule type="cellIs" dxfId="525" priority="10" operator="greaterThan">
      <formula>0</formula>
    </cfRule>
  </conditionalFormatting>
  <conditionalFormatting sqref="I10:I43 I46:I53">
    <cfRule type="cellIs" dxfId="524" priority="9" operator="greaterThan">
      <formula>0</formula>
    </cfRule>
  </conditionalFormatting>
  <conditionalFormatting sqref="I6:I8">
    <cfRule type="cellIs" dxfId="523" priority="5" operator="greaterThan">
      <formula>0</formula>
    </cfRule>
  </conditionalFormatting>
  <conditionalFormatting sqref="J6:J8">
    <cfRule type="cellIs" dxfId="522" priority="6" operator="greaterThan">
      <formula>"S5"</formula>
    </cfRule>
  </conditionalFormatting>
  <conditionalFormatting sqref="J44:J45">
    <cfRule type="cellIs" dxfId="521" priority="4" operator="greaterThan">
      <formula>"S5"</formula>
    </cfRule>
  </conditionalFormatting>
  <conditionalFormatting sqref="I44:I45">
    <cfRule type="cellIs" dxfId="520" priority="3" operator="greaterThan">
      <formula>0</formula>
    </cfRule>
  </conditionalFormatting>
  <conditionalFormatting sqref="J118">
    <cfRule type="cellIs" dxfId="519" priority="2" operator="greaterThan">
      <formula>"S5"</formula>
    </cfRule>
  </conditionalFormatting>
  <conditionalFormatting sqref="I118">
    <cfRule type="cellIs" dxfId="518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47"/>
  <sheetViews>
    <sheetView zoomScale="70" zoomScaleNormal="70" workbookViewId="0">
      <pane xSplit="6" ySplit="5" topLeftCell="G123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F138" sqref="F138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44164</v>
      </c>
      <c r="C4" s="341">
        <v>0.8125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168.86</v>
      </c>
      <c r="R4" s="553" t="s">
        <v>183</v>
      </c>
      <c r="S4" s="554"/>
      <c r="T4" s="554"/>
      <c r="U4" s="554"/>
      <c r="V4" s="554"/>
      <c r="W4" s="554"/>
      <c r="X4" s="555"/>
      <c r="Y4" s="283">
        <v>61.68</v>
      </c>
      <c r="Z4" s="6"/>
      <c r="AA4" s="7" t="s">
        <v>184</v>
      </c>
      <c r="AB4" s="304">
        <v>3964</v>
      </c>
      <c r="AC4" s="9"/>
      <c r="AD4" s="7" t="s">
        <v>184</v>
      </c>
      <c r="AE4" s="304">
        <v>3500</v>
      </c>
      <c r="AG4" s="7" t="s">
        <v>184</v>
      </c>
      <c r="AH4" s="304">
        <v>1349</v>
      </c>
      <c r="AJ4" s="7" t="s">
        <v>184</v>
      </c>
      <c r="AK4" s="304">
        <v>1440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349</v>
      </c>
      <c r="B6" s="48">
        <v>44164</v>
      </c>
      <c r="C6" s="237">
        <v>0.9</v>
      </c>
      <c r="D6" s="418">
        <v>2.1</v>
      </c>
      <c r="E6" s="473" t="s">
        <v>47</v>
      </c>
      <c r="F6" s="474" t="s">
        <v>291</v>
      </c>
      <c r="G6" s="433"/>
      <c r="H6" s="434"/>
      <c r="I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" s="436"/>
      <c r="K6" s="437"/>
      <c r="L6" s="245">
        <v>0.88</v>
      </c>
      <c r="M6" s="246">
        <v>0.13</v>
      </c>
      <c r="N6" s="246">
        <v>0.11</v>
      </c>
      <c r="O6" s="246">
        <f>SUM(V062A_203031333436[[#This Row],[MPAL]]+V062A_203031333436[[#This Row],[AUX.]]+V062A_203031333436[[#This Row],[CALDERA]])</f>
        <v>1.1200000000000001</v>
      </c>
      <c r="P6" s="319"/>
      <c r="Q6" s="270">
        <f>(Q4-V062A_203031333436[[#This Row],[TOTAL ]])+V062A_203031333436[[#This Row],[FAENA]]</f>
        <v>167.74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SUM(V062A_203031333436[[#This Row],[MPAL2]:[GI]])</f>
        <v>0</v>
      </c>
      <c r="X6" s="246"/>
      <c r="Y6" s="300">
        <f>(Y4-V062A_203031333436[[#This Row],[TOTAL]])+V062A_203031333436[[#This Row],[FAENA2]]</f>
        <v>61.68</v>
      </c>
      <c r="Z6" s="245">
        <v>25</v>
      </c>
      <c r="AA6" s="246">
        <v>0</v>
      </c>
      <c r="AB6" s="438">
        <f>(AB4-V062A_203031333436[[#This Row],[CYLINDER MP]])+V062A_203031333436[[#This Row],[FAENA EN LTS]]</f>
        <v>3939</v>
      </c>
      <c r="AC6" s="246">
        <v>0</v>
      </c>
      <c r="AD6" s="246">
        <v>0</v>
      </c>
      <c r="AE6" s="438">
        <f>(AE4-V062A_203031333436[[#This Row],[CARTER MP.]])+V062A_203031333436[[#This Row],[FAENA EN LTS2]]</f>
        <v>3500</v>
      </c>
      <c r="AF6" s="246">
        <v>0</v>
      </c>
      <c r="AG6" s="246">
        <v>0</v>
      </c>
      <c r="AH6" s="438">
        <f>(AH4-V062A_203031333436[[#This Row],[MOT AUX]])+V062A_203031333436[[#This Row],[FAENA EN  LTS]]</f>
        <v>1349</v>
      </c>
      <c r="AI6" s="246">
        <v>0</v>
      </c>
      <c r="AJ6" s="246">
        <v>0</v>
      </c>
      <c r="AK6" s="439">
        <f>(AK4-V062A_203031333436[[#This Row],[HIDRAULICO]])+V062A_203031333436[[#This Row],[FAENA EN LTS3]]</f>
        <v>1440</v>
      </c>
    </row>
    <row r="7" spans="1:37" x14ac:dyDescent="0.25">
      <c r="A7" s="431" t="s">
        <v>349</v>
      </c>
      <c r="B7" s="48">
        <v>44165</v>
      </c>
      <c r="C7" s="237">
        <v>0.33333333333333331</v>
      </c>
      <c r="D7" s="418">
        <f>IF(V062A_203031333436[[#This Row],[FECHA]]-B6=1,((V062A_203031333436[[#This Row],[HORA]]-C6)*24)+24,(V062A_203031333436[[#This Row],[HORA]]-C6)*24)</f>
        <v>10.4</v>
      </c>
      <c r="E7" s="473" t="s">
        <v>71</v>
      </c>
      <c r="F7" s="474" t="s">
        <v>343</v>
      </c>
      <c r="G7" s="433"/>
      <c r="H7" s="434"/>
      <c r="I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" s="436"/>
      <c r="K7" s="437"/>
      <c r="L7" s="245">
        <v>0</v>
      </c>
      <c r="M7" s="246">
        <v>0.65</v>
      </c>
      <c r="N7" s="246">
        <v>0.52</v>
      </c>
      <c r="O7" s="246">
        <f>SUM(V062A_203031333436[[#This Row],[MPAL]]+V062A_203031333436[[#This Row],[AUX.]]+V062A_203031333436[[#This Row],[CALDERA]])</f>
        <v>1.17</v>
      </c>
      <c r="P7" s="319"/>
      <c r="Q7" s="270">
        <f>(Q6-V062A_203031333436[[#This Row],[TOTAL ]])+V062A_203031333436[[#This Row],[FAENA]]</f>
        <v>166.57000000000002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SUM(V062A_203031333436[[#This Row],[MPAL2]:[GI]])</f>
        <v>0</v>
      </c>
      <c r="X7" s="246"/>
      <c r="Y7" s="300">
        <f>(Y6-V062A_203031333436[[#This Row],[TOTAL]])+V062A_203031333436[[#This Row],[FAENA2]]</f>
        <v>61.68</v>
      </c>
      <c r="Z7" s="245">
        <v>0</v>
      </c>
      <c r="AA7" s="246">
        <v>0</v>
      </c>
      <c r="AB7" s="438">
        <f>(AB6-V062A_203031333436[[#This Row],[CYLINDER MP]])+V062A_203031333436[[#This Row],[FAENA EN LTS]]</f>
        <v>3939</v>
      </c>
      <c r="AC7" s="246">
        <v>0</v>
      </c>
      <c r="AD7" s="246">
        <v>0</v>
      </c>
      <c r="AE7" s="438">
        <f>(AE6-V062A_203031333436[[#This Row],[CARTER MP.]])+V062A_203031333436[[#This Row],[FAENA EN LTS2]]</f>
        <v>3500</v>
      </c>
      <c r="AF7" s="246">
        <v>0</v>
      </c>
      <c r="AG7" s="246">
        <v>0</v>
      </c>
      <c r="AH7" s="438">
        <f>(AH6-V062A_203031333436[[#This Row],[MOT AUX]])+V062A_203031333436[[#This Row],[FAENA EN  LTS]]</f>
        <v>1349</v>
      </c>
      <c r="AI7" s="246">
        <v>300</v>
      </c>
      <c r="AJ7" s="246">
        <v>0</v>
      </c>
      <c r="AK7" s="439">
        <f>(AK6-V062A_203031333436[[#This Row],[HIDRAULICO]])+V062A_203031333436[[#This Row],[FAENA EN LTS3]]</f>
        <v>1140</v>
      </c>
    </row>
    <row r="8" spans="1:37" x14ac:dyDescent="0.25">
      <c r="A8" s="431" t="s">
        <v>349</v>
      </c>
      <c r="B8" s="48">
        <v>44166</v>
      </c>
      <c r="C8" s="237">
        <v>0.33333333333333331</v>
      </c>
      <c r="D8" s="418">
        <f>IF(V062A_203031333436[[#This Row],[FECHA]]-B7=1,((V062A_203031333436[[#This Row],[HORA]]-C7)*24)+24,(V062A_203031333436[[#This Row],[HORA]]-C7)*24)</f>
        <v>24</v>
      </c>
      <c r="E8" s="432" t="s">
        <v>71</v>
      </c>
      <c r="F8" s="378" t="s">
        <v>343</v>
      </c>
      <c r="G8" s="433"/>
      <c r="H8" s="434"/>
      <c r="I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" s="436"/>
      <c r="K8" s="437"/>
      <c r="L8" s="483">
        <v>0</v>
      </c>
      <c r="M8" s="246">
        <v>1.5</v>
      </c>
      <c r="N8" s="484">
        <v>1.2</v>
      </c>
      <c r="O8" s="246">
        <f>SUM(V062A_203031333436[[#This Row],[MPAL]]+V062A_203031333436[[#This Row],[AUX.]]+V062A_203031333436[[#This Row],[CALDERA]])</f>
        <v>2.7</v>
      </c>
      <c r="P8" s="319"/>
      <c r="Q8" s="270">
        <f>(Q7-V062A_203031333436[[#This Row],[TOTAL ]])+V062A_203031333436[[#This Row],[FAENA]]</f>
        <v>163.87000000000003</v>
      </c>
      <c r="R8" s="245">
        <v>0</v>
      </c>
      <c r="S8" s="246">
        <v>0</v>
      </c>
      <c r="T8" s="246">
        <v>0</v>
      </c>
      <c r="U8" s="246">
        <v>0</v>
      </c>
      <c r="V8" s="246">
        <v>4.2</v>
      </c>
      <c r="W8" s="246">
        <f>SUM(V062A_203031333436[[#This Row],[MPAL2]:[GI]])</f>
        <v>4.2</v>
      </c>
      <c r="X8" s="246"/>
      <c r="Y8" s="300">
        <f>(Y7-V062A_203031333436[[#This Row],[TOTAL]])+V062A_203031333436[[#This Row],[FAENA2]]</f>
        <v>57.48</v>
      </c>
      <c r="Z8" s="245">
        <v>0</v>
      </c>
      <c r="AA8" s="246">
        <v>0</v>
      </c>
      <c r="AB8" s="438">
        <f>(AB7-V062A_203031333436[[#This Row],[CYLINDER MP]])+V062A_203031333436[[#This Row],[FAENA EN LTS]]</f>
        <v>3939</v>
      </c>
      <c r="AC8" s="246">
        <v>0</v>
      </c>
      <c r="AD8" s="246">
        <v>0</v>
      </c>
      <c r="AE8" s="438">
        <f>(AE7-V062A_203031333436[[#This Row],[CARTER MP.]])+V062A_203031333436[[#This Row],[FAENA EN LTS2]]</f>
        <v>3500</v>
      </c>
      <c r="AF8" s="246">
        <v>20</v>
      </c>
      <c r="AG8" s="246">
        <v>0</v>
      </c>
      <c r="AH8" s="438">
        <f>(AH7-V062A_203031333436[[#This Row],[MOT AUX]])+V062A_203031333436[[#This Row],[FAENA EN  LTS]]</f>
        <v>1329</v>
      </c>
      <c r="AI8" s="246">
        <v>0</v>
      </c>
      <c r="AJ8" s="246">
        <v>0</v>
      </c>
      <c r="AK8" s="439">
        <f>(AK7-V062A_203031333436[[#This Row],[HIDRAULICO]])+V062A_203031333436[[#This Row],[FAENA EN LTS3]]</f>
        <v>1140</v>
      </c>
    </row>
    <row r="9" spans="1:37" x14ac:dyDescent="0.25">
      <c r="A9" s="431" t="s">
        <v>349</v>
      </c>
      <c r="B9" s="48">
        <v>44167</v>
      </c>
      <c r="C9" s="41">
        <v>0.33333333333333331</v>
      </c>
      <c r="D9" s="418">
        <f>IF(V062A_203031333436[[#This Row],[FECHA]]-B8=1,((V062A_203031333436[[#This Row],[HORA]]-C8)*24)+24,(V062A_203031333436[[#This Row],[HORA]]-C8)*24)</f>
        <v>24</v>
      </c>
      <c r="E9" s="239" t="s">
        <v>71</v>
      </c>
      <c r="F9" s="29" t="s">
        <v>343</v>
      </c>
      <c r="G9" s="324"/>
      <c r="H9" s="306"/>
      <c r="I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" s="242"/>
      <c r="K9" s="325"/>
      <c r="L9" s="483">
        <v>0</v>
      </c>
      <c r="M9" s="246">
        <v>1.5</v>
      </c>
      <c r="N9" s="484">
        <v>1.2</v>
      </c>
      <c r="O9" s="257">
        <f>SUM(V062A_203031333436[[#This Row],[MPAL]]+V062A_203031333436[[#This Row],[AUX.]]+V062A_203031333436[[#This Row],[CALDERA]])</f>
        <v>2.7</v>
      </c>
      <c r="P9" s="319"/>
      <c r="Q9" s="281">
        <f>(Q8-V062A_203031333436[[#This Row],[TOTAL ]])+V062A_203031333436[[#This Row],[FAENA]]</f>
        <v>161.17000000000004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SUM(V062A_203031333436[[#This Row],[MPAL2]:[GI]])</f>
        <v>0</v>
      </c>
      <c r="X9" s="246"/>
      <c r="Y9" s="282">
        <f>(Y8-V062A_203031333436[[#This Row],[TOTAL]])+V062A_203031333436[[#This Row],[FAENA2]]</f>
        <v>57.48</v>
      </c>
      <c r="Z9" s="245">
        <v>0</v>
      </c>
      <c r="AA9" s="246">
        <v>0</v>
      </c>
      <c r="AB9" s="320">
        <f>(AB8-V062A_203031333436[[#This Row],[CYLINDER MP]])+V062A_203031333436[[#This Row],[FAENA EN LTS]]</f>
        <v>3939</v>
      </c>
      <c r="AC9" s="246">
        <v>0</v>
      </c>
      <c r="AD9" s="246">
        <v>0</v>
      </c>
      <c r="AE9" s="320">
        <f>(AE8-V062A_203031333436[[#This Row],[CARTER MP.]])+V062A_203031333436[[#This Row],[FAENA EN LTS2]]</f>
        <v>3500</v>
      </c>
      <c r="AF9" s="246">
        <v>20</v>
      </c>
      <c r="AG9" s="246">
        <v>0</v>
      </c>
      <c r="AH9" s="320">
        <f>(AH8-V062A_203031333436[[#This Row],[MOT AUX]])+V062A_203031333436[[#This Row],[FAENA EN  LTS]]</f>
        <v>1309</v>
      </c>
      <c r="AI9" s="246">
        <v>0</v>
      </c>
      <c r="AJ9" s="246">
        <v>0</v>
      </c>
      <c r="AK9" s="321">
        <f>(AK8-V062A_203031333436[[#This Row],[HIDRAULICO]])+V062A_203031333436[[#This Row],[FAENA EN LTS3]]</f>
        <v>1140</v>
      </c>
    </row>
    <row r="10" spans="1:37" x14ac:dyDescent="0.25">
      <c r="A10" s="431" t="s">
        <v>349</v>
      </c>
      <c r="B10" s="48">
        <v>44168</v>
      </c>
      <c r="C10" s="41">
        <v>0.33333333333333331</v>
      </c>
      <c r="D10" s="418">
        <f>IF(V062A_203031333436[[#This Row],[FECHA]]-B9=1,((V062A_203031333436[[#This Row],[HORA]]-C9)*24)+24,(V062A_203031333436[[#This Row],[HORA]]-C9)*24)</f>
        <v>24</v>
      </c>
      <c r="E10" s="239" t="s">
        <v>71</v>
      </c>
      <c r="F10" s="29" t="s">
        <v>343</v>
      </c>
      <c r="G10" s="324"/>
      <c r="H10" s="306"/>
      <c r="I1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SUM(V062A_203031333436[[#This Row],[MPAL]]+V062A_203031333436[[#This Row],[AUX.]]+V062A_203031333436[[#This Row],[CALDERA]])</f>
        <v>2.7</v>
      </c>
      <c r="P10" s="319"/>
      <c r="Q10" s="281">
        <f>(Q9-V062A_203031333436[[#This Row],[TOTAL ]])+V062A_203031333436[[#This Row],[FAENA]]</f>
        <v>158.47000000000006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SUM(V062A_203031333436[[#This Row],[MPAL2]:[GI]])</f>
        <v>0</v>
      </c>
      <c r="X10" s="246"/>
      <c r="Y10" s="282">
        <f>(Y9-V062A_203031333436[[#This Row],[TOTAL]])+V062A_203031333436[[#This Row],[FAENA2]]</f>
        <v>57.48</v>
      </c>
      <c r="Z10" s="245">
        <v>0</v>
      </c>
      <c r="AA10" s="246">
        <v>0</v>
      </c>
      <c r="AB10" s="320">
        <f>(AB9-V062A_203031333436[[#This Row],[CYLINDER MP]])+V062A_203031333436[[#This Row],[FAENA EN LTS]]</f>
        <v>3939</v>
      </c>
      <c r="AC10" s="246">
        <v>0</v>
      </c>
      <c r="AD10" s="246">
        <v>0</v>
      </c>
      <c r="AE10" s="320">
        <f>(AE9-V062A_203031333436[[#This Row],[CARTER MP.]])+V062A_203031333436[[#This Row],[FAENA EN LTS2]]</f>
        <v>3500</v>
      </c>
      <c r="AF10" s="246">
        <v>20</v>
      </c>
      <c r="AG10" s="246">
        <v>0</v>
      </c>
      <c r="AH10" s="320">
        <f>(AH9-V062A_203031333436[[#This Row],[MOT AUX]])+V062A_203031333436[[#This Row],[FAENA EN  LTS]]</f>
        <v>1289</v>
      </c>
      <c r="AI10" s="246">
        <v>0</v>
      </c>
      <c r="AJ10" s="246">
        <v>0</v>
      </c>
      <c r="AK10" s="321">
        <f>(AK9-V062A_203031333436[[#This Row],[HIDRAULICO]])+V062A_203031333436[[#This Row],[FAENA EN LTS3]]</f>
        <v>1140</v>
      </c>
    </row>
    <row r="11" spans="1:37" x14ac:dyDescent="0.25">
      <c r="A11" s="431" t="s">
        <v>349</v>
      </c>
      <c r="B11" s="48">
        <v>44168</v>
      </c>
      <c r="C11" s="41">
        <v>0.4201388888888889</v>
      </c>
      <c r="D11" s="418">
        <f>IF(V062A_203031333436[[#This Row],[FECHA]]-B10=1,((V062A_203031333436[[#This Row],[HORA]]-C10)*24)+24,(V062A_203031333436[[#This Row],[HORA]]-C10)*24)</f>
        <v>2.0833333333333339</v>
      </c>
      <c r="E11" s="239" t="s">
        <v>71</v>
      </c>
      <c r="F11" s="29" t="s">
        <v>350</v>
      </c>
      <c r="G11" s="324"/>
      <c r="H11" s="306"/>
      <c r="I1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" s="242"/>
      <c r="K11" s="325"/>
      <c r="L11" s="483">
        <v>0</v>
      </c>
      <c r="M11" s="246">
        <v>0.13</v>
      </c>
      <c r="N11" s="484">
        <v>0.1</v>
      </c>
      <c r="O11" s="257">
        <f>SUM(V062A_203031333436[[#This Row],[MPAL]]+V062A_203031333436[[#This Row],[AUX.]]+V062A_203031333436[[#This Row],[CALDERA]])</f>
        <v>0.23</v>
      </c>
      <c r="P11" s="319"/>
      <c r="Q11" s="281">
        <f>(Q10-V062A_203031333436[[#This Row],[TOTAL ]])+V062A_203031333436[[#This Row],[FAENA]]</f>
        <v>158.24000000000007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SUM(V062A_203031333436[[#This Row],[MPAL2]:[GI]])</f>
        <v>0</v>
      </c>
      <c r="X11" s="246"/>
      <c r="Y11" s="282">
        <f>(Y10-V062A_203031333436[[#This Row],[TOTAL]])+V062A_203031333436[[#This Row],[FAENA2]]</f>
        <v>57.48</v>
      </c>
      <c r="Z11" s="245">
        <v>0</v>
      </c>
      <c r="AA11" s="246">
        <v>0</v>
      </c>
      <c r="AB11" s="320">
        <f>(AB10-V062A_203031333436[[#This Row],[CYLINDER MP]])+V062A_203031333436[[#This Row],[FAENA EN LTS]]</f>
        <v>3939</v>
      </c>
      <c r="AC11" s="246">
        <v>0</v>
      </c>
      <c r="AD11" s="246">
        <v>0</v>
      </c>
      <c r="AE11" s="320">
        <f>(AE10-V062A_203031333436[[#This Row],[CARTER MP.]])+V062A_203031333436[[#This Row],[FAENA EN LTS2]]</f>
        <v>3500</v>
      </c>
      <c r="AF11" s="246">
        <v>0</v>
      </c>
      <c r="AG11" s="246">
        <v>0</v>
      </c>
      <c r="AH11" s="320">
        <f>(AH10-V062A_203031333436[[#This Row],[MOT AUX]])+V062A_203031333436[[#This Row],[FAENA EN  LTS]]</f>
        <v>1289</v>
      </c>
      <c r="AI11" s="246">
        <v>0</v>
      </c>
      <c r="AJ11" s="246">
        <v>0</v>
      </c>
      <c r="AK11" s="321">
        <f>(AK10-V062A_203031333436[[#This Row],[HIDRAULICO]])+V062A_203031333436[[#This Row],[FAENA EN LTS3]]</f>
        <v>1140</v>
      </c>
    </row>
    <row r="12" spans="1:37" x14ac:dyDescent="0.25">
      <c r="A12" s="431" t="s">
        <v>349</v>
      </c>
      <c r="B12" s="48">
        <v>44168</v>
      </c>
      <c r="C12" s="41">
        <v>0.69791666666666663</v>
      </c>
      <c r="D12" s="418">
        <f>IF(V062A_203031333436[[#This Row],[FECHA]]-B11=1,((V062A_203031333436[[#This Row],[HORA]]-C11)*24)+24,(V062A_203031333436[[#This Row],[HORA]]-C11)*24)</f>
        <v>6.6666666666666661</v>
      </c>
      <c r="E12" s="239" t="s">
        <v>71</v>
      </c>
      <c r="F12" s="29" t="s">
        <v>351</v>
      </c>
      <c r="G12" s="324"/>
      <c r="H12" s="306"/>
      <c r="I1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" s="380"/>
      <c r="K12" s="325"/>
      <c r="L12" s="483">
        <v>0</v>
      </c>
      <c r="M12" s="246">
        <v>0.86</v>
      </c>
      <c r="N12" s="484">
        <v>0.33</v>
      </c>
      <c r="O12" s="257">
        <f>SUM(V062A_203031333436[[#This Row],[MPAL]]+V062A_203031333436[[#This Row],[AUX.]]+V062A_203031333436[[#This Row],[CALDERA]])</f>
        <v>1.19</v>
      </c>
      <c r="P12" s="319">
        <v>461.947</v>
      </c>
      <c r="Q12" s="281">
        <f>(Q11-V062A_203031333436[[#This Row],[TOTAL ]])+V062A_203031333436[[#This Row],[FAENA]]</f>
        <v>618.99700000000007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SUM(V062A_203031333436[[#This Row],[MPAL2]:[GI]])</f>
        <v>0</v>
      </c>
      <c r="X12" s="246"/>
      <c r="Y12" s="282">
        <f>(Y11-V062A_203031333436[[#This Row],[TOTAL]])+V062A_203031333436[[#This Row],[FAENA2]]</f>
        <v>57.48</v>
      </c>
      <c r="Z12" s="245">
        <v>0</v>
      </c>
      <c r="AA12" s="246">
        <v>0</v>
      </c>
      <c r="AB12" s="320">
        <f>(AB11-V062A_203031333436[[#This Row],[CYLINDER MP]])+V062A_203031333436[[#This Row],[FAENA EN LTS]]</f>
        <v>3939</v>
      </c>
      <c r="AC12" s="246">
        <v>0</v>
      </c>
      <c r="AD12" s="246">
        <v>0</v>
      </c>
      <c r="AE12" s="320">
        <f>(AE11-V062A_203031333436[[#This Row],[CARTER MP.]])+V062A_203031333436[[#This Row],[FAENA EN LTS2]]</f>
        <v>3500</v>
      </c>
      <c r="AF12" s="246">
        <v>0</v>
      </c>
      <c r="AG12" s="246">
        <v>0</v>
      </c>
      <c r="AH12" s="320">
        <f>(AH11-V062A_203031333436[[#This Row],[MOT AUX]])+V062A_203031333436[[#This Row],[FAENA EN  LTS]]</f>
        <v>1289</v>
      </c>
      <c r="AI12" s="246">
        <v>0</v>
      </c>
      <c r="AJ12" s="246">
        <v>0</v>
      </c>
      <c r="AK12" s="321">
        <f>(AK11-V062A_203031333436[[#This Row],[HIDRAULICO]])+V062A_203031333436[[#This Row],[FAENA EN LTS3]]</f>
        <v>1140</v>
      </c>
    </row>
    <row r="13" spans="1:37" x14ac:dyDescent="0.25">
      <c r="A13" s="431" t="s">
        <v>349</v>
      </c>
      <c r="B13" s="48">
        <v>44168</v>
      </c>
      <c r="C13" s="41">
        <v>0.9291666666666667</v>
      </c>
      <c r="D13" s="418">
        <f>IF(V062A_203031333436[[#This Row],[FECHA]]-B12=1,((V062A_203031333436[[#This Row],[HORA]]-C12)*24)+24,(V062A_203031333436[[#This Row],[HORA]]-C12)*24)</f>
        <v>5.5500000000000016</v>
      </c>
      <c r="E13" s="239" t="s">
        <v>51</v>
      </c>
      <c r="F13" s="29" t="s">
        <v>352</v>
      </c>
      <c r="G13" s="324"/>
      <c r="H13" s="306"/>
      <c r="I1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3" s="380"/>
      <c r="K13" s="325"/>
      <c r="L13" s="483">
        <v>0</v>
      </c>
      <c r="M13" s="246">
        <v>0.46</v>
      </c>
      <c r="N13" s="484">
        <v>0.28000000000000003</v>
      </c>
      <c r="O13" s="257">
        <f>SUM(V062A_203031333436[[#This Row],[MPAL]]+V062A_203031333436[[#This Row],[AUX.]]+V062A_203031333436[[#This Row],[CALDERA]])</f>
        <v>0.74</v>
      </c>
      <c r="P13" s="319"/>
      <c r="Q13" s="281">
        <f>(Q12-V062A_203031333436[[#This Row],[TOTAL ]])+V062A_203031333436[[#This Row],[FAENA]]</f>
        <v>618.25700000000006</v>
      </c>
      <c r="R13" s="245">
        <v>0</v>
      </c>
      <c r="S13" s="246">
        <v>0</v>
      </c>
      <c r="T13" s="246">
        <v>0</v>
      </c>
      <c r="U13" s="246">
        <v>0</v>
      </c>
      <c r="V13" s="246">
        <v>1.39</v>
      </c>
      <c r="W13" s="257">
        <f>SUM(V062A_203031333436[[#This Row],[MPAL2]:[GI]])</f>
        <v>1.39</v>
      </c>
      <c r="X13" s="246"/>
      <c r="Y13" s="282">
        <f>(Y12-V062A_203031333436[[#This Row],[TOTAL]])+V062A_203031333436[[#This Row],[FAENA2]]</f>
        <v>56.089999999999996</v>
      </c>
      <c r="Z13" s="245">
        <v>0</v>
      </c>
      <c r="AA13" s="246">
        <v>0</v>
      </c>
      <c r="AB13" s="320">
        <f>(AB12-V062A_203031333436[[#This Row],[CYLINDER MP]])+V062A_203031333436[[#This Row],[FAENA EN LTS]]</f>
        <v>3939</v>
      </c>
      <c r="AC13" s="246">
        <v>0</v>
      </c>
      <c r="AD13" s="246">
        <v>0</v>
      </c>
      <c r="AE13" s="320">
        <f>(AE12-V062A_203031333436[[#This Row],[CARTER MP.]])+V062A_203031333436[[#This Row],[FAENA EN LTS2]]</f>
        <v>3500</v>
      </c>
      <c r="AF13" s="246">
        <v>20</v>
      </c>
      <c r="AG13" s="246">
        <v>0</v>
      </c>
      <c r="AH13" s="320">
        <f>(AH12-V062A_203031333436[[#This Row],[MOT AUX]])+V062A_203031333436[[#This Row],[FAENA EN  LTS]]</f>
        <v>1269</v>
      </c>
      <c r="AI13" s="246">
        <v>0</v>
      </c>
      <c r="AJ13" s="246">
        <v>0</v>
      </c>
      <c r="AK13" s="321">
        <f>(AK12-V062A_203031333436[[#This Row],[HIDRAULICO]])+V062A_203031333436[[#This Row],[FAENA EN LTS3]]</f>
        <v>1140</v>
      </c>
    </row>
    <row r="14" spans="1:37" x14ac:dyDescent="0.25">
      <c r="A14" s="431" t="s">
        <v>349</v>
      </c>
      <c r="B14" s="48">
        <v>44169</v>
      </c>
      <c r="C14" s="41">
        <v>0.15833333333333333</v>
      </c>
      <c r="D14" s="418">
        <f>IF(V062A_203031333436[[#This Row],[FECHA]]-B13=1,((V062A_203031333436[[#This Row],[HORA]]-C13)*24)+24,(V062A_203031333436[[#This Row],[HORA]]-C13)*24)</f>
        <v>5.5</v>
      </c>
      <c r="E14" s="239" t="s">
        <v>49</v>
      </c>
      <c r="F14" s="29" t="s">
        <v>46</v>
      </c>
      <c r="G14" s="324"/>
      <c r="H14" s="306"/>
      <c r="I1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4" s="380"/>
      <c r="K14" s="325"/>
      <c r="L14" s="483">
        <v>0</v>
      </c>
      <c r="M14" s="246">
        <v>0.34</v>
      </c>
      <c r="N14" s="484">
        <v>0.28000000000000003</v>
      </c>
      <c r="O14" s="257">
        <f>SUM(V062A_203031333436[[#This Row],[MPAL]]+V062A_203031333436[[#This Row],[AUX.]]+V062A_203031333436[[#This Row],[CALDERA]])</f>
        <v>0.62000000000000011</v>
      </c>
      <c r="P14" s="319"/>
      <c r="Q14" s="281">
        <f>(Q13-V062A_203031333436[[#This Row],[TOTAL ]])+V062A_203031333436[[#This Row],[FAENA]]</f>
        <v>617.63700000000006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SUM(V062A_203031333436[[#This Row],[MPAL2]:[GI]])</f>
        <v>0</v>
      </c>
      <c r="X14" s="246"/>
      <c r="Y14" s="282">
        <f>(Y13-V062A_203031333436[[#This Row],[TOTAL]])+V062A_203031333436[[#This Row],[FAENA2]]</f>
        <v>56.089999999999996</v>
      </c>
      <c r="Z14" s="245">
        <v>0</v>
      </c>
      <c r="AA14" s="246">
        <v>0</v>
      </c>
      <c r="AB14" s="320">
        <f>(AB13-V062A_203031333436[[#This Row],[CYLINDER MP]])+V062A_203031333436[[#This Row],[FAENA EN LTS]]</f>
        <v>3939</v>
      </c>
      <c r="AC14" s="246">
        <v>0</v>
      </c>
      <c r="AD14" s="246">
        <v>0</v>
      </c>
      <c r="AE14" s="320">
        <f>(AE13-V062A_203031333436[[#This Row],[CARTER MP.]])+V062A_203031333436[[#This Row],[FAENA EN LTS2]]</f>
        <v>3500</v>
      </c>
      <c r="AF14" s="246">
        <v>0</v>
      </c>
      <c r="AG14" s="246">
        <v>0</v>
      </c>
      <c r="AH14" s="320">
        <f>(AH13-V062A_203031333436[[#This Row],[MOT AUX]])+V062A_203031333436[[#This Row],[FAENA EN  LTS]]</f>
        <v>1269</v>
      </c>
      <c r="AI14" s="246">
        <v>0</v>
      </c>
      <c r="AJ14" s="246">
        <v>0</v>
      </c>
      <c r="AK14" s="321">
        <f>(AK13-V062A_203031333436[[#This Row],[HIDRAULICO]])+V062A_203031333436[[#This Row],[FAENA EN LTS3]]</f>
        <v>1140</v>
      </c>
    </row>
    <row r="15" spans="1:37" x14ac:dyDescent="0.25">
      <c r="A15" s="431" t="s">
        <v>349</v>
      </c>
      <c r="B15" s="48">
        <v>44169</v>
      </c>
      <c r="C15" s="41">
        <v>0.17916666666666667</v>
      </c>
      <c r="D15" s="418">
        <f>IF(V062A_203031333436[[#This Row],[FECHA]]-B14=1,((V062A_203031333436[[#This Row],[HORA]]-C14)*24)+24,(V062A_203031333436[[#This Row],[HORA]]-C14)*24)</f>
        <v>0.50000000000000022</v>
      </c>
      <c r="E15" s="409" t="s">
        <v>47</v>
      </c>
      <c r="F15" s="29" t="s">
        <v>272</v>
      </c>
      <c r="G15" s="324"/>
      <c r="H15" s="306"/>
      <c r="I1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5" s="380"/>
      <c r="K15" s="325"/>
      <c r="L15" s="483">
        <v>0.21</v>
      </c>
      <c r="M15" s="246">
        <v>0.03</v>
      </c>
      <c r="N15" s="484">
        <v>0.03</v>
      </c>
      <c r="O15" s="257">
        <f>SUM(V062A_203031333436[[#This Row],[MPAL]]+V062A_203031333436[[#This Row],[AUX.]]+V062A_203031333436[[#This Row],[CALDERA]])</f>
        <v>0.27</v>
      </c>
      <c r="P15" s="319"/>
      <c r="Q15" s="281">
        <f>(Q14-V062A_203031333436[[#This Row],[TOTAL ]])+V062A_203031333436[[#This Row],[FAENA]]</f>
        <v>617.36700000000008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SUM(V062A_203031333436[[#This Row],[MPAL2]:[GI]])</f>
        <v>0</v>
      </c>
      <c r="X15" s="246"/>
      <c r="Y15" s="282">
        <f>(Y14-V062A_203031333436[[#This Row],[TOTAL]])+V062A_203031333436[[#This Row],[FAENA2]]</f>
        <v>56.089999999999996</v>
      </c>
      <c r="Z15" s="245">
        <v>6</v>
      </c>
      <c r="AA15" s="246">
        <v>0</v>
      </c>
      <c r="AB15" s="320">
        <f>(AB14-V062A_203031333436[[#This Row],[CYLINDER MP]])+V062A_203031333436[[#This Row],[FAENA EN LTS]]</f>
        <v>3933</v>
      </c>
      <c r="AC15" s="246">
        <v>0</v>
      </c>
      <c r="AD15" s="246">
        <v>0</v>
      </c>
      <c r="AE15" s="320">
        <f>(AE14-V062A_203031333436[[#This Row],[CARTER MP.]])+V062A_203031333436[[#This Row],[FAENA EN LTS2]]</f>
        <v>3500</v>
      </c>
      <c r="AF15" s="246">
        <v>0</v>
      </c>
      <c r="AG15" s="246">
        <v>0</v>
      </c>
      <c r="AH15" s="320">
        <f>(AH14-V062A_203031333436[[#This Row],[MOT AUX]])+V062A_203031333436[[#This Row],[FAENA EN  LTS]]</f>
        <v>1269</v>
      </c>
      <c r="AI15" s="246">
        <v>0</v>
      </c>
      <c r="AJ15" s="246">
        <v>0</v>
      </c>
      <c r="AK15" s="321">
        <f>(AK14-V062A_203031333436[[#This Row],[HIDRAULICO]])+V062A_203031333436[[#This Row],[FAENA EN LTS3]]</f>
        <v>1140</v>
      </c>
    </row>
    <row r="16" spans="1:37" x14ac:dyDescent="0.25">
      <c r="A16" s="431" t="s">
        <v>349</v>
      </c>
      <c r="B16" s="48">
        <v>44169</v>
      </c>
      <c r="C16" s="41">
        <v>0.27083333333333331</v>
      </c>
      <c r="D16" s="418">
        <f>IF(V062A_203031333436[[#This Row],[FECHA]]-B15=1,((V062A_203031333436[[#This Row],[HORA]]-C15)*24)+24,(V062A_203031333436[[#This Row],[HORA]]-C15)*24)</f>
        <v>2.1999999999999993</v>
      </c>
      <c r="E16" s="409" t="s">
        <v>55</v>
      </c>
      <c r="F16" s="29" t="s">
        <v>299</v>
      </c>
      <c r="G16" s="324">
        <v>30</v>
      </c>
      <c r="H16" s="306">
        <v>2.2000000000000002</v>
      </c>
      <c r="I16" s="259">
        <f>IF(ISERROR(V062A_203031333436[[#This Row],[DISTANCIA POR CARTA]]/V062A_203031333436[[#This Row],[TIEMPO DE NAVEGACION]]),0,V062A_203031333436[[#This Row],[DISTANCIA POR CARTA]]/V062A_203031333436[[#This Row],[TIEMPO DE NAVEGACION]])</f>
        <v>13.636363636363635</v>
      </c>
      <c r="J16" s="380">
        <v>5</v>
      </c>
      <c r="K16" s="325">
        <v>97</v>
      </c>
      <c r="L16" s="483">
        <v>2.11</v>
      </c>
      <c r="M16" s="246">
        <v>0.14000000000000001</v>
      </c>
      <c r="N16" s="484">
        <v>0.11</v>
      </c>
      <c r="O16" s="257">
        <f>SUM(V062A_203031333436[[#This Row],[MPAL]]+V062A_203031333436[[#This Row],[AUX.]]+V062A_203031333436[[#This Row],[CALDERA]])</f>
        <v>2.36</v>
      </c>
      <c r="P16" s="246"/>
      <c r="Q16" s="281">
        <f>(Q15-V062A_203031333436[[#This Row],[TOTAL ]])+V062A_203031333436[[#This Row],[FAENA]]</f>
        <v>615.00700000000006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SUM(V062A_203031333436[[#This Row],[MPAL2]:[GI]])</f>
        <v>0</v>
      </c>
      <c r="X16" s="246"/>
      <c r="Y16" s="282">
        <f>(Y15-V062A_203031333436[[#This Row],[TOTAL]])+V062A_203031333436[[#This Row],[FAENA2]]</f>
        <v>56.089999999999996</v>
      </c>
      <c r="Z16" s="245">
        <v>26</v>
      </c>
      <c r="AA16" s="246">
        <v>0</v>
      </c>
      <c r="AB16" s="320">
        <f>(AB15-V062A_203031333436[[#This Row],[CYLINDER MP]])+V062A_203031333436[[#This Row],[FAENA EN LTS]]</f>
        <v>3907</v>
      </c>
      <c r="AC16" s="246">
        <v>0</v>
      </c>
      <c r="AD16" s="246">
        <v>0</v>
      </c>
      <c r="AE16" s="320">
        <f>(AE15-V062A_203031333436[[#This Row],[CARTER MP.]])+V062A_203031333436[[#This Row],[FAENA EN LTS2]]</f>
        <v>3500</v>
      </c>
      <c r="AF16" s="246">
        <v>20</v>
      </c>
      <c r="AG16" s="246">
        <v>0</v>
      </c>
      <c r="AH16" s="320">
        <f>(AH15-V062A_203031333436[[#This Row],[MOT AUX]])+V062A_203031333436[[#This Row],[FAENA EN  LTS]]</f>
        <v>1249</v>
      </c>
      <c r="AI16" s="246">
        <v>0</v>
      </c>
      <c r="AJ16" s="246">
        <v>0</v>
      </c>
      <c r="AK16" s="321">
        <f>(AK15-V062A_203031333436[[#This Row],[HIDRAULICO]])+V062A_203031333436[[#This Row],[FAENA EN LTS3]]</f>
        <v>1140</v>
      </c>
    </row>
    <row r="17" spans="1:37" x14ac:dyDescent="0.25">
      <c r="A17" s="431" t="s">
        <v>349</v>
      </c>
      <c r="B17" s="48">
        <v>44169</v>
      </c>
      <c r="C17" s="41">
        <v>0.33333333333333331</v>
      </c>
      <c r="D17" s="418">
        <f>IF(V062A_203031333436[[#This Row],[FECHA]]-B16=1,((V062A_203031333436[[#This Row],[HORA]]-C16)*24)+24,(V062A_203031333436[[#This Row],[HORA]]-C16)*24)</f>
        <v>1.5</v>
      </c>
      <c r="E17" s="409" t="s">
        <v>47</v>
      </c>
      <c r="F17" s="29" t="s">
        <v>47</v>
      </c>
      <c r="G17" s="324"/>
      <c r="H17" s="306"/>
      <c r="I1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7" s="380"/>
      <c r="K17" s="325"/>
      <c r="L17" s="483">
        <v>0.63</v>
      </c>
      <c r="M17" s="246">
        <v>0.09</v>
      </c>
      <c r="N17" s="484">
        <v>0.08</v>
      </c>
      <c r="O17" s="257">
        <f>SUM(V062A_203031333436[[#This Row],[MPAL]]+V062A_203031333436[[#This Row],[AUX.]]+V062A_203031333436[[#This Row],[CALDERA]])</f>
        <v>0.79999999999999993</v>
      </c>
      <c r="P17" s="319"/>
      <c r="Q17" s="281">
        <f>(Q16-V062A_203031333436[[#This Row],[TOTAL ]])+V062A_203031333436[[#This Row],[FAENA]]</f>
        <v>614.20700000000011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SUM(V062A_203031333436[[#This Row],[MPAL2]:[GI]])</f>
        <v>0</v>
      </c>
      <c r="X17" s="246"/>
      <c r="Y17" s="282">
        <f>(Y16-V062A_203031333436[[#This Row],[TOTAL]])+V062A_203031333436[[#This Row],[FAENA2]]</f>
        <v>56.089999999999996</v>
      </c>
      <c r="Z17" s="245">
        <v>15</v>
      </c>
      <c r="AA17" s="246">
        <v>0</v>
      </c>
      <c r="AB17" s="320">
        <f>(AB16-V062A_203031333436[[#This Row],[CYLINDER MP]])+V062A_203031333436[[#This Row],[FAENA EN LTS]]</f>
        <v>3892</v>
      </c>
      <c r="AC17" s="246">
        <v>0</v>
      </c>
      <c r="AD17" s="246">
        <v>0</v>
      </c>
      <c r="AE17" s="320">
        <f>(AE16-V062A_203031333436[[#This Row],[CARTER MP.]])+V062A_203031333436[[#This Row],[FAENA EN LTS2]]</f>
        <v>3500</v>
      </c>
      <c r="AF17" s="246">
        <v>20</v>
      </c>
      <c r="AG17" s="246">
        <v>0</v>
      </c>
      <c r="AH17" s="320">
        <f>(AH16-V062A_203031333436[[#This Row],[MOT AUX]])+V062A_203031333436[[#This Row],[FAENA EN  LTS]]</f>
        <v>1229</v>
      </c>
      <c r="AI17" s="246">
        <v>0</v>
      </c>
      <c r="AJ17" s="246">
        <v>0</v>
      </c>
      <c r="AK17" s="321">
        <f>(AK16-V062A_203031333436[[#This Row],[HIDRAULICO]])+V062A_203031333436[[#This Row],[FAENA EN LTS3]]</f>
        <v>1140</v>
      </c>
    </row>
    <row r="18" spans="1:37" x14ac:dyDescent="0.25">
      <c r="A18" s="431" t="s">
        <v>349</v>
      </c>
      <c r="B18" s="48">
        <v>44169</v>
      </c>
      <c r="C18" s="41">
        <v>0.39583333333333331</v>
      </c>
      <c r="D18" s="418">
        <f>IF(V062A_203031333436[[#This Row],[FECHA]]-B17=1,((V062A_203031333436[[#This Row],[HORA]]-C17)*24)+24,(V062A_203031333436[[#This Row],[HORA]]-C17)*24)</f>
        <v>1.5</v>
      </c>
      <c r="E18" s="409" t="s">
        <v>47</v>
      </c>
      <c r="F18" s="29" t="s">
        <v>266</v>
      </c>
      <c r="G18" s="324"/>
      <c r="H18" s="306"/>
      <c r="I1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8" s="380"/>
      <c r="K18" s="325"/>
      <c r="L18" s="483">
        <v>0.63</v>
      </c>
      <c r="M18" s="246">
        <v>0.09</v>
      </c>
      <c r="N18" s="484">
        <v>0.08</v>
      </c>
      <c r="O18" s="257">
        <f>SUM(V062A_203031333436[[#This Row],[MPAL]]+V062A_203031333436[[#This Row],[AUX.]]+V062A_203031333436[[#This Row],[CALDERA]])</f>
        <v>0.79999999999999993</v>
      </c>
      <c r="P18" s="319"/>
      <c r="Q18" s="281">
        <f>(Q17-V062A_203031333436[[#This Row],[TOTAL ]])+V062A_203031333436[[#This Row],[FAENA]]</f>
        <v>613.40700000000015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SUM(V062A_203031333436[[#This Row],[MPAL2]:[GI]])</f>
        <v>0</v>
      </c>
      <c r="X18" s="246"/>
      <c r="Y18" s="282">
        <f>(Y17-V062A_203031333436[[#This Row],[TOTAL]])+V062A_203031333436[[#This Row],[FAENA2]]</f>
        <v>56.089999999999996</v>
      </c>
      <c r="Z18" s="245">
        <v>15</v>
      </c>
      <c r="AA18" s="246">
        <v>0</v>
      </c>
      <c r="AB18" s="320">
        <f>(AB17-V062A_203031333436[[#This Row],[CYLINDER MP]])+V062A_203031333436[[#This Row],[FAENA EN LTS]]</f>
        <v>3877</v>
      </c>
      <c r="AC18" s="246">
        <v>0</v>
      </c>
      <c r="AD18" s="246">
        <v>0</v>
      </c>
      <c r="AE18" s="320">
        <f>(AE17-V062A_203031333436[[#This Row],[CARTER MP.]])+V062A_203031333436[[#This Row],[FAENA EN LTS2]]</f>
        <v>3500</v>
      </c>
      <c r="AF18" s="246">
        <v>0</v>
      </c>
      <c r="AG18" s="246">
        <v>0</v>
      </c>
      <c r="AH18" s="320">
        <f>(AH17-V062A_203031333436[[#This Row],[MOT AUX]])+V062A_203031333436[[#This Row],[FAENA EN  LTS]]</f>
        <v>1229</v>
      </c>
      <c r="AI18" s="246">
        <v>0</v>
      </c>
      <c r="AJ18" s="246">
        <v>0</v>
      </c>
      <c r="AK18" s="321">
        <f>(AK17-V062A_203031333436[[#This Row],[HIDRAULICO]])+V062A_203031333436[[#This Row],[FAENA EN LTS3]]</f>
        <v>1140</v>
      </c>
    </row>
    <row r="19" spans="1:37" x14ac:dyDescent="0.25">
      <c r="A19" s="431" t="s">
        <v>349</v>
      </c>
      <c r="B19" s="48">
        <v>44169</v>
      </c>
      <c r="C19" s="41">
        <v>0.56666666666666665</v>
      </c>
      <c r="D19" s="418">
        <f>IF(V062A_203031333436[[#This Row],[FECHA]]-B18=1,((V062A_203031333436[[#This Row],[HORA]]-C18)*24)+24,(V062A_203031333436[[#This Row],[HORA]]-C18)*24)</f>
        <v>4.0999999999999996</v>
      </c>
      <c r="E19" s="239" t="s">
        <v>49</v>
      </c>
      <c r="F19" s="29" t="s">
        <v>294</v>
      </c>
      <c r="G19" s="324"/>
      <c r="H19" s="306"/>
      <c r="I1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9" s="380"/>
      <c r="K19" s="325"/>
      <c r="L19" s="483">
        <v>0</v>
      </c>
      <c r="M19" s="246">
        <v>0.26</v>
      </c>
      <c r="N19" s="484">
        <v>0.21</v>
      </c>
      <c r="O19" s="257">
        <f>SUM(V062A_203031333436[[#This Row],[MPAL]]+V062A_203031333436[[#This Row],[AUX.]]+V062A_203031333436[[#This Row],[CALDERA]])</f>
        <v>0.47</v>
      </c>
      <c r="P19" s="319"/>
      <c r="Q19" s="281">
        <f>(Q18-V062A_203031333436[[#This Row],[TOTAL ]])+V062A_203031333436[[#This Row],[FAENA]]</f>
        <v>612.93700000000013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SUM(V062A_203031333436[[#This Row],[MPAL2]:[GI]])</f>
        <v>0</v>
      </c>
      <c r="X19" s="246"/>
      <c r="Y19" s="282">
        <f>(Y18-V062A_203031333436[[#This Row],[TOTAL]])+V062A_203031333436[[#This Row],[FAENA2]]</f>
        <v>56.089999999999996</v>
      </c>
      <c r="Z19" s="245">
        <v>0</v>
      </c>
      <c r="AA19" s="246">
        <v>0</v>
      </c>
      <c r="AB19" s="320">
        <f>(AB18-V062A_203031333436[[#This Row],[CYLINDER MP]])+V062A_203031333436[[#This Row],[FAENA EN LTS]]</f>
        <v>3877</v>
      </c>
      <c r="AC19" s="246">
        <v>0</v>
      </c>
      <c r="AD19" s="246">
        <v>0</v>
      </c>
      <c r="AE19" s="320">
        <f>(AE18-V062A_203031333436[[#This Row],[CARTER MP.]])+V062A_203031333436[[#This Row],[FAENA EN LTS2]]</f>
        <v>3500</v>
      </c>
      <c r="AF19" s="246">
        <v>40</v>
      </c>
      <c r="AG19" s="246">
        <v>0</v>
      </c>
      <c r="AH19" s="320">
        <f>(AH18-V062A_203031333436[[#This Row],[MOT AUX]])+V062A_203031333436[[#This Row],[FAENA EN  LTS]]</f>
        <v>1189</v>
      </c>
      <c r="AI19" s="246">
        <v>0</v>
      </c>
      <c r="AJ19" s="246">
        <v>0</v>
      </c>
      <c r="AK19" s="321">
        <f>(AK18-V062A_203031333436[[#This Row],[HIDRAULICO]])+V062A_203031333436[[#This Row],[FAENA EN LTS3]]</f>
        <v>1140</v>
      </c>
    </row>
    <row r="20" spans="1:37" x14ac:dyDescent="0.25">
      <c r="A20" s="431" t="s">
        <v>349</v>
      </c>
      <c r="B20" s="48">
        <v>44170</v>
      </c>
      <c r="C20" s="41">
        <v>0.33333333333333331</v>
      </c>
      <c r="D20" s="418">
        <f>IF(V062A_203031333436[[#This Row],[FECHA]]-B19=1,((V062A_203031333436[[#This Row],[HORA]]-C19)*24)+24,(V062A_203031333436[[#This Row],[HORA]]-C19)*24)</f>
        <v>18.399999999999999</v>
      </c>
      <c r="E20" s="409" t="s">
        <v>51</v>
      </c>
      <c r="F20" s="29" t="s">
        <v>51</v>
      </c>
      <c r="G20" s="324"/>
      <c r="H20" s="306"/>
      <c r="I2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0" s="380"/>
      <c r="K20" s="325"/>
      <c r="L20" s="483">
        <v>0</v>
      </c>
      <c r="M20" s="246">
        <v>1.69</v>
      </c>
      <c r="N20" s="484">
        <v>0.92</v>
      </c>
      <c r="O20" s="257">
        <f>SUM(V062A_203031333436[[#This Row],[MPAL]]+V062A_203031333436[[#This Row],[AUX.]]+V062A_203031333436[[#This Row],[CALDERA]])</f>
        <v>2.61</v>
      </c>
      <c r="P20" s="319"/>
      <c r="Q20" s="281">
        <f>(Q19-V062A_203031333436[[#This Row],[TOTAL ]])+V062A_203031333436[[#This Row],[FAENA]]</f>
        <v>610.32700000000011</v>
      </c>
      <c r="R20" s="245">
        <v>0</v>
      </c>
      <c r="S20" s="246">
        <v>0</v>
      </c>
      <c r="T20" s="246">
        <v>0</v>
      </c>
      <c r="U20" s="246">
        <v>0</v>
      </c>
      <c r="V20" s="246">
        <v>4.8</v>
      </c>
      <c r="W20" s="257">
        <f>SUM(V062A_203031333436[[#This Row],[MPAL2]:[GI]])</f>
        <v>4.8</v>
      </c>
      <c r="X20" s="246"/>
      <c r="Y20" s="282">
        <f>(Y19-V062A_203031333436[[#This Row],[TOTAL]])+V062A_203031333436[[#This Row],[FAENA2]]</f>
        <v>51.29</v>
      </c>
      <c r="Z20" s="245">
        <v>0</v>
      </c>
      <c r="AA20" s="246">
        <v>0</v>
      </c>
      <c r="AB20" s="320">
        <f>(AB19-V062A_203031333436[[#This Row],[CYLINDER MP]])+V062A_203031333436[[#This Row],[FAENA EN LTS]]</f>
        <v>3877</v>
      </c>
      <c r="AC20" s="246">
        <v>0</v>
      </c>
      <c r="AD20" s="246">
        <v>0</v>
      </c>
      <c r="AE20" s="320">
        <f>(AE19-V062A_203031333436[[#This Row],[CARTER MP.]])+V062A_203031333436[[#This Row],[FAENA EN LTS2]]</f>
        <v>3500</v>
      </c>
      <c r="AF20" s="246">
        <v>0</v>
      </c>
      <c r="AG20" s="246">
        <v>0</v>
      </c>
      <c r="AH20" s="320">
        <f>(AH19-V062A_203031333436[[#This Row],[MOT AUX]])+V062A_203031333436[[#This Row],[FAENA EN  LTS]]</f>
        <v>1189</v>
      </c>
      <c r="AI20" s="246">
        <v>0</v>
      </c>
      <c r="AJ20" s="246">
        <v>0</v>
      </c>
      <c r="AK20" s="321">
        <f>(AK19-V062A_203031333436[[#This Row],[HIDRAULICO]])+V062A_203031333436[[#This Row],[FAENA EN LTS3]]</f>
        <v>1140</v>
      </c>
    </row>
    <row r="21" spans="1:37" x14ac:dyDescent="0.25">
      <c r="A21" s="431" t="s">
        <v>349</v>
      </c>
      <c r="B21" s="48">
        <v>44170</v>
      </c>
      <c r="C21" s="41">
        <v>0.39999999999999997</v>
      </c>
      <c r="D21" s="418">
        <f>IF(V062A_203031333436[[#This Row],[FECHA]]-B20=1,((V062A_203031333436[[#This Row],[HORA]]-C20)*24)+24,(V062A_203031333436[[#This Row],[HORA]]-C20)*24)</f>
        <v>1.5999999999999996</v>
      </c>
      <c r="E21" s="239" t="s">
        <v>51</v>
      </c>
      <c r="F21" s="29" t="s">
        <v>353</v>
      </c>
      <c r="G21" s="324"/>
      <c r="H21" s="306"/>
      <c r="I2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1" s="380"/>
      <c r="K21" s="325"/>
      <c r="L21" s="483">
        <v>0</v>
      </c>
      <c r="M21" s="246">
        <v>0.13</v>
      </c>
      <c r="N21" s="484">
        <v>0.08</v>
      </c>
      <c r="O21" s="257">
        <f>SUM(V062A_203031333436[[#This Row],[MPAL]]+V062A_203031333436[[#This Row],[AUX.]]+V062A_203031333436[[#This Row],[CALDERA]])</f>
        <v>0.21000000000000002</v>
      </c>
      <c r="P21" s="319"/>
      <c r="Q21" s="281">
        <f>(Q20-V062A_203031333436[[#This Row],[TOTAL ]])+V062A_203031333436[[#This Row],[FAENA]]</f>
        <v>610.11700000000008</v>
      </c>
      <c r="R21" s="245">
        <v>0</v>
      </c>
      <c r="S21" s="246">
        <v>0</v>
      </c>
      <c r="T21" s="246">
        <v>0</v>
      </c>
      <c r="U21" s="246">
        <v>0</v>
      </c>
      <c r="V21" s="246">
        <v>0.4</v>
      </c>
      <c r="W21" s="257">
        <f>SUM(V062A_203031333436[[#This Row],[MPAL2]:[GI]])</f>
        <v>0.4</v>
      </c>
      <c r="X21" s="246"/>
      <c r="Y21" s="282">
        <f>(Y20-V062A_203031333436[[#This Row],[TOTAL]])+V062A_203031333436[[#This Row],[FAENA2]]</f>
        <v>50.89</v>
      </c>
      <c r="Z21" s="245">
        <v>0</v>
      </c>
      <c r="AA21" s="246">
        <v>0</v>
      </c>
      <c r="AB21" s="320">
        <f>(AB20-V062A_203031333436[[#This Row],[CYLINDER MP]])+V062A_203031333436[[#This Row],[FAENA EN LTS]]</f>
        <v>3877</v>
      </c>
      <c r="AC21" s="246">
        <v>0</v>
      </c>
      <c r="AD21" s="246">
        <v>0</v>
      </c>
      <c r="AE21" s="320">
        <f>(AE20-V062A_203031333436[[#This Row],[CARTER MP.]])+V062A_203031333436[[#This Row],[FAENA EN LTS2]]</f>
        <v>3500</v>
      </c>
      <c r="AF21" s="246">
        <v>29</v>
      </c>
      <c r="AG21" s="246">
        <v>0</v>
      </c>
      <c r="AH21" s="320">
        <f>(AH20-V062A_203031333436[[#This Row],[MOT AUX]])+V062A_203031333436[[#This Row],[FAENA EN  LTS]]</f>
        <v>1160</v>
      </c>
      <c r="AI21" s="246">
        <v>0</v>
      </c>
      <c r="AJ21" s="246">
        <v>0</v>
      </c>
      <c r="AK21" s="321">
        <f>(AK20-V062A_203031333436[[#This Row],[HIDRAULICO]])+V062A_203031333436[[#This Row],[FAENA EN LTS3]]</f>
        <v>1140</v>
      </c>
    </row>
    <row r="22" spans="1:37" x14ac:dyDescent="0.25">
      <c r="A22" s="431" t="s">
        <v>349</v>
      </c>
      <c r="B22" s="48">
        <v>44170</v>
      </c>
      <c r="C22" s="41">
        <v>0.57916666666666672</v>
      </c>
      <c r="D22" s="418">
        <f>IF(V062A_203031333436[[#This Row],[FECHA]]-B21=1,((V062A_203031333436[[#This Row],[HORA]]-C21)*24)+24,(V062A_203031333436[[#This Row],[HORA]]-C21)*24)</f>
        <v>4.3000000000000025</v>
      </c>
      <c r="E22" s="409" t="s">
        <v>47</v>
      </c>
      <c r="F22" s="29" t="s">
        <v>304</v>
      </c>
      <c r="G22" s="324"/>
      <c r="H22" s="306"/>
      <c r="I2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2" s="380"/>
      <c r="K22" s="325"/>
      <c r="L22" s="483">
        <v>0</v>
      </c>
      <c r="M22" s="246">
        <v>0.27</v>
      </c>
      <c r="N22" s="484">
        <v>0.22</v>
      </c>
      <c r="O22" s="257">
        <f>SUM(V062A_203031333436[[#This Row],[MPAL]]+V062A_203031333436[[#This Row],[AUX.]]+V062A_203031333436[[#This Row],[CALDERA]])</f>
        <v>0.49</v>
      </c>
      <c r="P22" s="319"/>
      <c r="Q22" s="281">
        <f>(Q21-V062A_203031333436[[#This Row],[TOTAL ]])+V062A_203031333436[[#This Row],[FAENA]]</f>
        <v>609.62700000000007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SUM(V062A_203031333436[[#This Row],[MPAL2]:[GI]])</f>
        <v>0</v>
      </c>
      <c r="X22" s="246"/>
      <c r="Y22" s="282">
        <f>(Y21-V062A_203031333436[[#This Row],[TOTAL]])+V062A_203031333436[[#This Row],[FAENA2]]</f>
        <v>50.89</v>
      </c>
      <c r="Z22" s="245">
        <v>0</v>
      </c>
      <c r="AA22" s="246">
        <v>0</v>
      </c>
      <c r="AB22" s="320">
        <f>(AB21-V062A_203031333436[[#This Row],[CYLINDER MP]])+V062A_203031333436[[#This Row],[FAENA EN LTS]]</f>
        <v>3877</v>
      </c>
      <c r="AC22" s="246">
        <v>0</v>
      </c>
      <c r="AD22" s="246">
        <v>0</v>
      </c>
      <c r="AE22" s="320">
        <f>(AE21-V062A_203031333436[[#This Row],[CARTER MP.]])+V062A_203031333436[[#This Row],[FAENA EN LTS2]]</f>
        <v>3500</v>
      </c>
      <c r="AF22" s="246">
        <v>0</v>
      </c>
      <c r="AG22" s="246">
        <v>0</v>
      </c>
      <c r="AH22" s="320">
        <f>(AH21-V062A_203031333436[[#This Row],[MOT AUX]])+V062A_203031333436[[#This Row],[FAENA EN  LTS]]</f>
        <v>1160</v>
      </c>
      <c r="AI22" s="246">
        <v>0</v>
      </c>
      <c r="AJ22" s="246">
        <v>0</v>
      </c>
      <c r="AK22" s="321">
        <f>(AK21-V062A_203031333436[[#This Row],[HIDRAULICO]])+V062A_203031333436[[#This Row],[FAENA EN LTS3]]</f>
        <v>1140</v>
      </c>
    </row>
    <row r="23" spans="1:37" x14ac:dyDescent="0.25">
      <c r="A23" s="431" t="s">
        <v>349</v>
      </c>
      <c r="B23" s="48">
        <v>44170</v>
      </c>
      <c r="C23" s="41">
        <v>0.63750000000000007</v>
      </c>
      <c r="D23" s="418">
        <f>IF(V062A_203031333436[[#This Row],[FECHA]]-B22=1,((V062A_203031333436[[#This Row],[HORA]]-C22)*24)+24,(V062A_203031333436[[#This Row],[HORA]]-C22)*24)</f>
        <v>1.4000000000000004</v>
      </c>
      <c r="E23" s="409" t="s">
        <v>47</v>
      </c>
      <c r="F23" s="29" t="s">
        <v>354</v>
      </c>
      <c r="G23" s="324"/>
      <c r="H23" s="306"/>
      <c r="I2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3" s="380"/>
      <c r="K23" s="325"/>
      <c r="L23" s="483">
        <v>0.08</v>
      </c>
      <c r="M23" s="246">
        <v>0.09</v>
      </c>
      <c r="N23" s="484">
        <v>7.0000000000000007E-2</v>
      </c>
      <c r="O23" s="257">
        <f>SUM(V062A_203031333436[[#This Row],[MPAL]]+V062A_203031333436[[#This Row],[AUX.]]+V062A_203031333436[[#This Row],[CALDERA]])</f>
        <v>0.24</v>
      </c>
      <c r="P23" s="319"/>
      <c r="Q23" s="281">
        <f>(Q22-V062A_203031333436[[#This Row],[TOTAL ]])+V062A_203031333436[[#This Row],[FAENA]]</f>
        <v>609.38700000000006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SUM(V062A_203031333436[[#This Row],[MPAL2]:[GI]])</f>
        <v>0</v>
      </c>
      <c r="X23" s="246"/>
      <c r="Y23" s="282">
        <f>(Y22-V062A_203031333436[[#This Row],[TOTAL]])+V062A_203031333436[[#This Row],[FAENA2]]</f>
        <v>50.89</v>
      </c>
      <c r="Z23" s="245">
        <v>0</v>
      </c>
      <c r="AA23" s="246">
        <v>0</v>
      </c>
      <c r="AB23" s="320">
        <f>(AB22-V062A_203031333436[[#This Row],[CYLINDER MP]])+V062A_203031333436[[#This Row],[FAENA EN LTS]]</f>
        <v>3877</v>
      </c>
      <c r="AC23" s="246">
        <v>0</v>
      </c>
      <c r="AD23" s="246">
        <v>0</v>
      </c>
      <c r="AE23" s="320">
        <f>(AE22-V062A_203031333436[[#This Row],[CARTER MP.]])+V062A_203031333436[[#This Row],[FAENA EN LTS2]]</f>
        <v>3500</v>
      </c>
      <c r="AF23" s="246">
        <v>0</v>
      </c>
      <c r="AG23" s="246">
        <v>0</v>
      </c>
      <c r="AH23" s="320">
        <f>(AH22-V062A_203031333436[[#This Row],[MOT AUX]])+V062A_203031333436[[#This Row],[FAENA EN  LTS]]</f>
        <v>1160</v>
      </c>
      <c r="AI23" s="246">
        <v>0</v>
      </c>
      <c r="AJ23" s="246">
        <v>0</v>
      </c>
      <c r="AK23" s="321">
        <f>(AK22-V062A_203031333436[[#This Row],[HIDRAULICO]])+V062A_203031333436[[#This Row],[FAENA EN LTS3]]</f>
        <v>1140</v>
      </c>
    </row>
    <row r="24" spans="1:37" x14ac:dyDescent="0.25">
      <c r="A24" s="431" t="s">
        <v>349</v>
      </c>
      <c r="B24" s="48">
        <v>44170</v>
      </c>
      <c r="C24" s="41">
        <v>0.82916666666666661</v>
      </c>
      <c r="D24" s="418">
        <f>IF(V062A_203031333436[[#This Row],[FECHA]]-B23=1,((V062A_203031333436[[#This Row],[HORA]]-C23)*24)+24,(V062A_203031333436[[#This Row],[HORA]]-C23)*24)</f>
        <v>4.599999999999997</v>
      </c>
      <c r="E24" s="409" t="s">
        <v>49</v>
      </c>
      <c r="F24" s="29" t="s">
        <v>294</v>
      </c>
      <c r="G24" s="324"/>
      <c r="H24" s="306"/>
      <c r="I2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4" s="242"/>
      <c r="K24" s="325"/>
      <c r="L24" s="483">
        <v>0</v>
      </c>
      <c r="M24" s="246">
        <v>0.28999999999999998</v>
      </c>
      <c r="N24" s="484">
        <v>0.23</v>
      </c>
      <c r="O24" s="257">
        <f>SUM(V062A_203031333436[[#This Row],[MPAL]]+V062A_203031333436[[#This Row],[AUX.]]+V062A_203031333436[[#This Row],[CALDERA]])</f>
        <v>0.52</v>
      </c>
      <c r="P24" s="319"/>
      <c r="Q24" s="281">
        <f>(Q23-V062A_203031333436[[#This Row],[TOTAL ]])+V062A_203031333436[[#This Row],[FAENA]]</f>
        <v>608.86700000000008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SUM(V062A_203031333436[[#This Row],[MPAL2]:[GI]])</f>
        <v>0</v>
      </c>
      <c r="X24" s="246"/>
      <c r="Y24" s="282">
        <f>(Y23-V062A_203031333436[[#This Row],[TOTAL]])+V062A_203031333436[[#This Row],[FAENA2]]</f>
        <v>50.89</v>
      </c>
      <c r="Z24" s="245">
        <v>0</v>
      </c>
      <c r="AA24" s="246">
        <v>0</v>
      </c>
      <c r="AB24" s="320">
        <f>(AB23-V062A_203031333436[[#This Row],[CYLINDER MP]])+V062A_203031333436[[#This Row],[FAENA EN LTS]]</f>
        <v>3877</v>
      </c>
      <c r="AC24" s="246">
        <v>0</v>
      </c>
      <c r="AD24" s="246">
        <v>0</v>
      </c>
      <c r="AE24" s="320">
        <f>(AE23-V062A_203031333436[[#This Row],[CARTER MP.]])+V062A_203031333436[[#This Row],[FAENA EN LTS2]]</f>
        <v>3500</v>
      </c>
      <c r="AF24" s="246">
        <v>20</v>
      </c>
      <c r="AG24" s="246">
        <v>0</v>
      </c>
      <c r="AH24" s="320">
        <f>(AH23-V062A_203031333436[[#This Row],[MOT AUX]])+V062A_203031333436[[#This Row],[FAENA EN  LTS]]</f>
        <v>1140</v>
      </c>
      <c r="AI24" s="246">
        <v>0</v>
      </c>
      <c r="AJ24" s="246">
        <v>0</v>
      </c>
      <c r="AK24" s="321">
        <f>(AK23-V062A_203031333436[[#This Row],[HIDRAULICO]])+V062A_203031333436[[#This Row],[FAENA EN LTS3]]</f>
        <v>1140</v>
      </c>
    </row>
    <row r="25" spans="1:37" x14ac:dyDescent="0.25">
      <c r="A25" s="431" t="s">
        <v>349</v>
      </c>
      <c r="B25" s="48">
        <v>44171</v>
      </c>
      <c r="C25" s="41">
        <v>4.9999999999999996E-2</v>
      </c>
      <c r="D25" s="418">
        <f>IF(V062A_203031333436[[#This Row],[FECHA]]-B24=1,((V062A_203031333436[[#This Row],[HORA]]-C24)*24)+24,(V062A_203031333436[[#This Row],[HORA]]-C24)*24)</f>
        <v>5.3000000000000043</v>
      </c>
      <c r="E25" s="239" t="s">
        <v>51</v>
      </c>
      <c r="F25" s="29" t="s">
        <v>355</v>
      </c>
      <c r="G25" s="324"/>
      <c r="H25" s="306"/>
      <c r="I2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5" s="242"/>
      <c r="K25" s="325"/>
      <c r="L25" s="483">
        <v>0</v>
      </c>
      <c r="M25" s="246">
        <v>0.44</v>
      </c>
      <c r="N25" s="484">
        <v>0.27</v>
      </c>
      <c r="O25" s="257">
        <f>SUM(V062A_203031333436[[#This Row],[MPAL]]+V062A_203031333436[[#This Row],[AUX.]]+V062A_203031333436[[#This Row],[CALDERA]])</f>
        <v>0.71</v>
      </c>
      <c r="P25" s="319"/>
      <c r="Q25" s="281">
        <f>(Q24-V062A_203031333436[[#This Row],[TOTAL ]])+V062A_203031333436[[#This Row],[FAENA]]</f>
        <v>608.15700000000004</v>
      </c>
      <c r="R25" s="245">
        <v>0</v>
      </c>
      <c r="S25" s="246">
        <v>0</v>
      </c>
      <c r="T25" s="246">
        <v>0</v>
      </c>
      <c r="U25" s="246">
        <v>0</v>
      </c>
      <c r="V25" s="246">
        <v>1.33</v>
      </c>
      <c r="W25" s="257">
        <f>SUM(V062A_203031333436[[#This Row],[MPAL2]:[GI]])</f>
        <v>1.33</v>
      </c>
      <c r="X25" s="246"/>
      <c r="Y25" s="282">
        <f>(Y24-V062A_203031333436[[#This Row],[TOTAL]])+V062A_203031333436[[#This Row],[FAENA2]]</f>
        <v>49.56</v>
      </c>
      <c r="Z25" s="245">
        <v>0</v>
      </c>
      <c r="AA25" s="246">
        <v>0</v>
      </c>
      <c r="AB25" s="320">
        <f>(AB24-V062A_203031333436[[#This Row],[CYLINDER MP]])+V062A_203031333436[[#This Row],[FAENA EN LTS]]</f>
        <v>3877</v>
      </c>
      <c r="AC25" s="246">
        <v>0</v>
      </c>
      <c r="AD25" s="246">
        <v>0</v>
      </c>
      <c r="AE25" s="320">
        <f>(AE24-V062A_203031333436[[#This Row],[CARTER MP.]])+V062A_203031333436[[#This Row],[FAENA EN LTS2]]</f>
        <v>3500</v>
      </c>
      <c r="AF25" s="246">
        <v>0</v>
      </c>
      <c r="AG25" s="246">
        <v>0</v>
      </c>
      <c r="AH25" s="320">
        <f>(AH24-V062A_203031333436[[#This Row],[MOT AUX]])+V062A_203031333436[[#This Row],[FAENA EN  LTS]]</f>
        <v>1140</v>
      </c>
      <c r="AI25" s="246">
        <v>0</v>
      </c>
      <c r="AJ25" s="246">
        <v>0</v>
      </c>
      <c r="AK25" s="321">
        <f>(AK24-V062A_203031333436[[#This Row],[HIDRAULICO]])+V062A_203031333436[[#This Row],[FAENA EN LTS3]]</f>
        <v>1140</v>
      </c>
    </row>
    <row r="26" spans="1:37" x14ac:dyDescent="0.25">
      <c r="A26" s="431" t="s">
        <v>349</v>
      </c>
      <c r="B26" s="48">
        <v>44171</v>
      </c>
      <c r="C26" s="41">
        <v>0.20833333333333334</v>
      </c>
      <c r="D26" s="418">
        <f>IF(V062A_203031333436[[#This Row],[FECHA]]-B25=1,((V062A_203031333436[[#This Row],[HORA]]-C25)*24)+24,(V062A_203031333436[[#This Row],[HORA]]-C25)*24)</f>
        <v>3.8000000000000007</v>
      </c>
      <c r="E26" s="239" t="s">
        <v>49</v>
      </c>
      <c r="F26" s="29" t="s">
        <v>46</v>
      </c>
      <c r="G26" s="324"/>
      <c r="H26" s="306"/>
      <c r="I2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6" s="242"/>
      <c r="K26" s="325"/>
      <c r="L26" s="483">
        <v>0</v>
      </c>
      <c r="M26" s="246">
        <v>0.24</v>
      </c>
      <c r="N26" s="484">
        <v>0.19</v>
      </c>
      <c r="O26" s="257">
        <f>SUM(V062A_203031333436[[#This Row],[MPAL]]+V062A_203031333436[[#This Row],[AUX.]]+V062A_203031333436[[#This Row],[CALDERA]])</f>
        <v>0.43</v>
      </c>
      <c r="P26" s="319"/>
      <c r="Q26" s="281">
        <f>(Q25-V062A_203031333436[[#This Row],[TOTAL ]])+V062A_203031333436[[#This Row],[FAENA]]</f>
        <v>607.72700000000009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SUM(V062A_203031333436[[#This Row],[MPAL2]:[GI]])</f>
        <v>0</v>
      </c>
      <c r="X26" s="246"/>
      <c r="Y26" s="282">
        <f>(Y25-V062A_203031333436[[#This Row],[TOTAL]])+V062A_203031333436[[#This Row],[FAENA2]]</f>
        <v>49.56</v>
      </c>
      <c r="Z26" s="245">
        <v>0</v>
      </c>
      <c r="AA26" s="246">
        <v>0</v>
      </c>
      <c r="AB26" s="320">
        <f>(AB25-V062A_203031333436[[#This Row],[CYLINDER MP]])+V062A_203031333436[[#This Row],[FAENA EN LTS]]</f>
        <v>3877</v>
      </c>
      <c r="AC26" s="246">
        <v>0</v>
      </c>
      <c r="AD26" s="246">
        <v>0</v>
      </c>
      <c r="AE26" s="320">
        <f>(AE25-V062A_203031333436[[#This Row],[CARTER MP.]])+V062A_203031333436[[#This Row],[FAENA EN LTS2]]</f>
        <v>3500</v>
      </c>
      <c r="AF26" s="246">
        <v>0</v>
      </c>
      <c r="AG26" s="246">
        <v>0</v>
      </c>
      <c r="AH26" s="320">
        <f>(AH25-V062A_203031333436[[#This Row],[MOT AUX]])+V062A_203031333436[[#This Row],[FAENA EN  LTS]]</f>
        <v>1140</v>
      </c>
      <c r="AI26" s="246">
        <v>0</v>
      </c>
      <c r="AJ26" s="246">
        <v>0</v>
      </c>
      <c r="AK26" s="321">
        <f>(AK25-V062A_203031333436[[#This Row],[HIDRAULICO]])+V062A_203031333436[[#This Row],[FAENA EN LTS3]]</f>
        <v>1140</v>
      </c>
    </row>
    <row r="27" spans="1:37" x14ac:dyDescent="0.25">
      <c r="A27" s="431" t="s">
        <v>349</v>
      </c>
      <c r="B27" s="48">
        <v>44171</v>
      </c>
      <c r="C27" s="237">
        <v>0.25</v>
      </c>
      <c r="D27" s="418">
        <f>IF(V062A_203031333436[[#This Row],[FECHA]]-B26=1,((V062A_203031333436[[#This Row],[HORA]]-C26)*24)+24,(V062A_203031333436[[#This Row],[HORA]]-C26)*24)</f>
        <v>0.99999999999999978</v>
      </c>
      <c r="E27" s="239" t="s">
        <v>47</v>
      </c>
      <c r="F27" s="29" t="s">
        <v>212</v>
      </c>
      <c r="G27" s="324"/>
      <c r="H27" s="306"/>
      <c r="I2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27" s="242"/>
      <c r="K27" s="325"/>
      <c r="L27" s="483">
        <v>0</v>
      </c>
      <c r="M27" s="246">
        <v>0.42</v>
      </c>
      <c r="N27" s="484">
        <v>0.05</v>
      </c>
      <c r="O27" s="257">
        <f>SUM(V062A_203031333436[[#This Row],[MPAL]]+V062A_203031333436[[#This Row],[AUX.]]+V062A_203031333436[[#This Row],[CALDERA]])</f>
        <v>0.47</v>
      </c>
      <c r="P27" s="319"/>
      <c r="Q27" s="281">
        <f>(Q26-V062A_203031333436[[#This Row],[TOTAL ]])+V062A_203031333436[[#This Row],[FAENA]]</f>
        <v>607.25700000000006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SUM(V062A_203031333436[[#This Row],[MPAL2]:[GI]])</f>
        <v>0</v>
      </c>
      <c r="X27" s="246"/>
      <c r="Y27" s="282">
        <f>(Y26-V062A_203031333436[[#This Row],[TOTAL]])+V062A_203031333436[[#This Row],[FAENA2]]</f>
        <v>49.56</v>
      </c>
      <c r="Z27" s="245">
        <v>10</v>
      </c>
      <c r="AA27" s="246">
        <v>0</v>
      </c>
      <c r="AB27" s="320">
        <f>(AB26-V062A_203031333436[[#This Row],[CYLINDER MP]])+V062A_203031333436[[#This Row],[FAENA EN LTS]]</f>
        <v>3867</v>
      </c>
      <c r="AC27" s="246">
        <v>0</v>
      </c>
      <c r="AD27" s="246">
        <v>0</v>
      </c>
      <c r="AE27" s="320">
        <f>(AE26-V062A_203031333436[[#This Row],[CARTER MP.]])+V062A_203031333436[[#This Row],[FAENA EN LTS2]]</f>
        <v>3500</v>
      </c>
      <c r="AF27" s="246">
        <v>0</v>
      </c>
      <c r="AG27" s="246">
        <v>0</v>
      </c>
      <c r="AH27" s="320">
        <f>(AH26-V062A_203031333436[[#This Row],[MOT AUX]])+V062A_203031333436[[#This Row],[FAENA EN  LTS]]</f>
        <v>1140</v>
      </c>
      <c r="AI27" s="246">
        <v>0</v>
      </c>
      <c r="AJ27" s="246">
        <v>0</v>
      </c>
      <c r="AK27" s="321">
        <f>(AK26-V062A_203031333436[[#This Row],[HIDRAULICO]])+V062A_203031333436[[#This Row],[FAENA EN LTS3]]</f>
        <v>1140</v>
      </c>
    </row>
    <row r="28" spans="1:37" x14ac:dyDescent="0.25">
      <c r="A28" s="431" t="s">
        <v>349</v>
      </c>
      <c r="B28" s="48">
        <v>44171</v>
      </c>
      <c r="C28" s="41">
        <v>0.33333333333333331</v>
      </c>
      <c r="D28" s="418">
        <f>IF(V062A_203031333436[[#This Row],[FECHA]]-B27=1,((V062A_203031333436[[#This Row],[HORA]]-C27)*24)+24,(V062A_203031333436[[#This Row],[HORA]]-C27)*24)</f>
        <v>1.9999999999999996</v>
      </c>
      <c r="E28" s="409" t="s">
        <v>55</v>
      </c>
      <c r="F28" s="29" t="s">
        <v>56</v>
      </c>
      <c r="G28" s="324">
        <v>23.8</v>
      </c>
      <c r="H28" s="306">
        <v>2</v>
      </c>
      <c r="I28" s="259">
        <f>IF(ISERROR(V062A_203031333436[[#This Row],[DISTANCIA POR CARTA]]/V062A_203031333436[[#This Row],[TIEMPO DE NAVEGACION]]),0,V062A_203031333436[[#This Row],[DISTANCIA POR CARTA]]/V062A_203031333436[[#This Row],[TIEMPO DE NAVEGACION]])</f>
        <v>11.9</v>
      </c>
      <c r="J28" s="380">
        <v>6</v>
      </c>
      <c r="K28" s="325">
        <v>97</v>
      </c>
      <c r="L28" s="483">
        <v>1.92</v>
      </c>
      <c r="M28" s="246">
        <v>0.13</v>
      </c>
      <c r="N28" s="484">
        <v>0.1</v>
      </c>
      <c r="O28" s="257">
        <f>SUM(V062A_203031333436[[#This Row],[MPAL]]+V062A_203031333436[[#This Row],[AUX.]]+V062A_203031333436[[#This Row],[CALDERA]])</f>
        <v>2.15</v>
      </c>
      <c r="P28" s="319"/>
      <c r="Q28" s="281">
        <f>(Q27-V062A_203031333436[[#This Row],[TOTAL ]])+V062A_203031333436[[#This Row],[FAENA]]</f>
        <v>605.10700000000008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SUM(V062A_203031333436[[#This Row],[MPAL2]:[GI]])</f>
        <v>0</v>
      </c>
      <c r="X28" s="246"/>
      <c r="Y28" s="282">
        <f>(Y27-V062A_203031333436[[#This Row],[TOTAL]])+V062A_203031333436[[#This Row],[FAENA2]]</f>
        <v>49.56</v>
      </c>
      <c r="Z28" s="245">
        <v>25</v>
      </c>
      <c r="AA28" s="246">
        <v>0</v>
      </c>
      <c r="AB28" s="320">
        <f>(AB27-V062A_203031333436[[#This Row],[CYLINDER MP]])+V062A_203031333436[[#This Row],[FAENA EN LTS]]</f>
        <v>3842</v>
      </c>
      <c r="AC28" s="246">
        <v>0</v>
      </c>
      <c r="AD28" s="246">
        <v>0</v>
      </c>
      <c r="AE28" s="320">
        <f>(AE27-V062A_203031333436[[#This Row],[CARTER MP.]])+V062A_203031333436[[#This Row],[FAENA EN LTS2]]</f>
        <v>3500</v>
      </c>
      <c r="AF28" s="246">
        <v>20</v>
      </c>
      <c r="AG28" s="246">
        <v>0</v>
      </c>
      <c r="AH28" s="320">
        <f>(AH27-V062A_203031333436[[#This Row],[MOT AUX]])+V062A_203031333436[[#This Row],[FAENA EN  LTS]]</f>
        <v>1120</v>
      </c>
      <c r="AI28" s="246">
        <v>0</v>
      </c>
      <c r="AJ28" s="246">
        <v>0</v>
      </c>
      <c r="AK28" s="321">
        <f>(AK27-V062A_203031333436[[#This Row],[HIDRAULICO]])+V062A_203031333436[[#This Row],[FAENA EN LTS3]]</f>
        <v>1140</v>
      </c>
    </row>
    <row r="29" spans="1:37" x14ac:dyDescent="0.25">
      <c r="A29" s="431" t="s">
        <v>349</v>
      </c>
      <c r="B29" s="48">
        <v>44172</v>
      </c>
      <c r="C29" s="41">
        <v>0.33333333333333331</v>
      </c>
      <c r="D29" s="418">
        <f>IF(V062A_203031333436[[#This Row],[FECHA]]-B28=1,((V062A_203031333436[[#This Row],[HORA]]-C28)*24)+24,(V062A_203031333436[[#This Row],[HORA]]-C28)*24)</f>
        <v>24</v>
      </c>
      <c r="E29" s="409" t="s">
        <v>55</v>
      </c>
      <c r="F29" s="29" t="s">
        <v>56</v>
      </c>
      <c r="G29" s="324">
        <v>301</v>
      </c>
      <c r="H29" s="306">
        <v>24</v>
      </c>
      <c r="I29" s="259">
        <f>IF(ISERROR(V062A_203031333436[[#This Row],[DISTANCIA POR CARTA]]/V062A_203031333436[[#This Row],[TIEMPO DE NAVEGACION]]),0,V062A_203031333436[[#This Row],[DISTANCIA POR CARTA]]/V062A_203031333436[[#This Row],[TIEMPO DE NAVEGACION]])</f>
        <v>12.541666666666666</v>
      </c>
      <c r="J29" s="242">
        <v>5</v>
      </c>
      <c r="K29" s="325">
        <v>97</v>
      </c>
      <c r="L29" s="483">
        <v>23</v>
      </c>
      <c r="M29" s="246">
        <v>1.5</v>
      </c>
      <c r="N29" s="484">
        <v>1.2</v>
      </c>
      <c r="O29" s="257">
        <f>SUM(V062A_203031333436[[#This Row],[MPAL]]+V062A_203031333436[[#This Row],[AUX.]]+V062A_203031333436[[#This Row],[CALDERA]])</f>
        <v>25.7</v>
      </c>
      <c r="P29" s="319"/>
      <c r="Q29" s="281">
        <f>(Q28-V062A_203031333436[[#This Row],[TOTAL ]])+V062A_203031333436[[#This Row],[FAENA]]</f>
        <v>579.40700000000004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SUM(V062A_203031333436[[#This Row],[MPAL2]:[GI]])</f>
        <v>0</v>
      </c>
      <c r="X29" s="246"/>
      <c r="Y29" s="282">
        <f>(Y28-V062A_203031333436[[#This Row],[TOTAL]])+V062A_203031333436[[#This Row],[FAENA2]]</f>
        <v>49.56</v>
      </c>
      <c r="Z29" s="245">
        <v>280</v>
      </c>
      <c r="AA29" s="246">
        <v>0</v>
      </c>
      <c r="AB29" s="320">
        <f>(AB28-V062A_203031333436[[#This Row],[CYLINDER MP]])+V062A_203031333436[[#This Row],[FAENA EN LTS]]</f>
        <v>3562</v>
      </c>
      <c r="AC29" s="246">
        <v>0</v>
      </c>
      <c r="AD29" s="246">
        <v>0</v>
      </c>
      <c r="AE29" s="320">
        <f>(AE28-V062A_203031333436[[#This Row],[CARTER MP.]])+V062A_203031333436[[#This Row],[FAENA EN LTS2]]</f>
        <v>3500</v>
      </c>
      <c r="AF29" s="246">
        <v>20</v>
      </c>
      <c r="AG29" s="246">
        <v>0</v>
      </c>
      <c r="AH29" s="320">
        <f>(AH28-V062A_203031333436[[#This Row],[MOT AUX]])+V062A_203031333436[[#This Row],[FAENA EN  LTS]]</f>
        <v>1100</v>
      </c>
      <c r="AI29" s="246">
        <v>0</v>
      </c>
      <c r="AJ29" s="246">
        <v>0</v>
      </c>
      <c r="AK29" s="321">
        <f>(AK28-V062A_203031333436[[#This Row],[HIDRAULICO]])+V062A_203031333436[[#This Row],[FAENA EN LTS3]]</f>
        <v>1140</v>
      </c>
    </row>
    <row r="30" spans="1:37" x14ac:dyDescent="0.25">
      <c r="A30" s="431" t="s">
        <v>349</v>
      </c>
      <c r="B30" s="48">
        <v>44172</v>
      </c>
      <c r="C30" s="41">
        <v>0.73749999999999993</v>
      </c>
      <c r="D30" s="418">
        <f>IF(V062A_203031333436[[#This Row],[FECHA]]-B29=1,((V062A_203031333436[[#This Row],[HORA]]-C29)*24)+24,(V062A_203031333436[[#This Row],[HORA]]-C29)*24)</f>
        <v>9.6999999999999993</v>
      </c>
      <c r="E30" s="409" t="s">
        <v>55</v>
      </c>
      <c r="F30" s="29" t="s">
        <v>356</v>
      </c>
      <c r="G30" s="324">
        <v>137.19999999999999</v>
      </c>
      <c r="H30" s="306">
        <v>9.6999999999999993</v>
      </c>
      <c r="I30" s="259">
        <f>IF(ISERROR(V062A_203031333436[[#This Row],[DISTANCIA POR CARTA]]/V062A_203031333436[[#This Row],[TIEMPO DE NAVEGACION]]),0,V062A_203031333436[[#This Row],[DISTANCIA POR CARTA]]/V062A_203031333436[[#This Row],[TIEMPO DE NAVEGACION]])</f>
        <v>14.144329896907216</v>
      </c>
      <c r="J30" s="380">
        <v>5</v>
      </c>
      <c r="K30" s="325">
        <v>97</v>
      </c>
      <c r="L30" s="483">
        <v>9.3000000000000007</v>
      </c>
      <c r="M30" s="246">
        <v>0.81</v>
      </c>
      <c r="N30" s="484">
        <v>0.53</v>
      </c>
      <c r="O30" s="257">
        <f>SUM(V062A_203031333436[[#This Row],[MPAL]]+V062A_203031333436[[#This Row],[AUX.]]+V062A_203031333436[[#This Row],[CALDERA]])</f>
        <v>10.64</v>
      </c>
      <c r="P30" s="319"/>
      <c r="Q30" s="281">
        <f>(Q29-V062A_203031333436[[#This Row],[TOTAL ]])+V062A_203031333436[[#This Row],[FAENA]]</f>
        <v>568.76700000000005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SUM(V062A_203031333436[[#This Row],[MPAL2]:[GI]])</f>
        <v>0</v>
      </c>
      <c r="X30" s="246"/>
      <c r="Y30" s="282">
        <f>(Y29-V062A_203031333436[[#This Row],[TOTAL]])+V062A_203031333436[[#This Row],[FAENA2]]</f>
        <v>49.56</v>
      </c>
      <c r="Z30" s="245">
        <v>114</v>
      </c>
      <c r="AA30" s="246">
        <v>0</v>
      </c>
      <c r="AB30" s="320">
        <f>(AB29-V062A_203031333436[[#This Row],[CYLINDER MP]])+V062A_203031333436[[#This Row],[FAENA EN LTS]]</f>
        <v>3448</v>
      </c>
      <c r="AC30" s="246">
        <v>0</v>
      </c>
      <c r="AD30" s="246">
        <v>0</v>
      </c>
      <c r="AE30" s="320">
        <f>(AE29-V062A_203031333436[[#This Row],[CARTER MP.]])+V062A_203031333436[[#This Row],[FAENA EN LTS2]]</f>
        <v>3500</v>
      </c>
      <c r="AF30" s="246">
        <v>20</v>
      </c>
      <c r="AG30" s="246">
        <v>0</v>
      </c>
      <c r="AH30" s="320">
        <f>(AH29-V062A_203031333436[[#This Row],[MOT AUX]])+V062A_203031333436[[#This Row],[FAENA EN  LTS]]</f>
        <v>1080</v>
      </c>
      <c r="AI30" s="246">
        <v>0</v>
      </c>
      <c r="AJ30" s="246">
        <v>0</v>
      </c>
      <c r="AK30" s="321">
        <f>(AK29-V062A_203031333436[[#This Row],[HIDRAULICO]])+V062A_203031333436[[#This Row],[FAENA EN LTS3]]</f>
        <v>1140</v>
      </c>
    </row>
    <row r="31" spans="1:37" x14ac:dyDescent="0.25">
      <c r="A31" s="431" t="s">
        <v>349</v>
      </c>
      <c r="B31" s="48">
        <v>44172</v>
      </c>
      <c r="C31" s="41">
        <v>0.77916666666666667</v>
      </c>
      <c r="D31" s="418">
        <f>IF(V062A_203031333436[[#This Row],[FECHA]]-B30=1,((V062A_203031333436[[#This Row],[HORA]]-C30)*24)+24,(V062A_203031333436[[#This Row],[HORA]]-C30)*24)</f>
        <v>1.0000000000000018</v>
      </c>
      <c r="E31" s="409" t="s">
        <v>47</v>
      </c>
      <c r="F31" s="29" t="s">
        <v>357</v>
      </c>
      <c r="G31" s="324"/>
      <c r="H31" s="306"/>
      <c r="I3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1" s="242"/>
      <c r="K31" s="325"/>
      <c r="L31" s="483">
        <v>0.42</v>
      </c>
      <c r="M31" s="246">
        <v>0.06</v>
      </c>
      <c r="N31" s="484">
        <v>0.05</v>
      </c>
      <c r="O31" s="257">
        <f>SUM(V062A_203031333436[[#This Row],[MPAL]]+V062A_203031333436[[#This Row],[AUX.]]+V062A_203031333436[[#This Row],[CALDERA]])</f>
        <v>0.53</v>
      </c>
      <c r="P31" s="319"/>
      <c r="Q31" s="281">
        <f>(Q30-V062A_203031333436[[#This Row],[TOTAL ]])+V062A_203031333436[[#This Row],[FAENA]]</f>
        <v>568.23700000000008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SUM(V062A_203031333436[[#This Row],[MPAL2]:[GI]])</f>
        <v>0</v>
      </c>
      <c r="X31" s="246"/>
      <c r="Y31" s="282">
        <f>(Y30-V062A_203031333436[[#This Row],[TOTAL]])+V062A_203031333436[[#This Row],[FAENA2]]</f>
        <v>49.56</v>
      </c>
      <c r="Z31" s="245">
        <v>12</v>
      </c>
      <c r="AA31" s="246">
        <v>0</v>
      </c>
      <c r="AB31" s="320">
        <f>(AB30-V062A_203031333436[[#This Row],[CYLINDER MP]])+V062A_203031333436[[#This Row],[FAENA EN LTS]]</f>
        <v>3436</v>
      </c>
      <c r="AC31" s="246">
        <v>0</v>
      </c>
      <c r="AD31" s="246">
        <v>0</v>
      </c>
      <c r="AE31" s="320">
        <f>(AE30-V062A_203031333436[[#This Row],[CARTER MP.]])+V062A_203031333436[[#This Row],[FAENA EN LTS2]]</f>
        <v>3500</v>
      </c>
      <c r="AF31" s="246">
        <v>0</v>
      </c>
      <c r="AG31" s="246">
        <v>0</v>
      </c>
      <c r="AH31" s="320">
        <f>(AH30-V062A_203031333436[[#This Row],[MOT AUX]])+V062A_203031333436[[#This Row],[FAENA EN  LTS]]</f>
        <v>1080</v>
      </c>
      <c r="AI31" s="246">
        <v>0</v>
      </c>
      <c r="AJ31" s="246">
        <v>0</v>
      </c>
      <c r="AK31" s="321">
        <f>(AK30-V062A_203031333436[[#This Row],[HIDRAULICO]])+V062A_203031333436[[#This Row],[FAENA EN LTS3]]</f>
        <v>1140</v>
      </c>
    </row>
    <row r="32" spans="1:37" x14ac:dyDescent="0.25">
      <c r="A32" s="431" t="s">
        <v>349</v>
      </c>
      <c r="B32" s="48">
        <v>44172</v>
      </c>
      <c r="C32" s="41">
        <v>0.95416666666666661</v>
      </c>
      <c r="D32" s="418">
        <f>IF(V062A_203031333436[[#This Row],[FECHA]]-B31=1,((V062A_203031333436[[#This Row],[HORA]]-C31)*24)+24,(V062A_203031333436[[#This Row],[HORA]]-C31)*24)</f>
        <v>4.1999999999999984</v>
      </c>
      <c r="E32" s="409" t="s">
        <v>49</v>
      </c>
      <c r="F32" s="29" t="s">
        <v>46</v>
      </c>
      <c r="G32" s="324"/>
      <c r="H32" s="306"/>
      <c r="I3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2" s="242"/>
      <c r="K32" s="325"/>
      <c r="L32" s="483">
        <v>0</v>
      </c>
      <c r="M32" s="246">
        <v>0.35</v>
      </c>
      <c r="N32" s="484">
        <v>0.21</v>
      </c>
      <c r="O32" s="257">
        <f>SUM(V062A_203031333436[[#This Row],[MPAL]]+V062A_203031333436[[#This Row],[AUX.]]+V062A_203031333436[[#This Row],[CALDERA]])</f>
        <v>0.55999999999999994</v>
      </c>
      <c r="P32" s="319"/>
      <c r="Q32" s="281">
        <f>(Q31-V062A_203031333436[[#This Row],[TOTAL ]])+V062A_203031333436[[#This Row],[FAENA]]</f>
        <v>567.67700000000013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57">
        <f>SUM(V062A_203031333436[[#This Row],[MPAL2]:[GI]])</f>
        <v>0</v>
      </c>
      <c r="X32" s="246"/>
      <c r="Y32" s="282">
        <f>(Y31-V062A_203031333436[[#This Row],[TOTAL]])+V062A_203031333436[[#This Row],[FAENA2]]</f>
        <v>49.56</v>
      </c>
      <c r="Z32" s="245">
        <v>0</v>
      </c>
      <c r="AA32" s="246">
        <v>0</v>
      </c>
      <c r="AB32" s="320">
        <f>(AB31-V062A_203031333436[[#This Row],[CYLINDER MP]])+V062A_203031333436[[#This Row],[FAENA EN LTS]]</f>
        <v>3436</v>
      </c>
      <c r="AC32" s="246">
        <v>0</v>
      </c>
      <c r="AD32" s="246">
        <v>0</v>
      </c>
      <c r="AE32" s="320">
        <f>(AE31-V062A_203031333436[[#This Row],[CARTER MP.]])+V062A_203031333436[[#This Row],[FAENA EN LTS2]]</f>
        <v>3500</v>
      </c>
      <c r="AF32" s="246">
        <v>0</v>
      </c>
      <c r="AG32" s="246">
        <v>0</v>
      </c>
      <c r="AH32" s="320">
        <f>(AH31-V062A_203031333436[[#This Row],[MOT AUX]])+V062A_203031333436[[#This Row],[FAENA EN  LTS]]</f>
        <v>1080</v>
      </c>
      <c r="AI32" s="246">
        <v>0</v>
      </c>
      <c r="AJ32" s="246">
        <v>0</v>
      </c>
      <c r="AK32" s="321">
        <f>(AK31-V062A_203031333436[[#This Row],[HIDRAULICO]])+V062A_203031333436[[#This Row],[FAENA EN LTS3]]</f>
        <v>1140</v>
      </c>
    </row>
    <row r="33" spans="1:37" x14ac:dyDescent="0.25">
      <c r="A33" s="431" t="s">
        <v>349</v>
      </c>
      <c r="B33" s="48">
        <v>44173</v>
      </c>
      <c r="C33" s="41">
        <v>7.4999999999999997E-2</v>
      </c>
      <c r="D33" s="418">
        <f>IF(V062A_203031333436[[#This Row],[FECHA]]-B32=1,((V062A_203031333436[[#This Row],[HORA]]-C32)*24)+24,(V062A_203031333436[[#This Row],[HORA]]-C32)*24)</f>
        <v>2.8999999999999986</v>
      </c>
      <c r="E33" s="409" t="s">
        <v>47</v>
      </c>
      <c r="F33" s="29" t="s">
        <v>358</v>
      </c>
      <c r="G33" s="324"/>
      <c r="H33" s="306"/>
      <c r="I3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3" s="242"/>
      <c r="K33" s="325"/>
      <c r="L33" s="483">
        <v>1.21</v>
      </c>
      <c r="M33" s="246">
        <v>0.18</v>
      </c>
      <c r="N33" s="484">
        <v>0.15</v>
      </c>
      <c r="O33" s="257">
        <f>SUM(V062A_203031333436[[#This Row],[MPAL]]+V062A_203031333436[[#This Row],[AUX.]]+V062A_203031333436[[#This Row],[CALDERA]])</f>
        <v>1.5399999999999998</v>
      </c>
      <c r="P33" s="319"/>
      <c r="Q33" s="281">
        <f>(Q32-V062A_203031333436[[#This Row],[TOTAL ]])+V062A_203031333436[[#This Row],[FAENA]]</f>
        <v>566.13700000000017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57">
        <f>SUM(V062A_203031333436[[#This Row],[MPAL2]:[GI]])</f>
        <v>0</v>
      </c>
      <c r="X33" s="246"/>
      <c r="Y33" s="282">
        <f>(Y32-V062A_203031333436[[#This Row],[TOTAL]])+V062A_203031333436[[#This Row],[FAENA2]]</f>
        <v>49.56</v>
      </c>
      <c r="Z33" s="245">
        <v>34</v>
      </c>
      <c r="AA33" s="246">
        <v>0</v>
      </c>
      <c r="AB33" s="320">
        <f>(AB32-V062A_203031333436[[#This Row],[CYLINDER MP]])+V062A_203031333436[[#This Row],[FAENA EN LTS]]</f>
        <v>3402</v>
      </c>
      <c r="AC33" s="246">
        <v>0</v>
      </c>
      <c r="AD33" s="246">
        <v>0</v>
      </c>
      <c r="AE33" s="320">
        <f>(AE32-V062A_203031333436[[#This Row],[CARTER MP.]])+V062A_203031333436[[#This Row],[FAENA EN LTS2]]</f>
        <v>3500</v>
      </c>
      <c r="AF33" s="246">
        <v>20</v>
      </c>
      <c r="AG33" s="246">
        <v>0</v>
      </c>
      <c r="AH33" s="320">
        <f>(AH32-V062A_203031333436[[#This Row],[MOT AUX]])+V062A_203031333436[[#This Row],[FAENA EN  LTS]]</f>
        <v>1060</v>
      </c>
      <c r="AI33" s="246">
        <v>0</v>
      </c>
      <c r="AJ33" s="246">
        <v>0</v>
      </c>
      <c r="AK33" s="321">
        <f>(AK32-V062A_203031333436[[#This Row],[HIDRAULICO]])+V062A_203031333436[[#This Row],[FAENA EN LTS3]]</f>
        <v>1140</v>
      </c>
    </row>
    <row r="34" spans="1:37" x14ac:dyDescent="0.25">
      <c r="A34" s="431" t="s">
        <v>349</v>
      </c>
      <c r="B34" s="48">
        <v>44173</v>
      </c>
      <c r="C34" s="41">
        <v>0.17500000000000002</v>
      </c>
      <c r="D34" s="418">
        <f>IF(V062A_203031333436[[#This Row],[FECHA]]-B33=1,((V062A_203031333436[[#This Row],[HORA]]-C33)*24)+24,(V062A_203031333436[[#This Row],[HORA]]-C33)*24)</f>
        <v>2.4000000000000004</v>
      </c>
      <c r="E34" s="409" t="s">
        <v>49</v>
      </c>
      <c r="F34" s="29" t="s">
        <v>294</v>
      </c>
      <c r="G34" s="324"/>
      <c r="H34" s="306"/>
      <c r="I3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4" s="242"/>
      <c r="K34" s="325"/>
      <c r="L34" s="483">
        <v>0</v>
      </c>
      <c r="M34" s="246">
        <v>0.15</v>
      </c>
      <c r="N34" s="484">
        <v>0.12</v>
      </c>
      <c r="O34" s="257">
        <f>SUM(V062A_203031333436[[#This Row],[MPAL]]+V062A_203031333436[[#This Row],[AUX.]]+V062A_203031333436[[#This Row],[CALDERA]])</f>
        <v>0.27</v>
      </c>
      <c r="P34" s="319"/>
      <c r="Q34" s="281">
        <f>(Q33-V062A_203031333436[[#This Row],[TOTAL ]])+V062A_203031333436[[#This Row],[FAENA]]</f>
        <v>565.86700000000019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57">
        <f>SUM(V062A_203031333436[[#This Row],[MPAL2]:[GI]])</f>
        <v>0</v>
      </c>
      <c r="X34" s="246"/>
      <c r="Y34" s="282">
        <f>(Y33-V062A_203031333436[[#This Row],[TOTAL]])+V062A_203031333436[[#This Row],[FAENA2]]</f>
        <v>49.56</v>
      </c>
      <c r="Z34" s="245">
        <v>0</v>
      </c>
      <c r="AA34" s="246">
        <v>0</v>
      </c>
      <c r="AB34" s="320">
        <f>(AB33-V062A_203031333436[[#This Row],[CYLINDER MP]])+V062A_203031333436[[#This Row],[FAENA EN LTS]]</f>
        <v>3402</v>
      </c>
      <c r="AC34" s="246">
        <v>0</v>
      </c>
      <c r="AD34" s="246">
        <v>0</v>
      </c>
      <c r="AE34" s="320">
        <f>(AE33-V062A_203031333436[[#This Row],[CARTER MP.]])+V062A_203031333436[[#This Row],[FAENA EN LTS2]]</f>
        <v>3500</v>
      </c>
      <c r="AF34" s="246">
        <v>0</v>
      </c>
      <c r="AG34" s="246">
        <v>0</v>
      </c>
      <c r="AH34" s="320">
        <f>(AH33-V062A_203031333436[[#This Row],[MOT AUX]])+V062A_203031333436[[#This Row],[FAENA EN  LTS]]</f>
        <v>1060</v>
      </c>
      <c r="AI34" s="246">
        <v>0</v>
      </c>
      <c r="AJ34" s="246">
        <v>0</v>
      </c>
      <c r="AK34" s="321">
        <f>(AK33-V062A_203031333436[[#This Row],[HIDRAULICO]])+V062A_203031333436[[#This Row],[FAENA EN LTS3]]</f>
        <v>1140</v>
      </c>
    </row>
    <row r="35" spans="1:37" x14ac:dyDescent="0.25">
      <c r="A35" s="431" t="s">
        <v>349</v>
      </c>
      <c r="B35" s="48">
        <v>44173</v>
      </c>
      <c r="C35" s="41">
        <v>0.33333333333333331</v>
      </c>
      <c r="D35" s="418">
        <f>IF(V062A_203031333436[[#This Row],[FECHA]]-B34=1,((V062A_203031333436[[#This Row],[HORA]]-C34)*24)+24,(V062A_203031333436[[#This Row],[HORA]]-C34)*24)</f>
        <v>3.7999999999999989</v>
      </c>
      <c r="E35" s="409" t="s">
        <v>51</v>
      </c>
      <c r="F35" s="29" t="s">
        <v>51</v>
      </c>
      <c r="G35" s="324"/>
      <c r="H35" s="306"/>
      <c r="I3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5" s="242"/>
      <c r="K35" s="325"/>
      <c r="L35" s="483">
        <v>0</v>
      </c>
      <c r="M35" s="246">
        <v>0.35</v>
      </c>
      <c r="N35" s="484">
        <v>0.19</v>
      </c>
      <c r="O35" s="257">
        <f>SUM(V062A_203031333436[[#This Row],[MPAL]]+V062A_203031333436[[#This Row],[AUX.]]+V062A_203031333436[[#This Row],[CALDERA]])</f>
        <v>0.54</v>
      </c>
      <c r="P35" s="319"/>
      <c r="Q35" s="281">
        <f>(Q34-V062A_203031333436[[#This Row],[TOTAL ]])+V062A_203031333436[[#This Row],[FAENA]]</f>
        <v>565.32700000000023</v>
      </c>
      <c r="R35" s="245">
        <v>0</v>
      </c>
      <c r="S35" s="246">
        <v>0</v>
      </c>
      <c r="T35" s="246">
        <v>0</v>
      </c>
      <c r="U35" s="246">
        <v>0</v>
      </c>
      <c r="V35" s="246">
        <v>0.95</v>
      </c>
      <c r="W35" s="257">
        <f>SUM(V062A_203031333436[[#This Row],[MPAL2]:[GI]])</f>
        <v>0.95</v>
      </c>
      <c r="X35" s="246"/>
      <c r="Y35" s="282">
        <f>(Y34-V062A_203031333436[[#This Row],[TOTAL]])+V062A_203031333436[[#This Row],[FAENA2]]</f>
        <v>48.61</v>
      </c>
      <c r="Z35" s="245">
        <v>0</v>
      </c>
      <c r="AA35" s="246">
        <v>0</v>
      </c>
      <c r="AB35" s="320">
        <f>(AB34-V062A_203031333436[[#This Row],[CYLINDER MP]])+V062A_203031333436[[#This Row],[FAENA EN LTS]]</f>
        <v>3402</v>
      </c>
      <c r="AC35" s="246">
        <v>0</v>
      </c>
      <c r="AD35" s="246">
        <v>0</v>
      </c>
      <c r="AE35" s="320">
        <f>(AE34-V062A_203031333436[[#This Row],[CARTER MP.]])+V062A_203031333436[[#This Row],[FAENA EN LTS2]]</f>
        <v>3500</v>
      </c>
      <c r="AF35" s="246">
        <v>0</v>
      </c>
      <c r="AG35" s="246">
        <v>0</v>
      </c>
      <c r="AH35" s="320">
        <f>(AH34-V062A_203031333436[[#This Row],[MOT AUX]])+V062A_203031333436[[#This Row],[FAENA EN  LTS]]</f>
        <v>1060</v>
      </c>
      <c r="AI35" s="246">
        <v>0</v>
      </c>
      <c r="AJ35" s="246">
        <v>0</v>
      </c>
      <c r="AK35" s="321">
        <f>(AK34-V062A_203031333436[[#This Row],[HIDRAULICO]])+V062A_203031333436[[#This Row],[FAENA EN LTS3]]</f>
        <v>1140</v>
      </c>
    </row>
    <row r="36" spans="1:37" x14ac:dyDescent="0.25">
      <c r="A36" s="431" t="s">
        <v>349</v>
      </c>
      <c r="B36" s="48">
        <v>44173</v>
      </c>
      <c r="C36" s="41">
        <v>0.5</v>
      </c>
      <c r="D36" s="418">
        <f>IF(V062A_203031333436[[#This Row],[FECHA]]-B35=1,((V062A_203031333436[[#This Row],[HORA]]-C35)*24)+24,(V062A_203031333436[[#This Row],[HORA]]-C35)*24)</f>
        <v>4</v>
      </c>
      <c r="E36" s="409" t="s">
        <v>51</v>
      </c>
      <c r="F36" s="29" t="s">
        <v>359</v>
      </c>
      <c r="G36" s="324"/>
      <c r="H36" s="306"/>
      <c r="I3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6" s="242"/>
      <c r="K36" s="325"/>
      <c r="L36" s="483">
        <v>0</v>
      </c>
      <c r="M36" s="246">
        <v>0.33</v>
      </c>
      <c r="N36" s="484">
        <v>0.2</v>
      </c>
      <c r="O36" s="257">
        <f>SUM(V062A_203031333436[[#This Row],[MPAL]]+V062A_203031333436[[#This Row],[AUX.]]+V062A_203031333436[[#This Row],[CALDERA]])</f>
        <v>0.53</v>
      </c>
      <c r="P36" s="319"/>
      <c r="Q36" s="281">
        <f>(Q35-V062A_203031333436[[#This Row],[TOTAL ]])+V062A_203031333436[[#This Row],[FAENA]]</f>
        <v>564.79700000000025</v>
      </c>
      <c r="R36" s="245">
        <v>0</v>
      </c>
      <c r="S36" s="246">
        <v>0</v>
      </c>
      <c r="T36" s="246">
        <v>0</v>
      </c>
      <c r="U36" s="246">
        <v>0</v>
      </c>
      <c r="V36" s="246">
        <v>1</v>
      </c>
      <c r="W36" s="257">
        <f>SUM(V062A_203031333436[[#This Row],[MPAL2]:[GI]])</f>
        <v>1</v>
      </c>
      <c r="X36" s="246"/>
      <c r="Y36" s="282">
        <f>(Y35-V062A_203031333436[[#This Row],[TOTAL]])+V062A_203031333436[[#This Row],[FAENA2]]</f>
        <v>47.61</v>
      </c>
      <c r="Z36" s="245">
        <v>0</v>
      </c>
      <c r="AA36" s="246">
        <v>0</v>
      </c>
      <c r="AB36" s="320">
        <f>(AB35-V062A_203031333436[[#This Row],[CYLINDER MP]])+V062A_203031333436[[#This Row],[FAENA EN LTS]]</f>
        <v>3402</v>
      </c>
      <c r="AC36" s="246">
        <v>0</v>
      </c>
      <c r="AD36" s="246">
        <v>0</v>
      </c>
      <c r="AE36" s="320">
        <f>(AE35-V062A_203031333436[[#This Row],[CARTER MP.]])+V062A_203031333436[[#This Row],[FAENA EN LTS2]]</f>
        <v>3500</v>
      </c>
      <c r="AF36" s="246">
        <v>20</v>
      </c>
      <c r="AG36" s="246">
        <v>0</v>
      </c>
      <c r="AH36" s="320">
        <f>(AH35-V062A_203031333436[[#This Row],[MOT AUX]])+V062A_203031333436[[#This Row],[FAENA EN  LTS]]</f>
        <v>1040</v>
      </c>
      <c r="AI36" s="246">
        <v>0</v>
      </c>
      <c r="AJ36" s="246">
        <v>0</v>
      </c>
      <c r="AK36" s="321">
        <f>(AK35-V062A_203031333436[[#This Row],[HIDRAULICO]])+V062A_203031333436[[#This Row],[FAENA EN LTS3]]</f>
        <v>1140</v>
      </c>
    </row>
    <row r="37" spans="1:37" x14ac:dyDescent="0.25">
      <c r="A37" s="431" t="s">
        <v>349</v>
      </c>
      <c r="B37" s="48">
        <v>44173</v>
      </c>
      <c r="C37" s="41">
        <v>0.62083333333333335</v>
      </c>
      <c r="D37" s="418">
        <f>IF(V062A_203031333436[[#This Row],[FECHA]]-B36=1,((V062A_203031333436[[#This Row],[HORA]]-C36)*24)+24,(V062A_203031333436[[#This Row],[HORA]]-C36)*24)</f>
        <v>2.9000000000000004</v>
      </c>
      <c r="E37" s="409" t="s">
        <v>49</v>
      </c>
      <c r="F37" s="29" t="s">
        <v>46</v>
      </c>
      <c r="G37" s="324"/>
      <c r="H37" s="306"/>
      <c r="I3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7" s="380"/>
      <c r="K37" s="325"/>
      <c r="L37" s="483">
        <v>0</v>
      </c>
      <c r="M37" s="246">
        <v>0.24</v>
      </c>
      <c r="N37" s="484">
        <v>0.15</v>
      </c>
      <c r="O37" s="257">
        <f>SUM(V062A_203031333436[[#This Row],[MPAL]]+V062A_203031333436[[#This Row],[AUX.]]+V062A_203031333436[[#This Row],[CALDERA]])</f>
        <v>0.39</v>
      </c>
      <c r="P37" s="319"/>
      <c r="Q37" s="281">
        <f>(Q36-V062A_203031333436[[#This Row],[TOTAL ]])+V062A_203031333436[[#This Row],[FAENA]]</f>
        <v>564.40700000000027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SUM(V062A_203031333436[[#This Row],[MPAL2]:[GI]])</f>
        <v>0</v>
      </c>
      <c r="X37" s="246"/>
      <c r="Y37" s="282">
        <f>(Y36-V062A_203031333436[[#This Row],[TOTAL]])+V062A_203031333436[[#This Row],[FAENA2]]</f>
        <v>47.61</v>
      </c>
      <c r="Z37" s="245">
        <v>0</v>
      </c>
      <c r="AA37" s="246">
        <v>0</v>
      </c>
      <c r="AB37" s="320">
        <f>(AB36-V062A_203031333436[[#This Row],[CYLINDER MP]])+V062A_203031333436[[#This Row],[FAENA EN LTS]]</f>
        <v>3402</v>
      </c>
      <c r="AC37" s="246">
        <v>0</v>
      </c>
      <c r="AD37" s="246">
        <v>0</v>
      </c>
      <c r="AE37" s="320">
        <f>(AE36-V062A_203031333436[[#This Row],[CARTER MP.]])+V062A_203031333436[[#This Row],[FAENA EN LTS2]]</f>
        <v>3500</v>
      </c>
      <c r="AF37" s="246">
        <v>0</v>
      </c>
      <c r="AG37" s="246">
        <v>0</v>
      </c>
      <c r="AH37" s="320">
        <f>(AH36-V062A_203031333436[[#This Row],[MOT AUX]])+V062A_203031333436[[#This Row],[FAENA EN  LTS]]</f>
        <v>1040</v>
      </c>
      <c r="AI37" s="246">
        <v>0</v>
      </c>
      <c r="AJ37" s="246">
        <v>0</v>
      </c>
      <c r="AK37" s="321">
        <f>(AK36-V062A_203031333436[[#This Row],[HIDRAULICO]])+V062A_203031333436[[#This Row],[FAENA EN LTS3]]</f>
        <v>1140</v>
      </c>
    </row>
    <row r="38" spans="1:37" x14ac:dyDescent="0.25">
      <c r="A38" s="431" t="s">
        <v>349</v>
      </c>
      <c r="B38" s="48">
        <v>44173</v>
      </c>
      <c r="C38" s="41">
        <v>0.66666666666666663</v>
      </c>
      <c r="D38" s="418">
        <f>IF(V062A_203031333436[[#This Row],[FECHA]]-B37=1,((V062A_203031333436[[#This Row],[HORA]]-C37)*24)+24,(V062A_203031333436[[#This Row],[HORA]]-C37)*24)</f>
        <v>1.0999999999999988</v>
      </c>
      <c r="E38" s="409" t="s">
        <v>47</v>
      </c>
      <c r="F38" s="29" t="s">
        <v>213</v>
      </c>
      <c r="G38" s="324"/>
      <c r="H38" s="306"/>
      <c r="I3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38" s="242"/>
      <c r="K38" s="325"/>
      <c r="L38" s="483">
        <v>0.46</v>
      </c>
      <c r="M38" s="246">
        <v>7.0000000000000007E-2</v>
      </c>
      <c r="N38" s="484">
        <v>0.05</v>
      </c>
      <c r="O38" s="257">
        <f>SUM(V062A_203031333436[[#This Row],[MPAL]]+V062A_203031333436[[#This Row],[AUX.]]+V062A_203031333436[[#This Row],[CALDERA]])</f>
        <v>0.58000000000000007</v>
      </c>
      <c r="P38" s="319"/>
      <c r="Q38" s="281">
        <f>(Q37-V062A_203031333436[[#This Row],[TOTAL ]])+V062A_203031333436[[#This Row],[FAENA]]</f>
        <v>563.82700000000023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SUM(V062A_203031333436[[#This Row],[MPAL2]:[GI]])</f>
        <v>0</v>
      </c>
      <c r="X38" s="246"/>
      <c r="Y38" s="282">
        <f>(Y37-V062A_203031333436[[#This Row],[TOTAL]])+V062A_203031333436[[#This Row],[FAENA2]]</f>
        <v>47.61</v>
      </c>
      <c r="Z38" s="245">
        <v>13</v>
      </c>
      <c r="AA38" s="246">
        <v>0</v>
      </c>
      <c r="AB38" s="320">
        <f>(AB37-V062A_203031333436[[#This Row],[CYLINDER MP]])+V062A_203031333436[[#This Row],[FAENA EN LTS]]</f>
        <v>3389</v>
      </c>
      <c r="AC38" s="246">
        <v>0</v>
      </c>
      <c r="AD38" s="246">
        <v>0</v>
      </c>
      <c r="AE38" s="320">
        <f>(AE37-V062A_203031333436[[#This Row],[CARTER MP.]])+V062A_203031333436[[#This Row],[FAENA EN LTS2]]</f>
        <v>3500</v>
      </c>
      <c r="AF38" s="246">
        <v>0</v>
      </c>
      <c r="AG38" s="246">
        <v>0</v>
      </c>
      <c r="AH38" s="320">
        <f>(AH37-V062A_203031333436[[#This Row],[MOT AUX]])+V062A_203031333436[[#This Row],[FAENA EN  LTS]]</f>
        <v>1040</v>
      </c>
      <c r="AI38" s="246">
        <v>0</v>
      </c>
      <c r="AJ38" s="246">
        <v>0</v>
      </c>
      <c r="AK38" s="321">
        <f>(AK37-V062A_203031333436[[#This Row],[HIDRAULICO]])+V062A_203031333436[[#This Row],[FAENA EN LTS3]]</f>
        <v>1140</v>
      </c>
    </row>
    <row r="39" spans="1:37" x14ac:dyDescent="0.25">
      <c r="A39" s="431" t="s">
        <v>349</v>
      </c>
      <c r="B39" s="48">
        <v>44174</v>
      </c>
      <c r="C39" s="41">
        <v>0.33333333333333331</v>
      </c>
      <c r="D39" s="418">
        <f>IF(V062A_203031333436[[#This Row],[FECHA]]-B38=1,((V062A_203031333436[[#This Row],[HORA]]-C38)*24)+24,(V062A_203031333436[[#This Row],[HORA]]-C38)*24)</f>
        <v>16</v>
      </c>
      <c r="E39" s="409" t="s">
        <v>55</v>
      </c>
      <c r="F39" s="29" t="s">
        <v>56</v>
      </c>
      <c r="G39" s="324">
        <v>214.5</v>
      </c>
      <c r="H39" s="306">
        <v>16</v>
      </c>
      <c r="I39" s="259">
        <f>IF(ISERROR(V062A_203031333436[[#This Row],[DISTANCIA POR CARTA]]/V062A_203031333436[[#This Row],[TIEMPO DE NAVEGACION]]),0,V062A_203031333436[[#This Row],[DISTANCIA POR CARTA]]/V062A_203031333436[[#This Row],[TIEMPO DE NAVEGACION]])</f>
        <v>13.40625</v>
      </c>
      <c r="J39" s="242">
        <v>5</v>
      </c>
      <c r="K39" s="325">
        <v>97</v>
      </c>
      <c r="L39" s="483">
        <v>15.33</v>
      </c>
      <c r="M39" s="246">
        <v>1</v>
      </c>
      <c r="N39" s="484">
        <v>0.8</v>
      </c>
      <c r="O39" s="257">
        <f>SUM(V062A_203031333436[[#This Row],[MPAL]]+V062A_203031333436[[#This Row],[AUX.]]+V062A_203031333436[[#This Row],[CALDERA]])</f>
        <v>17.13</v>
      </c>
      <c r="P39" s="319"/>
      <c r="Q39" s="281">
        <f>(Q38-V062A_203031333436[[#This Row],[TOTAL ]])+V062A_203031333436[[#This Row],[FAENA]]</f>
        <v>546.69700000000023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SUM(V062A_203031333436[[#This Row],[MPAL2]:[GI]])</f>
        <v>0</v>
      </c>
      <c r="X39" s="246"/>
      <c r="Y39" s="282">
        <f>(Y38-V062A_203031333436[[#This Row],[TOTAL]])+V062A_203031333436[[#This Row],[FAENA2]]</f>
        <v>47.61</v>
      </c>
      <c r="Z39" s="245">
        <v>187</v>
      </c>
      <c r="AA39" s="246">
        <v>0</v>
      </c>
      <c r="AB39" s="320">
        <f>(AB38-V062A_203031333436[[#This Row],[CYLINDER MP]])+V062A_203031333436[[#This Row],[FAENA EN LTS]]</f>
        <v>3202</v>
      </c>
      <c r="AC39" s="246">
        <v>0</v>
      </c>
      <c r="AD39" s="246">
        <v>0</v>
      </c>
      <c r="AE39" s="320">
        <f>(AE38-V062A_203031333436[[#This Row],[CARTER MP.]])+V062A_203031333436[[#This Row],[FAENA EN LTS2]]</f>
        <v>3500</v>
      </c>
      <c r="AF39" s="246">
        <v>20</v>
      </c>
      <c r="AG39" s="246">
        <v>0</v>
      </c>
      <c r="AH39" s="320">
        <f>(AH38-V062A_203031333436[[#This Row],[MOT AUX]])+V062A_203031333436[[#This Row],[FAENA EN  LTS]]</f>
        <v>1020</v>
      </c>
      <c r="AI39" s="246">
        <v>0</v>
      </c>
      <c r="AJ39" s="246">
        <v>0</v>
      </c>
      <c r="AK39" s="321">
        <f>(AK38-V062A_203031333436[[#This Row],[HIDRAULICO]])+V062A_203031333436[[#This Row],[FAENA EN LTS3]]</f>
        <v>1140</v>
      </c>
    </row>
    <row r="40" spans="1:37" x14ac:dyDescent="0.25">
      <c r="A40" s="431" t="s">
        <v>349</v>
      </c>
      <c r="B40" s="48">
        <v>44175</v>
      </c>
      <c r="C40" s="41">
        <v>0.33333333333333331</v>
      </c>
      <c r="D40" s="418">
        <f>IF(V062A_203031333436[[#This Row],[FECHA]]-B39=1,((V062A_203031333436[[#This Row],[HORA]]-C39)*24)+24,(V062A_203031333436[[#This Row],[HORA]]-C39)*24)</f>
        <v>24</v>
      </c>
      <c r="E40" s="409" t="s">
        <v>55</v>
      </c>
      <c r="F40" s="29" t="s">
        <v>56</v>
      </c>
      <c r="G40" s="324">
        <v>317.10000000000002</v>
      </c>
      <c r="H40" s="306">
        <v>24</v>
      </c>
      <c r="I40" s="259">
        <f>IF(ISERROR(V062A_203031333436[[#This Row],[DISTANCIA POR CARTA]]/V062A_203031333436[[#This Row],[TIEMPO DE NAVEGACION]]),0,V062A_203031333436[[#This Row],[DISTANCIA POR CARTA]]/V062A_203031333436[[#This Row],[TIEMPO DE NAVEGACION]])</f>
        <v>13.2125</v>
      </c>
      <c r="J40" s="242">
        <v>5</v>
      </c>
      <c r="K40" s="325">
        <v>97</v>
      </c>
      <c r="L40" s="483">
        <v>23</v>
      </c>
      <c r="M40" s="246">
        <v>1.5</v>
      </c>
      <c r="N40" s="484">
        <v>1.2</v>
      </c>
      <c r="O40" s="257">
        <f>SUM(V062A_203031333436[[#This Row],[MPAL]]+V062A_203031333436[[#This Row],[AUX.]]+V062A_203031333436[[#This Row],[CALDERA]])</f>
        <v>25.7</v>
      </c>
      <c r="P40" s="319"/>
      <c r="Q40" s="281">
        <f>(Q39-V062A_203031333436[[#This Row],[TOTAL ]])+V062A_203031333436[[#This Row],[FAENA]]</f>
        <v>520.99700000000018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SUM(V062A_203031333436[[#This Row],[MPAL2]:[GI]])</f>
        <v>0</v>
      </c>
      <c r="X40" s="246"/>
      <c r="Y40" s="282">
        <f>(Y39-V062A_203031333436[[#This Row],[TOTAL]])+V062A_203031333436[[#This Row],[FAENA2]]</f>
        <v>47.61</v>
      </c>
      <c r="Z40" s="245">
        <v>280</v>
      </c>
      <c r="AA40" s="246">
        <v>0</v>
      </c>
      <c r="AB40" s="320">
        <f>(AB39-V062A_203031333436[[#This Row],[CYLINDER MP]])+V062A_203031333436[[#This Row],[FAENA EN LTS]]</f>
        <v>2922</v>
      </c>
      <c r="AC40" s="246">
        <v>0</v>
      </c>
      <c r="AD40" s="246">
        <v>0</v>
      </c>
      <c r="AE40" s="320">
        <f>(AE39-V062A_203031333436[[#This Row],[CARTER MP.]])+V062A_203031333436[[#This Row],[FAENA EN LTS2]]</f>
        <v>3500</v>
      </c>
      <c r="AF40" s="246">
        <v>20</v>
      </c>
      <c r="AG40" s="246">
        <v>0</v>
      </c>
      <c r="AH40" s="320">
        <f>(AH39-V062A_203031333436[[#This Row],[MOT AUX]])+V062A_203031333436[[#This Row],[FAENA EN  LTS]]</f>
        <v>1000</v>
      </c>
      <c r="AI40" s="246">
        <v>0</v>
      </c>
      <c r="AJ40" s="246">
        <v>0</v>
      </c>
      <c r="AK40" s="321">
        <f>(AK39-V062A_203031333436[[#This Row],[HIDRAULICO]])+V062A_203031333436[[#This Row],[FAENA EN LTS3]]</f>
        <v>1140</v>
      </c>
    </row>
    <row r="41" spans="1:37" x14ac:dyDescent="0.25">
      <c r="A41" s="431" t="s">
        <v>349</v>
      </c>
      <c r="B41" s="48">
        <v>44175</v>
      </c>
      <c r="C41" s="41">
        <v>0.875</v>
      </c>
      <c r="D41" s="418">
        <f>IF(V062A_203031333436[[#This Row],[FECHA]]-B40=1,((V062A_203031333436[[#This Row],[HORA]]-C40)*24)+24,(V062A_203031333436[[#This Row],[HORA]]-C40)*24)</f>
        <v>13.000000000000002</v>
      </c>
      <c r="E41" s="239" t="s">
        <v>55</v>
      </c>
      <c r="F41" s="29" t="s">
        <v>360</v>
      </c>
      <c r="G41" s="324">
        <v>175.4</v>
      </c>
      <c r="H41" s="306">
        <v>13</v>
      </c>
      <c r="I41" s="259">
        <f>IF(ISERROR(V062A_203031333436[[#This Row],[DISTANCIA POR CARTA]]/V062A_203031333436[[#This Row],[TIEMPO DE NAVEGACION]]),0,V062A_203031333436[[#This Row],[DISTANCIA POR CARTA]]/V062A_203031333436[[#This Row],[TIEMPO DE NAVEGACION]])</f>
        <v>13.492307692307692</v>
      </c>
      <c r="J41" s="242">
        <v>5</v>
      </c>
      <c r="K41" s="325">
        <v>97</v>
      </c>
      <c r="L41" s="483">
        <v>12.46</v>
      </c>
      <c r="M41" s="246">
        <v>1.08</v>
      </c>
      <c r="N41" s="484">
        <v>0.7</v>
      </c>
      <c r="O41" s="257">
        <f>SUM(V062A_203031333436[[#This Row],[MPAL]]+V062A_203031333436[[#This Row],[AUX.]]+V062A_203031333436[[#This Row],[CALDERA]])</f>
        <v>14.24</v>
      </c>
      <c r="P41" s="319"/>
      <c r="Q41" s="281">
        <f>(Q40-V062A_203031333436[[#This Row],[TOTAL ]])+V062A_203031333436[[#This Row],[FAENA]]</f>
        <v>506.75700000000018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SUM(V062A_203031333436[[#This Row],[MPAL2]:[GI]])</f>
        <v>0</v>
      </c>
      <c r="X41" s="246"/>
      <c r="Y41" s="282">
        <f>(Y40-V062A_203031333436[[#This Row],[TOTAL]])+V062A_203031333436[[#This Row],[FAENA2]]</f>
        <v>47.61</v>
      </c>
      <c r="Z41" s="245">
        <v>135</v>
      </c>
      <c r="AA41" s="246">
        <v>0</v>
      </c>
      <c r="AB41" s="320">
        <f>(AB40-V062A_203031333436[[#This Row],[CYLINDER MP]])+V062A_203031333436[[#This Row],[FAENA EN LTS]]</f>
        <v>2787</v>
      </c>
      <c r="AC41" s="246">
        <v>0</v>
      </c>
      <c r="AD41" s="246">
        <v>0</v>
      </c>
      <c r="AE41" s="320">
        <f>(AE40-V062A_203031333436[[#This Row],[CARTER MP.]])+V062A_203031333436[[#This Row],[FAENA EN LTS2]]</f>
        <v>3500</v>
      </c>
      <c r="AF41" s="246">
        <v>20</v>
      </c>
      <c r="AG41" s="246">
        <v>0</v>
      </c>
      <c r="AH41" s="320">
        <f>(AH40-V062A_203031333436[[#This Row],[MOT AUX]])+V062A_203031333436[[#This Row],[FAENA EN  LTS]]</f>
        <v>980</v>
      </c>
      <c r="AI41" s="246">
        <v>0</v>
      </c>
      <c r="AJ41" s="246">
        <v>0</v>
      </c>
      <c r="AK41" s="321">
        <f>(AK40-V062A_203031333436[[#This Row],[HIDRAULICO]])+V062A_203031333436[[#This Row],[FAENA EN LTS3]]</f>
        <v>1140</v>
      </c>
    </row>
    <row r="42" spans="1:37" x14ac:dyDescent="0.25">
      <c r="A42" s="431" t="s">
        <v>349</v>
      </c>
      <c r="B42" s="48">
        <v>44175</v>
      </c>
      <c r="C42" s="41">
        <v>0.91249999999999998</v>
      </c>
      <c r="D42" s="418">
        <f>IF(V062A_203031333436[[#This Row],[FECHA]]-B41=1,((V062A_203031333436[[#This Row],[HORA]]-C41)*24)+24,(V062A_203031333436[[#This Row],[HORA]]-C41)*24)</f>
        <v>0.89999999999999947</v>
      </c>
      <c r="E42" s="409" t="s">
        <v>47</v>
      </c>
      <c r="F42" s="29" t="s">
        <v>361</v>
      </c>
      <c r="G42" s="324"/>
      <c r="H42" s="306"/>
      <c r="I4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2" s="242"/>
      <c r="K42" s="325"/>
      <c r="L42" s="483">
        <v>0.38</v>
      </c>
      <c r="M42" s="246">
        <v>0.06</v>
      </c>
      <c r="N42" s="484">
        <v>0.05</v>
      </c>
      <c r="O42" s="257">
        <f>SUM(V062A_203031333436[[#This Row],[MPAL]]+V062A_203031333436[[#This Row],[AUX.]]+V062A_203031333436[[#This Row],[CALDERA]])</f>
        <v>0.49</v>
      </c>
      <c r="P42" s="319"/>
      <c r="Q42" s="281">
        <f>(Q41-V062A_203031333436[[#This Row],[TOTAL ]])+V062A_203031333436[[#This Row],[FAENA]]</f>
        <v>506.26700000000017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SUM(V062A_203031333436[[#This Row],[MPAL2]:[GI]])</f>
        <v>0</v>
      </c>
      <c r="X42" s="246"/>
      <c r="Y42" s="282">
        <f>(Y41-V062A_203031333436[[#This Row],[TOTAL]])+V062A_203031333436[[#This Row],[FAENA2]]</f>
        <v>47.61</v>
      </c>
      <c r="Z42" s="245">
        <v>9.4</v>
      </c>
      <c r="AA42" s="246">
        <v>0</v>
      </c>
      <c r="AB42" s="320">
        <f>(AB41-V062A_203031333436[[#This Row],[CYLINDER MP]])+V062A_203031333436[[#This Row],[FAENA EN LTS]]</f>
        <v>2777.6</v>
      </c>
      <c r="AC42" s="246">
        <v>0</v>
      </c>
      <c r="AD42" s="246">
        <v>0</v>
      </c>
      <c r="AE42" s="320">
        <f>(AE41-V062A_203031333436[[#This Row],[CARTER MP.]])+V062A_203031333436[[#This Row],[FAENA EN LTS2]]</f>
        <v>3500</v>
      </c>
      <c r="AF42" s="246">
        <v>0</v>
      </c>
      <c r="AG42" s="246">
        <v>0</v>
      </c>
      <c r="AH42" s="320">
        <f>(AH41-V062A_203031333436[[#This Row],[MOT AUX]])+V062A_203031333436[[#This Row],[FAENA EN  LTS]]</f>
        <v>980</v>
      </c>
      <c r="AI42" s="246">
        <v>0</v>
      </c>
      <c r="AJ42" s="246">
        <v>0</v>
      </c>
      <c r="AK42" s="321">
        <f>(AK41-V062A_203031333436[[#This Row],[HIDRAULICO]])+V062A_203031333436[[#This Row],[FAENA EN LTS3]]</f>
        <v>1140</v>
      </c>
    </row>
    <row r="43" spans="1:37" x14ac:dyDescent="0.25">
      <c r="A43" s="431" t="s">
        <v>349</v>
      </c>
      <c r="B43" s="48">
        <v>44176</v>
      </c>
      <c r="C43" s="41">
        <v>1.6666666666666666E-2</v>
      </c>
      <c r="D43" s="418">
        <f>IF(V062A_203031333436[[#This Row],[FECHA]]-B42=1,((V062A_203031333436[[#This Row],[HORA]]-C42)*24)+24,(V062A_203031333436[[#This Row],[HORA]]-C42)*24)</f>
        <v>2.5</v>
      </c>
      <c r="E43" s="409" t="s">
        <v>49</v>
      </c>
      <c r="F43" s="29" t="s">
        <v>46</v>
      </c>
      <c r="G43" s="324"/>
      <c r="H43" s="306"/>
      <c r="I4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3" s="242"/>
      <c r="K43" s="325"/>
      <c r="L43" s="483">
        <v>0</v>
      </c>
      <c r="M43" s="246">
        <v>0.21</v>
      </c>
      <c r="N43" s="484">
        <v>0.13</v>
      </c>
      <c r="O43" s="257">
        <f>SUM(V062A_203031333436[[#This Row],[MPAL]]+V062A_203031333436[[#This Row],[AUX.]]+V062A_203031333436[[#This Row],[CALDERA]])</f>
        <v>0.33999999999999997</v>
      </c>
      <c r="P43" s="319"/>
      <c r="Q43" s="281">
        <f>(Q42-V062A_203031333436[[#This Row],[TOTAL ]])+V062A_203031333436[[#This Row],[FAENA]]</f>
        <v>505.92700000000019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SUM(V062A_203031333436[[#This Row],[MPAL2]:[GI]])</f>
        <v>0</v>
      </c>
      <c r="X43" s="246"/>
      <c r="Y43" s="282">
        <f>(Y42-V062A_203031333436[[#This Row],[TOTAL]])+V062A_203031333436[[#This Row],[FAENA2]]</f>
        <v>47.61</v>
      </c>
      <c r="Z43" s="245">
        <v>0</v>
      </c>
      <c r="AA43" s="246">
        <v>0</v>
      </c>
      <c r="AB43" s="320">
        <f>(AB42-V062A_203031333436[[#This Row],[CYLINDER MP]])+V062A_203031333436[[#This Row],[FAENA EN LTS]]</f>
        <v>2777.6</v>
      </c>
      <c r="AC43" s="246">
        <v>0</v>
      </c>
      <c r="AD43" s="246">
        <v>0</v>
      </c>
      <c r="AE43" s="320">
        <f>(AE42-V062A_203031333436[[#This Row],[CARTER MP.]])+V062A_203031333436[[#This Row],[FAENA EN LTS2]]</f>
        <v>3500</v>
      </c>
      <c r="AF43" s="246">
        <v>0</v>
      </c>
      <c r="AG43" s="246">
        <v>0</v>
      </c>
      <c r="AH43" s="320">
        <f>(AH42-V062A_203031333436[[#This Row],[MOT AUX]])+V062A_203031333436[[#This Row],[FAENA EN  LTS]]</f>
        <v>980</v>
      </c>
      <c r="AI43" s="246">
        <v>0</v>
      </c>
      <c r="AJ43" s="246">
        <v>0</v>
      </c>
      <c r="AK43" s="321">
        <f>(AK42-V062A_203031333436[[#This Row],[HIDRAULICO]])+V062A_203031333436[[#This Row],[FAENA EN LTS3]]</f>
        <v>1140</v>
      </c>
    </row>
    <row r="44" spans="1:37" x14ac:dyDescent="0.25">
      <c r="A44" s="431" t="s">
        <v>349</v>
      </c>
      <c r="B44" s="48">
        <v>44176</v>
      </c>
      <c r="C44" s="41">
        <v>0.125</v>
      </c>
      <c r="D44" s="418">
        <f>IF(V062A_203031333436[[#This Row],[FECHA]]-B43=1,((V062A_203031333436[[#This Row],[HORA]]-C43)*24)+24,(V062A_203031333436[[#This Row],[HORA]]-C43)*24)</f>
        <v>2.6</v>
      </c>
      <c r="E44" s="409" t="s">
        <v>47</v>
      </c>
      <c r="F44" s="29" t="s">
        <v>362</v>
      </c>
      <c r="G44" s="324"/>
      <c r="H44" s="306"/>
      <c r="I4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4" s="242"/>
      <c r="K44" s="325"/>
      <c r="L44" s="483">
        <v>1.08</v>
      </c>
      <c r="M44" s="246">
        <v>0.16</v>
      </c>
      <c r="N44" s="484">
        <v>0.13</v>
      </c>
      <c r="O44" s="257">
        <f>SUM(V062A_203031333436[[#This Row],[MPAL]]+V062A_203031333436[[#This Row],[AUX.]]+V062A_203031333436[[#This Row],[CALDERA]])</f>
        <v>1.37</v>
      </c>
      <c r="P44" s="319"/>
      <c r="Q44" s="281">
        <f>(Q43-V062A_203031333436[[#This Row],[TOTAL ]])+V062A_203031333436[[#This Row],[FAENA]]</f>
        <v>504.55700000000019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SUM(V062A_203031333436[[#This Row],[MPAL2]:[GI]])</f>
        <v>0</v>
      </c>
      <c r="X44" s="246"/>
      <c r="Y44" s="282">
        <f>(Y43-V062A_203031333436[[#This Row],[TOTAL]])+V062A_203031333436[[#This Row],[FAENA2]]</f>
        <v>47.61</v>
      </c>
      <c r="Z44" s="245">
        <v>27</v>
      </c>
      <c r="AA44" s="246">
        <v>0</v>
      </c>
      <c r="AB44" s="320">
        <f>(AB43-V062A_203031333436[[#This Row],[CYLINDER MP]])+V062A_203031333436[[#This Row],[FAENA EN LTS]]</f>
        <v>2750.6</v>
      </c>
      <c r="AC44" s="246">
        <v>0</v>
      </c>
      <c r="AD44" s="246">
        <v>0</v>
      </c>
      <c r="AE44" s="320">
        <f>(AE43-V062A_203031333436[[#This Row],[CARTER MP.]])+V062A_203031333436[[#This Row],[FAENA EN LTS2]]</f>
        <v>3500</v>
      </c>
      <c r="AF44" s="246">
        <v>20</v>
      </c>
      <c r="AG44" s="246">
        <v>0</v>
      </c>
      <c r="AH44" s="320">
        <f>(AH43-V062A_203031333436[[#This Row],[MOT AUX]])+V062A_203031333436[[#This Row],[FAENA EN  LTS]]</f>
        <v>960</v>
      </c>
      <c r="AI44" s="246">
        <v>0</v>
      </c>
      <c r="AJ44" s="246">
        <v>0</v>
      </c>
      <c r="AK44" s="321">
        <f>(AK43-V062A_203031333436[[#This Row],[HIDRAULICO]])+V062A_203031333436[[#This Row],[FAENA EN LTS3]]</f>
        <v>1140</v>
      </c>
    </row>
    <row r="45" spans="1:37" x14ac:dyDescent="0.25">
      <c r="A45" s="431" t="s">
        <v>349</v>
      </c>
      <c r="B45" s="48">
        <v>44176</v>
      </c>
      <c r="C45" s="41">
        <v>0.19166666666666665</v>
      </c>
      <c r="D45" s="418">
        <f>IF(V062A_203031333436[[#This Row],[FECHA]]-B44=1,((V062A_203031333436[[#This Row],[HORA]]-C44)*24)+24,(V062A_203031333436[[#This Row],[HORA]]-C44)*24)</f>
        <v>1.5999999999999996</v>
      </c>
      <c r="E45" s="409" t="s">
        <v>49</v>
      </c>
      <c r="F45" s="29" t="s">
        <v>294</v>
      </c>
      <c r="G45" s="324"/>
      <c r="H45" s="306"/>
      <c r="I4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5" s="242"/>
      <c r="K45" s="325"/>
      <c r="L45" s="483">
        <v>0</v>
      </c>
      <c r="M45" s="246">
        <v>0.1</v>
      </c>
      <c r="N45" s="484">
        <v>0.08</v>
      </c>
      <c r="O45" s="257">
        <f>SUM(V062A_203031333436[[#This Row],[MPAL]]+V062A_203031333436[[#This Row],[AUX.]]+V062A_203031333436[[#This Row],[CALDERA]])</f>
        <v>0.18</v>
      </c>
      <c r="P45" s="319"/>
      <c r="Q45" s="281">
        <f>(Q44-V062A_203031333436[[#This Row],[TOTAL ]])+V062A_203031333436[[#This Row],[FAENA]]</f>
        <v>504.37700000000018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SUM(V062A_203031333436[[#This Row],[MPAL2]:[GI]])</f>
        <v>0</v>
      </c>
      <c r="X45" s="246"/>
      <c r="Y45" s="282">
        <f>(Y44-V062A_203031333436[[#This Row],[TOTAL]])+V062A_203031333436[[#This Row],[FAENA2]]</f>
        <v>47.61</v>
      </c>
      <c r="Z45" s="245">
        <v>0</v>
      </c>
      <c r="AA45" s="246">
        <v>0</v>
      </c>
      <c r="AB45" s="320">
        <f>(AB44-V062A_203031333436[[#This Row],[CYLINDER MP]])+V062A_203031333436[[#This Row],[FAENA EN LTS]]</f>
        <v>2750.6</v>
      </c>
      <c r="AC45" s="246">
        <v>0</v>
      </c>
      <c r="AD45" s="246">
        <v>0</v>
      </c>
      <c r="AE45" s="320">
        <f>(AE44-V062A_203031333436[[#This Row],[CARTER MP.]])+V062A_203031333436[[#This Row],[FAENA EN LTS2]]</f>
        <v>3500</v>
      </c>
      <c r="AF45" s="246">
        <v>0</v>
      </c>
      <c r="AG45" s="246">
        <v>0</v>
      </c>
      <c r="AH45" s="320">
        <f>(AH44-V062A_203031333436[[#This Row],[MOT AUX]])+V062A_203031333436[[#This Row],[FAENA EN  LTS]]</f>
        <v>960</v>
      </c>
      <c r="AI45" s="246">
        <v>0</v>
      </c>
      <c r="AJ45" s="246">
        <v>0</v>
      </c>
      <c r="AK45" s="321">
        <f>(AK44-V062A_203031333436[[#This Row],[HIDRAULICO]])+V062A_203031333436[[#This Row],[FAENA EN LTS3]]</f>
        <v>1140</v>
      </c>
    </row>
    <row r="46" spans="1:37" x14ac:dyDescent="0.25">
      <c r="A46" s="431" t="s">
        <v>349</v>
      </c>
      <c r="B46" s="48">
        <v>44176</v>
      </c>
      <c r="C46" s="41">
        <v>0.33333333333333331</v>
      </c>
      <c r="D46" s="418">
        <f>IF(V062A_203031333436[[#This Row],[FECHA]]-B45=1,((V062A_203031333436[[#This Row],[HORA]]-C45)*24)+24,(V062A_203031333436[[#This Row],[HORA]]-C45)*24)</f>
        <v>3.4</v>
      </c>
      <c r="E46" s="409" t="s">
        <v>51</v>
      </c>
      <c r="F46" s="29" t="s">
        <v>51</v>
      </c>
      <c r="G46" s="324"/>
      <c r="H46" s="306"/>
      <c r="I4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6" s="380"/>
      <c r="K46" s="325"/>
      <c r="L46" s="483">
        <v>0</v>
      </c>
      <c r="M46" s="246">
        <v>0.31</v>
      </c>
      <c r="N46" s="484">
        <v>0.17</v>
      </c>
      <c r="O46" s="257">
        <f>SUM(V062A_203031333436[[#This Row],[MPAL]]+V062A_203031333436[[#This Row],[AUX.]]+V062A_203031333436[[#This Row],[CALDERA]])</f>
        <v>0.48</v>
      </c>
      <c r="P46" s="319"/>
      <c r="Q46" s="281">
        <f>(Q45-V062A_203031333436[[#This Row],[TOTAL ]])+V062A_203031333436[[#This Row],[FAENA]]</f>
        <v>503.89700000000016</v>
      </c>
      <c r="R46" s="245">
        <v>0</v>
      </c>
      <c r="S46" s="246">
        <v>0</v>
      </c>
      <c r="T46" s="246">
        <v>0</v>
      </c>
      <c r="U46" s="246">
        <v>0</v>
      </c>
      <c r="V46" s="246">
        <v>0.85</v>
      </c>
      <c r="W46" s="257">
        <f>SUM(V062A_203031333436[[#This Row],[MPAL2]:[GI]])</f>
        <v>0.85</v>
      </c>
      <c r="X46" s="246"/>
      <c r="Y46" s="282">
        <f>(Y45-V062A_203031333436[[#This Row],[TOTAL]])+V062A_203031333436[[#This Row],[FAENA2]]</f>
        <v>46.76</v>
      </c>
      <c r="Z46" s="245">
        <v>0</v>
      </c>
      <c r="AA46" s="246">
        <v>0</v>
      </c>
      <c r="AB46" s="320">
        <f>(AB45-V062A_203031333436[[#This Row],[CYLINDER MP]])+V062A_203031333436[[#This Row],[FAENA EN LTS]]</f>
        <v>2750.6</v>
      </c>
      <c r="AC46" s="246">
        <v>0</v>
      </c>
      <c r="AD46" s="246">
        <v>0</v>
      </c>
      <c r="AE46" s="320">
        <f>(AE45-V062A_203031333436[[#This Row],[CARTER MP.]])+V062A_203031333436[[#This Row],[FAENA EN LTS2]]</f>
        <v>3500</v>
      </c>
      <c r="AF46" s="246">
        <v>0</v>
      </c>
      <c r="AG46" s="246">
        <v>0</v>
      </c>
      <c r="AH46" s="320">
        <f>(AH45-V062A_203031333436[[#This Row],[MOT AUX]])+V062A_203031333436[[#This Row],[FAENA EN  LTS]]</f>
        <v>960</v>
      </c>
      <c r="AI46" s="246">
        <v>0</v>
      </c>
      <c r="AJ46" s="246">
        <v>0</v>
      </c>
      <c r="AK46" s="321">
        <f>(AK45-V062A_203031333436[[#This Row],[HIDRAULICO]])+V062A_203031333436[[#This Row],[FAENA EN LTS3]]</f>
        <v>1140</v>
      </c>
    </row>
    <row r="47" spans="1:37" x14ac:dyDescent="0.25">
      <c r="A47" s="431" t="s">
        <v>349</v>
      </c>
      <c r="B47" s="48">
        <v>44176</v>
      </c>
      <c r="C47" s="41">
        <v>0.47500000000000003</v>
      </c>
      <c r="D47" s="418">
        <f>IF(V062A_203031333436[[#This Row],[FECHA]]-B46=1,((V062A_203031333436[[#This Row],[HORA]]-C46)*24)+24,(V062A_203031333436[[#This Row],[HORA]]-C46)*24)</f>
        <v>3.4000000000000012</v>
      </c>
      <c r="E47" s="409" t="s">
        <v>51</v>
      </c>
      <c r="F47" s="29" t="s">
        <v>128</v>
      </c>
      <c r="G47" s="324"/>
      <c r="H47" s="306"/>
      <c r="I4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SUM(V062A_203031333436[[#This Row],[MPAL]]+V062A_203031333436[[#This Row],[AUX.]]+V062A_203031333436[[#This Row],[CALDERA]])</f>
        <v>0.45000000000000007</v>
      </c>
      <c r="P47" s="319"/>
      <c r="Q47" s="281">
        <f>(Q46-V062A_203031333436[[#This Row],[TOTAL ]])+V062A_203031333436[[#This Row],[FAENA]]</f>
        <v>503.44700000000017</v>
      </c>
      <c r="R47" s="245">
        <v>0</v>
      </c>
      <c r="S47" s="246">
        <v>0</v>
      </c>
      <c r="T47" s="246">
        <v>0</v>
      </c>
      <c r="U47" s="246">
        <v>0</v>
      </c>
      <c r="V47" s="246">
        <v>0.85</v>
      </c>
      <c r="W47" s="257">
        <f>SUM(V062A_203031333436[[#This Row],[MPAL2]:[GI]])</f>
        <v>0.85</v>
      </c>
      <c r="X47" s="246"/>
      <c r="Y47" s="282">
        <f>(Y46-V062A_203031333436[[#This Row],[TOTAL]])+V062A_203031333436[[#This Row],[FAENA2]]</f>
        <v>45.91</v>
      </c>
      <c r="Z47" s="245">
        <v>0</v>
      </c>
      <c r="AA47" s="246">
        <v>0</v>
      </c>
      <c r="AB47" s="320">
        <f>(AB46-V062A_203031333436[[#This Row],[CYLINDER MP]])+V062A_203031333436[[#This Row],[FAENA EN LTS]]</f>
        <v>2750.6</v>
      </c>
      <c r="AC47" s="246">
        <v>0</v>
      </c>
      <c r="AD47" s="246">
        <v>0</v>
      </c>
      <c r="AE47" s="320">
        <f>(AE46-V062A_203031333436[[#This Row],[CARTER MP.]])+V062A_203031333436[[#This Row],[FAENA EN LTS2]]</f>
        <v>3500</v>
      </c>
      <c r="AF47" s="246">
        <v>20</v>
      </c>
      <c r="AG47" s="246">
        <v>0</v>
      </c>
      <c r="AH47" s="320">
        <f>(AH46-V062A_203031333436[[#This Row],[MOT AUX]])+V062A_203031333436[[#This Row],[FAENA EN  LTS]]</f>
        <v>940</v>
      </c>
      <c r="AI47" s="246">
        <v>0</v>
      </c>
      <c r="AJ47" s="246">
        <v>0</v>
      </c>
      <c r="AK47" s="321">
        <f>(AK46-V062A_203031333436[[#This Row],[HIDRAULICO]])+V062A_203031333436[[#This Row],[FAENA EN LTS3]]</f>
        <v>1140</v>
      </c>
    </row>
    <row r="48" spans="1:37" x14ac:dyDescent="0.25">
      <c r="A48" s="431" t="s">
        <v>349</v>
      </c>
      <c r="B48" s="48">
        <v>44176</v>
      </c>
      <c r="C48" s="41">
        <v>0.60833333333333328</v>
      </c>
      <c r="D48" s="418">
        <f>IF(V062A_203031333436[[#This Row],[FECHA]]-B47=1,((V062A_203031333436[[#This Row],[HORA]]-C47)*24)+24,(V062A_203031333436[[#This Row],[HORA]]-C47)*24)</f>
        <v>3.199999999999998</v>
      </c>
      <c r="E48" s="409" t="s">
        <v>49</v>
      </c>
      <c r="F48" s="29" t="s">
        <v>46</v>
      </c>
      <c r="G48" s="324"/>
      <c r="H48" s="306"/>
      <c r="I4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8" s="380"/>
      <c r="K48" s="325"/>
      <c r="L48" s="483">
        <v>0</v>
      </c>
      <c r="M48" s="246">
        <v>0.27</v>
      </c>
      <c r="N48" s="484">
        <v>0.16</v>
      </c>
      <c r="O48" s="257">
        <f>SUM(V062A_203031333436[[#This Row],[MPAL]]+V062A_203031333436[[#This Row],[AUX.]]+V062A_203031333436[[#This Row],[CALDERA]])</f>
        <v>0.43000000000000005</v>
      </c>
      <c r="P48" s="319"/>
      <c r="Q48" s="281">
        <f>(Q47-V062A_203031333436[[#This Row],[TOTAL ]])+V062A_203031333436[[#This Row],[FAENA]]</f>
        <v>503.01700000000017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SUM(V062A_203031333436[[#This Row],[MPAL2]:[GI]])</f>
        <v>0</v>
      </c>
      <c r="X48" s="246"/>
      <c r="Y48" s="282">
        <f>(Y47-V062A_203031333436[[#This Row],[TOTAL]])+V062A_203031333436[[#This Row],[FAENA2]]</f>
        <v>45.91</v>
      </c>
      <c r="Z48" s="245">
        <v>0</v>
      </c>
      <c r="AA48" s="246">
        <v>0</v>
      </c>
      <c r="AB48" s="320">
        <f>(AB47-V062A_203031333436[[#This Row],[CYLINDER MP]])+V062A_203031333436[[#This Row],[FAENA EN LTS]]</f>
        <v>2750.6</v>
      </c>
      <c r="AC48" s="246">
        <v>0</v>
      </c>
      <c r="AD48" s="246">
        <v>0</v>
      </c>
      <c r="AE48" s="320">
        <f>(AE47-V062A_203031333436[[#This Row],[CARTER MP.]])+V062A_203031333436[[#This Row],[FAENA EN LTS2]]</f>
        <v>3500</v>
      </c>
      <c r="AF48" s="246">
        <v>0</v>
      </c>
      <c r="AG48" s="246">
        <v>0</v>
      </c>
      <c r="AH48" s="320">
        <f>(AH47-V062A_203031333436[[#This Row],[MOT AUX]])+V062A_203031333436[[#This Row],[FAENA EN  LTS]]</f>
        <v>940</v>
      </c>
      <c r="AI48" s="246">
        <v>0</v>
      </c>
      <c r="AJ48" s="246">
        <v>0</v>
      </c>
      <c r="AK48" s="321">
        <f>(AK47-V062A_203031333436[[#This Row],[HIDRAULICO]])+V062A_203031333436[[#This Row],[FAENA EN LTS3]]</f>
        <v>1140</v>
      </c>
    </row>
    <row r="49" spans="1:37" x14ac:dyDescent="0.25">
      <c r="A49" s="431" t="s">
        <v>349</v>
      </c>
      <c r="B49" s="48">
        <v>44176</v>
      </c>
      <c r="C49" s="41">
        <v>0.6333333333333333</v>
      </c>
      <c r="D49" s="418">
        <f>IF(V062A_203031333436[[#This Row],[FECHA]]-B48=1,((V062A_203031333436[[#This Row],[HORA]]-C48)*24)+24,(V062A_203031333436[[#This Row],[HORA]]-C48)*24)</f>
        <v>0.60000000000000053</v>
      </c>
      <c r="E49" s="409" t="s">
        <v>47</v>
      </c>
      <c r="F49" s="29" t="s">
        <v>273</v>
      </c>
      <c r="G49" s="324"/>
      <c r="H49" s="306"/>
      <c r="I4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49" s="380"/>
      <c r="K49" s="325"/>
      <c r="L49" s="483">
        <v>0.25</v>
      </c>
      <c r="M49" s="246">
        <v>0.04</v>
      </c>
      <c r="N49" s="484">
        <v>0.03</v>
      </c>
      <c r="O49" s="257">
        <f>SUM(V062A_203031333436[[#This Row],[MPAL]]+V062A_203031333436[[#This Row],[AUX.]]+V062A_203031333436[[#This Row],[CALDERA]])</f>
        <v>0.31999999999999995</v>
      </c>
      <c r="P49" s="319"/>
      <c r="Q49" s="281">
        <f>(Q48-V062A_203031333436[[#This Row],[TOTAL ]])+V062A_203031333436[[#This Row],[FAENA]]</f>
        <v>502.69700000000017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SUM(V062A_203031333436[[#This Row],[MPAL2]:[GI]])</f>
        <v>0</v>
      </c>
      <c r="X49" s="246"/>
      <c r="Y49" s="282">
        <f>(Y48-V062A_203031333436[[#This Row],[TOTAL]])+V062A_203031333436[[#This Row],[FAENA2]]</f>
        <v>45.91</v>
      </c>
      <c r="Z49" s="245">
        <v>6.2</v>
      </c>
      <c r="AA49" s="246">
        <v>0</v>
      </c>
      <c r="AB49" s="320">
        <f>(AB48-V062A_203031333436[[#This Row],[CYLINDER MP]])+V062A_203031333436[[#This Row],[FAENA EN LTS]]</f>
        <v>2744.4</v>
      </c>
      <c r="AC49" s="246">
        <v>0</v>
      </c>
      <c r="AD49" s="246">
        <v>0</v>
      </c>
      <c r="AE49" s="320">
        <f>(AE48-V062A_203031333436[[#This Row],[CARTER MP.]])+V062A_203031333436[[#This Row],[FAENA EN LTS2]]</f>
        <v>3500</v>
      </c>
      <c r="AF49" s="246">
        <v>0</v>
      </c>
      <c r="AG49" s="246">
        <v>0</v>
      </c>
      <c r="AH49" s="320">
        <f>(AH48-V062A_203031333436[[#This Row],[MOT AUX]])+V062A_203031333436[[#This Row],[FAENA EN  LTS]]</f>
        <v>940</v>
      </c>
      <c r="AI49" s="246">
        <v>0</v>
      </c>
      <c r="AJ49" s="246">
        <v>0</v>
      </c>
      <c r="AK49" s="321">
        <f>(AK48-V062A_203031333436[[#This Row],[HIDRAULICO]])+V062A_203031333436[[#This Row],[FAENA EN LTS3]]</f>
        <v>1140</v>
      </c>
    </row>
    <row r="50" spans="1:37" x14ac:dyDescent="0.25">
      <c r="A50" s="431" t="s">
        <v>349</v>
      </c>
      <c r="B50" s="48">
        <v>44176</v>
      </c>
      <c r="C50" s="41">
        <v>0.90416666666666667</v>
      </c>
      <c r="D50" s="418">
        <f>IF(V062A_203031333436[[#This Row],[FECHA]]-B49=1,((V062A_203031333436[[#This Row],[HORA]]-C49)*24)+24,(V062A_203031333436[[#This Row],[HORA]]-C49)*24)</f>
        <v>6.5000000000000009</v>
      </c>
      <c r="E50" s="409" t="s">
        <v>55</v>
      </c>
      <c r="F50" s="29" t="s">
        <v>139</v>
      </c>
      <c r="G50" s="324">
        <v>97</v>
      </c>
      <c r="H50" s="306">
        <v>6.5</v>
      </c>
      <c r="I50" s="259">
        <f>IF(ISERROR(V062A_203031333436[[#This Row],[DISTANCIA POR CARTA]]/V062A_203031333436[[#This Row],[TIEMPO DE NAVEGACION]]),0,V062A_203031333436[[#This Row],[DISTANCIA POR CARTA]]/V062A_203031333436[[#This Row],[TIEMPO DE NAVEGACION]])</f>
        <v>14.923076923076923</v>
      </c>
      <c r="J50" s="242">
        <v>4</v>
      </c>
      <c r="K50" s="325">
        <v>97</v>
      </c>
      <c r="L50" s="483">
        <v>6.23</v>
      </c>
      <c r="M50" s="246">
        <v>0.54</v>
      </c>
      <c r="N50" s="484">
        <v>0.35</v>
      </c>
      <c r="O50" s="257">
        <f>SUM(V062A_203031333436[[#This Row],[MPAL]]+V062A_203031333436[[#This Row],[AUX.]]+V062A_203031333436[[#This Row],[CALDERA]])</f>
        <v>7.12</v>
      </c>
      <c r="P50" s="319"/>
      <c r="Q50" s="281">
        <f>(Q49-V062A_203031333436[[#This Row],[TOTAL ]])+V062A_203031333436[[#This Row],[FAENA]]</f>
        <v>495.57700000000017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SUM(V062A_203031333436[[#This Row],[MPAL2]:[GI]])</f>
        <v>0</v>
      </c>
      <c r="X50" s="246"/>
      <c r="Y50" s="282">
        <f>(Y49-V062A_203031333436[[#This Row],[TOTAL]])+V062A_203031333436[[#This Row],[FAENA2]]</f>
        <v>45.91</v>
      </c>
      <c r="Z50" s="245">
        <v>67.7</v>
      </c>
      <c r="AA50" s="246">
        <v>0</v>
      </c>
      <c r="AB50" s="320">
        <f>(AB49-V062A_203031333436[[#This Row],[CYLINDER MP]])+V062A_203031333436[[#This Row],[FAENA EN LTS]]</f>
        <v>2676.7000000000003</v>
      </c>
      <c r="AC50" s="246">
        <v>0</v>
      </c>
      <c r="AD50" s="246">
        <v>0</v>
      </c>
      <c r="AE50" s="320">
        <f>(AE49-V062A_203031333436[[#This Row],[CARTER MP.]])+V062A_203031333436[[#This Row],[FAENA EN LTS2]]</f>
        <v>3500</v>
      </c>
      <c r="AF50" s="246">
        <v>20</v>
      </c>
      <c r="AG50" s="246">
        <v>0</v>
      </c>
      <c r="AH50" s="320">
        <f>(AH49-V062A_203031333436[[#This Row],[MOT AUX]])+V062A_203031333436[[#This Row],[FAENA EN  LTS]]</f>
        <v>920</v>
      </c>
      <c r="AI50" s="246">
        <v>0</v>
      </c>
      <c r="AJ50" s="246">
        <v>0</v>
      </c>
      <c r="AK50" s="321">
        <f>(AK49-V062A_203031333436[[#This Row],[HIDRAULICO]])+V062A_203031333436[[#This Row],[FAENA EN LTS3]]</f>
        <v>1140</v>
      </c>
    </row>
    <row r="51" spans="1:37" x14ac:dyDescent="0.25">
      <c r="A51" s="431" t="s">
        <v>349</v>
      </c>
      <c r="B51" s="48">
        <v>44176</v>
      </c>
      <c r="C51" s="41">
        <v>0.9375</v>
      </c>
      <c r="D51" s="418">
        <f>IF(V062A_203031333436[[#This Row],[FECHA]]-B50=1,((V062A_203031333436[[#This Row],[HORA]]-C50)*24)+24,(V062A_203031333436[[#This Row],[HORA]]-C50)*24)</f>
        <v>0.79999999999999982</v>
      </c>
      <c r="E51" s="239" t="s">
        <v>47</v>
      </c>
      <c r="F51" s="29" t="s">
        <v>363</v>
      </c>
      <c r="G51" s="324"/>
      <c r="H51" s="306"/>
      <c r="I5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1" s="242"/>
      <c r="K51" s="325"/>
      <c r="L51" s="483">
        <v>0.33</v>
      </c>
      <c r="M51" s="246">
        <v>0.05</v>
      </c>
      <c r="N51" s="484">
        <v>0.04</v>
      </c>
      <c r="O51" s="257">
        <f>SUM(V062A_203031333436[[#This Row],[MPAL]]+V062A_203031333436[[#This Row],[AUX.]]+V062A_203031333436[[#This Row],[CALDERA]])</f>
        <v>0.42</v>
      </c>
      <c r="P51" s="319"/>
      <c r="Q51" s="281">
        <f>(Q50-V062A_203031333436[[#This Row],[TOTAL ]])+V062A_203031333436[[#This Row],[FAENA]]</f>
        <v>495.15700000000015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SUM(V062A_203031333436[[#This Row],[MPAL2]:[GI]])</f>
        <v>0</v>
      </c>
      <c r="X51" s="246"/>
      <c r="Y51" s="282">
        <f>(Y50-V062A_203031333436[[#This Row],[TOTAL]])+V062A_203031333436[[#This Row],[FAENA2]]</f>
        <v>45.91</v>
      </c>
      <c r="Z51" s="245">
        <v>8.3000000000000007</v>
      </c>
      <c r="AA51" s="246">
        <v>0</v>
      </c>
      <c r="AB51" s="320">
        <f>(AB50-V062A_203031333436[[#This Row],[CYLINDER MP]])+V062A_203031333436[[#This Row],[FAENA EN LTS]]</f>
        <v>2668.4</v>
      </c>
      <c r="AC51" s="246">
        <v>0</v>
      </c>
      <c r="AD51" s="246">
        <v>0</v>
      </c>
      <c r="AE51" s="320">
        <f>(AE50-V062A_203031333436[[#This Row],[CARTER MP.]])+V062A_203031333436[[#This Row],[FAENA EN LTS2]]</f>
        <v>3500</v>
      </c>
      <c r="AF51" s="246">
        <v>0</v>
      </c>
      <c r="AG51" s="246">
        <v>0</v>
      </c>
      <c r="AH51" s="320">
        <f>(AH50-V062A_203031333436[[#This Row],[MOT AUX]])+V062A_203031333436[[#This Row],[FAENA EN  LTS]]</f>
        <v>920</v>
      </c>
      <c r="AI51" s="246">
        <v>0</v>
      </c>
      <c r="AJ51" s="246">
        <v>0</v>
      </c>
      <c r="AK51" s="321">
        <f>(AK50-V062A_203031333436[[#This Row],[HIDRAULICO]])+V062A_203031333436[[#This Row],[FAENA EN LTS3]]</f>
        <v>1140</v>
      </c>
    </row>
    <row r="52" spans="1:37" x14ac:dyDescent="0.25">
      <c r="A52" s="431" t="s">
        <v>349</v>
      </c>
      <c r="B52" s="48">
        <v>44177</v>
      </c>
      <c r="C52" s="41">
        <v>0.33333333333333331</v>
      </c>
      <c r="D52" s="418">
        <f>IF(V062A_203031333436[[#This Row],[FECHA]]-B51=1,((V062A_203031333436[[#This Row],[HORA]]-C51)*24)+24,(V062A_203031333436[[#This Row],[HORA]]-C51)*24)</f>
        <v>9.4999999999999982</v>
      </c>
      <c r="E52" s="409" t="s">
        <v>45</v>
      </c>
      <c r="F52" s="29" t="s">
        <v>364</v>
      </c>
      <c r="G52" s="324"/>
      <c r="H52" s="306"/>
      <c r="I5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2" s="242"/>
      <c r="K52" s="325"/>
      <c r="L52" s="483">
        <v>0</v>
      </c>
      <c r="M52" s="246">
        <v>0.59</v>
      </c>
      <c r="N52" s="484">
        <v>0.48</v>
      </c>
      <c r="O52" s="257">
        <f>SUM(V062A_203031333436[[#This Row],[MPAL]]+V062A_203031333436[[#This Row],[AUX.]]+V062A_203031333436[[#This Row],[CALDERA]])</f>
        <v>1.0699999999999998</v>
      </c>
      <c r="P52" s="319"/>
      <c r="Q52" s="281">
        <f>(Q51-V062A_203031333436[[#This Row],[TOTAL ]])+V062A_203031333436[[#This Row],[FAENA]]</f>
        <v>494.08700000000016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SUM(V062A_203031333436[[#This Row],[MPAL2]:[GI]])</f>
        <v>0</v>
      </c>
      <c r="X52" s="246"/>
      <c r="Y52" s="282">
        <f>(Y51-V062A_203031333436[[#This Row],[TOTAL]])+V062A_203031333436[[#This Row],[FAENA2]]</f>
        <v>45.91</v>
      </c>
      <c r="Z52" s="245">
        <v>0</v>
      </c>
      <c r="AA52" s="246">
        <v>0</v>
      </c>
      <c r="AB52" s="320">
        <f>(AB51-V062A_203031333436[[#This Row],[CYLINDER MP]])+V062A_203031333436[[#This Row],[FAENA EN LTS]]</f>
        <v>2668.4</v>
      </c>
      <c r="AC52" s="246">
        <v>0</v>
      </c>
      <c r="AD52" s="246">
        <v>0</v>
      </c>
      <c r="AE52" s="320">
        <f>(AE51-V062A_203031333436[[#This Row],[CARTER MP.]])+V062A_203031333436[[#This Row],[FAENA EN LTS2]]</f>
        <v>3500</v>
      </c>
      <c r="AF52" s="246">
        <v>0</v>
      </c>
      <c r="AG52" s="246">
        <v>0</v>
      </c>
      <c r="AH52" s="320">
        <f>(AH51-V062A_203031333436[[#This Row],[MOT AUX]])+V062A_203031333436[[#This Row],[FAENA EN  LTS]]</f>
        <v>920</v>
      </c>
      <c r="AI52" s="246">
        <v>0</v>
      </c>
      <c r="AJ52" s="246">
        <v>0</v>
      </c>
      <c r="AK52" s="321">
        <f>(AK51-V062A_203031333436[[#This Row],[HIDRAULICO]])+V062A_203031333436[[#This Row],[FAENA EN LTS3]]</f>
        <v>1140</v>
      </c>
    </row>
    <row r="53" spans="1:37" x14ac:dyDescent="0.25">
      <c r="A53" s="431" t="s">
        <v>349</v>
      </c>
      <c r="B53" s="48">
        <v>44177</v>
      </c>
      <c r="C53" s="41">
        <v>0.64166666666666672</v>
      </c>
      <c r="D53" s="418">
        <f>IF(V062A_203031333436[[#This Row],[FECHA]]-B52=1,((V062A_203031333436[[#This Row],[HORA]]-C52)*24)+24,(V062A_203031333436[[#This Row],[HORA]]-C52)*24)</f>
        <v>7.4000000000000021</v>
      </c>
      <c r="E53" s="409" t="s">
        <v>49</v>
      </c>
      <c r="F53" s="29" t="s">
        <v>46</v>
      </c>
      <c r="G53" s="324"/>
      <c r="H53" s="306"/>
      <c r="I5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3" s="242"/>
      <c r="K53" s="325"/>
      <c r="L53" s="483">
        <v>0</v>
      </c>
      <c r="M53" s="246">
        <v>0.62</v>
      </c>
      <c r="N53" s="484">
        <v>0.37</v>
      </c>
      <c r="O53" s="257">
        <f>SUM(V062A_203031333436[[#This Row],[MPAL]]+V062A_203031333436[[#This Row],[AUX.]]+V062A_203031333436[[#This Row],[CALDERA]])</f>
        <v>0.99</v>
      </c>
      <c r="P53" s="319"/>
      <c r="Q53" s="281">
        <f>(Q52-V062A_203031333436[[#This Row],[TOTAL ]])+V062A_203031333436[[#This Row],[FAENA]]</f>
        <v>493.09700000000015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SUM(V062A_203031333436[[#This Row],[MPAL2]:[GI]])</f>
        <v>0</v>
      </c>
      <c r="X53" s="246"/>
      <c r="Y53" s="282">
        <f>(Y52-V062A_203031333436[[#This Row],[TOTAL]])+V062A_203031333436[[#This Row],[FAENA2]]</f>
        <v>45.91</v>
      </c>
      <c r="Z53" s="245">
        <v>0</v>
      </c>
      <c r="AA53" s="246">
        <v>0</v>
      </c>
      <c r="AB53" s="320">
        <f>(AB52-V062A_203031333436[[#This Row],[CYLINDER MP]])+V062A_203031333436[[#This Row],[FAENA EN LTS]]</f>
        <v>2668.4</v>
      </c>
      <c r="AC53" s="246">
        <v>0</v>
      </c>
      <c r="AD53" s="246">
        <v>0</v>
      </c>
      <c r="AE53" s="320">
        <f>(AE52-V062A_203031333436[[#This Row],[CARTER MP.]])+V062A_203031333436[[#This Row],[FAENA EN LTS2]]</f>
        <v>3500</v>
      </c>
      <c r="AF53" s="246">
        <v>0</v>
      </c>
      <c r="AG53" s="246">
        <v>0</v>
      </c>
      <c r="AH53" s="320">
        <f>(AH52-V062A_203031333436[[#This Row],[MOT AUX]])+V062A_203031333436[[#This Row],[FAENA EN  LTS]]</f>
        <v>920</v>
      </c>
      <c r="AI53" s="246">
        <v>0</v>
      </c>
      <c r="AJ53" s="246">
        <v>0</v>
      </c>
      <c r="AK53" s="321">
        <f>(AK52-V062A_203031333436[[#This Row],[HIDRAULICO]])+V062A_203031333436[[#This Row],[FAENA EN LTS3]]</f>
        <v>1140</v>
      </c>
    </row>
    <row r="54" spans="1:37" x14ac:dyDescent="0.25">
      <c r="A54" s="431" t="s">
        <v>349</v>
      </c>
      <c r="B54" s="48">
        <v>44177</v>
      </c>
      <c r="C54" s="41">
        <v>0.69166666666666676</v>
      </c>
      <c r="D54" s="418">
        <f>IF(V062A_203031333436[[#This Row],[FECHA]]-B53=1,((V062A_203031333436[[#This Row],[HORA]]-C53)*24)+24,(V062A_203031333436[[#This Row],[HORA]]-C53)*24)</f>
        <v>1.2000000000000011</v>
      </c>
      <c r="E54" s="409" t="s">
        <v>47</v>
      </c>
      <c r="F54" s="29" t="s">
        <v>365</v>
      </c>
      <c r="G54" s="324"/>
      <c r="H54" s="306"/>
      <c r="I5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4" s="242"/>
      <c r="K54" s="325"/>
      <c r="L54" s="483">
        <v>0.5</v>
      </c>
      <c r="M54" s="246">
        <v>0.08</v>
      </c>
      <c r="N54" s="484">
        <v>0.06</v>
      </c>
      <c r="O54" s="257">
        <f>SUM(V062A_203031333436[[#This Row],[MPAL]]+V062A_203031333436[[#This Row],[AUX.]]+V062A_203031333436[[#This Row],[CALDERA]])</f>
        <v>0.6399999999999999</v>
      </c>
      <c r="P54" s="319"/>
      <c r="Q54" s="281">
        <f>(Q53-V062A_203031333436[[#This Row],[TOTAL ]])+V062A_203031333436[[#This Row],[FAENA]]</f>
        <v>492.45700000000016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SUM(V062A_203031333436[[#This Row],[MPAL2]:[GI]])</f>
        <v>0</v>
      </c>
      <c r="X54" s="246"/>
      <c r="Y54" s="282">
        <f>(Y53-V062A_203031333436[[#This Row],[TOTAL]])+V062A_203031333436[[#This Row],[FAENA2]]</f>
        <v>45.91</v>
      </c>
      <c r="Z54" s="245">
        <v>12.5</v>
      </c>
      <c r="AA54" s="246">
        <v>0</v>
      </c>
      <c r="AB54" s="320">
        <f>(AB53-V062A_203031333436[[#This Row],[CYLINDER MP]])+V062A_203031333436[[#This Row],[FAENA EN LTS]]</f>
        <v>2655.9</v>
      </c>
      <c r="AC54" s="246">
        <v>0</v>
      </c>
      <c r="AD54" s="246">
        <v>0</v>
      </c>
      <c r="AE54" s="320">
        <f>(AE53-V062A_203031333436[[#This Row],[CARTER MP.]])+V062A_203031333436[[#This Row],[FAENA EN LTS2]]</f>
        <v>3500</v>
      </c>
      <c r="AF54" s="246">
        <v>20</v>
      </c>
      <c r="AG54" s="246">
        <v>0</v>
      </c>
      <c r="AH54" s="320">
        <f>(AH53-V062A_203031333436[[#This Row],[MOT AUX]])+V062A_203031333436[[#This Row],[FAENA EN  LTS]]</f>
        <v>900</v>
      </c>
      <c r="AI54" s="246">
        <v>0</v>
      </c>
      <c r="AJ54" s="246">
        <v>0</v>
      </c>
      <c r="AK54" s="321">
        <f>(AK53-V062A_203031333436[[#This Row],[HIDRAULICO]])+V062A_203031333436[[#This Row],[FAENA EN LTS3]]</f>
        <v>1140</v>
      </c>
    </row>
    <row r="55" spans="1:37" x14ac:dyDescent="0.25">
      <c r="A55" s="431" t="s">
        <v>349</v>
      </c>
      <c r="B55" s="48">
        <v>44177</v>
      </c>
      <c r="C55" s="41">
        <v>0.78125</v>
      </c>
      <c r="D55" s="418">
        <f>IF(V062A_203031333436[[#This Row],[FECHA]]-B54=1,((V062A_203031333436[[#This Row],[HORA]]-C54)*24)+24,(V062A_203031333436[[#This Row],[HORA]]-C54)*24)</f>
        <v>2.1499999999999977</v>
      </c>
      <c r="E55" s="409" t="s">
        <v>49</v>
      </c>
      <c r="F55" s="29" t="s">
        <v>294</v>
      </c>
      <c r="G55" s="324"/>
      <c r="H55" s="306"/>
      <c r="I5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5" s="242"/>
      <c r="K55" s="325"/>
      <c r="L55" s="483">
        <v>0</v>
      </c>
      <c r="M55" s="246">
        <v>0.14000000000000001</v>
      </c>
      <c r="N55" s="484">
        <v>0.11</v>
      </c>
      <c r="O55" s="257">
        <f>SUM(V062A_203031333436[[#This Row],[MPAL]]+V062A_203031333436[[#This Row],[AUX.]]+V062A_203031333436[[#This Row],[CALDERA]])</f>
        <v>0.25</v>
      </c>
      <c r="P55" s="319"/>
      <c r="Q55" s="281">
        <f>(Q54-V062A_203031333436[[#This Row],[TOTAL ]])+V062A_203031333436[[#This Row],[FAENA]]</f>
        <v>492.20700000000016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57">
        <f>SUM(V062A_203031333436[[#This Row],[MPAL2]:[GI]])</f>
        <v>0</v>
      </c>
      <c r="X55" s="246"/>
      <c r="Y55" s="282">
        <f>(Y54-V062A_203031333436[[#This Row],[TOTAL]])+V062A_203031333436[[#This Row],[FAENA2]]</f>
        <v>45.91</v>
      </c>
      <c r="Z55" s="245">
        <v>0</v>
      </c>
      <c r="AA55" s="246">
        <v>0</v>
      </c>
      <c r="AB55" s="320">
        <f>(AB54-V062A_203031333436[[#This Row],[CYLINDER MP]])+V062A_203031333436[[#This Row],[FAENA EN LTS]]</f>
        <v>2655.9</v>
      </c>
      <c r="AC55" s="246">
        <v>0</v>
      </c>
      <c r="AD55" s="246">
        <v>0</v>
      </c>
      <c r="AE55" s="320">
        <f>(AE54-V062A_203031333436[[#This Row],[CARTER MP.]])+V062A_203031333436[[#This Row],[FAENA EN LTS2]]</f>
        <v>3500</v>
      </c>
      <c r="AF55" s="246">
        <v>0</v>
      </c>
      <c r="AG55" s="246">
        <v>0</v>
      </c>
      <c r="AH55" s="320">
        <f>(AH54-V062A_203031333436[[#This Row],[MOT AUX]])+V062A_203031333436[[#This Row],[FAENA EN  LTS]]</f>
        <v>900</v>
      </c>
      <c r="AI55" s="246">
        <v>0</v>
      </c>
      <c r="AJ55" s="246">
        <v>0</v>
      </c>
      <c r="AK55" s="321">
        <f>(AK54-V062A_203031333436[[#This Row],[HIDRAULICO]])+V062A_203031333436[[#This Row],[FAENA EN LTS3]]</f>
        <v>1140</v>
      </c>
    </row>
    <row r="56" spans="1:37" x14ac:dyDescent="0.25">
      <c r="A56" s="431" t="s">
        <v>349</v>
      </c>
      <c r="B56" s="48">
        <v>44178</v>
      </c>
      <c r="C56" s="41">
        <v>5.8333333333333327E-2</v>
      </c>
      <c r="D56" s="418">
        <f>IF(V062A_203031333436[[#This Row],[FECHA]]-B55=1,((V062A_203031333436[[#This Row],[HORA]]-C55)*24)+24,(V062A_203031333436[[#This Row],[HORA]]-C55)*24)</f>
        <v>6.6499999999999986</v>
      </c>
      <c r="E56" s="409" t="s">
        <v>51</v>
      </c>
      <c r="F56" s="29" t="s">
        <v>123</v>
      </c>
      <c r="G56" s="324"/>
      <c r="H56" s="306"/>
      <c r="I5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6" s="242"/>
      <c r="K56" s="325"/>
      <c r="L56" s="483">
        <v>0</v>
      </c>
      <c r="M56" s="246">
        <v>0.55000000000000004</v>
      </c>
      <c r="N56" s="484">
        <v>0.33</v>
      </c>
      <c r="O56" s="257">
        <f>SUM(V062A_203031333436[[#This Row],[MPAL]]+V062A_203031333436[[#This Row],[AUX.]]+V062A_203031333436[[#This Row],[CALDERA]])</f>
        <v>0.88000000000000012</v>
      </c>
      <c r="P56" s="319"/>
      <c r="Q56" s="281">
        <f>(Q55-V062A_203031333436[[#This Row],[TOTAL ]])+V062A_203031333436[[#This Row],[FAENA]]</f>
        <v>491.32700000000017</v>
      </c>
      <c r="R56" s="245">
        <v>0</v>
      </c>
      <c r="S56" s="246">
        <v>0</v>
      </c>
      <c r="T56" s="246">
        <v>0</v>
      </c>
      <c r="U56" s="246">
        <v>0</v>
      </c>
      <c r="V56" s="246">
        <v>1.65</v>
      </c>
      <c r="W56" s="257">
        <f>SUM(V062A_203031333436[[#This Row],[MPAL2]:[GI]])</f>
        <v>1.65</v>
      </c>
      <c r="X56" s="246"/>
      <c r="Y56" s="282">
        <f>(Y55-V062A_203031333436[[#This Row],[TOTAL]])+V062A_203031333436[[#This Row],[FAENA2]]</f>
        <v>44.26</v>
      </c>
      <c r="Z56" s="245">
        <v>0</v>
      </c>
      <c r="AA56" s="246">
        <v>0</v>
      </c>
      <c r="AB56" s="320">
        <f>(AB55-V062A_203031333436[[#This Row],[CYLINDER MP]])+V062A_203031333436[[#This Row],[FAENA EN LTS]]</f>
        <v>2655.9</v>
      </c>
      <c r="AC56" s="246">
        <v>0</v>
      </c>
      <c r="AD56" s="246">
        <v>0</v>
      </c>
      <c r="AE56" s="320">
        <f>(AE55-V062A_203031333436[[#This Row],[CARTER MP.]])+V062A_203031333436[[#This Row],[FAENA EN LTS2]]</f>
        <v>3500</v>
      </c>
      <c r="AF56" s="246">
        <v>0</v>
      </c>
      <c r="AG56" s="246">
        <v>0</v>
      </c>
      <c r="AH56" s="320">
        <f>(AH55-V062A_203031333436[[#This Row],[MOT AUX]])+V062A_203031333436[[#This Row],[FAENA EN  LTS]]</f>
        <v>900</v>
      </c>
      <c r="AI56" s="246">
        <v>0</v>
      </c>
      <c r="AJ56" s="246">
        <v>0</v>
      </c>
      <c r="AK56" s="321">
        <f>(AK55-V062A_203031333436[[#This Row],[HIDRAULICO]])+V062A_203031333436[[#This Row],[FAENA EN LTS3]]</f>
        <v>1140</v>
      </c>
    </row>
    <row r="57" spans="1:37" x14ac:dyDescent="0.25">
      <c r="A57" s="431" t="s">
        <v>349</v>
      </c>
      <c r="B57" s="48">
        <v>44178</v>
      </c>
      <c r="C57" s="41">
        <v>0.20416666666666669</v>
      </c>
      <c r="D57" s="418">
        <f>IF(V062A_203031333436[[#This Row],[FECHA]]-B56=1,((V062A_203031333436[[#This Row],[HORA]]-C56)*24)+24,(V062A_203031333436[[#This Row],[HORA]]-C56)*24)</f>
        <v>3.5000000000000009</v>
      </c>
      <c r="E57" s="409" t="s">
        <v>49</v>
      </c>
      <c r="F57" s="29" t="s">
        <v>46</v>
      </c>
      <c r="G57" s="324"/>
      <c r="H57" s="306"/>
      <c r="I5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7" s="242"/>
      <c r="K57" s="325"/>
      <c r="L57" s="483">
        <v>0</v>
      </c>
      <c r="M57" s="246">
        <v>0.28999999999999998</v>
      </c>
      <c r="N57" s="484">
        <v>0.18</v>
      </c>
      <c r="O57" s="257">
        <f>SUM(V062A_203031333436[[#This Row],[MPAL]]+V062A_203031333436[[#This Row],[AUX.]]+V062A_203031333436[[#This Row],[CALDERA]])</f>
        <v>0.47</v>
      </c>
      <c r="P57" s="319"/>
      <c r="Q57" s="281">
        <f>(Q56-V062A_203031333436[[#This Row],[TOTAL ]])+V062A_203031333436[[#This Row],[FAENA]]</f>
        <v>490.85700000000014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SUM(V062A_203031333436[[#This Row],[MPAL2]:[GI]])</f>
        <v>0</v>
      </c>
      <c r="X57" s="246"/>
      <c r="Y57" s="282">
        <f>(Y56-V062A_203031333436[[#This Row],[TOTAL]])+V062A_203031333436[[#This Row],[FAENA2]]</f>
        <v>44.26</v>
      </c>
      <c r="Z57" s="245">
        <v>0</v>
      </c>
      <c r="AA57" s="246">
        <v>0</v>
      </c>
      <c r="AB57" s="320">
        <f>(AB56-V062A_203031333436[[#This Row],[CYLINDER MP]])+V062A_203031333436[[#This Row],[FAENA EN LTS]]</f>
        <v>2655.9</v>
      </c>
      <c r="AC57" s="246">
        <v>0</v>
      </c>
      <c r="AD57" s="246">
        <v>0</v>
      </c>
      <c r="AE57" s="320">
        <f>(AE56-V062A_203031333436[[#This Row],[CARTER MP.]])+V062A_203031333436[[#This Row],[FAENA EN LTS2]]</f>
        <v>3500</v>
      </c>
      <c r="AF57" s="246">
        <v>0</v>
      </c>
      <c r="AG57" s="246">
        <v>0</v>
      </c>
      <c r="AH57" s="320">
        <f>(AH56-V062A_203031333436[[#This Row],[MOT AUX]])+V062A_203031333436[[#This Row],[FAENA EN  LTS]]</f>
        <v>900</v>
      </c>
      <c r="AI57" s="246">
        <v>0</v>
      </c>
      <c r="AJ57" s="246">
        <v>0</v>
      </c>
      <c r="AK57" s="321">
        <f>(AK56-V062A_203031333436[[#This Row],[HIDRAULICO]])+V062A_203031333436[[#This Row],[FAENA EN LTS3]]</f>
        <v>1140</v>
      </c>
    </row>
    <row r="58" spans="1:37" x14ac:dyDescent="0.25">
      <c r="A58" s="431" t="s">
        <v>349</v>
      </c>
      <c r="B58" s="48">
        <v>44178</v>
      </c>
      <c r="C58" s="41">
        <v>0.22916666666666666</v>
      </c>
      <c r="D58" s="418">
        <f>IF(V062A_203031333436[[#This Row],[FECHA]]-B57=1,((V062A_203031333436[[#This Row],[HORA]]-C57)*24)+24,(V062A_203031333436[[#This Row],[HORA]]-C57)*24)</f>
        <v>0.5999999999999992</v>
      </c>
      <c r="E58" s="409" t="s">
        <v>47</v>
      </c>
      <c r="F58" s="29" t="s">
        <v>283</v>
      </c>
      <c r="G58" s="324"/>
      <c r="H58" s="306"/>
      <c r="I5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58" s="242"/>
      <c r="K58" s="325"/>
      <c r="L58" s="483">
        <v>0.25</v>
      </c>
      <c r="M58" s="246">
        <v>0.04</v>
      </c>
      <c r="N58" s="484">
        <v>0.03</v>
      </c>
      <c r="O58" s="257">
        <f>SUM(V062A_203031333436[[#This Row],[MPAL]]+V062A_203031333436[[#This Row],[AUX.]]+V062A_203031333436[[#This Row],[CALDERA]])</f>
        <v>0.31999999999999995</v>
      </c>
      <c r="P58" s="319"/>
      <c r="Q58" s="281">
        <f>(Q57-V062A_203031333436[[#This Row],[TOTAL ]])+V062A_203031333436[[#This Row],[FAENA]]</f>
        <v>490.53700000000015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SUM(V062A_203031333436[[#This Row],[MPAL2]:[GI]])</f>
        <v>0</v>
      </c>
      <c r="X58" s="246"/>
      <c r="Y58" s="282">
        <f>(Y57-V062A_203031333436[[#This Row],[TOTAL]])+V062A_203031333436[[#This Row],[FAENA2]]</f>
        <v>44.26</v>
      </c>
      <c r="Z58" s="245">
        <v>6.2</v>
      </c>
      <c r="AA58" s="246">
        <v>0</v>
      </c>
      <c r="AB58" s="320">
        <f>(AB57-V062A_203031333436[[#This Row],[CYLINDER MP]])+V062A_203031333436[[#This Row],[FAENA EN LTS]]</f>
        <v>2649.7000000000003</v>
      </c>
      <c r="AC58" s="246">
        <v>0</v>
      </c>
      <c r="AD58" s="246">
        <v>0</v>
      </c>
      <c r="AE58" s="320">
        <f>(AE57-V062A_203031333436[[#This Row],[CARTER MP.]])+V062A_203031333436[[#This Row],[FAENA EN LTS2]]</f>
        <v>3500</v>
      </c>
      <c r="AF58" s="246">
        <v>0</v>
      </c>
      <c r="AG58" s="246">
        <v>0</v>
      </c>
      <c r="AH58" s="320">
        <f>(AH57-V062A_203031333436[[#This Row],[MOT AUX]])+V062A_203031333436[[#This Row],[FAENA EN  LTS]]</f>
        <v>900</v>
      </c>
      <c r="AI58" s="246">
        <v>0</v>
      </c>
      <c r="AJ58" s="246">
        <v>0</v>
      </c>
      <c r="AK58" s="321">
        <f>(AK57-V062A_203031333436[[#This Row],[HIDRAULICO]])+V062A_203031333436[[#This Row],[FAENA EN LTS3]]</f>
        <v>1140</v>
      </c>
    </row>
    <row r="59" spans="1:37" x14ac:dyDescent="0.25">
      <c r="A59" s="431" t="s">
        <v>349</v>
      </c>
      <c r="B59" s="48">
        <v>44178</v>
      </c>
      <c r="C59" s="41">
        <v>0.33333333333333331</v>
      </c>
      <c r="D59" s="418">
        <f>IF(V062A_203031333436[[#This Row],[FECHA]]-B58=1,((V062A_203031333436[[#This Row],[HORA]]-C58)*24)+24,(V062A_203031333436[[#This Row],[HORA]]-C58)*24)</f>
        <v>2.5</v>
      </c>
      <c r="E59" s="409" t="s">
        <v>55</v>
      </c>
      <c r="F59" s="29" t="s">
        <v>56</v>
      </c>
      <c r="G59" s="324">
        <v>34.1</v>
      </c>
      <c r="H59" s="306">
        <v>2.5</v>
      </c>
      <c r="I59" s="259">
        <f>IF(ISERROR(V062A_203031333436[[#This Row],[DISTANCIA POR CARTA]]/V062A_203031333436[[#This Row],[TIEMPO DE NAVEGACION]]),0,V062A_203031333436[[#This Row],[DISTANCIA POR CARTA]]/V062A_203031333436[[#This Row],[TIEMPO DE NAVEGACION]])</f>
        <v>13.64</v>
      </c>
      <c r="J59" s="242">
        <v>4</v>
      </c>
      <c r="K59" s="325">
        <v>97</v>
      </c>
      <c r="L59" s="483">
        <v>2.4</v>
      </c>
      <c r="M59" s="246">
        <v>0.16</v>
      </c>
      <c r="N59" s="484">
        <v>0.13</v>
      </c>
      <c r="O59" s="257">
        <f>SUM(V062A_203031333436[[#This Row],[MPAL]]+V062A_203031333436[[#This Row],[AUX.]]+V062A_203031333436[[#This Row],[CALDERA]])</f>
        <v>2.69</v>
      </c>
      <c r="P59" s="319"/>
      <c r="Q59" s="281">
        <f>(Q58-V062A_203031333436[[#This Row],[TOTAL ]])+V062A_203031333436[[#This Row],[FAENA]]</f>
        <v>487.84700000000015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57">
        <f>SUM(V062A_203031333436[[#This Row],[MPAL2]:[GI]])</f>
        <v>0</v>
      </c>
      <c r="X59" s="246"/>
      <c r="Y59" s="282">
        <f>(Y58-V062A_203031333436[[#This Row],[TOTAL]])+V062A_203031333436[[#This Row],[FAENA2]]</f>
        <v>44.26</v>
      </c>
      <c r="Z59" s="245">
        <v>26</v>
      </c>
      <c r="AA59" s="246">
        <v>0</v>
      </c>
      <c r="AB59" s="320">
        <f>(AB58-V062A_203031333436[[#This Row],[CYLINDER MP]])+V062A_203031333436[[#This Row],[FAENA EN LTS]]</f>
        <v>2623.7000000000003</v>
      </c>
      <c r="AC59" s="246">
        <v>0</v>
      </c>
      <c r="AD59" s="246">
        <v>0</v>
      </c>
      <c r="AE59" s="320">
        <f>(AE58-V062A_203031333436[[#This Row],[CARTER MP.]])+V062A_203031333436[[#This Row],[FAENA EN LTS2]]</f>
        <v>3500</v>
      </c>
      <c r="AF59" s="246">
        <v>20</v>
      </c>
      <c r="AG59" s="246">
        <v>0</v>
      </c>
      <c r="AH59" s="320">
        <f>(AH58-V062A_203031333436[[#This Row],[MOT AUX]])+V062A_203031333436[[#This Row],[FAENA EN  LTS]]</f>
        <v>880</v>
      </c>
      <c r="AI59" s="246">
        <v>0</v>
      </c>
      <c r="AJ59" s="246">
        <v>0</v>
      </c>
      <c r="AK59" s="321">
        <f>(AK58-V062A_203031333436[[#This Row],[HIDRAULICO]])+V062A_203031333436[[#This Row],[FAENA EN LTS3]]</f>
        <v>1140</v>
      </c>
    </row>
    <row r="60" spans="1:37" x14ac:dyDescent="0.25">
      <c r="A60" s="431" t="s">
        <v>349</v>
      </c>
      <c r="B60" s="48">
        <v>44178</v>
      </c>
      <c r="C60" s="41">
        <v>0.8125</v>
      </c>
      <c r="D60" s="418">
        <f>IF(V062A_203031333436[[#This Row],[FECHA]]-B59=1,((V062A_203031333436[[#This Row],[HORA]]-C59)*24)+24,(V062A_203031333436[[#This Row],[HORA]]-C59)*24)</f>
        <v>11.5</v>
      </c>
      <c r="E60" s="409" t="s">
        <v>55</v>
      </c>
      <c r="F60" s="29" t="s">
        <v>160</v>
      </c>
      <c r="G60" s="324">
        <v>164.9</v>
      </c>
      <c r="H60" s="306">
        <v>11.5</v>
      </c>
      <c r="I60" s="259">
        <f>IF(ISERROR(V062A_203031333436[[#This Row],[DISTANCIA POR CARTA]]/V062A_203031333436[[#This Row],[TIEMPO DE NAVEGACION]]),0,V062A_203031333436[[#This Row],[DISTANCIA POR CARTA]]/V062A_203031333436[[#This Row],[TIEMPO DE NAVEGACION]])</f>
        <v>14.339130434782609</v>
      </c>
      <c r="J60" s="242">
        <v>4</v>
      </c>
      <c r="K60" s="325">
        <v>97</v>
      </c>
      <c r="L60" s="483">
        <v>11.02</v>
      </c>
      <c r="M60" s="246">
        <v>0.96</v>
      </c>
      <c r="N60" s="484">
        <v>0.62</v>
      </c>
      <c r="O60" s="257">
        <f>SUM(V062A_203031333436[[#This Row],[MPAL]]+V062A_203031333436[[#This Row],[AUX.]]+V062A_203031333436[[#This Row],[CALDERA]])</f>
        <v>12.6</v>
      </c>
      <c r="P60" s="319"/>
      <c r="Q60" s="281">
        <f>(Q59-V062A_203031333436[[#This Row],[TOTAL ]])+V062A_203031333436[[#This Row],[FAENA]]</f>
        <v>475.24700000000013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SUM(V062A_203031333436[[#This Row],[MPAL2]:[GI]])</f>
        <v>0</v>
      </c>
      <c r="X60" s="246"/>
      <c r="Y60" s="282">
        <f>(Y59-V062A_203031333436[[#This Row],[TOTAL]])+V062A_203031333436[[#This Row],[FAENA2]]</f>
        <v>44.26</v>
      </c>
      <c r="Z60" s="245">
        <v>119.8</v>
      </c>
      <c r="AA60" s="246">
        <v>0</v>
      </c>
      <c r="AB60" s="320">
        <f>(AB59-V062A_203031333436[[#This Row],[CYLINDER MP]])+V062A_203031333436[[#This Row],[FAENA EN LTS]]</f>
        <v>2503.9</v>
      </c>
      <c r="AC60" s="246">
        <v>0</v>
      </c>
      <c r="AD60" s="246">
        <v>0</v>
      </c>
      <c r="AE60" s="320">
        <f>(AE59-V062A_203031333436[[#This Row],[CARTER MP.]])+V062A_203031333436[[#This Row],[FAENA EN LTS2]]</f>
        <v>3500</v>
      </c>
      <c r="AF60" s="246">
        <v>0</v>
      </c>
      <c r="AG60" s="246">
        <v>0</v>
      </c>
      <c r="AH60" s="320">
        <f>(AH59-V062A_203031333436[[#This Row],[MOT AUX]])+V062A_203031333436[[#This Row],[FAENA EN  LTS]]</f>
        <v>880</v>
      </c>
      <c r="AI60" s="246">
        <v>0</v>
      </c>
      <c r="AJ60" s="246">
        <v>0</v>
      </c>
      <c r="AK60" s="321">
        <f>(AK59-V062A_203031333436[[#This Row],[HIDRAULICO]])+V062A_203031333436[[#This Row],[FAENA EN LTS3]]</f>
        <v>1140</v>
      </c>
    </row>
    <row r="61" spans="1:37" x14ac:dyDescent="0.25">
      <c r="A61" s="431"/>
      <c r="B61" s="48"/>
      <c r="C61" s="41"/>
      <c r="D61" s="418">
        <f>IF(V062A_203031333436[[#This Row],[FECHA]]-B60=1,((V062A_203031333436[[#This Row],[HORA]]-C60)*24)+24,(V062A_203031333436[[#This Row],[HORA]]-C60)*24)</f>
        <v>-19.5</v>
      </c>
      <c r="E61" s="409"/>
      <c r="F61" s="29"/>
      <c r="G61" s="324"/>
      <c r="H61" s="306"/>
      <c r="I6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1" s="242"/>
      <c r="K61" s="325"/>
      <c r="L61" s="483">
        <v>0</v>
      </c>
      <c r="M61" s="246">
        <v>0</v>
      </c>
      <c r="N61" s="484">
        <v>0</v>
      </c>
      <c r="O61" s="257">
        <f>SUM(V062A_203031333436[[#This Row],[MPAL]]+V062A_203031333436[[#This Row],[AUX.]]+V062A_203031333436[[#This Row],[CALDERA]])</f>
        <v>0</v>
      </c>
      <c r="P61" s="319"/>
      <c r="Q61" s="281">
        <f>(Q60-V062A_203031333436[[#This Row],[TOTAL ]])+V062A_203031333436[[#This Row],[FAENA]]</f>
        <v>475.24700000000013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SUM(V062A_203031333436[[#This Row],[MPAL2]:[GI]])</f>
        <v>0</v>
      </c>
      <c r="X61" s="246"/>
      <c r="Y61" s="282">
        <f>(Y60-V062A_203031333436[[#This Row],[TOTAL]])+V062A_203031333436[[#This Row],[FAENA2]]</f>
        <v>44.26</v>
      </c>
      <c r="Z61" s="245">
        <v>0</v>
      </c>
      <c r="AA61" s="246">
        <v>0</v>
      </c>
      <c r="AB61" s="320">
        <f>(AB60-V062A_203031333436[[#This Row],[CYLINDER MP]])+V062A_203031333436[[#This Row],[FAENA EN LTS]]</f>
        <v>2503.9</v>
      </c>
      <c r="AC61" s="246">
        <v>0</v>
      </c>
      <c r="AD61" s="246">
        <v>0</v>
      </c>
      <c r="AE61" s="320">
        <f>(AE60-V062A_203031333436[[#This Row],[CARTER MP.]])+V062A_203031333436[[#This Row],[FAENA EN LTS2]]</f>
        <v>3500</v>
      </c>
      <c r="AF61" s="246">
        <v>0</v>
      </c>
      <c r="AG61" s="246">
        <v>0</v>
      </c>
      <c r="AH61" s="320">
        <f>(AH60-V062A_203031333436[[#This Row],[MOT AUX]])+V062A_203031333436[[#This Row],[FAENA EN  LTS]]</f>
        <v>880</v>
      </c>
      <c r="AI61" s="246">
        <v>0</v>
      </c>
      <c r="AJ61" s="246">
        <v>0</v>
      </c>
      <c r="AK61" s="321">
        <f>(AK60-V062A_203031333436[[#This Row],[HIDRAULICO]])+V062A_203031333436[[#This Row],[FAENA EN LTS3]]</f>
        <v>1140</v>
      </c>
    </row>
    <row r="62" spans="1:37" x14ac:dyDescent="0.25">
      <c r="A62" s="431"/>
      <c r="B62" s="48"/>
      <c r="C62" s="41"/>
      <c r="D62" s="418">
        <f>IF(V062A_203031333436[[#This Row],[FECHA]]-B61=1,((V062A_203031333436[[#This Row],[HORA]]-C61)*24)+24,(V062A_203031333436[[#This Row],[HORA]]-C61)*24)</f>
        <v>0</v>
      </c>
      <c r="E62" s="409"/>
      <c r="F62" s="29"/>
      <c r="G62" s="324"/>
      <c r="H62" s="306"/>
      <c r="I6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2" s="242"/>
      <c r="K62" s="325"/>
      <c r="L62" s="483">
        <v>0</v>
      </c>
      <c r="M62" s="246">
        <v>0</v>
      </c>
      <c r="N62" s="484">
        <v>0</v>
      </c>
      <c r="O62" s="257">
        <f>SUM(V062A_203031333436[[#This Row],[MPAL]]+V062A_203031333436[[#This Row],[AUX.]]+V062A_203031333436[[#This Row],[CALDERA]])</f>
        <v>0</v>
      </c>
      <c r="P62" s="319"/>
      <c r="Q62" s="281">
        <f>(Q61-V062A_203031333436[[#This Row],[TOTAL ]])+V062A_203031333436[[#This Row],[FAENA]]</f>
        <v>475.24700000000013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SUM(V062A_203031333436[[#This Row],[MPAL2]:[GI]])</f>
        <v>0</v>
      </c>
      <c r="X62" s="246"/>
      <c r="Y62" s="282">
        <f>(Y61-V062A_203031333436[[#This Row],[TOTAL]])+V062A_203031333436[[#This Row],[FAENA2]]</f>
        <v>44.26</v>
      </c>
      <c r="Z62" s="245">
        <v>0</v>
      </c>
      <c r="AA62" s="246">
        <v>0</v>
      </c>
      <c r="AB62" s="320">
        <f>(AB61-V062A_203031333436[[#This Row],[CYLINDER MP]])+V062A_203031333436[[#This Row],[FAENA EN LTS]]</f>
        <v>2503.9</v>
      </c>
      <c r="AC62" s="246">
        <v>0</v>
      </c>
      <c r="AD62" s="246">
        <v>0</v>
      </c>
      <c r="AE62" s="320">
        <f>(AE61-V062A_203031333436[[#This Row],[CARTER MP.]])+V062A_203031333436[[#This Row],[FAENA EN LTS2]]</f>
        <v>3500</v>
      </c>
      <c r="AF62" s="246">
        <v>0</v>
      </c>
      <c r="AG62" s="246">
        <v>0</v>
      </c>
      <c r="AH62" s="320">
        <f>(AH61-V062A_203031333436[[#This Row],[MOT AUX]])+V062A_203031333436[[#This Row],[FAENA EN  LTS]]</f>
        <v>880</v>
      </c>
      <c r="AI62" s="246">
        <v>0</v>
      </c>
      <c r="AJ62" s="246">
        <v>0</v>
      </c>
      <c r="AK62" s="321">
        <f>(AK61-V062A_203031333436[[#This Row],[HIDRAULICO]])+V062A_203031333436[[#This Row],[FAENA EN LTS3]]</f>
        <v>1140</v>
      </c>
    </row>
    <row r="63" spans="1:37" x14ac:dyDescent="0.25">
      <c r="A63" s="431"/>
      <c r="B63" s="48"/>
      <c r="C63" s="41"/>
      <c r="D63" s="418">
        <f>IF(V062A_203031333436[[#This Row],[FECHA]]-B62=1,((V062A_203031333436[[#This Row],[HORA]]-C62)*24)+24,(V062A_203031333436[[#This Row],[HORA]]-C62)*24)</f>
        <v>0</v>
      </c>
      <c r="E63" s="239"/>
      <c r="F63" s="29"/>
      <c r="G63" s="324"/>
      <c r="H63" s="306"/>
      <c r="I6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3" s="380"/>
      <c r="K63" s="325"/>
      <c r="L63" s="483">
        <v>0</v>
      </c>
      <c r="M63" s="246">
        <v>0</v>
      </c>
      <c r="N63" s="484">
        <v>0</v>
      </c>
      <c r="O63" s="257">
        <f>SUM(V062A_203031333436[[#This Row],[MPAL]]+V062A_203031333436[[#This Row],[AUX.]]+V062A_203031333436[[#This Row],[CALDERA]])</f>
        <v>0</v>
      </c>
      <c r="P63" s="319"/>
      <c r="Q63" s="281">
        <f>(Q62-V062A_203031333436[[#This Row],[TOTAL ]])+V062A_203031333436[[#This Row],[FAENA]]</f>
        <v>475.24700000000013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SUM(V062A_203031333436[[#This Row],[MPAL2]:[GI]])</f>
        <v>0</v>
      </c>
      <c r="X63" s="246"/>
      <c r="Y63" s="282">
        <f>(Y62-V062A_203031333436[[#This Row],[TOTAL]])+V062A_203031333436[[#This Row],[FAENA2]]</f>
        <v>44.26</v>
      </c>
      <c r="Z63" s="245">
        <v>0</v>
      </c>
      <c r="AA63" s="246">
        <v>0</v>
      </c>
      <c r="AB63" s="320">
        <f>(AB62-V062A_203031333436[[#This Row],[CYLINDER MP]])+V062A_203031333436[[#This Row],[FAENA EN LTS]]</f>
        <v>2503.9</v>
      </c>
      <c r="AC63" s="246">
        <v>0</v>
      </c>
      <c r="AD63" s="246">
        <v>0</v>
      </c>
      <c r="AE63" s="320">
        <f>(AE62-V062A_203031333436[[#This Row],[CARTER MP.]])+V062A_203031333436[[#This Row],[FAENA EN LTS2]]</f>
        <v>3500</v>
      </c>
      <c r="AF63" s="246">
        <v>0</v>
      </c>
      <c r="AG63" s="246">
        <v>0</v>
      </c>
      <c r="AH63" s="320">
        <f>(AH62-V062A_203031333436[[#This Row],[MOT AUX]])+V062A_203031333436[[#This Row],[FAENA EN  LTS]]</f>
        <v>880</v>
      </c>
      <c r="AI63" s="246">
        <v>0</v>
      </c>
      <c r="AJ63" s="246">
        <v>0</v>
      </c>
      <c r="AK63" s="321">
        <f>(AK62-V062A_203031333436[[#This Row],[HIDRAULICO]])+V062A_203031333436[[#This Row],[FAENA EN LTS3]]</f>
        <v>1140</v>
      </c>
    </row>
    <row r="64" spans="1:37" x14ac:dyDescent="0.25">
      <c r="A64" s="431"/>
      <c r="B64" s="48"/>
      <c r="C64" s="41"/>
      <c r="D64" s="418">
        <f>IF(V062A_203031333436[[#This Row],[FECHA]]-B63=1,((V062A_203031333436[[#This Row],[HORA]]-C63)*24)+24,(V062A_203031333436[[#This Row],[HORA]]-C63)*24)</f>
        <v>0</v>
      </c>
      <c r="E64" s="239"/>
      <c r="F64" s="29"/>
      <c r="G64" s="324"/>
      <c r="H64" s="306"/>
      <c r="I64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4" s="242"/>
      <c r="K64" s="325"/>
      <c r="L64" s="483">
        <v>0</v>
      </c>
      <c r="M64" s="246">
        <v>0</v>
      </c>
      <c r="N64" s="484">
        <v>0</v>
      </c>
      <c r="O64" s="257">
        <f>SUM(V062A_203031333436[[#This Row],[MPAL]]+V062A_203031333436[[#This Row],[AUX.]]+V062A_203031333436[[#This Row],[CALDERA]])</f>
        <v>0</v>
      </c>
      <c r="P64" s="319"/>
      <c r="Q64" s="281">
        <f>(Q63-V062A_203031333436[[#This Row],[TOTAL ]])+V062A_203031333436[[#This Row],[FAENA]]</f>
        <v>475.24700000000013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SUM(V062A_203031333436[[#This Row],[MPAL2]:[GI]])</f>
        <v>0</v>
      </c>
      <c r="X64" s="246"/>
      <c r="Y64" s="282">
        <f>(Y63-V062A_203031333436[[#This Row],[TOTAL]])+V062A_203031333436[[#This Row],[FAENA2]]</f>
        <v>44.26</v>
      </c>
      <c r="Z64" s="245">
        <v>0</v>
      </c>
      <c r="AA64" s="246">
        <v>0</v>
      </c>
      <c r="AB64" s="320">
        <f>(AB63-V062A_203031333436[[#This Row],[CYLINDER MP]])+V062A_203031333436[[#This Row],[FAENA EN LTS]]</f>
        <v>2503.9</v>
      </c>
      <c r="AC64" s="246">
        <v>0</v>
      </c>
      <c r="AD64" s="246">
        <v>0</v>
      </c>
      <c r="AE64" s="320">
        <f>(AE63-V062A_203031333436[[#This Row],[CARTER MP.]])+V062A_203031333436[[#This Row],[FAENA EN LTS2]]</f>
        <v>3500</v>
      </c>
      <c r="AF64" s="246">
        <v>0</v>
      </c>
      <c r="AG64" s="246">
        <v>0</v>
      </c>
      <c r="AH64" s="320">
        <f>(AH63-V062A_203031333436[[#This Row],[MOT AUX]])+V062A_203031333436[[#This Row],[FAENA EN  LTS]]</f>
        <v>880</v>
      </c>
      <c r="AI64" s="246">
        <v>0</v>
      </c>
      <c r="AJ64" s="246">
        <v>0</v>
      </c>
      <c r="AK64" s="321">
        <f>(AK63-V062A_203031333436[[#This Row],[HIDRAULICO]])+V062A_203031333436[[#This Row],[FAENA EN LTS3]]</f>
        <v>1140</v>
      </c>
    </row>
    <row r="65" spans="1:37" x14ac:dyDescent="0.25">
      <c r="A65" s="431"/>
      <c r="B65" s="48"/>
      <c r="C65" s="41"/>
      <c r="D65" s="418">
        <f>IF(V062A_203031333436[[#This Row],[FECHA]]-B64=1,((V062A_203031333436[[#This Row],[HORA]]-C64)*24)+24,(V062A_203031333436[[#This Row],[HORA]]-C64)*24)</f>
        <v>0</v>
      </c>
      <c r="E65" s="409"/>
      <c r="F65" s="29"/>
      <c r="G65" s="324"/>
      <c r="H65" s="306"/>
      <c r="I65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5" s="242"/>
      <c r="K65" s="325"/>
      <c r="L65" s="483">
        <v>0</v>
      </c>
      <c r="M65" s="246">
        <v>0</v>
      </c>
      <c r="N65" s="484">
        <v>0</v>
      </c>
      <c r="O65" s="257">
        <f>SUM(V062A_203031333436[[#This Row],[MPAL]]+V062A_203031333436[[#This Row],[AUX.]]+V062A_203031333436[[#This Row],[CALDERA]])</f>
        <v>0</v>
      </c>
      <c r="P65" s="319"/>
      <c r="Q65" s="281">
        <f>(Q64-V062A_203031333436[[#This Row],[TOTAL ]])+V062A_203031333436[[#This Row],[FAENA]]</f>
        <v>475.24700000000013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SUM(V062A_203031333436[[#This Row],[MPAL2]:[GI]])</f>
        <v>0</v>
      </c>
      <c r="X65" s="246"/>
      <c r="Y65" s="282">
        <f>(Y64-V062A_203031333436[[#This Row],[TOTAL]])+V062A_203031333436[[#This Row],[FAENA2]]</f>
        <v>44.26</v>
      </c>
      <c r="Z65" s="245">
        <v>0</v>
      </c>
      <c r="AA65" s="246">
        <v>0</v>
      </c>
      <c r="AB65" s="320">
        <f>(AB64-V062A_203031333436[[#This Row],[CYLINDER MP]])+V062A_203031333436[[#This Row],[FAENA EN LTS]]</f>
        <v>2503.9</v>
      </c>
      <c r="AC65" s="246">
        <v>0</v>
      </c>
      <c r="AD65" s="246">
        <v>0</v>
      </c>
      <c r="AE65" s="320">
        <f>(AE64-V062A_203031333436[[#This Row],[CARTER MP.]])+V062A_203031333436[[#This Row],[FAENA EN LTS2]]</f>
        <v>3500</v>
      </c>
      <c r="AF65" s="246">
        <v>0</v>
      </c>
      <c r="AG65" s="246">
        <v>0</v>
      </c>
      <c r="AH65" s="320">
        <f>(AH64-V062A_203031333436[[#This Row],[MOT AUX]])+V062A_203031333436[[#This Row],[FAENA EN  LTS]]</f>
        <v>880</v>
      </c>
      <c r="AI65" s="246">
        <v>0</v>
      </c>
      <c r="AJ65" s="246">
        <v>0</v>
      </c>
      <c r="AK65" s="321">
        <f>(AK64-V062A_203031333436[[#This Row],[HIDRAULICO]])+V062A_203031333436[[#This Row],[FAENA EN LTS3]]</f>
        <v>1140</v>
      </c>
    </row>
    <row r="66" spans="1:37" x14ac:dyDescent="0.25">
      <c r="A66" s="431"/>
      <c r="B66" s="48"/>
      <c r="C66" s="41"/>
      <c r="D66" s="418">
        <f>IF(V062A_203031333436[[#This Row],[FECHA]]-B65=1,((V062A_203031333436[[#This Row],[HORA]]-C65)*24)+24,(V062A_203031333436[[#This Row],[HORA]]-C65)*24)</f>
        <v>0</v>
      </c>
      <c r="E66" s="409"/>
      <c r="F66" s="29"/>
      <c r="G66" s="324"/>
      <c r="H66" s="306"/>
      <c r="I66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6" s="242"/>
      <c r="K66" s="325"/>
      <c r="L66" s="483">
        <v>0</v>
      </c>
      <c r="M66" s="246">
        <v>0</v>
      </c>
      <c r="N66" s="484">
        <v>0</v>
      </c>
      <c r="O66" s="257">
        <f>SUM(V062A_203031333436[[#This Row],[MPAL]]+V062A_203031333436[[#This Row],[AUX.]]+V062A_203031333436[[#This Row],[CALDERA]])</f>
        <v>0</v>
      </c>
      <c r="P66" s="319"/>
      <c r="Q66" s="281">
        <f>(Q65-V062A_203031333436[[#This Row],[TOTAL ]])+V062A_203031333436[[#This Row],[FAENA]]</f>
        <v>475.24700000000013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57">
        <f>SUM(V062A_203031333436[[#This Row],[MPAL2]:[GI]])</f>
        <v>0</v>
      </c>
      <c r="X66" s="246"/>
      <c r="Y66" s="282">
        <f>(Y65-V062A_203031333436[[#This Row],[TOTAL]])+V062A_203031333436[[#This Row],[FAENA2]]</f>
        <v>44.26</v>
      </c>
      <c r="Z66" s="245">
        <v>0</v>
      </c>
      <c r="AA66" s="246">
        <v>0</v>
      </c>
      <c r="AB66" s="320">
        <f>(AB65-V062A_203031333436[[#This Row],[CYLINDER MP]])+V062A_203031333436[[#This Row],[FAENA EN LTS]]</f>
        <v>2503.9</v>
      </c>
      <c r="AC66" s="246">
        <v>0</v>
      </c>
      <c r="AD66" s="246">
        <v>0</v>
      </c>
      <c r="AE66" s="320">
        <f>(AE65-V062A_203031333436[[#This Row],[CARTER MP.]])+V062A_203031333436[[#This Row],[FAENA EN LTS2]]</f>
        <v>3500</v>
      </c>
      <c r="AF66" s="246">
        <v>0</v>
      </c>
      <c r="AG66" s="246">
        <v>0</v>
      </c>
      <c r="AH66" s="320">
        <f>(AH65-V062A_203031333436[[#This Row],[MOT AUX]])+V062A_203031333436[[#This Row],[FAENA EN  LTS]]</f>
        <v>880</v>
      </c>
      <c r="AI66" s="246">
        <v>0</v>
      </c>
      <c r="AJ66" s="246">
        <v>0</v>
      </c>
      <c r="AK66" s="321">
        <f>(AK65-V062A_203031333436[[#This Row],[HIDRAULICO]])+V062A_203031333436[[#This Row],[FAENA EN LTS3]]</f>
        <v>1140</v>
      </c>
    </row>
    <row r="67" spans="1:37" x14ac:dyDescent="0.25">
      <c r="A67" s="431"/>
      <c r="B67" s="48"/>
      <c r="C67" s="41"/>
      <c r="D67" s="418">
        <f>IF(V062A_203031333436[[#This Row],[FECHA]]-B66=1,((V062A_203031333436[[#This Row],[HORA]]-C66)*24)+24,(V062A_203031333436[[#This Row],[HORA]]-C66)*24)</f>
        <v>0</v>
      </c>
      <c r="E67" s="409"/>
      <c r="F67" s="29"/>
      <c r="G67" s="324"/>
      <c r="H67" s="306"/>
      <c r="I67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7" s="242"/>
      <c r="K67" s="325"/>
      <c r="L67" s="483">
        <v>0</v>
      </c>
      <c r="M67" s="246">
        <v>0</v>
      </c>
      <c r="N67" s="484">
        <v>0</v>
      </c>
      <c r="O67" s="257">
        <f>SUM(V062A_203031333436[[#This Row],[MPAL]]+V062A_203031333436[[#This Row],[AUX.]]+V062A_203031333436[[#This Row],[CALDERA]])</f>
        <v>0</v>
      </c>
      <c r="P67" s="319"/>
      <c r="Q67" s="281">
        <f>(Q66-V062A_203031333436[[#This Row],[TOTAL ]])+V062A_203031333436[[#This Row],[FAENA]]</f>
        <v>475.24700000000013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SUM(V062A_203031333436[[#This Row],[MPAL2]:[GI]])</f>
        <v>0</v>
      </c>
      <c r="X67" s="246"/>
      <c r="Y67" s="282">
        <f>(Y66-V062A_203031333436[[#This Row],[TOTAL]])+V062A_203031333436[[#This Row],[FAENA2]]</f>
        <v>44.26</v>
      </c>
      <c r="Z67" s="245">
        <v>0</v>
      </c>
      <c r="AA67" s="246">
        <v>0</v>
      </c>
      <c r="AB67" s="320">
        <f>(AB66-V062A_203031333436[[#This Row],[CYLINDER MP]])+V062A_203031333436[[#This Row],[FAENA EN LTS]]</f>
        <v>2503.9</v>
      </c>
      <c r="AC67" s="246">
        <v>0</v>
      </c>
      <c r="AD67" s="246">
        <v>0</v>
      </c>
      <c r="AE67" s="320">
        <f>(AE66-V062A_203031333436[[#This Row],[CARTER MP.]])+V062A_203031333436[[#This Row],[FAENA EN LTS2]]</f>
        <v>3500</v>
      </c>
      <c r="AF67" s="246">
        <v>0</v>
      </c>
      <c r="AG67" s="246">
        <v>0</v>
      </c>
      <c r="AH67" s="320">
        <f>(AH66-V062A_203031333436[[#This Row],[MOT AUX]])+V062A_203031333436[[#This Row],[FAENA EN  LTS]]</f>
        <v>880</v>
      </c>
      <c r="AI67" s="246">
        <v>0</v>
      </c>
      <c r="AJ67" s="246">
        <v>0</v>
      </c>
      <c r="AK67" s="321">
        <f>(AK66-V062A_203031333436[[#This Row],[HIDRAULICO]])+V062A_203031333436[[#This Row],[FAENA EN LTS3]]</f>
        <v>1140</v>
      </c>
    </row>
    <row r="68" spans="1:37" x14ac:dyDescent="0.25">
      <c r="A68" s="431"/>
      <c r="B68" s="48"/>
      <c r="C68" s="41"/>
      <c r="D68" s="418">
        <f>IF(V062A_203031333436[[#This Row],[FECHA]]-B67=1,((V062A_203031333436[[#This Row],[HORA]]-C67)*24)+24,(V062A_203031333436[[#This Row],[HORA]]-C67)*24)</f>
        <v>0</v>
      </c>
      <c r="E68" s="409"/>
      <c r="F68" s="29"/>
      <c r="G68" s="324"/>
      <c r="H68" s="306"/>
      <c r="I68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8" s="242"/>
      <c r="K68" s="325"/>
      <c r="L68" s="483">
        <v>0</v>
      </c>
      <c r="M68" s="246">
        <v>0</v>
      </c>
      <c r="N68" s="484">
        <v>0</v>
      </c>
      <c r="O68" s="257">
        <f>SUM(V062A_203031333436[[#This Row],[MPAL]]+V062A_203031333436[[#This Row],[AUX.]]+V062A_203031333436[[#This Row],[CALDERA]])</f>
        <v>0</v>
      </c>
      <c r="P68" s="319"/>
      <c r="Q68" s="281">
        <f>(Q67-V062A_203031333436[[#This Row],[TOTAL ]])+V062A_203031333436[[#This Row],[FAENA]]</f>
        <v>475.24700000000013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SUM(V062A_203031333436[[#This Row],[MPAL2]:[GI]])</f>
        <v>0</v>
      </c>
      <c r="X68" s="246"/>
      <c r="Y68" s="282">
        <f>(Y67-V062A_203031333436[[#This Row],[TOTAL]])+V062A_203031333436[[#This Row],[FAENA2]]</f>
        <v>44.26</v>
      </c>
      <c r="Z68" s="245">
        <v>0</v>
      </c>
      <c r="AA68" s="246">
        <v>0</v>
      </c>
      <c r="AB68" s="320">
        <f>(AB67-V062A_203031333436[[#This Row],[CYLINDER MP]])+V062A_203031333436[[#This Row],[FAENA EN LTS]]</f>
        <v>2503.9</v>
      </c>
      <c r="AC68" s="246">
        <v>0</v>
      </c>
      <c r="AD68" s="246">
        <v>0</v>
      </c>
      <c r="AE68" s="320">
        <f>(AE67-V062A_203031333436[[#This Row],[CARTER MP.]])+V062A_203031333436[[#This Row],[FAENA EN LTS2]]</f>
        <v>3500</v>
      </c>
      <c r="AF68" s="246">
        <v>0</v>
      </c>
      <c r="AG68" s="246">
        <v>0</v>
      </c>
      <c r="AH68" s="320">
        <f>(AH67-V062A_203031333436[[#This Row],[MOT AUX]])+V062A_203031333436[[#This Row],[FAENA EN  LTS]]</f>
        <v>880</v>
      </c>
      <c r="AI68" s="246">
        <v>0</v>
      </c>
      <c r="AJ68" s="246">
        <v>0</v>
      </c>
      <c r="AK68" s="321">
        <f>(AK67-V062A_203031333436[[#This Row],[HIDRAULICO]])+V062A_203031333436[[#This Row],[FAENA EN LTS3]]</f>
        <v>1140</v>
      </c>
    </row>
    <row r="69" spans="1:37" x14ac:dyDescent="0.25">
      <c r="A69" s="431"/>
      <c r="B69" s="48"/>
      <c r="C69" s="41"/>
      <c r="D69" s="418">
        <f>IF(V062A_203031333436[[#This Row],[FECHA]]-B68=1,((V062A_203031333436[[#This Row],[HORA]]-C68)*24)+24,(V062A_203031333436[[#This Row],[HORA]]-C68)*24)</f>
        <v>0</v>
      </c>
      <c r="E69" s="409"/>
      <c r="F69" s="29"/>
      <c r="G69" s="324"/>
      <c r="H69" s="306"/>
      <c r="I69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69" s="242"/>
      <c r="K69" s="325"/>
      <c r="L69" s="483">
        <v>0</v>
      </c>
      <c r="M69" s="246">
        <v>0</v>
      </c>
      <c r="N69" s="484">
        <v>0</v>
      </c>
      <c r="O69" s="257">
        <f>SUM(V062A_203031333436[[#This Row],[MPAL]]+V062A_203031333436[[#This Row],[AUX.]]+V062A_203031333436[[#This Row],[CALDERA]])</f>
        <v>0</v>
      </c>
      <c r="P69" s="319"/>
      <c r="Q69" s="281">
        <f>(Q68-V062A_203031333436[[#This Row],[TOTAL ]])+V062A_203031333436[[#This Row],[FAENA]]</f>
        <v>475.24700000000013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SUM(V062A_203031333436[[#This Row],[MPAL2]:[GI]])</f>
        <v>0</v>
      </c>
      <c r="X69" s="246"/>
      <c r="Y69" s="282">
        <f>(Y68-V062A_203031333436[[#This Row],[TOTAL]])+V062A_203031333436[[#This Row],[FAENA2]]</f>
        <v>44.26</v>
      </c>
      <c r="Z69" s="245">
        <v>0</v>
      </c>
      <c r="AA69" s="246">
        <v>0</v>
      </c>
      <c r="AB69" s="320">
        <f>(AB68-V062A_203031333436[[#This Row],[CYLINDER MP]])+V062A_203031333436[[#This Row],[FAENA EN LTS]]</f>
        <v>2503.9</v>
      </c>
      <c r="AC69" s="246">
        <v>0</v>
      </c>
      <c r="AD69" s="246">
        <v>0</v>
      </c>
      <c r="AE69" s="320">
        <f>(AE68-V062A_203031333436[[#This Row],[CARTER MP.]])+V062A_203031333436[[#This Row],[FAENA EN LTS2]]</f>
        <v>3500</v>
      </c>
      <c r="AF69" s="246">
        <v>0</v>
      </c>
      <c r="AG69" s="246">
        <v>0</v>
      </c>
      <c r="AH69" s="320">
        <f>(AH68-V062A_203031333436[[#This Row],[MOT AUX]])+V062A_203031333436[[#This Row],[FAENA EN  LTS]]</f>
        <v>880</v>
      </c>
      <c r="AI69" s="246">
        <v>0</v>
      </c>
      <c r="AJ69" s="246">
        <v>0</v>
      </c>
      <c r="AK69" s="321">
        <f>(AK68-V062A_203031333436[[#This Row],[HIDRAULICO]])+V062A_203031333436[[#This Row],[FAENA EN LTS3]]</f>
        <v>1140</v>
      </c>
    </row>
    <row r="70" spans="1:37" x14ac:dyDescent="0.25">
      <c r="A70" s="431"/>
      <c r="B70" s="48"/>
      <c r="C70" s="41"/>
      <c r="D70" s="418">
        <f>IF(V062A_203031333436[[#This Row],[FECHA]]-B69=1,((V062A_203031333436[[#This Row],[HORA]]-C69)*24)+24,(V062A_203031333436[[#This Row],[HORA]]-C69)*24)</f>
        <v>0</v>
      </c>
      <c r="E70" s="239"/>
      <c r="F70" s="29"/>
      <c r="G70" s="324"/>
      <c r="H70" s="306"/>
      <c r="I70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0" s="242"/>
      <c r="K70" s="325"/>
      <c r="L70" s="483">
        <v>0</v>
      </c>
      <c r="M70" s="246">
        <v>0</v>
      </c>
      <c r="N70" s="484">
        <v>0</v>
      </c>
      <c r="O70" s="257">
        <f>SUM(V062A_203031333436[[#This Row],[MPAL]]+V062A_203031333436[[#This Row],[AUX.]]+V062A_203031333436[[#This Row],[CALDERA]])</f>
        <v>0</v>
      </c>
      <c r="P70" s="319"/>
      <c r="Q70" s="281">
        <f>(Q69-V062A_203031333436[[#This Row],[TOTAL ]])+V062A_203031333436[[#This Row],[FAENA]]</f>
        <v>475.24700000000013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SUM(V062A_203031333436[[#This Row],[MPAL2]:[GI]])</f>
        <v>0</v>
      </c>
      <c r="X70" s="246"/>
      <c r="Y70" s="282">
        <f>(Y69-V062A_203031333436[[#This Row],[TOTAL]])+V062A_203031333436[[#This Row],[FAENA2]]</f>
        <v>44.26</v>
      </c>
      <c r="Z70" s="245">
        <v>0</v>
      </c>
      <c r="AA70" s="246">
        <v>0</v>
      </c>
      <c r="AB70" s="320">
        <f>(AB69-V062A_203031333436[[#This Row],[CYLINDER MP]])+V062A_203031333436[[#This Row],[FAENA EN LTS]]</f>
        <v>2503.9</v>
      </c>
      <c r="AC70" s="246">
        <v>0</v>
      </c>
      <c r="AD70" s="246">
        <v>0</v>
      </c>
      <c r="AE70" s="320">
        <f>(AE69-V062A_203031333436[[#This Row],[CARTER MP.]])+V062A_203031333436[[#This Row],[FAENA EN LTS2]]</f>
        <v>3500</v>
      </c>
      <c r="AF70" s="246">
        <v>0</v>
      </c>
      <c r="AG70" s="246">
        <v>0</v>
      </c>
      <c r="AH70" s="320">
        <f>(AH69-V062A_203031333436[[#This Row],[MOT AUX]])+V062A_203031333436[[#This Row],[FAENA EN  LTS]]</f>
        <v>880</v>
      </c>
      <c r="AI70" s="246">
        <v>0</v>
      </c>
      <c r="AJ70" s="246">
        <v>0</v>
      </c>
      <c r="AK70" s="321">
        <f>(AK69-V062A_203031333436[[#This Row],[HIDRAULICO]])+V062A_203031333436[[#This Row],[FAENA EN LTS3]]</f>
        <v>1140</v>
      </c>
    </row>
    <row r="71" spans="1:37" x14ac:dyDescent="0.25">
      <c r="A71" s="431"/>
      <c r="B71" s="48"/>
      <c r="C71" s="41"/>
      <c r="D71" s="418">
        <f>IF(V062A_203031333436[[#This Row],[FECHA]]-B70=1,((V062A_203031333436[[#This Row],[HORA]]-C70)*24)+24,(V062A_203031333436[[#This Row],[HORA]]-C70)*24)</f>
        <v>0</v>
      </c>
      <c r="E71" s="239"/>
      <c r="F71" s="378"/>
      <c r="G71" s="324"/>
      <c r="H71" s="306"/>
      <c r="I71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1" s="242"/>
      <c r="K71" s="325"/>
      <c r="L71" s="483">
        <v>0</v>
      </c>
      <c r="M71" s="246">
        <v>0</v>
      </c>
      <c r="N71" s="484">
        <v>0</v>
      </c>
      <c r="O71" s="257">
        <f>SUM(V062A_203031333436[[#This Row],[MPAL]]+V062A_203031333436[[#This Row],[AUX.]]+V062A_203031333436[[#This Row],[CALDERA]])</f>
        <v>0</v>
      </c>
      <c r="P71" s="319"/>
      <c r="Q71" s="281">
        <f>(Q70-V062A_203031333436[[#This Row],[TOTAL ]])+V062A_203031333436[[#This Row],[FAENA]]</f>
        <v>475.24700000000013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SUM(V062A_203031333436[[#This Row],[MPAL2]:[GI]])</f>
        <v>0</v>
      </c>
      <c r="X71" s="246"/>
      <c r="Y71" s="282">
        <f>(Y70-V062A_203031333436[[#This Row],[TOTAL]])+V062A_203031333436[[#This Row],[FAENA2]]</f>
        <v>44.26</v>
      </c>
      <c r="Z71" s="245">
        <v>0</v>
      </c>
      <c r="AA71" s="246">
        <v>0</v>
      </c>
      <c r="AB71" s="320">
        <f>(AB70-V062A_203031333436[[#This Row],[CYLINDER MP]])+V062A_203031333436[[#This Row],[FAENA EN LTS]]</f>
        <v>2503.9</v>
      </c>
      <c r="AC71" s="246">
        <v>0</v>
      </c>
      <c r="AD71" s="246">
        <v>0</v>
      </c>
      <c r="AE71" s="320">
        <f>(AE70-V062A_203031333436[[#This Row],[CARTER MP.]])+V062A_203031333436[[#This Row],[FAENA EN LTS2]]</f>
        <v>3500</v>
      </c>
      <c r="AF71" s="246">
        <v>0</v>
      </c>
      <c r="AG71" s="246">
        <v>0</v>
      </c>
      <c r="AH71" s="320">
        <f>(AH70-V062A_203031333436[[#This Row],[MOT AUX]])+V062A_203031333436[[#This Row],[FAENA EN  LTS]]</f>
        <v>880</v>
      </c>
      <c r="AI71" s="246">
        <v>0</v>
      </c>
      <c r="AJ71" s="246">
        <v>0</v>
      </c>
      <c r="AK71" s="321">
        <f>(AK70-V062A_203031333436[[#This Row],[HIDRAULICO]])+V062A_203031333436[[#This Row],[FAENA EN LTS3]]</f>
        <v>1140</v>
      </c>
    </row>
    <row r="72" spans="1:37" x14ac:dyDescent="0.25">
      <c r="A72" s="431"/>
      <c r="B72" s="48"/>
      <c r="C72" s="41"/>
      <c r="D72" s="418">
        <f>IF(V062A_203031333436[[#This Row],[FECHA]]-B71=1,((V062A_203031333436[[#This Row],[HORA]]-C71)*24)+24,(V062A_203031333436[[#This Row],[HORA]]-C71)*24)</f>
        <v>0</v>
      </c>
      <c r="E72" s="239"/>
      <c r="F72" s="378"/>
      <c r="G72" s="324"/>
      <c r="H72" s="306"/>
      <c r="I72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2" s="242"/>
      <c r="K72" s="325"/>
      <c r="L72" s="483">
        <v>0</v>
      </c>
      <c r="M72" s="246">
        <v>0</v>
      </c>
      <c r="N72" s="484">
        <v>0</v>
      </c>
      <c r="O72" s="257">
        <f>SUM(V062A_203031333436[[#This Row],[MPAL]]+V062A_203031333436[[#This Row],[AUX.]]+V062A_203031333436[[#This Row],[CALDERA]])</f>
        <v>0</v>
      </c>
      <c r="P72" s="319"/>
      <c r="Q72" s="281">
        <f>(Q71-V062A_203031333436[[#This Row],[TOTAL ]])+V062A_203031333436[[#This Row],[FAENA]]</f>
        <v>475.24700000000013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SUM(V062A_203031333436[[#This Row],[MPAL2]:[GI]])</f>
        <v>0</v>
      </c>
      <c r="X72" s="246"/>
      <c r="Y72" s="282">
        <f>(Y71-V062A_203031333436[[#This Row],[TOTAL]])+V062A_203031333436[[#This Row],[FAENA2]]</f>
        <v>44.26</v>
      </c>
      <c r="Z72" s="245">
        <v>0</v>
      </c>
      <c r="AA72" s="246">
        <v>0</v>
      </c>
      <c r="AB72" s="320">
        <f>(AB71-V062A_203031333436[[#This Row],[CYLINDER MP]])+V062A_203031333436[[#This Row],[FAENA EN LTS]]</f>
        <v>2503.9</v>
      </c>
      <c r="AC72" s="246">
        <v>0</v>
      </c>
      <c r="AD72" s="246">
        <v>0</v>
      </c>
      <c r="AE72" s="320">
        <f>(AE71-V062A_203031333436[[#This Row],[CARTER MP.]])+V062A_203031333436[[#This Row],[FAENA EN LTS2]]</f>
        <v>3500</v>
      </c>
      <c r="AF72" s="246">
        <v>0</v>
      </c>
      <c r="AG72" s="246">
        <v>0</v>
      </c>
      <c r="AH72" s="320">
        <f>(AH71-V062A_203031333436[[#This Row],[MOT AUX]])+V062A_203031333436[[#This Row],[FAENA EN  LTS]]</f>
        <v>880</v>
      </c>
      <c r="AI72" s="246">
        <v>0</v>
      </c>
      <c r="AJ72" s="246">
        <v>0</v>
      </c>
      <c r="AK72" s="321">
        <f>(AK71-V062A_203031333436[[#This Row],[HIDRAULICO]])+V062A_203031333436[[#This Row],[FAENA EN LTS3]]</f>
        <v>1140</v>
      </c>
    </row>
    <row r="73" spans="1:37" x14ac:dyDescent="0.25">
      <c r="A73" s="431"/>
      <c r="B73" s="48"/>
      <c r="C73" s="41"/>
      <c r="D73" s="418">
        <f>IF(V062A_203031333436[[#This Row],[FECHA]]-B72=1,((V062A_203031333436[[#This Row],[HORA]]-C72)*24)+24,(V062A_203031333436[[#This Row],[HORA]]-C72)*24)</f>
        <v>0</v>
      </c>
      <c r="E73" s="239"/>
      <c r="F73" s="378"/>
      <c r="G73" s="324"/>
      <c r="H73" s="306"/>
      <c r="I73" s="259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3" s="380"/>
      <c r="K73" s="325"/>
      <c r="L73" s="483">
        <v>0</v>
      </c>
      <c r="M73" s="246">
        <v>0</v>
      </c>
      <c r="N73" s="484">
        <v>0</v>
      </c>
      <c r="O73" s="257">
        <f>SUM(V062A_203031333436[[#This Row],[MPAL]]+V062A_203031333436[[#This Row],[AUX.]]+V062A_203031333436[[#This Row],[CALDERA]])</f>
        <v>0</v>
      </c>
      <c r="P73" s="319"/>
      <c r="Q73" s="281">
        <f>(Q72-V062A_203031333436[[#This Row],[TOTAL ]])+V062A_203031333436[[#This Row],[FAENA]]</f>
        <v>475.24700000000013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SUM(V062A_203031333436[[#This Row],[MPAL2]:[GI]])</f>
        <v>0</v>
      </c>
      <c r="X73" s="246"/>
      <c r="Y73" s="282">
        <f>(Y72-V062A_203031333436[[#This Row],[TOTAL]])+V062A_203031333436[[#This Row],[FAENA2]]</f>
        <v>44.26</v>
      </c>
      <c r="Z73" s="245">
        <v>0</v>
      </c>
      <c r="AA73" s="246">
        <v>0</v>
      </c>
      <c r="AB73" s="320">
        <f>(AB72-V062A_203031333436[[#This Row],[CYLINDER MP]])+V062A_203031333436[[#This Row],[FAENA EN LTS]]</f>
        <v>2503.9</v>
      </c>
      <c r="AC73" s="246">
        <v>0</v>
      </c>
      <c r="AD73" s="246">
        <v>0</v>
      </c>
      <c r="AE73" s="320">
        <f>(AE72-V062A_203031333436[[#This Row],[CARTER MP.]])+V062A_203031333436[[#This Row],[FAENA EN LTS2]]</f>
        <v>3500</v>
      </c>
      <c r="AF73" s="246">
        <v>0</v>
      </c>
      <c r="AG73" s="246">
        <v>0</v>
      </c>
      <c r="AH73" s="320">
        <f>(AH72-V062A_203031333436[[#This Row],[MOT AUX]])+V062A_203031333436[[#This Row],[FAENA EN  LTS]]</f>
        <v>880</v>
      </c>
      <c r="AI73" s="246">
        <v>0</v>
      </c>
      <c r="AJ73" s="246">
        <v>0</v>
      </c>
      <c r="AK73" s="321">
        <f>(AK72-V062A_203031333436[[#This Row],[HIDRAULICO]])+V062A_203031333436[[#This Row],[FAENA EN LTS3]]</f>
        <v>1140</v>
      </c>
    </row>
    <row r="74" spans="1:37" x14ac:dyDescent="0.25">
      <c r="A74" s="431"/>
      <c r="B74" s="48"/>
      <c r="C74" s="41"/>
      <c r="D74" s="418">
        <f>IF(V062A_203031333436[[#This Row],[FECHA]]-B73=1,((V062A_203031333436[[#This Row],[HORA]]-C73)*24)+24,(V062A_203031333436[[#This Row],[HORA]]-C73)*24)</f>
        <v>0</v>
      </c>
      <c r="E74" s="432"/>
      <c r="F74" s="378"/>
      <c r="G74" s="433"/>
      <c r="H74" s="434"/>
      <c r="I7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4" s="436"/>
      <c r="K74" s="437"/>
      <c r="L74" s="483">
        <v>0</v>
      </c>
      <c r="M74" s="246">
        <v>0</v>
      </c>
      <c r="N74" s="484">
        <v>0</v>
      </c>
      <c r="O74" s="246">
        <f>SUM(V062A_203031333436[[#This Row],[MPAL]]+V062A_203031333436[[#This Row],[AUX.]]+V062A_203031333436[[#This Row],[CALDERA]])</f>
        <v>0</v>
      </c>
      <c r="P74" s="319"/>
      <c r="Q74" s="270">
        <f>(Q73-V062A_203031333436[[#This Row],[TOTAL ]])+V062A_203031333436[[#This Row],[FAENA]]</f>
        <v>475.24700000000013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SUM(V062A_203031333436[[#This Row],[MPAL2]:[GI]])</f>
        <v>0</v>
      </c>
      <c r="X74" s="246"/>
      <c r="Y74" s="300">
        <f>(Y73-V062A_203031333436[[#This Row],[TOTAL]])+V062A_203031333436[[#This Row],[FAENA2]]</f>
        <v>44.26</v>
      </c>
      <c r="Z74" s="245">
        <v>0</v>
      </c>
      <c r="AA74" s="246">
        <v>0</v>
      </c>
      <c r="AB74" s="438">
        <f>(AB73-V062A_203031333436[[#This Row],[CYLINDER MP]])+V062A_203031333436[[#This Row],[FAENA EN LTS]]</f>
        <v>2503.9</v>
      </c>
      <c r="AC74" s="246">
        <v>0</v>
      </c>
      <c r="AD74" s="246">
        <v>0</v>
      </c>
      <c r="AE74" s="438">
        <f>(AE73-V062A_203031333436[[#This Row],[CARTER MP.]])+V062A_203031333436[[#This Row],[FAENA EN LTS2]]</f>
        <v>3500</v>
      </c>
      <c r="AF74" s="246">
        <v>0</v>
      </c>
      <c r="AG74" s="246">
        <v>0</v>
      </c>
      <c r="AH74" s="438">
        <f>(AH73-V062A_203031333436[[#This Row],[MOT AUX]])+V062A_203031333436[[#This Row],[FAENA EN  LTS]]</f>
        <v>880</v>
      </c>
      <c r="AI74" s="246">
        <v>0</v>
      </c>
      <c r="AJ74" s="246">
        <v>0</v>
      </c>
      <c r="AK74" s="439">
        <f>(AK73-V062A_203031333436[[#This Row],[HIDRAULICO]])+V062A_203031333436[[#This Row],[FAENA EN LTS3]]</f>
        <v>1140</v>
      </c>
    </row>
    <row r="75" spans="1:37" x14ac:dyDescent="0.25">
      <c r="A75" s="431"/>
      <c r="B75" s="48"/>
      <c r="C75" s="41"/>
      <c r="D75" s="418">
        <f>IF(V062A_203031333436[[#This Row],[FECHA]]-B74=1,((V062A_203031333436[[#This Row],[HORA]]-C74)*24)+24,(V062A_203031333436[[#This Row],[HORA]]-C74)*24)</f>
        <v>0</v>
      </c>
      <c r="E75" s="432"/>
      <c r="F75" s="378"/>
      <c r="G75" s="433"/>
      <c r="H75" s="434"/>
      <c r="I7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5" s="436"/>
      <c r="K75" s="437"/>
      <c r="L75" s="483">
        <v>0</v>
      </c>
      <c r="M75" s="246">
        <v>0</v>
      </c>
      <c r="N75" s="484">
        <v>0</v>
      </c>
      <c r="O75" s="246">
        <f>SUM(V062A_203031333436[[#This Row],[MPAL]]+V062A_203031333436[[#This Row],[AUX.]]+V062A_203031333436[[#This Row],[CALDERA]])</f>
        <v>0</v>
      </c>
      <c r="P75" s="319"/>
      <c r="Q75" s="270">
        <f>(Q74-V062A_203031333436[[#This Row],[TOTAL ]])+V062A_203031333436[[#This Row],[FAENA]]</f>
        <v>475.24700000000013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SUM(V062A_203031333436[[#This Row],[MPAL2]:[GI]])</f>
        <v>0</v>
      </c>
      <c r="X75" s="246"/>
      <c r="Y75" s="300">
        <f>(Y74-V062A_203031333436[[#This Row],[TOTAL]])+V062A_203031333436[[#This Row],[FAENA2]]</f>
        <v>44.26</v>
      </c>
      <c r="Z75" s="245">
        <v>0</v>
      </c>
      <c r="AA75" s="246">
        <v>0</v>
      </c>
      <c r="AB75" s="438">
        <f>(AB74-V062A_203031333436[[#This Row],[CYLINDER MP]])+V062A_203031333436[[#This Row],[FAENA EN LTS]]</f>
        <v>2503.9</v>
      </c>
      <c r="AC75" s="246">
        <v>0</v>
      </c>
      <c r="AD75" s="246">
        <v>0</v>
      </c>
      <c r="AE75" s="438">
        <f>(AE74-V062A_203031333436[[#This Row],[CARTER MP.]])+V062A_203031333436[[#This Row],[FAENA EN LTS2]]</f>
        <v>3500</v>
      </c>
      <c r="AF75" s="246">
        <v>0</v>
      </c>
      <c r="AG75" s="246">
        <v>0</v>
      </c>
      <c r="AH75" s="438">
        <f>(AH74-V062A_203031333436[[#This Row],[MOT AUX]])+V062A_203031333436[[#This Row],[FAENA EN  LTS]]</f>
        <v>880</v>
      </c>
      <c r="AI75" s="246">
        <v>0</v>
      </c>
      <c r="AJ75" s="246">
        <v>0</v>
      </c>
      <c r="AK75" s="439">
        <f>(AK74-V062A_203031333436[[#This Row],[HIDRAULICO]])+V062A_203031333436[[#This Row],[FAENA EN LTS3]]</f>
        <v>1140</v>
      </c>
    </row>
    <row r="76" spans="1:37" x14ac:dyDescent="0.25">
      <c r="A76" s="431"/>
      <c r="B76" s="48"/>
      <c r="C76" s="41"/>
      <c r="D76" s="418">
        <f>IF(V062A_203031333436[[#This Row],[FECHA]]-B75=1,((V062A_203031333436[[#This Row],[HORA]]-C75)*24)+24,(V062A_203031333436[[#This Row],[HORA]]-C75)*24)</f>
        <v>0</v>
      </c>
      <c r="E76" s="432"/>
      <c r="F76" s="378"/>
      <c r="G76" s="433"/>
      <c r="H76" s="434"/>
      <c r="I7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6" s="436"/>
      <c r="K76" s="437"/>
      <c r="L76" s="483">
        <v>0</v>
      </c>
      <c r="M76" s="246">
        <v>0</v>
      </c>
      <c r="N76" s="484">
        <v>0</v>
      </c>
      <c r="O76" s="246">
        <f>SUM(V062A_203031333436[[#This Row],[MPAL]]+V062A_203031333436[[#This Row],[AUX.]]+V062A_203031333436[[#This Row],[CALDERA]])</f>
        <v>0</v>
      </c>
      <c r="P76" s="319"/>
      <c r="Q76" s="270">
        <f>(Q75-V062A_203031333436[[#This Row],[TOTAL ]])+V062A_203031333436[[#This Row],[FAENA]]</f>
        <v>475.24700000000013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SUM(V062A_203031333436[[#This Row],[MPAL2]:[GI]])</f>
        <v>0</v>
      </c>
      <c r="X76" s="246"/>
      <c r="Y76" s="300">
        <f>(Y75-V062A_203031333436[[#This Row],[TOTAL]])+V062A_203031333436[[#This Row],[FAENA2]]</f>
        <v>44.26</v>
      </c>
      <c r="Z76" s="245">
        <v>0</v>
      </c>
      <c r="AA76" s="246">
        <v>0</v>
      </c>
      <c r="AB76" s="438">
        <f>(AB75-V062A_203031333436[[#This Row],[CYLINDER MP]])+V062A_203031333436[[#This Row],[FAENA EN LTS]]</f>
        <v>2503.9</v>
      </c>
      <c r="AC76" s="246">
        <v>0</v>
      </c>
      <c r="AD76" s="246">
        <v>0</v>
      </c>
      <c r="AE76" s="438">
        <f>(AE75-V062A_203031333436[[#This Row],[CARTER MP.]])+V062A_203031333436[[#This Row],[FAENA EN LTS2]]</f>
        <v>3500</v>
      </c>
      <c r="AF76" s="246">
        <v>0</v>
      </c>
      <c r="AG76" s="246">
        <v>0</v>
      </c>
      <c r="AH76" s="438">
        <f>(AH75-V062A_203031333436[[#This Row],[MOT AUX]])+V062A_203031333436[[#This Row],[FAENA EN  LTS]]</f>
        <v>880</v>
      </c>
      <c r="AI76" s="246">
        <v>0</v>
      </c>
      <c r="AJ76" s="246">
        <v>0</v>
      </c>
      <c r="AK76" s="439">
        <f>(AK75-V062A_203031333436[[#This Row],[HIDRAULICO]])+V062A_203031333436[[#This Row],[FAENA EN LTS3]]</f>
        <v>1140</v>
      </c>
    </row>
    <row r="77" spans="1:37" x14ac:dyDescent="0.25">
      <c r="A77" s="431"/>
      <c r="B77" s="48"/>
      <c r="C77" s="41"/>
      <c r="D77" s="418">
        <f>IF(V062A_203031333436[[#This Row],[FECHA]]-B76=1,((V062A_203031333436[[#This Row],[HORA]]-C76)*24)+24,(V062A_203031333436[[#This Row],[HORA]]-C76)*24)</f>
        <v>0</v>
      </c>
      <c r="E77" s="432"/>
      <c r="F77" s="378"/>
      <c r="G77" s="433"/>
      <c r="H77" s="434"/>
      <c r="I7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7" s="436"/>
      <c r="K77" s="437"/>
      <c r="L77" s="483">
        <v>0</v>
      </c>
      <c r="M77" s="246">
        <v>0</v>
      </c>
      <c r="N77" s="484">
        <v>0</v>
      </c>
      <c r="O77" s="246">
        <f>SUM(V062A_203031333436[[#This Row],[MPAL]]+V062A_203031333436[[#This Row],[AUX.]]+V062A_203031333436[[#This Row],[CALDERA]])</f>
        <v>0</v>
      </c>
      <c r="P77" s="319"/>
      <c r="Q77" s="270">
        <f>(Q76-V062A_203031333436[[#This Row],[TOTAL ]])+V062A_203031333436[[#This Row],[FAENA]]</f>
        <v>475.24700000000013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SUM(V062A_203031333436[[#This Row],[MPAL2]:[GI]])</f>
        <v>0</v>
      </c>
      <c r="X77" s="246"/>
      <c r="Y77" s="300">
        <f>(Y76-V062A_203031333436[[#This Row],[TOTAL]])+V062A_203031333436[[#This Row],[FAENA2]]</f>
        <v>44.26</v>
      </c>
      <c r="Z77" s="245">
        <v>0</v>
      </c>
      <c r="AA77" s="246">
        <v>0</v>
      </c>
      <c r="AB77" s="438">
        <f>(AB76-V062A_203031333436[[#This Row],[CYLINDER MP]])+V062A_203031333436[[#This Row],[FAENA EN LTS]]</f>
        <v>2503.9</v>
      </c>
      <c r="AC77" s="246">
        <v>0</v>
      </c>
      <c r="AD77" s="246">
        <v>0</v>
      </c>
      <c r="AE77" s="438">
        <f>(AE76-V062A_203031333436[[#This Row],[CARTER MP.]])+V062A_203031333436[[#This Row],[FAENA EN LTS2]]</f>
        <v>3500</v>
      </c>
      <c r="AF77" s="246">
        <v>0</v>
      </c>
      <c r="AG77" s="246">
        <v>0</v>
      </c>
      <c r="AH77" s="438">
        <f>(AH76-V062A_203031333436[[#This Row],[MOT AUX]])+V062A_203031333436[[#This Row],[FAENA EN  LTS]]</f>
        <v>880</v>
      </c>
      <c r="AI77" s="246">
        <v>0</v>
      </c>
      <c r="AJ77" s="246">
        <v>0</v>
      </c>
      <c r="AK77" s="439">
        <f>(AK76-V062A_203031333436[[#This Row],[HIDRAULICO]])+V062A_203031333436[[#This Row],[FAENA EN LTS3]]</f>
        <v>1140</v>
      </c>
    </row>
    <row r="78" spans="1:37" x14ac:dyDescent="0.25">
      <c r="A78" s="431"/>
      <c r="B78" s="48"/>
      <c r="C78" s="41"/>
      <c r="D78" s="418">
        <f>IF(V062A_203031333436[[#This Row],[FECHA]]-B77=1,((V062A_203031333436[[#This Row],[HORA]]-C77)*24)+24,(V062A_203031333436[[#This Row],[HORA]]-C77)*24)</f>
        <v>0</v>
      </c>
      <c r="E78" s="432"/>
      <c r="F78" s="378"/>
      <c r="G78" s="433"/>
      <c r="H78" s="434"/>
      <c r="I78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8" s="436"/>
      <c r="K78" s="437"/>
      <c r="L78" s="483">
        <v>0</v>
      </c>
      <c r="M78" s="246">
        <v>0</v>
      </c>
      <c r="N78" s="484">
        <v>0</v>
      </c>
      <c r="O78" s="246">
        <f>SUM(V062A_203031333436[[#This Row],[MPAL]]+V062A_203031333436[[#This Row],[AUX.]]+V062A_203031333436[[#This Row],[CALDERA]])</f>
        <v>0</v>
      </c>
      <c r="P78" s="319"/>
      <c r="Q78" s="270">
        <f>(Q77-V062A_203031333436[[#This Row],[TOTAL ]])+V062A_203031333436[[#This Row],[FAENA]]</f>
        <v>475.24700000000013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SUM(V062A_203031333436[[#This Row],[MPAL2]:[GI]])</f>
        <v>0</v>
      </c>
      <c r="X78" s="246"/>
      <c r="Y78" s="300">
        <f>(Y77-V062A_203031333436[[#This Row],[TOTAL]])+V062A_203031333436[[#This Row],[FAENA2]]</f>
        <v>44.26</v>
      </c>
      <c r="Z78" s="245">
        <v>0</v>
      </c>
      <c r="AA78" s="246">
        <v>0</v>
      </c>
      <c r="AB78" s="438">
        <f>(AB77-V062A_203031333436[[#This Row],[CYLINDER MP]])+V062A_203031333436[[#This Row],[FAENA EN LTS]]</f>
        <v>2503.9</v>
      </c>
      <c r="AC78" s="246">
        <v>0</v>
      </c>
      <c r="AD78" s="246">
        <v>0</v>
      </c>
      <c r="AE78" s="438">
        <f>(AE77-V062A_203031333436[[#This Row],[CARTER MP.]])+V062A_203031333436[[#This Row],[FAENA EN LTS2]]</f>
        <v>3500</v>
      </c>
      <c r="AF78" s="246">
        <v>0</v>
      </c>
      <c r="AG78" s="246">
        <v>0</v>
      </c>
      <c r="AH78" s="438">
        <f>(AH77-V062A_203031333436[[#This Row],[MOT AUX]])+V062A_203031333436[[#This Row],[FAENA EN  LTS]]</f>
        <v>880</v>
      </c>
      <c r="AI78" s="246">
        <v>0</v>
      </c>
      <c r="AJ78" s="246">
        <v>0</v>
      </c>
      <c r="AK78" s="439">
        <f>(AK77-V062A_203031333436[[#This Row],[HIDRAULICO]])+V062A_203031333436[[#This Row],[FAENA EN LTS3]]</f>
        <v>1140</v>
      </c>
    </row>
    <row r="79" spans="1:37" x14ac:dyDescent="0.25">
      <c r="A79" s="431"/>
      <c r="B79" s="48"/>
      <c r="C79" s="41"/>
      <c r="D79" s="418">
        <f>IF(V062A_203031333436[[#This Row],[FECHA]]-B78=1,((V062A_203031333436[[#This Row],[HORA]]-C78)*24)+24,(V062A_203031333436[[#This Row],[HORA]]-C78)*24)</f>
        <v>0</v>
      </c>
      <c r="E79" s="432"/>
      <c r="F79" s="378"/>
      <c r="G79" s="433"/>
      <c r="H79" s="434"/>
      <c r="I79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79" s="436"/>
      <c r="K79" s="437"/>
      <c r="L79" s="483">
        <v>0</v>
      </c>
      <c r="M79" s="246">
        <v>0</v>
      </c>
      <c r="N79" s="484">
        <v>0</v>
      </c>
      <c r="O79" s="246">
        <f>SUM(V062A_203031333436[[#This Row],[MPAL]]+V062A_203031333436[[#This Row],[AUX.]]+V062A_203031333436[[#This Row],[CALDERA]])</f>
        <v>0</v>
      </c>
      <c r="P79" s="319"/>
      <c r="Q79" s="270">
        <f>(Q78-V062A_203031333436[[#This Row],[TOTAL ]])+V062A_203031333436[[#This Row],[FAENA]]</f>
        <v>475.24700000000013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SUM(V062A_203031333436[[#This Row],[MPAL2]:[GI]])</f>
        <v>0</v>
      </c>
      <c r="X79" s="246"/>
      <c r="Y79" s="300">
        <f>(Y78-V062A_203031333436[[#This Row],[TOTAL]])+V062A_203031333436[[#This Row],[FAENA2]]</f>
        <v>44.26</v>
      </c>
      <c r="Z79" s="245">
        <v>0</v>
      </c>
      <c r="AA79" s="246">
        <v>0</v>
      </c>
      <c r="AB79" s="438">
        <f>(AB78-V062A_203031333436[[#This Row],[CYLINDER MP]])+V062A_203031333436[[#This Row],[FAENA EN LTS]]</f>
        <v>2503.9</v>
      </c>
      <c r="AC79" s="246">
        <v>0</v>
      </c>
      <c r="AD79" s="246">
        <v>0</v>
      </c>
      <c r="AE79" s="438">
        <f>(AE78-V062A_203031333436[[#This Row],[CARTER MP.]])+V062A_203031333436[[#This Row],[FAENA EN LTS2]]</f>
        <v>3500</v>
      </c>
      <c r="AF79" s="246">
        <v>0</v>
      </c>
      <c r="AG79" s="246">
        <v>0</v>
      </c>
      <c r="AH79" s="438">
        <f>(AH78-V062A_203031333436[[#This Row],[MOT AUX]])+V062A_203031333436[[#This Row],[FAENA EN  LTS]]</f>
        <v>880</v>
      </c>
      <c r="AI79" s="246">
        <v>0</v>
      </c>
      <c r="AJ79" s="246">
        <v>0</v>
      </c>
      <c r="AK79" s="439">
        <f>(AK78-V062A_203031333436[[#This Row],[HIDRAULICO]])+V062A_203031333436[[#This Row],[FAENA EN LTS3]]</f>
        <v>1140</v>
      </c>
    </row>
    <row r="80" spans="1:37" x14ac:dyDescent="0.25">
      <c r="A80" s="431"/>
      <c r="B80" s="48"/>
      <c r="C80" s="41"/>
      <c r="D80" s="418">
        <f>IF(V062A_203031333436[[#This Row],[FECHA]]-B79=1,((V062A_203031333436[[#This Row],[HORA]]-C79)*24)+24,(V062A_203031333436[[#This Row],[HORA]]-C79)*24)</f>
        <v>0</v>
      </c>
      <c r="E80" s="432"/>
      <c r="F80" s="378"/>
      <c r="G80" s="433"/>
      <c r="H80" s="434"/>
      <c r="I80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0" s="436"/>
      <c r="K80" s="437"/>
      <c r="L80" s="483">
        <v>0</v>
      </c>
      <c r="M80" s="246">
        <v>0</v>
      </c>
      <c r="N80" s="484">
        <v>0</v>
      </c>
      <c r="O80" s="246">
        <f>SUM(V062A_203031333436[[#This Row],[MPAL]]+V062A_203031333436[[#This Row],[AUX.]]+V062A_203031333436[[#This Row],[CALDERA]])</f>
        <v>0</v>
      </c>
      <c r="P80" s="319"/>
      <c r="Q80" s="270">
        <f>(Q79-V062A_203031333436[[#This Row],[TOTAL ]])+V062A_203031333436[[#This Row],[FAENA]]</f>
        <v>475.24700000000013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SUM(V062A_203031333436[[#This Row],[MPAL2]:[GI]])</f>
        <v>0</v>
      </c>
      <c r="X80" s="246"/>
      <c r="Y80" s="300">
        <f>(Y79-V062A_203031333436[[#This Row],[TOTAL]])+V062A_203031333436[[#This Row],[FAENA2]]</f>
        <v>44.26</v>
      </c>
      <c r="Z80" s="245">
        <v>0</v>
      </c>
      <c r="AA80" s="246">
        <v>0</v>
      </c>
      <c r="AB80" s="438">
        <f>(AB79-V062A_203031333436[[#This Row],[CYLINDER MP]])+V062A_203031333436[[#This Row],[FAENA EN LTS]]</f>
        <v>2503.9</v>
      </c>
      <c r="AC80" s="246">
        <v>0</v>
      </c>
      <c r="AD80" s="246">
        <v>0</v>
      </c>
      <c r="AE80" s="438">
        <f>(AE79-V062A_203031333436[[#This Row],[CARTER MP.]])+V062A_203031333436[[#This Row],[FAENA EN LTS2]]</f>
        <v>3500</v>
      </c>
      <c r="AF80" s="246">
        <v>0</v>
      </c>
      <c r="AG80" s="246">
        <v>0</v>
      </c>
      <c r="AH80" s="438">
        <f>(AH79-V062A_203031333436[[#This Row],[MOT AUX]])+V062A_203031333436[[#This Row],[FAENA EN  LTS]]</f>
        <v>880</v>
      </c>
      <c r="AI80" s="246">
        <v>0</v>
      </c>
      <c r="AJ80" s="246">
        <v>0</v>
      </c>
      <c r="AK80" s="439">
        <f>(AK79-V062A_203031333436[[#This Row],[HIDRAULICO]])+V062A_203031333436[[#This Row],[FAENA EN LTS3]]</f>
        <v>1140</v>
      </c>
    </row>
    <row r="81" spans="1:37" x14ac:dyDescent="0.25">
      <c r="A81" s="431"/>
      <c r="B81" s="48"/>
      <c r="C81" s="41"/>
      <c r="D81" s="418">
        <f>IF(V062A_203031333436[[#This Row],[FECHA]]-B80=1,((V062A_203031333436[[#This Row],[HORA]]-C80)*24)+24,(V062A_203031333436[[#This Row],[HORA]]-C80)*24)</f>
        <v>0</v>
      </c>
      <c r="E81" s="432"/>
      <c r="F81" s="378"/>
      <c r="G81" s="433"/>
      <c r="H81" s="434"/>
      <c r="I81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1" s="436"/>
      <c r="K81" s="437"/>
      <c r="L81" s="483">
        <v>0</v>
      </c>
      <c r="M81" s="246">
        <v>0</v>
      </c>
      <c r="N81" s="484">
        <v>0</v>
      </c>
      <c r="O81" s="246">
        <f>SUM(V062A_203031333436[[#This Row],[MPAL]]+V062A_203031333436[[#This Row],[AUX.]]+V062A_203031333436[[#This Row],[CALDERA]])</f>
        <v>0</v>
      </c>
      <c r="P81" s="319"/>
      <c r="Q81" s="270">
        <f>(Q80-V062A_203031333436[[#This Row],[TOTAL ]])+V062A_203031333436[[#This Row],[FAENA]]</f>
        <v>475.24700000000013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SUM(V062A_203031333436[[#This Row],[MPAL2]:[GI]])</f>
        <v>0</v>
      </c>
      <c r="X81" s="246"/>
      <c r="Y81" s="300">
        <f>(Y80-V062A_203031333436[[#This Row],[TOTAL]])+V062A_203031333436[[#This Row],[FAENA2]]</f>
        <v>44.26</v>
      </c>
      <c r="Z81" s="245">
        <v>0</v>
      </c>
      <c r="AA81" s="246">
        <v>0</v>
      </c>
      <c r="AB81" s="438">
        <f>(AB80-V062A_203031333436[[#This Row],[CYLINDER MP]])+V062A_203031333436[[#This Row],[FAENA EN LTS]]</f>
        <v>2503.9</v>
      </c>
      <c r="AC81" s="246">
        <v>0</v>
      </c>
      <c r="AD81" s="246">
        <v>0</v>
      </c>
      <c r="AE81" s="438">
        <f>(AE80-V062A_203031333436[[#This Row],[CARTER MP.]])+V062A_203031333436[[#This Row],[FAENA EN LTS2]]</f>
        <v>3500</v>
      </c>
      <c r="AF81" s="246">
        <v>0</v>
      </c>
      <c r="AG81" s="246">
        <v>0</v>
      </c>
      <c r="AH81" s="438">
        <f>(AH80-V062A_203031333436[[#This Row],[MOT AUX]])+V062A_203031333436[[#This Row],[FAENA EN  LTS]]</f>
        <v>880</v>
      </c>
      <c r="AI81" s="246">
        <v>0</v>
      </c>
      <c r="AJ81" s="246">
        <v>0</v>
      </c>
      <c r="AK81" s="439">
        <f>(AK80-V062A_203031333436[[#This Row],[HIDRAULICO]])+V062A_203031333436[[#This Row],[FAENA EN LTS3]]</f>
        <v>1140</v>
      </c>
    </row>
    <row r="82" spans="1:37" x14ac:dyDescent="0.25">
      <c r="A82" s="431"/>
      <c r="B82" s="48"/>
      <c r="C82" s="41"/>
      <c r="D82" s="418">
        <f>IF(V062A_203031333436[[#This Row],[FECHA]]-B81=1,((V062A_203031333436[[#This Row],[HORA]]-C81)*24)+24,(V062A_203031333436[[#This Row],[HORA]]-C81)*24)</f>
        <v>0</v>
      </c>
      <c r="E82" s="409"/>
      <c r="F82" s="378"/>
      <c r="G82" s="433"/>
      <c r="H82" s="434"/>
      <c r="I8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2" s="436"/>
      <c r="K82" s="437"/>
      <c r="L82" s="483">
        <v>0</v>
      </c>
      <c r="M82" s="246">
        <v>0</v>
      </c>
      <c r="N82" s="484">
        <v>0</v>
      </c>
      <c r="O82" s="246">
        <f>SUM(V062A_203031333436[[#This Row],[MPAL]]+V062A_203031333436[[#This Row],[AUX.]]+V062A_203031333436[[#This Row],[CALDERA]])</f>
        <v>0</v>
      </c>
      <c r="P82" s="319"/>
      <c r="Q82" s="270">
        <f>(Q81-V062A_203031333436[[#This Row],[TOTAL ]])+V062A_203031333436[[#This Row],[FAENA]]</f>
        <v>475.24700000000013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SUM(V062A_203031333436[[#This Row],[MPAL2]:[GI]])</f>
        <v>0</v>
      </c>
      <c r="X82" s="246"/>
      <c r="Y82" s="300">
        <f>(Y81-V062A_203031333436[[#This Row],[TOTAL]])+V062A_203031333436[[#This Row],[FAENA2]]</f>
        <v>44.26</v>
      </c>
      <c r="Z82" s="245">
        <v>0</v>
      </c>
      <c r="AA82" s="246">
        <v>0</v>
      </c>
      <c r="AB82" s="438">
        <f>(AB81-V062A_203031333436[[#This Row],[CYLINDER MP]])+V062A_203031333436[[#This Row],[FAENA EN LTS]]</f>
        <v>2503.9</v>
      </c>
      <c r="AC82" s="246">
        <v>0</v>
      </c>
      <c r="AD82" s="246">
        <v>0</v>
      </c>
      <c r="AE82" s="438">
        <f>(AE81-V062A_203031333436[[#This Row],[CARTER MP.]])+V062A_203031333436[[#This Row],[FAENA EN LTS2]]</f>
        <v>3500</v>
      </c>
      <c r="AF82" s="246">
        <v>0</v>
      </c>
      <c r="AG82" s="246">
        <v>0</v>
      </c>
      <c r="AH82" s="438">
        <f>(AH81-V062A_203031333436[[#This Row],[MOT AUX]])+V062A_203031333436[[#This Row],[FAENA EN  LTS]]</f>
        <v>880</v>
      </c>
      <c r="AI82" s="246">
        <v>0</v>
      </c>
      <c r="AJ82" s="246">
        <v>0</v>
      </c>
      <c r="AK82" s="439">
        <f>(AK81-V062A_203031333436[[#This Row],[HIDRAULICO]])+V062A_203031333436[[#This Row],[FAENA EN LTS3]]</f>
        <v>1140</v>
      </c>
    </row>
    <row r="83" spans="1:37" x14ac:dyDescent="0.25">
      <c r="A83" s="431"/>
      <c r="B83" s="48"/>
      <c r="C83" s="41"/>
      <c r="D83" s="418">
        <f>IF(V062A_203031333436[[#This Row],[FECHA]]-B82=1,((V062A_203031333436[[#This Row],[HORA]]-C82)*24)+24,(V062A_203031333436[[#This Row],[HORA]]-C82)*24)</f>
        <v>0</v>
      </c>
      <c r="E83" s="409"/>
      <c r="F83" s="378"/>
      <c r="G83" s="433"/>
      <c r="H83" s="434"/>
      <c r="I83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SUM(V062A_203031333436[[#This Row],[MPAL]]+V062A_203031333436[[#This Row],[AUX.]]+V062A_203031333436[[#This Row],[CALDERA]])</f>
        <v>0</v>
      </c>
      <c r="P83" s="319"/>
      <c r="Q83" s="270">
        <f>(Q82-V062A_203031333436[[#This Row],[TOTAL ]])+V062A_203031333436[[#This Row],[FAENA]]</f>
        <v>475.24700000000013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SUM(V062A_203031333436[[#This Row],[MPAL2]:[GI]])</f>
        <v>0</v>
      </c>
      <c r="X83" s="246"/>
      <c r="Y83" s="300">
        <f>(Y82-V062A_203031333436[[#This Row],[TOTAL]])+V062A_203031333436[[#This Row],[FAENA2]]</f>
        <v>44.26</v>
      </c>
      <c r="Z83" s="245">
        <v>0</v>
      </c>
      <c r="AA83" s="246">
        <v>0</v>
      </c>
      <c r="AB83" s="438">
        <f>(AB82-V062A_203031333436[[#This Row],[CYLINDER MP]])+V062A_203031333436[[#This Row],[FAENA EN LTS]]</f>
        <v>2503.9</v>
      </c>
      <c r="AC83" s="246">
        <v>0</v>
      </c>
      <c r="AD83" s="246">
        <v>0</v>
      </c>
      <c r="AE83" s="438">
        <f>(AE82-V062A_203031333436[[#This Row],[CARTER MP.]])+V062A_203031333436[[#This Row],[FAENA EN LTS2]]</f>
        <v>3500</v>
      </c>
      <c r="AF83" s="246">
        <v>0</v>
      </c>
      <c r="AG83" s="246">
        <v>0</v>
      </c>
      <c r="AH83" s="438">
        <f>(AH82-V062A_203031333436[[#This Row],[MOT AUX]])+V062A_203031333436[[#This Row],[FAENA EN  LTS]]</f>
        <v>880</v>
      </c>
      <c r="AI83" s="246">
        <v>0</v>
      </c>
      <c r="AJ83" s="246">
        <v>0</v>
      </c>
      <c r="AK83" s="439">
        <f>(AK82-V062A_203031333436[[#This Row],[HIDRAULICO]])+V062A_203031333436[[#This Row],[FAENA EN LTS3]]</f>
        <v>1140</v>
      </c>
    </row>
    <row r="84" spans="1:37" x14ac:dyDescent="0.25">
      <c r="A84" s="431"/>
      <c r="B84" s="48"/>
      <c r="C84" s="41"/>
      <c r="D84" s="418">
        <f>IF(V062A_203031333436[[#This Row],[FECHA]]-B83=1,((V062A_203031333436[[#This Row],[HORA]]-C83)*24)+24,(V062A_203031333436[[#This Row],[HORA]]-C83)*24)</f>
        <v>0</v>
      </c>
      <c r="E84" s="409"/>
      <c r="F84" s="378"/>
      <c r="G84" s="433"/>
      <c r="H84" s="434"/>
      <c r="I8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SUM(V062A_203031333436[[#This Row],[MPAL]]+V062A_203031333436[[#This Row],[AUX.]]+V062A_203031333436[[#This Row],[CALDERA]])</f>
        <v>0</v>
      </c>
      <c r="P84" s="319"/>
      <c r="Q84" s="270">
        <f>(Q83-V062A_203031333436[[#This Row],[TOTAL ]])+V062A_203031333436[[#This Row],[FAENA]]</f>
        <v>475.24700000000013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SUM(V062A_203031333436[[#This Row],[MPAL2]:[GI]])</f>
        <v>0</v>
      </c>
      <c r="X84" s="246"/>
      <c r="Y84" s="300">
        <f>(Y83-V062A_203031333436[[#This Row],[TOTAL]])+V062A_203031333436[[#This Row],[FAENA2]]</f>
        <v>44.26</v>
      </c>
      <c r="Z84" s="245">
        <v>0</v>
      </c>
      <c r="AA84" s="246">
        <v>0</v>
      </c>
      <c r="AB84" s="438">
        <f>(AB83-V062A_203031333436[[#This Row],[CYLINDER MP]])+V062A_203031333436[[#This Row],[FAENA EN LTS]]</f>
        <v>2503.9</v>
      </c>
      <c r="AC84" s="246">
        <v>0</v>
      </c>
      <c r="AD84" s="246">
        <v>0</v>
      </c>
      <c r="AE84" s="438">
        <f>(AE83-V062A_203031333436[[#This Row],[CARTER MP.]])+V062A_203031333436[[#This Row],[FAENA EN LTS2]]</f>
        <v>3500</v>
      </c>
      <c r="AF84" s="246">
        <v>0</v>
      </c>
      <c r="AG84" s="246">
        <v>0</v>
      </c>
      <c r="AH84" s="438">
        <f>(AH83-V062A_203031333436[[#This Row],[MOT AUX]])+V062A_203031333436[[#This Row],[FAENA EN  LTS]]</f>
        <v>880</v>
      </c>
      <c r="AI84" s="246">
        <v>0</v>
      </c>
      <c r="AJ84" s="246">
        <v>0</v>
      </c>
      <c r="AK84" s="439">
        <f>(AK83-V062A_203031333436[[#This Row],[HIDRAULICO]])+V062A_203031333436[[#This Row],[FAENA EN LTS3]]</f>
        <v>1140</v>
      </c>
    </row>
    <row r="85" spans="1:37" x14ac:dyDescent="0.25">
      <c r="A85" s="431"/>
      <c r="B85" s="48"/>
      <c r="C85" s="41"/>
      <c r="D85" s="418">
        <f>IF(V062A_203031333436[[#This Row],[FECHA]]-B84=1,((V062A_203031333436[[#This Row],[HORA]]-C84)*24)+24,(V062A_203031333436[[#This Row],[HORA]]-C84)*24)</f>
        <v>0</v>
      </c>
      <c r="E85" s="409"/>
      <c r="F85" s="378"/>
      <c r="G85" s="433"/>
      <c r="H85" s="434"/>
      <c r="I85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SUM(V062A_203031333436[[#This Row],[MPAL]]+V062A_203031333436[[#This Row],[AUX.]]+V062A_203031333436[[#This Row],[CALDERA]])</f>
        <v>0</v>
      </c>
      <c r="P85" s="319"/>
      <c r="Q85" s="270">
        <f>(Q84-V062A_203031333436[[#This Row],[TOTAL ]])+V062A_203031333436[[#This Row],[FAENA]]</f>
        <v>475.24700000000013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SUM(V062A_203031333436[[#This Row],[MPAL2]:[GI]])</f>
        <v>0</v>
      </c>
      <c r="X85" s="246"/>
      <c r="Y85" s="300">
        <f>(Y84-V062A_203031333436[[#This Row],[TOTAL]])+V062A_203031333436[[#This Row],[FAENA2]]</f>
        <v>44.26</v>
      </c>
      <c r="Z85" s="245">
        <v>0</v>
      </c>
      <c r="AA85" s="246">
        <v>0</v>
      </c>
      <c r="AB85" s="438">
        <f>(AB84-V062A_203031333436[[#This Row],[CYLINDER MP]])+V062A_203031333436[[#This Row],[FAENA EN LTS]]</f>
        <v>2503.9</v>
      </c>
      <c r="AC85" s="246">
        <v>0</v>
      </c>
      <c r="AD85" s="246">
        <v>0</v>
      </c>
      <c r="AE85" s="438">
        <f>(AE84-V062A_203031333436[[#This Row],[CARTER MP.]])+V062A_203031333436[[#This Row],[FAENA EN LTS2]]</f>
        <v>3500</v>
      </c>
      <c r="AF85" s="246">
        <v>0</v>
      </c>
      <c r="AG85" s="246">
        <v>0</v>
      </c>
      <c r="AH85" s="438">
        <f>(AH84-V062A_203031333436[[#This Row],[MOT AUX]])+V062A_203031333436[[#This Row],[FAENA EN  LTS]]</f>
        <v>880</v>
      </c>
      <c r="AI85" s="246">
        <v>0</v>
      </c>
      <c r="AJ85" s="246">
        <v>0</v>
      </c>
      <c r="AK85" s="439">
        <f>(AK84-V062A_203031333436[[#This Row],[HIDRAULICO]])+V062A_203031333436[[#This Row],[FAENA EN LTS3]]</f>
        <v>1140</v>
      </c>
    </row>
    <row r="86" spans="1:37" x14ac:dyDescent="0.25">
      <c r="A86" s="431"/>
      <c r="B86" s="48"/>
      <c r="C86" s="41"/>
      <c r="D86" s="418">
        <f>IF(V062A_203031333436[[#This Row],[FECHA]]-B85=1,((V062A_203031333436[[#This Row],[HORA]]-C85)*24)+24,(V062A_203031333436[[#This Row],[HORA]]-C85)*24)</f>
        <v>0</v>
      </c>
      <c r="E86" s="409"/>
      <c r="F86" s="378"/>
      <c r="G86" s="433"/>
      <c r="H86" s="434"/>
      <c r="I86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SUM(V062A_203031333436[[#This Row],[MPAL]]+V062A_203031333436[[#This Row],[AUX.]]+V062A_203031333436[[#This Row],[CALDERA]])</f>
        <v>0</v>
      </c>
      <c r="P86" s="319"/>
      <c r="Q86" s="270">
        <f>(Q85-V062A_203031333436[[#This Row],[TOTAL ]])+V062A_203031333436[[#This Row],[FAENA]]</f>
        <v>475.24700000000013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SUM(V062A_203031333436[[#This Row],[MPAL2]:[GI]])</f>
        <v>0</v>
      </c>
      <c r="X86" s="246"/>
      <c r="Y86" s="300">
        <f>(Y85-V062A_203031333436[[#This Row],[TOTAL]])+V062A_203031333436[[#This Row],[FAENA2]]</f>
        <v>44.26</v>
      </c>
      <c r="Z86" s="245">
        <v>0</v>
      </c>
      <c r="AA86" s="246">
        <v>0</v>
      </c>
      <c r="AB86" s="438">
        <f>(AB85-V062A_203031333436[[#This Row],[CYLINDER MP]])+V062A_203031333436[[#This Row],[FAENA EN LTS]]</f>
        <v>2503.9</v>
      </c>
      <c r="AC86" s="246">
        <v>0</v>
      </c>
      <c r="AD86" s="246">
        <v>0</v>
      </c>
      <c r="AE86" s="438">
        <f>(AE85-V062A_203031333436[[#This Row],[CARTER MP.]])+V062A_203031333436[[#This Row],[FAENA EN LTS2]]</f>
        <v>3500</v>
      </c>
      <c r="AF86" s="246">
        <v>0</v>
      </c>
      <c r="AG86" s="246">
        <v>0</v>
      </c>
      <c r="AH86" s="438">
        <f>(AH85-V062A_203031333436[[#This Row],[MOT AUX]])+V062A_203031333436[[#This Row],[FAENA EN  LTS]]</f>
        <v>880</v>
      </c>
      <c r="AI86" s="246">
        <v>0</v>
      </c>
      <c r="AJ86" s="246">
        <v>0</v>
      </c>
      <c r="AK86" s="439">
        <f>(AK85-V062A_203031333436[[#This Row],[HIDRAULICO]])+V062A_203031333436[[#This Row],[FAENA EN LTS3]]</f>
        <v>1140</v>
      </c>
    </row>
    <row r="87" spans="1:37" x14ac:dyDescent="0.25">
      <c r="A87" s="431"/>
      <c r="B87" s="48"/>
      <c r="C87" s="41"/>
      <c r="D87" s="418">
        <f>IF(V062A_203031333436[[#This Row],[FECHA]]-B86=1,((V062A_203031333436[[#This Row],[HORA]]-C86)*24)+24,(V062A_203031333436[[#This Row],[HORA]]-C86)*24)</f>
        <v>0</v>
      </c>
      <c r="E87" s="409"/>
      <c r="F87" s="378"/>
      <c r="G87" s="433"/>
      <c r="H87" s="434"/>
      <c r="I87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SUM(V062A_203031333436[[#This Row],[MPAL]]+V062A_203031333436[[#This Row],[AUX.]]+V062A_203031333436[[#This Row],[CALDERA]])</f>
        <v>0</v>
      </c>
      <c r="P87" s="319"/>
      <c r="Q87" s="270">
        <f>(Q86-V062A_203031333436[[#This Row],[TOTAL ]])+V062A_203031333436[[#This Row],[FAENA]]</f>
        <v>475.24700000000013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SUM(V062A_203031333436[[#This Row],[MPAL2]:[GI]])</f>
        <v>0</v>
      </c>
      <c r="X87" s="246"/>
      <c r="Y87" s="300">
        <f>(Y86-V062A_203031333436[[#This Row],[TOTAL]])+V062A_203031333436[[#This Row],[FAENA2]]</f>
        <v>44.26</v>
      </c>
      <c r="Z87" s="245">
        <v>0</v>
      </c>
      <c r="AA87" s="246">
        <v>0</v>
      </c>
      <c r="AB87" s="438">
        <f>(AB86-V062A_203031333436[[#This Row],[CYLINDER MP]])+V062A_203031333436[[#This Row],[FAENA EN LTS]]</f>
        <v>2503.9</v>
      </c>
      <c r="AC87" s="246">
        <v>0</v>
      </c>
      <c r="AD87" s="246">
        <v>0</v>
      </c>
      <c r="AE87" s="438">
        <f>(AE86-V062A_203031333436[[#This Row],[CARTER MP.]])+V062A_203031333436[[#This Row],[FAENA EN LTS2]]</f>
        <v>3500</v>
      </c>
      <c r="AF87" s="246">
        <v>0</v>
      </c>
      <c r="AG87" s="246">
        <v>0</v>
      </c>
      <c r="AH87" s="438">
        <f>(AH86-V062A_203031333436[[#This Row],[MOT AUX]])+V062A_203031333436[[#This Row],[FAENA EN  LTS]]</f>
        <v>880</v>
      </c>
      <c r="AI87" s="246">
        <v>0</v>
      </c>
      <c r="AJ87" s="246">
        <v>0</v>
      </c>
      <c r="AK87" s="439">
        <f>(AK86-V062A_203031333436[[#This Row],[HIDRAULICO]])+V062A_203031333436[[#This Row],[FAENA EN LTS3]]</f>
        <v>1140</v>
      </c>
    </row>
    <row r="88" spans="1:37" x14ac:dyDescent="0.25">
      <c r="A88" s="431"/>
      <c r="B88" s="48"/>
      <c r="C88" s="41"/>
      <c r="D88" s="418">
        <f>IF(V062A_203031333436[[#This Row],[FECHA]]-B87=1,((V062A_203031333436[[#This Row],[HORA]]-C87)*24)+24,(V062A_203031333436[[#This Row],[HORA]]-C87)*24)</f>
        <v>0</v>
      </c>
      <c r="E88" s="473"/>
      <c r="F88" s="474"/>
      <c r="G88" s="475"/>
      <c r="H88" s="476"/>
      <c r="I8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8" s="478"/>
      <c r="K88" s="479"/>
      <c r="L88" s="483">
        <v>0</v>
      </c>
      <c r="M88" s="246">
        <v>0</v>
      </c>
      <c r="N88" s="484">
        <v>0</v>
      </c>
      <c r="O88" s="246">
        <f>SUM(V062A_203031333436[[#This Row],[MPAL]]+V062A_203031333436[[#This Row],[AUX.]]+V062A_203031333436[[#This Row],[CALDERA]])</f>
        <v>0</v>
      </c>
      <c r="P88" s="319"/>
      <c r="Q88" s="270">
        <f>(Q87-V062A_203031333436[[#This Row],[TOTAL ]])+V062A_203031333436[[#This Row],[FAENA]]</f>
        <v>475.24700000000013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SUM(V062A_203031333436[[#This Row],[MPAL2]:[GI]])</f>
        <v>0</v>
      </c>
      <c r="X88" s="246"/>
      <c r="Y88" s="300">
        <f>(Y87-V062A_203031333436[[#This Row],[TOTAL]])+V062A_203031333436[[#This Row],[FAENA2]]</f>
        <v>44.26</v>
      </c>
      <c r="Z88" s="245">
        <v>0</v>
      </c>
      <c r="AA88" s="246">
        <v>0</v>
      </c>
      <c r="AB88" s="438">
        <f>(AB87-V062A_203031333436[[#This Row],[CYLINDER MP]])+V062A_203031333436[[#This Row],[FAENA EN LTS]]</f>
        <v>2503.9</v>
      </c>
      <c r="AC88" s="246">
        <v>0</v>
      </c>
      <c r="AD88" s="246">
        <v>0</v>
      </c>
      <c r="AE88" s="438">
        <f>(AE87-V062A_203031333436[[#This Row],[CARTER MP.]])+V062A_203031333436[[#This Row],[FAENA EN LTS2]]</f>
        <v>3500</v>
      </c>
      <c r="AF88" s="246">
        <v>0</v>
      </c>
      <c r="AG88" s="246">
        <v>0</v>
      </c>
      <c r="AH88" s="438">
        <f>(AH87-V062A_203031333436[[#This Row],[MOT AUX]])+V062A_203031333436[[#This Row],[FAENA EN  LTS]]</f>
        <v>880</v>
      </c>
      <c r="AI88" s="246">
        <v>0</v>
      </c>
      <c r="AJ88" s="246">
        <v>0</v>
      </c>
      <c r="AK88" s="439">
        <f>(AK87-V062A_203031333436[[#This Row],[HIDRAULICO]])+V062A_203031333436[[#This Row],[FAENA EN LTS3]]</f>
        <v>1140</v>
      </c>
    </row>
    <row r="89" spans="1:37" x14ac:dyDescent="0.25">
      <c r="A89" s="431"/>
      <c r="B89" s="48"/>
      <c r="C89" s="41"/>
      <c r="D89" s="418">
        <f>IF(V062A_203031333436[[#This Row],[FECHA]]-B88=1,((V062A_203031333436[[#This Row],[HORA]]-C88)*24)+24,(V062A_203031333436[[#This Row],[HORA]]-C88)*24)</f>
        <v>0</v>
      </c>
      <c r="E89" s="473"/>
      <c r="F89" s="474"/>
      <c r="G89" s="475"/>
      <c r="H89" s="476"/>
      <c r="I8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89" s="478"/>
      <c r="K89" s="479"/>
      <c r="L89" s="483">
        <v>0</v>
      </c>
      <c r="M89" s="246">
        <v>0</v>
      </c>
      <c r="N89" s="484">
        <v>0</v>
      </c>
      <c r="O89" s="246">
        <f>SUM(V062A_203031333436[[#This Row],[MPAL]]+V062A_203031333436[[#This Row],[AUX.]]+V062A_203031333436[[#This Row],[CALDERA]])</f>
        <v>0</v>
      </c>
      <c r="P89" s="319"/>
      <c r="Q89" s="270">
        <f>(Q88-V062A_203031333436[[#This Row],[TOTAL ]])+V062A_203031333436[[#This Row],[FAENA]]</f>
        <v>475.24700000000013</v>
      </c>
      <c r="R89" s="245">
        <v>0</v>
      </c>
      <c r="S89" s="246">
        <v>0</v>
      </c>
      <c r="T89" s="246">
        <v>0</v>
      </c>
      <c r="U89" s="246">
        <v>0</v>
      </c>
      <c r="V89" s="246">
        <v>0</v>
      </c>
      <c r="W89" s="246">
        <f>SUM(V062A_203031333436[[#This Row],[MPAL2]:[GI]])</f>
        <v>0</v>
      </c>
      <c r="X89" s="246"/>
      <c r="Y89" s="300">
        <f>(Y88-V062A_203031333436[[#This Row],[TOTAL]])+V062A_203031333436[[#This Row],[FAENA2]]</f>
        <v>44.26</v>
      </c>
      <c r="Z89" s="245">
        <v>0</v>
      </c>
      <c r="AA89" s="246">
        <v>0</v>
      </c>
      <c r="AB89" s="438">
        <f>(AB88-V062A_203031333436[[#This Row],[CYLINDER MP]])+V062A_203031333436[[#This Row],[FAENA EN LTS]]</f>
        <v>2503.9</v>
      </c>
      <c r="AC89" s="246">
        <v>0</v>
      </c>
      <c r="AD89" s="246">
        <v>0</v>
      </c>
      <c r="AE89" s="438">
        <f>(AE88-V062A_203031333436[[#This Row],[CARTER MP.]])+V062A_203031333436[[#This Row],[FAENA EN LTS2]]</f>
        <v>3500</v>
      </c>
      <c r="AF89" s="246">
        <v>0</v>
      </c>
      <c r="AG89" s="246">
        <v>0</v>
      </c>
      <c r="AH89" s="438">
        <f>(AH88-V062A_203031333436[[#This Row],[MOT AUX]])+V062A_203031333436[[#This Row],[FAENA EN  LTS]]</f>
        <v>880</v>
      </c>
      <c r="AI89" s="246">
        <v>0</v>
      </c>
      <c r="AJ89" s="246">
        <v>0</v>
      </c>
      <c r="AK89" s="439">
        <f>(AK88-V062A_203031333436[[#This Row],[HIDRAULICO]])+V062A_203031333436[[#This Row],[FAENA EN LTS3]]</f>
        <v>1140</v>
      </c>
    </row>
    <row r="90" spans="1:37" x14ac:dyDescent="0.25">
      <c r="A90" s="431"/>
      <c r="B90" s="48"/>
      <c r="C90" s="41"/>
      <c r="D90" s="418">
        <f>IF(V062A_203031333436[[#This Row],[FECHA]]-B89=1,((V062A_203031333436[[#This Row],[HORA]]-C89)*24)+24,(V062A_203031333436[[#This Row],[HORA]]-C89)*24)</f>
        <v>0</v>
      </c>
      <c r="E90" s="473"/>
      <c r="F90" s="474"/>
      <c r="G90" s="475"/>
      <c r="H90" s="476"/>
      <c r="I9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0" s="478"/>
      <c r="K90" s="479"/>
      <c r="L90" s="483">
        <v>0</v>
      </c>
      <c r="M90" s="246">
        <v>0</v>
      </c>
      <c r="N90" s="484">
        <v>0</v>
      </c>
      <c r="O90" s="246">
        <f>SUM(V062A_203031333436[[#This Row],[MPAL]]+V062A_203031333436[[#This Row],[AUX.]]+V062A_203031333436[[#This Row],[CALDERA]])</f>
        <v>0</v>
      </c>
      <c r="P90" s="319"/>
      <c r="Q90" s="270">
        <f>(Q89-V062A_203031333436[[#This Row],[TOTAL ]])+V062A_203031333436[[#This Row],[FAENA]]</f>
        <v>475.24700000000013</v>
      </c>
      <c r="R90" s="245">
        <v>0</v>
      </c>
      <c r="S90" s="246">
        <v>0</v>
      </c>
      <c r="T90" s="246">
        <v>0</v>
      </c>
      <c r="U90" s="246">
        <v>0</v>
      </c>
      <c r="V90" s="246">
        <v>0</v>
      </c>
      <c r="W90" s="246">
        <f>SUM(V062A_203031333436[[#This Row],[MPAL2]:[GI]])</f>
        <v>0</v>
      </c>
      <c r="X90" s="246"/>
      <c r="Y90" s="300">
        <f>(Y89-V062A_203031333436[[#This Row],[TOTAL]])+V062A_203031333436[[#This Row],[FAENA2]]</f>
        <v>44.26</v>
      </c>
      <c r="Z90" s="245">
        <v>0</v>
      </c>
      <c r="AA90" s="246">
        <v>0</v>
      </c>
      <c r="AB90" s="438">
        <f>(AB89-V062A_203031333436[[#This Row],[CYLINDER MP]])+V062A_203031333436[[#This Row],[FAENA EN LTS]]</f>
        <v>2503.9</v>
      </c>
      <c r="AC90" s="246">
        <v>0</v>
      </c>
      <c r="AD90" s="246">
        <v>0</v>
      </c>
      <c r="AE90" s="438">
        <f>(AE89-V062A_203031333436[[#This Row],[CARTER MP.]])+V062A_203031333436[[#This Row],[FAENA EN LTS2]]</f>
        <v>3500</v>
      </c>
      <c r="AF90" s="246">
        <v>0</v>
      </c>
      <c r="AG90" s="246">
        <v>0</v>
      </c>
      <c r="AH90" s="438">
        <f>(AH89-V062A_203031333436[[#This Row],[MOT AUX]])+V062A_203031333436[[#This Row],[FAENA EN  LTS]]</f>
        <v>880</v>
      </c>
      <c r="AI90" s="246">
        <v>0</v>
      </c>
      <c r="AJ90" s="246">
        <v>0</v>
      </c>
      <c r="AK90" s="439">
        <f>(AK89-V062A_203031333436[[#This Row],[HIDRAULICO]])+V062A_203031333436[[#This Row],[FAENA EN LTS3]]</f>
        <v>1140</v>
      </c>
    </row>
    <row r="91" spans="1:37" x14ac:dyDescent="0.25">
      <c r="A91" s="431"/>
      <c r="B91" s="48"/>
      <c r="C91" s="41"/>
      <c r="D91" s="418">
        <f>IF(V062A_203031333436[[#This Row],[FECHA]]-B90=1,((V062A_203031333436[[#This Row],[HORA]]-C90)*24)+24,(V062A_203031333436[[#This Row],[HORA]]-C90)*24)</f>
        <v>0</v>
      </c>
      <c r="E91" s="473"/>
      <c r="F91" s="474"/>
      <c r="G91" s="475"/>
      <c r="H91" s="476"/>
      <c r="I9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SUM(V062A_203031333436[[#This Row],[MPAL]]+V062A_203031333436[[#This Row],[AUX.]]+V062A_203031333436[[#This Row],[CALDERA]])</f>
        <v>0</v>
      </c>
      <c r="P91" s="319"/>
      <c r="Q91" s="270">
        <f>(Q90-V062A_203031333436[[#This Row],[TOTAL ]])+V062A_203031333436[[#This Row],[FAENA]]</f>
        <v>475.24700000000013</v>
      </c>
      <c r="R91" s="245">
        <v>0</v>
      </c>
      <c r="S91" s="246">
        <v>0</v>
      </c>
      <c r="T91" s="246">
        <v>0</v>
      </c>
      <c r="U91" s="246">
        <v>0</v>
      </c>
      <c r="V91" s="246">
        <v>0</v>
      </c>
      <c r="W91" s="246">
        <f>SUM(V062A_203031333436[[#This Row],[MPAL2]:[GI]])</f>
        <v>0</v>
      </c>
      <c r="X91" s="246"/>
      <c r="Y91" s="300">
        <f>(Y90-V062A_203031333436[[#This Row],[TOTAL]])+V062A_203031333436[[#This Row],[FAENA2]]</f>
        <v>44.26</v>
      </c>
      <c r="Z91" s="245">
        <v>0</v>
      </c>
      <c r="AA91" s="246">
        <v>0</v>
      </c>
      <c r="AB91" s="438">
        <f>(AB90-V062A_203031333436[[#This Row],[CYLINDER MP]])+V062A_203031333436[[#This Row],[FAENA EN LTS]]</f>
        <v>2503.9</v>
      </c>
      <c r="AC91" s="246">
        <v>0</v>
      </c>
      <c r="AD91" s="246">
        <v>0</v>
      </c>
      <c r="AE91" s="438">
        <f>(AE90-V062A_203031333436[[#This Row],[CARTER MP.]])+V062A_203031333436[[#This Row],[FAENA EN LTS2]]</f>
        <v>3500</v>
      </c>
      <c r="AF91" s="246">
        <v>0</v>
      </c>
      <c r="AG91" s="246">
        <v>0</v>
      </c>
      <c r="AH91" s="438">
        <f>(AH90-V062A_203031333436[[#This Row],[MOT AUX]])+V062A_203031333436[[#This Row],[FAENA EN  LTS]]</f>
        <v>880</v>
      </c>
      <c r="AI91" s="246">
        <v>0</v>
      </c>
      <c r="AJ91" s="246">
        <v>0</v>
      </c>
      <c r="AK91" s="439">
        <f>(AK90-V062A_203031333436[[#This Row],[HIDRAULICO]])+V062A_203031333436[[#This Row],[FAENA EN LTS3]]</f>
        <v>1140</v>
      </c>
    </row>
    <row r="92" spans="1:37" x14ac:dyDescent="0.25">
      <c r="A92" s="431"/>
      <c r="B92" s="48"/>
      <c r="C92" s="41"/>
      <c r="D92" s="418">
        <f>IF(V062A_203031333436[[#This Row],[FECHA]]-B91=1,((V062A_203031333436[[#This Row],[HORA]]-C91)*24)+24,(V062A_203031333436[[#This Row],[HORA]]-C91)*24)</f>
        <v>0</v>
      </c>
      <c r="E92" s="473"/>
      <c r="F92" s="474"/>
      <c r="G92" s="475"/>
      <c r="H92" s="476"/>
      <c r="I9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SUM(V062A_203031333436[[#This Row],[MPAL]]+V062A_203031333436[[#This Row],[AUX.]]+V062A_203031333436[[#This Row],[CALDERA]])</f>
        <v>0</v>
      </c>
      <c r="P92" s="319"/>
      <c r="Q92" s="270">
        <f>(Q91-V062A_203031333436[[#This Row],[TOTAL ]])+V062A_203031333436[[#This Row],[FAENA]]</f>
        <v>475.24700000000013</v>
      </c>
      <c r="R92" s="245">
        <v>0</v>
      </c>
      <c r="S92" s="246">
        <v>0</v>
      </c>
      <c r="T92" s="246">
        <v>0</v>
      </c>
      <c r="U92" s="246">
        <v>0</v>
      </c>
      <c r="V92" s="246">
        <v>0</v>
      </c>
      <c r="W92" s="246">
        <f>SUM(V062A_203031333436[[#This Row],[MPAL2]:[GI]])</f>
        <v>0</v>
      </c>
      <c r="X92" s="246"/>
      <c r="Y92" s="300">
        <f>(Y91-V062A_203031333436[[#This Row],[TOTAL]])+V062A_203031333436[[#This Row],[FAENA2]]</f>
        <v>44.26</v>
      </c>
      <c r="Z92" s="245">
        <v>0</v>
      </c>
      <c r="AA92" s="246">
        <v>0</v>
      </c>
      <c r="AB92" s="438">
        <f>(AB91-V062A_203031333436[[#This Row],[CYLINDER MP]])+V062A_203031333436[[#This Row],[FAENA EN LTS]]</f>
        <v>2503.9</v>
      </c>
      <c r="AC92" s="246">
        <v>0</v>
      </c>
      <c r="AD92" s="246">
        <v>0</v>
      </c>
      <c r="AE92" s="438">
        <f>(AE91-V062A_203031333436[[#This Row],[CARTER MP.]])+V062A_203031333436[[#This Row],[FAENA EN LTS2]]</f>
        <v>3500</v>
      </c>
      <c r="AF92" s="246">
        <v>0</v>
      </c>
      <c r="AG92" s="246">
        <v>0</v>
      </c>
      <c r="AH92" s="438">
        <f>(AH91-V062A_203031333436[[#This Row],[MOT AUX]])+V062A_203031333436[[#This Row],[FAENA EN  LTS]]</f>
        <v>880</v>
      </c>
      <c r="AI92" s="246">
        <v>0</v>
      </c>
      <c r="AJ92" s="246">
        <v>0</v>
      </c>
      <c r="AK92" s="439">
        <f>(AK91-V062A_203031333436[[#This Row],[HIDRAULICO]])+V062A_203031333436[[#This Row],[FAENA EN LTS3]]</f>
        <v>1140</v>
      </c>
    </row>
    <row r="93" spans="1:37" x14ac:dyDescent="0.25">
      <c r="A93" s="431"/>
      <c r="B93" s="48"/>
      <c r="C93" s="41"/>
      <c r="D93" s="418">
        <f>IF(V062A_203031333436[[#This Row],[FECHA]]-B92=1,((V062A_203031333436[[#This Row],[HORA]]-C92)*24)+24,(V062A_203031333436[[#This Row],[HORA]]-C92)*24)</f>
        <v>0</v>
      </c>
      <c r="E93" s="473"/>
      <c r="F93" s="474"/>
      <c r="G93" s="475"/>
      <c r="H93" s="476"/>
      <c r="I9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SUM(V062A_203031333436[[#This Row],[MPAL]]+V062A_203031333436[[#This Row],[AUX.]]+V062A_203031333436[[#This Row],[CALDERA]])</f>
        <v>0</v>
      </c>
      <c r="P93" s="319"/>
      <c r="Q93" s="270">
        <f>(Q92-V062A_203031333436[[#This Row],[TOTAL ]])+V062A_203031333436[[#This Row],[FAENA]]</f>
        <v>475.24700000000013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SUM(V062A_203031333436[[#This Row],[MPAL2]:[GI]])</f>
        <v>0</v>
      </c>
      <c r="X93" s="246"/>
      <c r="Y93" s="300">
        <f>(Y92-V062A_203031333436[[#This Row],[TOTAL]])+V062A_203031333436[[#This Row],[FAENA2]]</f>
        <v>44.26</v>
      </c>
      <c r="Z93" s="245">
        <v>0</v>
      </c>
      <c r="AA93" s="246">
        <v>0</v>
      </c>
      <c r="AB93" s="438">
        <f>(AB92-V062A_203031333436[[#This Row],[CYLINDER MP]])+V062A_203031333436[[#This Row],[FAENA EN LTS]]</f>
        <v>2503.9</v>
      </c>
      <c r="AC93" s="246">
        <v>0</v>
      </c>
      <c r="AD93" s="246">
        <v>0</v>
      </c>
      <c r="AE93" s="438">
        <f>(AE92-V062A_203031333436[[#This Row],[CARTER MP.]])+V062A_203031333436[[#This Row],[FAENA EN LTS2]]</f>
        <v>3500</v>
      </c>
      <c r="AF93" s="246">
        <v>0</v>
      </c>
      <c r="AG93" s="246">
        <v>0</v>
      </c>
      <c r="AH93" s="438">
        <f>(AH92-V062A_203031333436[[#This Row],[MOT AUX]])+V062A_203031333436[[#This Row],[FAENA EN  LTS]]</f>
        <v>880</v>
      </c>
      <c r="AI93" s="246">
        <v>0</v>
      </c>
      <c r="AJ93" s="246">
        <v>0</v>
      </c>
      <c r="AK93" s="439">
        <f>(AK92-V062A_203031333436[[#This Row],[HIDRAULICO]])+V062A_203031333436[[#This Row],[FAENA EN LTS3]]</f>
        <v>1140</v>
      </c>
    </row>
    <row r="94" spans="1:37" x14ac:dyDescent="0.25">
      <c r="A94" s="431"/>
      <c r="B94" s="48"/>
      <c r="C94" s="41"/>
      <c r="D94" s="418">
        <f>IF(V062A_203031333436[[#This Row],[FECHA]]-B93=1,((V062A_203031333436[[#This Row],[HORA]]-C93)*24)+24,(V062A_203031333436[[#This Row],[HORA]]-C93)*24)</f>
        <v>0</v>
      </c>
      <c r="E94" s="432"/>
      <c r="F94" s="474"/>
      <c r="G94" s="433"/>
      <c r="H94" s="434"/>
      <c r="I94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4" s="436"/>
      <c r="K94" s="437"/>
      <c r="L94" s="483">
        <v>0</v>
      </c>
      <c r="M94" s="246">
        <v>0</v>
      </c>
      <c r="N94" s="484">
        <v>0</v>
      </c>
      <c r="O94" s="246">
        <f>SUM(V062A_203031333436[[#This Row],[MPAL]]+V062A_203031333436[[#This Row],[AUX.]]+V062A_203031333436[[#This Row],[CALDERA]])</f>
        <v>0</v>
      </c>
      <c r="P94" s="319"/>
      <c r="Q94" s="270">
        <f>(Q93-V062A_203031333436[[#This Row],[TOTAL ]])+V062A_203031333436[[#This Row],[FAENA]]</f>
        <v>475.24700000000013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SUM(V062A_203031333436[[#This Row],[MPAL2]:[GI]])</f>
        <v>0</v>
      </c>
      <c r="X94" s="246"/>
      <c r="Y94" s="300">
        <f>(Y93-V062A_203031333436[[#This Row],[TOTAL]])+V062A_203031333436[[#This Row],[FAENA2]]</f>
        <v>44.26</v>
      </c>
      <c r="Z94" s="245">
        <v>0</v>
      </c>
      <c r="AA94" s="246">
        <v>0</v>
      </c>
      <c r="AB94" s="438">
        <f>(AB93-V062A_203031333436[[#This Row],[CYLINDER MP]])+V062A_203031333436[[#This Row],[FAENA EN LTS]]</f>
        <v>2503.9</v>
      </c>
      <c r="AC94" s="246">
        <v>0</v>
      </c>
      <c r="AD94" s="246">
        <v>0</v>
      </c>
      <c r="AE94" s="438">
        <f>(AE93-V062A_203031333436[[#This Row],[CARTER MP.]])+V062A_203031333436[[#This Row],[FAENA EN LTS2]]</f>
        <v>3500</v>
      </c>
      <c r="AF94" s="246">
        <v>0</v>
      </c>
      <c r="AG94" s="246">
        <v>0</v>
      </c>
      <c r="AH94" s="438">
        <f>(AH93-V062A_203031333436[[#This Row],[MOT AUX]])+V062A_203031333436[[#This Row],[FAENA EN  LTS]]</f>
        <v>880</v>
      </c>
      <c r="AI94" s="246">
        <v>0</v>
      </c>
      <c r="AJ94" s="246">
        <v>0</v>
      </c>
      <c r="AK94" s="439">
        <f>(AK93-V062A_203031333436[[#This Row],[HIDRAULICO]])+V062A_203031333436[[#This Row],[FAENA EN LTS3]]</f>
        <v>1140</v>
      </c>
    </row>
    <row r="95" spans="1:37" x14ac:dyDescent="0.25">
      <c r="A95" s="431"/>
      <c r="B95" s="48"/>
      <c r="C95" s="41"/>
      <c r="D95" s="418">
        <f>IF(V062A_203031333436[[#This Row],[FECHA]]-B94=1,((V062A_203031333436[[#This Row],[HORA]]-C94)*24)+24,(V062A_203031333436[[#This Row],[HORA]]-C94)*24)</f>
        <v>0</v>
      </c>
      <c r="E95" s="473"/>
      <c r="F95" s="474"/>
      <c r="G95" s="475"/>
      <c r="H95" s="476"/>
      <c r="I9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SUM(V062A_203031333436[[#This Row],[MPAL]]+V062A_203031333436[[#This Row],[AUX.]]+V062A_203031333436[[#This Row],[CALDERA]])</f>
        <v>0</v>
      </c>
      <c r="P95" s="319"/>
      <c r="Q95" s="270">
        <f>(Q94-V062A_203031333436[[#This Row],[TOTAL ]])+V062A_203031333436[[#This Row],[FAENA]]</f>
        <v>475.24700000000013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SUM(V062A_203031333436[[#This Row],[MPAL2]:[GI]])</f>
        <v>0</v>
      </c>
      <c r="X95" s="246"/>
      <c r="Y95" s="300">
        <f>(Y94-V062A_203031333436[[#This Row],[TOTAL]])+V062A_203031333436[[#This Row],[FAENA2]]</f>
        <v>44.26</v>
      </c>
      <c r="Z95" s="245">
        <v>0</v>
      </c>
      <c r="AA95" s="246">
        <v>0</v>
      </c>
      <c r="AB95" s="438">
        <f>(AB94-V062A_203031333436[[#This Row],[CYLINDER MP]])+V062A_203031333436[[#This Row],[FAENA EN LTS]]</f>
        <v>2503.9</v>
      </c>
      <c r="AC95" s="246">
        <v>0</v>
      </c>
      <c r="AD95" s="246">
        <v>0</v>
      </c>
      <c r="AE95" s="438">
        <f>(AE94-V062A_203031333436[[#This Row],[CARTER MP.]])+V062A_203031333436[[#This Row],[FAENA EN LTS2]]</f>
        <v>3500</v>
      </c>
      <c r="AF95" s="246">
        <v>0</v>
      </c>
      <c r="AG95" s="246">
        <v>0</v>
      </c>
      <c r="AH95" s="438">
        <f>(AH94-V062A_203031333436[[#This Row],[MOT AUX]])+V062A_203031333436[[#This Row],[FAENA EN  LTS]]</f>
        <v>880</v>
      </c>
      <c r="AI95" s="246">
        <v>0</v>
      </c>
      <c r="AJ95" s="246">
        <v>0</v>
      </c>
      <c r="AK95" s="439">
        <f>(AK94-V062A_203031333436[[#This Row],[HIDRAULICO]])+V062A_203031333436[[#This Row],[FAENA EN LTS3]]</f>
        <v>1140</v>
      </c>
    </row>
    <row r="96" spans="1:37" x14ac:dyDescent="0.25">
      <c r="A96" s="431"/>
      <c r="B96" s="48"/>
      <c r="C96" s="41"/>
      <c r="D96" s="418">
        <f>IF(V062A_203031333436[[#This Row],[FECHA]]-B95=1,((V062A_203031333436[[#This Row],[HORA]]-C95)*24)+24,(V062A_203031333436[[#This Row],[HORA]]-C95)*24)</f>
        <v>0</v>
      </c>
      <c r="E96" s="473"/>
      <c r="F96" s="474"/>
      <c r="G96" s="475"/>
      <c r="H96" s="476"/>
      <c r="I9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SUM(V062A_203031333436[[#This Row],[MPAL]]+V062A_203031333436[[#This Row],[AUX.]]+V062A_203031333436[[#This Row],[CALDERA]])</f>
        <v>0</v>
      </c>
      <c r="P96" s="319"/>
      <c r="Q96" s="270">
        <f>(Q95-V062A_203031333436[[#This Row],[TOTAL ]])+V062A_203031333436[[#This Row],[FAENA]]</f>
        <v>475.24700000000013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SUM(V062A_203031333436[[#This Row],[MPAL2]:[GI]])</f>
        <v>0</v>
      </c>
      <c r="X96" s="246"/>
      <c r="Y96" s="300">
        <f>(Y95-V062A_203031333436[[#This Row],[TOTAL]])+V062A_203031333436[[#This Row],[FAENA2]]</f>
        <v>44.26</v>
      </c>
      <c r="Z96" s="245">
        <v>0</v>
      </c>
      <c r="AA96" s="246">
        <v>0</v>
      </c>
      <c r="AB96" s="438">
        <f>(AB95-V062A_203031333436[[#This Row],[CYLINDER MP]])+V062A_203031333436[[#This Row],[FAENA EN LTS]]</f>
        <v>2503.9</v>
      </c>
      <c r="AC96" s="246">
        <v>0</v>
      </c>
      <c r="AD96" s="246">
        <v>0</v>
      </c>
      <c r="AE96" s="438">
        <f>(AE95-V062A_203031333436[[#This Row],[CARTER MP.]])+V062A_203031333436[[#This Row],[FAENA EN LTS2]]</f>
        <v>3500</v>
      </c>
      <c r="AF96" s="246">
        <v>0</v>
      </c>
      <c r="AG96" s="246">
        <v>0</v>
      </c>
      <c r="AH96" s="438">
        <f>(AH95-V062A_203031333436[[#This Row],[MOT AUX]])+V062A_203031333436[[#This Row],[FAENA EN  LTS]]</f>
        <v>880</v>
      </c>
      <c r="AI96" s="246">
        <v>0</v>
      </c>
      <c r="AJ96" s="246">
        <v>0</v>
      </c>
      <c r="AK96" s="439">
        <f>(AK95-V062A_203031333436[[#This Row],[HIDRAULICO]])+V062A_203031333436[[#This Row],[FAENA EN LTS3]]</f>
        <v>1140</v>
      </c>
    </row>
    <row r="97" spans="1:37" x14ac:dyDescent="0.25">
      <c r="A97" s="431"/>
      <c r="B97" s="48"/>
      <c r="C97" s="41"/>
      <c r="D97" s="418">
        <f>IF(V062A_203031333436[[#This Row],[FECHA]]-B96=1,((V062A_203031333436[[#This Row],[HORA]]-C96)*24)+24,(V062A_203031333436[[#This Row],[HORA]]-C96)*24)</f>
        <v>0</v>
      </c>
      <c r="E97" s="473"/>
      <c r="F97" s="474"/>
      <c r="G97" s="475"/>
      <c r="H97" s="476"/>
      <c r="I9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7" s="478"/>
      <c r="K97" s="479"/>
      <c r="L97" s="483">
        <v>0</v>
      </c>
      <c r="M97" s="246">
        <v>0</v>
      </c>
      <c r="N97" s="484">
        <v>0</v>
      </c>
      <c r="O97" s="246">
        <f>SUM(V062A_203031333436[[#This Row],[MPAL]]+V062A_203031333436[[#This Row],[AUX.]]+V062A_203031333436[[#This Row],[CALDERA]])</f>
        <v>0</v>
      </c>
      <c r="P97" s="319"/>
      <c r="Q97" s="270">
        <f>(Q96-V062A_203031333436[[#This Row],[TOTAL ]])+V062A_203031333436[[#This Row],[FAENA]]</f>
        <v>475.24700000000013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SUM(V062A_203031333436[[#This Row],[MPAL2]:[GI]])</f>
        <v>0</v>
      </c>
      <c r="X97" s="246"/>
      <c r="Y97" s="300">
        <f>($X$4-V062A_203031333436[[#This Row],[TOTAL]])+V062A_203031333436[[#This Row],[FAENA2]]</f>
        <v>0</v>
      </c>
      <c r="Z97" s="245">
        <v>0</v>
      </c>
      <c r="AA97" s="246">
        <v>0</v>
      </c>
      <c r="AB97" s="438">
        <f>(AB96-V062A_203031333436[[#This Row],[CYLINDER MP]])+V062A_203031333436[[#This Row],[FAENA EN LTS]]</f>
        <v>2503.9</v>
      </c>
      <c r="AC97" s="246">
        <v>0</v>
      </c>
      <c r="AD97" s="246">
        <v>0</v>
      </c>
      <c r="AE97" s="438">
        <f>(AE96-V062A_203031333436[[#This Row],[CARTER MP.]])+V062A_203031333436[[#This Row],[FAENA EN LTS2]]</f>
        <v>3500</v>
      </c>
      <c r="AF97" s="246">
        <v>0</v>
      </c>
      <c r="AG97" s="246">
        <v>0</v>
      </c>
      <c r="AH97" s="438">
        <f>(AH96-V062A_203031333436[[#This Row],[MOT AUX]])+V062A_203031333436[[#This Row],[FAENA EN  LTS]]</f>
        <v>880</v>
      </c>
      <c r="AI97" s="246">
        <v>0</v>
      </c>
      <c r="AJ97" s="246">
        <v>0</v>
      </c>
      <c r="AK97" s="439">
        <f>(AK96-V062A_203031333436[[#This Row],[HIDRAULICO]])+V062A_203031333436[[#This Row],[FAENA EN LTS3]]</f>
        <v>1140</v>
      </c>
    </row>
    <row r="98" spans="1:37" x14ac:dyDescent="0.25">
      <c r="A98" s="431"/>
      <c r="B98" s="48"/>
      <c r="C98" s="41"/>
      <c r="D98" s="418">
        <f>IF(V062A_203031333436[[#This Row],[FECHA]]-B97=1,((V062A_203031333436[[#This Row],[HORA]]-C97)*24)+24,(V062A_203031333436[[#This Row],[HORA]]-C97)*24)</f>
        <v>0</v>
      </c>
      <c r="E98" s="473"/>
      <c r="F98" s="474"/>
      <c r="G98" s="475"/>
      <c r="H98" s="476"/>
      <c r="I9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8" s="478"/>
      <c r="K98" s="479"/>
      <c r="L98" s="483">
        <v>0</v>
      </c>
      <c r="M98" s="246">
        <v>0</v>
      </c>
      <c r="N98" s="484">
        <v>0</v>
      </c>
      <c r="O98" s="246">
        <f>SUM(V062A_203031333436[[#This Row],[MPAL]]+V062A_203031333436[[#This Row],[AUX.]]+V062A_203031333436[[#This Row],[CALDERA]])</f>
        <v>0</v>
      </c>
      <c r="P98" s="319"/>
      <c r="Q98" s="270">
        <f>(Q97-V062A_203031333436[[#This Row],[TOTAL ]])+V062A_203031333436[[#This Row],[FAENA]]</f>
        <v>475.24700000000013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SUM(V062A_203031333436[[#This Row],[MPAL2]:[GI]])</f>
        <v>0</v>
      </c>
      <c r="X98" s="246"/>
      <c r="Y98" s="300">
        <f>($X$4-V062A_203031333436[[#This Row],[TOTAL]])+V062A_203031333436[[#This Row],[FAENA2]]</f>
        <v>0</v>
      </c>
      <c r="Z98" s="245">
        <v>0</v>
      </c>
      <c r="AA98" s="246">
        <v>0</v>
      </c>
      <c r="AB98" s="438">
        <f>(AB97-V062A_203031333436[[#This Row],[CYLINDER MP]])+V062A_203031333436[[#This Row],[FAENA EN LTS]]</f>
        <v>2503.9</v>
      </c>
      <c r="AC98" s="246">
        <v>0</v>
      </c>
      <c r="AD98" s="246">
        <v>0</v>
      </c>
      <c r="AE98" s="438">
        <f>(AE97-V062A_203031333436[[#This Row],[CARTER MP.]])+V062A_203031333436[[#This Row],[FAENA EN LTS2]]</f>
        <v>3500</v>
      </c>
      <c r="AF98" s="246">
        <v>0</v>
      </c>
      <c r="AG98" s="246">
        <v>0</v>
      </c>
      <c r="AH98" s="438">
        <f>(AH97-V062A_203031333436[[#This Row],[MOT AUX]])+V062A_203031333436[[#This Row],[FAENA EN  LTS]]</f>
        <v>880</v>
      </c>
      <c r="AI98" s="246">
        <v>0</v>
      </c>
      <c r="AJ98" s="246">
        <v>0</v>
      </c>
      <c r="AK98" s="439">
        <f>(AK97-V062A_203031333436[[#This Row],[HIDRAULICO]])+V062A_203031333436[[#This Row],[FAENA EN LTS3]]</f>
        <v>1140</v>
      </c>
    </row>
    <row r="99" spans="1:37" x14ac:dyDescent="0.25">
      <c r="A99" s="431"/>
      <c r="B99" s="48"/>
      <c r="C99" s="41"/>
      <c r="D99" s="418">
        <f>IF(V062A_203031333436[[#This Row],[FECHA]]-B98=1,((V062A_203031333436[[#This Row],[HORA]]-C98)*24)+24,(V062A_203031333436[[#This Row],[HORA]]-C98)*24)</f>
        <v>0</v>
      </c>
      <c r="E99" s="473"/>
      <c r="F99" s="474"/>
      <c r="G99" s="475"/>
      <c r="H99" s="476"/>
      <c r="I9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99" s="478"/>
      <c r="K99" s="479"/>
      <c r="L99" s="483">
        <v>0</v>
      </c>
      <c r="M99" s="246">
        <v>0</v>
      </c>
      <c r="N99" s="484">
        <v>0</v>
      </c>
      <c r="O99" s="246">
        <f>SUM(V062A_203031333436[[#This Row],[MPAL]]+V062A_203031333436[[#This Row],[AUX.]]+V062A_203031333436[[#This Row],[CALDERA]])</f>
        <v>0</v>
      </c>
      <c r="P99" s="319"/>
      <c r="Q99" s="270">
        <f>(Q98-V062A_203031333436[[#This Row],[TOTAL ]])+V062A_203031333436[[#This Row],[FAENA]]</f>
        <v>475.24700000000013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SUM(V062A_203031333436[[#This Row],[MPAL2]:[GI]])</f>
        <v>0</v>
      </c>
      <c r="X99" s="246"/>
      <c r="Y99" s="300">
        <f>($X$4-V062A_203031333436[[#This Row],[TOTAL]])+V062A_203031333436[[#This Row],[FAENA2]]</f>
        <v>0</v>
      </c>
      <c r="Z99" s="245">
        <v>0</v>
      </c>
      <c r="AA99" s="246">
        <v>0</v>
      </c>
      <c r="AB99" s="438">
        <f>(AB98-V062A_203031333436[[#This Row],[CYLINDER MP]])+V062A_203031333436[[#This Row],[FAENA EN LTS]]</f>
        <v>2503.9</v>
      </c>
      <c r="AC99" s="246">
        <v>0</v>
      </c>
      <c r="AD99" s="246">
        <v>0</v>
      </c>
      <c r="AE99" s="438">
        <f>(AE98-V062A_203031333436[[#This Row],[CARTER MP.]])+V062A_203031333436[[#This Row],[FAENA EN LTS2]]</f>
        <v>3500</v>
      </c>
      <c r="AF99" s="246">
        <v>0</v>
      </c>
      <c r="AG99" s="246">
        <v>0</v>
      </c>
      <c r="AH99" s="438">
        <f>(AH98-V062A_203031333436[[#This Row],[MOT AUX]])+V062A_203031333436[[#This Row],[FAENA EN  LTS]]</f>
        <v>880</v>
      </c>
      <c r="AI99" s="246">
        <v>0</v>
      </c>
      <c r="AJ99" s="246">
        <v>0</v>
      </c>
      <c r="AK99" s="439">
        <f>(AK98-V062A_203031333436[[#This Row],[HIDRAULICO]])+V062A_203031333436[[#This Row],[FAENA EN LTS3]]</f>
        <v>1140</v>
      </c>
    </row>
    <row r="100" spans="1:37" x14ac:dyDescent="0.25">
      <c r="A100" s="431"/>
      <c r="B100" s="48"/>
      <c r="C100" s="41"/>
      <c r="D100" s="418">
        <f>IF(V062A_203031333436[[#This Row],[FECHA]]-B99=1,((V062A_203031333436[[#This Row],[HORA]]-C99)*24)+24,(V062A_203031333436[[#This Row],[HORA]]-C99)*24)</f>
        <v>0</v>
      </c>
      <c r="E100" s="473"/>
      <c r="F100" s="474"/>
      <c r="G100" s="475"/>
      <c r="H100" s="476"/>
      <c r="I10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0" s="478"/>
      <c r="K100" s="479"/>
      <c r="L100" s="483">
        <v>0</v>
      </c>
      <c r="M100" s="246">
        <v>0</v>
      </c>
      <c r="N100" s="484">
        <v>0</v>
      </c>
      <c r="O100" s="246">
        <f>SUM(V062A_203031333436[[#This Row],[MPAL]]+V062A_203031333436[[#This Row],[AUX.]]+V062A_203031333436[[#This Row],[CALDERA]])</f>
        <v>0</v>
      </c>
      <c r="P100" s="319"/>
      <c r="Q100" s="270">
        <f>(Q99-V062A_203031333436[[#This Row],[TOTAL ]])+V062A_203031333436[[#This Row],[FAENA]]</f>
        <v>475.24700000000013</v>
      </c>
      <c r="R100" s="245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f>SUM(V062A_203031333436[[#This Row],[MPAL2]:[GI]])</f>
        <v>0</v>
      </c>
      <c r="X100" s="246"/>
      <c r="Y100" s="300">
        <f>(Y96-V062A_203031333436[[#This Row],[TOTAL]])+V062A_203031333436[[#This Row],[FAENA2]]</f>
        <v>44.26</v>
      </c>
      <c r="Z100" s="245">
        <v>0</v>
      </c>
      <c r="AA100" s="246">
        <v>0</v>
      </c>
      <c r="AB100" s="438">
        <f>(AB99-V062A_203031333436[[#This Row],[CYLINDER MP]])+V062A_203031333436[[#This Row],[FAENA EN LTS]]</f>
        <v>2503.9</v>
      </c>
      <c r="AC100" s="246">
        <v>0</v>
      </c>
      <c r="AD100" s="246">
        <v>0</v>
      </c>
      <c r="AE100" s="438">
        <f>(AE99-V062A_203031333436[[#This Row],[CARTER MP.]])+V062A_203031333436[[#This Row],[FAENA EN LTS2]]</f>
        <v>3500</v>
      </c>
      <c r="AF100" s="246">
        <v>0</v>
      </c>
      <c r="AG100" s="246">
        <v>0</v>
      </c>
      <c r="AH100" s="438">
        <f>(AH99-V062A_203031333436[[#This Row],[MOT AUX]])+V062A_203031333436[[#This Row],[FAENA EN  LTS]]</f>
        <v>880</v>
      </c>
      <c r="AI100" s="246">
        <v>0</v>
      </c>
      <c r="AJ100" s="246">
        <v>0</v>
      </c>
      <c r="AK100" s="439">
        <f>(AK99-V062A_203031333436[[#This Row],[HIDRAULICO]])+V062A_203031333436[[#This Row],[FAENA EN LTS3]]</f>
        <v>1140</v>
      </c>
    </row>
    <row r="101" spans="1:37" x14ac:dyDescent="0.25">
      <c r="A101" s="431"/>
      <c r="B101" s="48"/>
      <c r="C101" s="41"/>
      <c r="D101" s="418">
        <f>IF(V062A_203031333436[[#This Row],[FECHA]]-B100=1,((V062A_203031333436[[#This Row],[HORA]]-C100)*24)+24,(V062A_203031333436[[#This Row],[HORA]]-C100)*24)</f>
        <v>0</v>
      </c>
      <c r="E101" s="473"/>
      <c r="F101" s="474"/>
      <c r="G101" s="475"/>
      <c r="H101" s="476"/>
      <c r="I10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1" s="478"/>
      <c r="K101" s="479"/>
      <c r="L101" s="483">
        <v>0</v>
      </c>
      <c r="M101" s="246">
        <v>0</v>
      </c>
      <c r="N101" s="484">
        <v>0</v>
      </c>
      <c r="O101" s="246">
        <f>SUM(V062A_203031333436[[#This Row],[MPAL]]+V062A_203031333436[[#This Row],[AUX.]]+V062A_203031333436[[#This Row],[CALDERA]])</f>
        <v>0</v>
      </c>
      <c r="P101" s="319"/>
      <c r="Q101" s="270">
        <f>(Q100-V062A_203031333436[[#This Row],[TOTAL ]])+V062A_203031333436[[#This Row],[FAENA]]</f>
        <v>475.24700000000013</v>
      </c>
      <c r="R101" s="245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f>SUM(V062A_203031333436[[#This Row],[MPAL2]:[GI]])</f>
        <v>0</v>
      </c>
      <c r="X101" s="246"/>
      <c r="Y101" s="300">
        <f>(Y100-V062A_203031333436[[#This Row],[TOTAL]])+V062A_203031333436[[#This Row],[FAENA2]]</f>
        <v>44.26</v>
      </c>
      <c r="Z101" s="245">
        <v>0</v>
      </c>
      <c r="AA101" s="246">
        <v>0</v>
      </c>
      <c r="AB101" s="438">
        <f>(AB100-V062A_203031333436[[#This Row],[CYLINDER MP]])+V062A_203031333436[[#This Row],[FAENA EN LTS]]</f>
        <v>2503.9</v>
      </c>
      <c r="AC101" s="246">
        <v>0</v>
      </c>
      <c r="AD101" s="246">
        <v>0</v>
      </c>
      <c r="AE101" s="438">
        <f>(AE100-V062A_203031333436[[#This Row],[CARTER MP.]])+V062A_203031333436[[#This Row],[FAENA EN LTS2]]</f>
        <v>3500</v>
      </c>
      <c r="AF101" s="246">
        <v>0</v>
      </c>
      <c r="AG101" s="246">
        <v>0</v>
      </c>
      <c r="AH101" s="438">
        <f>(AH100-V062A_203031333436[[#This Row],[MOT AUX]])+V062A_203031333436[[#This Row],[FAENA EN  LTS]]</f>
        <v>880</v>
      </c>
      <c r="AI101" s="246">
        <v>0</v>
      </c>
      <c r="AJ101" s="246">
        <v>0</v>
      </c>
      <c r="AK101" s="439">
        <f>(AK100-V062A_203031333436[[#This Row],[HIDRAULICO]])+V062A_203031333436[[#This Row],[FAENA EN LTS3]]</f>
        <v>1140</v>
      </c>
    </row>
    <row r="102" spans="1:37" x14ac:dyDescent="0.25">
      <c r="A102" s="431"/>
      <c r="B102" s="48"/>
      <c r="C102" s="41"/>
      <c r="D102" s="418">
        <f>IF(V062A_203031333436[[#This Row],[FECHA]]-B101=1,((V062A_203031333436[[#This Row],[HORA]]-C101)*24)+24,(V062A_203031333436[[#This Row],[HORA]]-C101)*24)</f>
        <v>0</v>
      </c>
      <c r="E102" s="432"/>
      <c r="F102" s="378"/>
      <c r="G102" s="433"/>
      <c r="H102" s="434"/>
      <c r="I102" s="435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2" s="436"/>
      <c r="K102" s="437"/>
      <c r="L102" s="483">
        <v>0</v>
      </c>
      <c r="M102" s="246">
        <v>0</v>
      </c>
      <c r="N102" s="484">
        <v>0</v>
      </c>
      <c r="O102" s="246">
        <f>SUM(V062A_203031333436[[#This Row],[MPAL]]+V062A_203031333436[[#This Row],[AUX.]]+V062A_203031333436[[#This Row],[CALDERA]])</f>
        <v>0</v>
      </c>
      <c r="P102" s="319"/>
      <c r="Q102" s="270">
        <f>(Q101-V062A_203031333436[[#This Row],[TOTAL ]])+V062A_203031333436[[#This Row],[FAENA]]</f>
        <v>475.24700000000013</v>
      </c>
      <c r="R102" s="245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f>SUM(V062A_203031333436[[#This Row],[MPAL2]:[GI]])</f>
        <v>0</v>
      </c>
      <c r="X102" s="246"/>
      <c r="Y102" s="300">
        <f>(Y101-V062A_203031333436[[#This Row],[TOTAL]])+V062A_203031333436[[#This Row],[FAENA2]]</f>
        <v>44.26</v>
      </c>
      <c r="Z102" s="245">
        <v>0</v>
      </c>
      <c r="AA102" s="246">
        <v>0</v>
      </c>
      <c r="AB102" s="438">
        <f>(AB101-V062A_203031333436[[#This Row],[CYLINDER MP]])+V062A_203031333436[[#This Row],[FAENA EN LTS]]</f>
        <v>2503.9</v>
      </c>
      <c r="AC102" s="246">
        <v>0</v>
      </c>
      <c r="AD102" s="246">
        <v>0</v>
      </c>
      <c r="AE102" s="438">
        <f>(AE101-V062A_203031333436[[#This Row],[CARTER MP.]])+V062A_203031333436[[#This Row],[FAENA EN LTS2]]</f>
        <v>3500</v>
      </c>
      <c r="AF102" s="246">
        <v>0</v>
      </c>
      <c r="AG102" s="246">
        <v>0</v>
      </c>
      <c r="AH102" s="438">
        <f>(AH101-V062A_203031333436[[#This Row],[MOT AUX]])+V062A_203031333436[[#This Row],[FAENA EN  LTS]]</f>
        <v>880</v>
      </c>
      <c r="AI102" s="246">
        <v>0</v>
      </c>
      <c r="AJ102" s="246">
        <v>0</v>
      </c>
      <c r="AK102" s="439">
        <f>(AK101-V062A_203031333436[[#This Row],[HIDRAULICO]])+V062A_203031333436[[#This Row],[FAENA EN LTS3]]</f>
        <v>1140</v>
      </c>
    </row>
    <row r="103" spans="1:37" x14ac:dyDescent="0.25">
      <c r="A103" s="431"/>
      <c r="B103" s="48"/>
      <c r="C103" s="41"/>
      <c r="D103" s="418">
        <f>IF(V062A_203031333436[[#This Row],[FECHA]]-B102=1,((V062A_203031333436[[#This Row],[HORA]]-C102)*24)+24,(V062A_203031333436[[#This Row],[HORA]]-C102)*24)</f>
        <v>0</v>
      </c>
      <c r="E103" s="473"/>
      <c r="F103" s="474"/>
      <c r="G103" s="475"/>
      <c r="H103" s="476"/>
      <c r="I10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3" s="478"/>
      <c r="K103" s="479"/>
      <c r="L103" s="483">
        <v>0</v>
      </c>
      <c r="M103" s="246">
        <v>0</v>
      </c>
      <c r="N103" s="484">
        <v>0</v>
      </c>
      <c r="O103" s="246">
        <f>SUM(V062A_203031333436[[#This Row],[MPAL]]+V062A_203031333436[[#This Row],[AUX.]]+V062A_203031333436[[#This Row],[CALDERA]])</f>
        <v>0</v>
      </c>
      <c r="P103" s="319"/>
      <c r="Q103" s="270">
        <f>(Q102-V062A_203031333436[[#This Row],[TOTAL ]])+V062A_203031333436[[#This Row],[FAENA]]</f>
        <v>475.24700000000013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SUM(V062A_203031333436[[#This Row],[MPAL2]:[GI]])</f>
        <v>0</v>
      </c>
      <c r="X103" s="246"/>
      <c r="Y103" s="300">
        <f>(Y102-V062A_203031333436[[#This Row],[TOTAL]])+V062A_203031333436[[#This Row],[FAENA2]]</f>
        <v>44.26</v>
      </c>
      <c r="Z103" s="245">
        <v>0</v>
      </c>
      <c r="AA103" s="246">
        <v>0</v>
      </c>
      <c r="AB103" s="438">
        <f>(AB102-V062A_203031333436[[#This Row],[CYLINDER MP]])+V062A_203031333436[[#This Row],[FAENA EN LTS]]</f>
        <v>2503.9</v>
      </c>
      <c r="AC103" s="246">
        <v>0</v>
      </c>
      <c r="AD103" s="246">
        <v>0</v>
      </c>
      <c r="AE103" s="438">
        <f>(AE102-V062A_203031333436[[#This Row],[CARTER MP.]])+V062A_203031333436[[#This Row],[FAENA EN LTS2]]</f>
        <v>3500</v>
      </c>
      <c r="AF103" s="246">
        <v>0</v>
      </c>
      <c r="AG103" s="246">
        <v>0</v>
      </c>
      <c r="AH103" s="438">
        <f>(AH102-V062A_203031333436[[#This Row],[MOT AUX]])+V062A_203031333436[[#This Row],[FAENA EN  LTS]]</f>
        <v>880</v>
      </c>
      <c r="AI103" s="246">
        <v>0</v>
      </c>
      <c r="AJ103" s="246">
        <v>0</v>
      </c>
      <c r="AK103" s="439">
        <f>(AK102-V062A_203031333436[[#This Row],[HIDRAULICO]])+V062A_203031333436[[#This Row],[FAENA EN LTS3]]</f>
        <v>1140</v>
      </c>
    </row>
    <row r="104" spans="1:37" x14ac:dyDescent="0.25">
      <c r="A104" s="431"/>
      <c r="B104" s="48"/>
      <c r="C104" s="41"/>
      <c r="D104" s="418">
        <f>IF(V062A_203031333436[[#This Row],[FECHA]]-B103=1,((V062A_203031333436[[#This Row],[HORA]]-C103)*24)+24,(V062A_203031333436[[#This Row],[HORA]]-C103)*24)</f>
        <v>0</v>
      </c>
      <c r="E104" s="473"/>
      <c r="F104" s="474"/>
      <c r="G104" s="475"/>
      <c r="H104" s="476"/>
      <c r="I104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4" s="478"/>
      <c r="K104" s="479"/>
      <c r="L104" s="483">
        <v>0</v>
      </c>
      <c r="M104" s="246">
        <v>0</v>
      </c>
      <c r="N104" s="484">
        <v>0</v>
      </c>
      <c r="O104" s="246">
        <f>SUM(V062A_203031333436[[#This Row],[MPAL]]+V062A_203031333436[[#This Row],[AUX.]]+V062A_203031333436[[#This Row],[CALDERA]])</f>
        <v>0</v>
      </c>
      <c r="P104" s="319"/>
      <c r="Q104" s="270">
        <f>(Q103-V062A_203031333436[[#This Row],[TOTAL ]])+V062A_203031333436[[#This Row],[FAENA]]</f>
        <v>475.24700000000013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SUM(V062A_203031333436[[#This Row],[MPAL2]:[GI]])</f>
        <v>0</v>
      </c>
      <c r="X104" s="246"/>
      <c r="Y104" s="300">
        <f>(Y103-V062A_203031333436[[#This Row],[TOTAL]])+V062A_203031333436[[#This Row],[FAENA2]]</f>
        <v>44.26</v>
      </c>
      <c r="Z104" s="245">
        <v>0</v>
      </c>
      <c r="AA104" s="246">
        <v>0</v>
      </c>
      <c r="AB104" s="438">
        <f>(AB103-V062A_203031333436[[#This Row],[CYLINDER MP]])+V062A_203031333436[[#This Row],[FAENA EN LTS]]</f>
        <v>2503.9</v>
      </c>
      <c r="AC104" s="246">
        <v>0</v>
      </c>
      <c r="AD104" s="246">
        <v>0</v>
      </c>
      <c r="AE104" s="438">
        <f>(AE103-V062A_203031333436[[#This Row],[CARTER MP.]])+V062A_203031333436[[#This Row],[FAENA EN LTS2]]</f>
        <v>3500</v>
      </c>
      <c r="AF104" s="246">
        <v>0</v>
      </c>
      <c r="AG104" s="246">
        <v>0</v>
      </c>
      <c r="AH104" s="438">
        <f>(AH103-V062A_203031333436[[#This Row],[MOT AUX]])+V062A_203031333436[[#This Row],[FAENA EN  LTS]]</f>
        <v>880</v>
      </c>
      <c r="AI104" s="246">
        <v>0</v>
      </c>
      <c r="AJ104" s="246">
        <v>0</v>
      </c>
      <c r="AK104" s="439">
        <f>(AK103-V062A_203031333436[[#This Row],[HIDRAULICO]])+V062A_203031333436[[#This Row],[FAENA EN LTS3]]</f>
        <v>1140</v>
      </c>
    </row>
    <row r="105" spans="1:37" x14ac:dyDescent="0.25">
      <c r="A105" s="431"/>
      <c r="B105" s="48"/>
      <c r="C105" s="41"/>
      <c r="D105" s="418">
        <f>IF(V062A_203031333436[[#This Row],[FECHA]]-B104=1,((V062A_203031333436[[#This Row],[HORA]]-C104)*24)+24,(V062A_203031333436[[#This Row],[HORA]]-C104)*24)</f>
        <v>0</v>
      </c>
      <c r="E105" s="473"/>
      <c r="F105" s="474"/>
      <c r="G105" s="475"/>
      <c r="H105" s="476"/>
      <c r="I10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5" s="478"/>
      <c r="K105" s="479"/>
      <c r="L105" s="483">
        <v>0</v>
      </c>
      <c r="M105" s="246">
        <v>0</v>
      </c>
      <c r="N105" s="484">
        <v>0</v>
      </c>
      <c r="O105" s="246">
        <f>SUM(V062A_203031333436[[#This Row],[MPAL]]+V062A_203031333436[[#This Row],[AUX.]]+V062A_203031333436[[#This Row],[CALDERA]])</f>
        <v>0</v>
      </c>
      <c r="P105" s="319"/>
      <c r="Q105" s="270">
        <f>(Q104-V062A_203031333436[[#This Row],[TOTAL ]])+V062A_203031333436[[#This Row],[FAENA]]</f>
        <v>475.24700000000013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SUM(V062A_203031333436[[#This Row],[MPAL2]:[GI]])</f>
        <v>0</v>
      </c>
      <c r="X105" s="246"/>
      <c r="Y105" s="300">
        <f>(Y104-V062A_203031333436[[#This Row],[TOTAL]])+V062A_203031333436[[#This Row],[FAENA2]]</f>
        <v>44.26</v>
      </c>
      <c r="Z105" s="245">
        <v>0</v>
      </c>
      <c r="AA105" s="246">
        <v>0</v>
      </c>
      <c r="AB105" s="438">
        <f>(AB104-V062A_203031333436[[#This Row],[CYLINDER MP]])+V062A_203031333436[[#This Row],[FAENA EN LTS]]</f>
        <v>2503.9</v>
      </c>
      <c r="AC105" s="246">
        <v>0</v>
      </c>
      <c r="AD105" s="246">
        <v>0</v>
      </c>
      <c r="AE105" s="438">
        <f>(AE104-V062A_203031333436[[#This Row],[CARTER MP.]])+V062A_203031333436[[#This Row],[FAENA EN LTS2]]</f>
        <v>3500</v>
      </c>
      <c r="AF105" s="246">
        <v>0</v>
      </c>
      <c r="AG105" s="246">
        <v>0</v>
      </c>
      <c r="AH105" s="438">
        <f>(AH104-V062A_203031333436[[#This Row],[MOT AUX]])+V062A_203031333436[[#This Row],[FAENA EN  LTS]]</f>
        <v>880</v>
      </c>
      <c r="AI105" s="246">
        <v>0</v>
      </c>
      <c r="AJ105" s="246">
        <v>0</v>
      </c>
      <c r="AK105" s="439">
        <f>(AK104-V062A_203031333436[[#This Row],[HIDRAULICO]])+V062A_203031333436[[#This Row],[FAENA EN LTS3]]</f>
        <v>1140</v>
      </c>
    </row>
    <row r="106" spans="1:37" x14ac:dyDescent="0.25">
      <c r="A106" s="431"/>
      <c r="B106" s="48"/>
      <c r="C106" s="41"/>
      <c r="D106" s="418">
        <f>IF(V062A_203031333436[[#This Row],[FECHA]]-B105=1,((V062A_203031333436[[#This Row],[HORA]]-C105)*24)+24,(V062A_203031333436[[#This Row],[HORA]]-C105)*24)</f>
        <v>0</v>
      </c>
      <c r="E106" s="473"/>
      <c r="F106" s="378"/>
      <c r="G106" s="475"/>
      <c r="H106" s="476"/>
      <c r="I10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6" s="478"/>
      <c r="K106" s="479"/>
      <c r="L106" s="483">
        <v>0</v>
      </c>
      <c r="M106" s="246">
        <v>0</v>
      </c>
      <c r="N106" s="484">
        <v>0</v>
      </c>
      <c r="O106" s="246">
        <f>SUM(V062A_203031333436[[#This Row],[MPAL]]+V062A_203031333436[[#This Row],[AUX.]]+V062A_203031333436[[#This Row],[CALDERA]])</f>
        <v>0</v>
      </c>
      <c r="P106" s="319"/>
      <c r="Q106" s="270">
        <f>(Q105-V062A_203031333436[[#This Row],[TOTAL ]])+V062A_203031333436[[#This Row],[FAENA]]</f>
        <v>475.24700000000013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SUM(V062A_203031333436[[#This Row],[MPAL2]:[GI]])</f>
        <v>0</v>
      </c>
      <c r="X106" s="246"/>
      <c r="Y106" s="300">
        <f>(Y105-V062A_203031333436[[#This Row],[TOTAL]])+V062A_203031333436[[#This Row],[FAENA2]]</f>
        <v>44.26</v>
      </c>
      <c r="Z106" s="245">
        <v>0</v>
      </c>
      <c r="AA106" s="246">
        <v>0</v>
      </c>
      <c r="AB106" s="438">
        <f>(AB105-V062A_203031333436[[#This Row],[CYLINDER MP]])+V062A_203031333436[[#This Row],[FAENA EN LTS]]</f>
        <v>2503.9</v>
      </c>
      <c r="AC106" s="246">
        <v>0</v>
      </c>
      <c r="AD106" s="246">
        <v>0</v>
      </c>
      <c r="AE106" s="438">
        <f>(AE105-V062A_203031333436[[#This Row],[CARTER MP.]])+V062A_203031333436[[#This Row],[FAENA EN LTS2]]</f>
        <v>3500</v>
      </c>
      <c r="AF106" s="246">
        <v>0</v>
      </c>
      <c r="AG106" s="246">
        <v>0</v>
      </c>
      <c r="AH106" s="438">
        <f>(AH105-V062A_203031333436[[#This Row],[MOT AUX]])+V062A_203031333436[[#This Row],[FAENA EN  LTS]]</f>
        <v>880</v>
      </c>
      <c r="AI106" s="246">
        <v>0</v>
      </c>
      <c r="AJ106" s="246">
        <v>0</v>
      </c>
      <c r="AK106" s="439">
        <f>(AK105-V062A_203031333436[[#This Row],[HIDRAULICO]])+V062A_203031333436[[#This Row],[FAENA EN LTS3]]</f>
        <v>1140</v>
      </c>
    </row>
    <row r="107" spans="1:37" x14ac:dyDescent="0.25">
      <c r="A107" s="431"/>
      <c r="B107" s="48"/>
      <c r="C107" s="41"/>
      <c r="D107" s="418">
        <f>IF(V062A_203031333436[[#This Row],[FECHA]]-B106=1,((V062A_203031333436[[#This Row],[HORA]]-C106)*24)+24,(V062A_203031333436[[#This Row],[HORA]]-C106)*24)</f>
        <v>0</v>
      </c>
      <c r="E107" s="473"/>
      <c r="F107" s="474"/>
      <c r="G107" s="475"/>
      <c r="H107" s="476"/>
      <c r="I10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7" s="478"/>
      <c r="K107" s="479"/>
      <c r="L107" s="483">
        <v>0</v>
      </c>
      <c r="M107" s="246">
        <v>0</v>
      </c>
      <c r="N107" s="484">
        <v>0</v>
      </c>
      <c r="O107" s="246">
        <f>SUM(V062A_203031333436[[#This Row],[MPAL]]+V062A_203031333436[[#This Row],[AUX.]]+V062A_203031333436[[#This Row],[CALDERA]])</f>
        <v>0</v>
      </c>
      <c r="P107" s="319"/>
      <c r="Q107" s="270">
        <f>(Q106-V062A_203031333436[[#This Row],[TOTAL ]])+V062A_203031333436[[#This Row],[FAENA]]</f>
        <v>475.24700000000013</v>
      </c>
      <c r="R107" s="245">
        <v>0</v>
      </c>
      <c r="S107" s="246">
        <v>0</v>
      </c>
      <c r="T107" s="246">
        <v>0</v>
      </c>
      <c r="U107" s="246">
        <v>0</v>
      </c>
      <c r="V107" s="246">
        <v>0</v>
      </c>
      <c r="W107" s="246">
        <f>SUM(V062A_203031333436[[#This Row],[MPAL2]:[GI]])</f>
        <v>0</v>
      </c>
      <c r="X107" s="246"/>
      <c r="Y107" s="300">
        <f>(Y106-V062A_203031333436[[#This Row],[TOTAL]])+V062A_203031333436[[#This Row],[FAENA2]]</f>
        <v>44.26</v>
      </c>
      <c r="Z107" s="245">
        <v>0</v>
      </c>
      <c r="AA107" s="246">
        <v>0</v>
      </c>
      <c r="AB107" s="438">
        <f>(AB106-V062A_203031333436[[#This Row],[CYLINDER MP]])+V062A_203031333436[[#This Row],[FAENA EN LTS]]</f>
        <v>2503.9</v>
      </c>
      <c r="AC107" s="246">
        <v>0</v>
      </c>
      <c r="AD107" s="246">
        <v>0</v>
      </c>
      <c r="AE107" s="438">
        <f>(AE106-V062A_203031333436[[#This Row],[CARTER MP.]])+V062A_203031333436[[#This Row],[FAENA EN LTS2]]</f>
        <v>3500</v>
      </c>
      <c r="AF107" s="246">
        <v>0</v>
      </c>
      <c r="AG107" s="246">
        <v>0</v>
      </c>
      <c r="AH107" s="438">
        <f>(AH106-V062A_203031333436[[#This Row],[MOT AUX]])+V062A_203031333436[[#This Row],[FAENA EN  LTS]]</f>
        <v>880</v>
      </c>
      <c r="AI107" s="246">
        <v>0</v>
      </c>
      <c r="AJ107" s="246">
        <v>0</v>
      </c>
      <c r="AK107" s="439">
        <f>(AK106-V062A_203031333436[[#This Row],[HIDRAULICO]])+V062A_203031333436[[#This Row],[FAENA EN LTS3]]</f>
        <v>1140</v>
      </c>
    </row>
    <row r="108" spans="1:37" x14ac:dyDescent="0.25">
      <c r="A108" s="431"/>
      <c r="B108" s="48"/>
      <c r="C108" s="41"/>
      <c r="D108" s="418">
        <f>IF(V062A_203031333436[[#This Row],[FECHA]]-B107=1,((V062A_203031333436[[#This Row],[HORA]]-C107)*24)+24,(V062A_203031333436[[#This Row],[HORA]]-C107)*24)</f>
        <v>0</v>
      </c>
      <c r="E108" s="473"/>
      <c r="F108" s="474"/>
      <c r="G108" s="475"/>
      <c r="H108" s="476"/>
      <c r="I10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8" s="478"/>
      <c r="K108" s="479"/>
      <c r="L108" s="483">
        <v>0</v>
      </c>
      <c r="M108" s="246">
        <v>0</v>
      </c>
      <c r="N108" s="484">
        <v>0</v>
      </c>
      <c r="O108" s="246">
        <f>SUM(V062A_203031333436[[#This Row],[MPAL]]+V062A_203031333436[[#This Row],[AUX.]]+V062A_203031333436[[#This Row],[CALDERA]])</f>
        <v>0</v>
      </c>
      <c r="P108" s="319"/>
      <c r="Q108" s="270">
        <f>(Q107-V062A_203031333436[[#This Row],[TOTAL ]])+V062A_203031333436[[#This Row],[FAENA]]</f>
        <v>475.24700000000013</v>
      </c>
      <c r="R108" s="245">
        <v>0</v>
      </c>
      <c r="S108" s="246">
        <v>0</v>
      </c>
      <c r="T108" s="246">
        <v>0</v>
      </c>
      <c r="U108" s="246">
        <v>0</v>
      </c>
      <c r="V108" s="246">
        <v>0</v>
      </c>
      <c r="W108" s="246">
        <f>SUM(V062A_203031333436[[#This Row],[MPAL2]:[GI]])</f>
        <v>0</v>
      </c>
      <c r="X108" s="246"/>
      <c r="Y108" s="300">
        <f>(Y107-V062A_203031333436[[#This Row],[TOTAL]])+V062A_203031333436[[#This Row],[FAENA2]]</f>
        <v>44.26</v>
      </c>
      <c r="Z108" s="245">
        <v>0</v>
      </c>
      <c r="AA108" s="246">
        <v>0</v>
      </c>
      <c r="AB108" s="438">
        <f>(AB107-V062A_203031333436[[#This Row],[CYLINDER MP]])+V062A_203031333436[[#This Row],[FAENA EN LTS]]</f>
        <v>2503.9</v>
      </c>
      <c r="AC108" s="246">
        <v>0</v>
      </c>
      <c r="AD108" s="246">
        <v>0</v>
      </c>
      <c r="AE108" s="438">
        <f>(AE107-V062A_203031333436[[#This Row],[CARTER MP.]])+V062A_203031333436[[#This Row],[FAENA EN LTS2]]</f>
        <v>3500</v>
      </c>
      <c r="AF108" s="246">
        <v>0</v>
      </c>
      <c r="AG108" s="246">
        <v>0</v>
      </c>
      <c r="AH108" s="438">
        <f>(AH107-V062A_203031333436[[#This Row],[MOT AUX]])+V062A_203031333436[[#This Row],[FAENA EN  LTS]]</f>
        <v>880</v>
      </c>
      <c r="AI108" s="246">
        <v>0</v>
      </c>
      <c r="AJ108" s="246">
        <v>0</v>
      </c>
      <c r="AK108" s="439">
        <f>(AK107-V062A_203031333436[[#This Row],[HIDRAULICO]])+V062A_203031333436[[#This Row],[FAENA EN LTS3]]</f>
        <v>1140</v>
      </c>
    </row>
    <row r="109" spans="1:37" x14ac:dyDescent="0.25">
      <c r="A109" s="431"/>
      <c r="B109" s="48"/>
      <c r="C109" s="41"/>
      <c r="D109" s="418">
        <f>IF(V062A_203031333436[[#This Row],[FECHA]]-B108=1,((V062A_203031333436[[#This Row],[HORA]]-C108)*24)+24,(V062A_203031333436[[#This Row],[HORA]]-C108)*24)</f>
        <v>0</v>
      </c>
      <c r="E109" s="473"/>
      <c r="F109" s="474"/>
      <c r="G109" s="475"/>
      <c r="H109" s="476"/>
      <c r="I10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09" s="478"/>
      <c r="K109" s="479"/>
      <c r="L109" s="483">
        <v>0</v>
      </c>
      <c r="M109" s="246">
        <v>0</v>
      </c>
      <c r="N109" s="484">
        <v>0</v>
      </c>
      <c r="O109" s="246">
        <f>SUM(V062A_203031333436[[#This Row],[MPAL]]+V062A_203031333436[[#This Row],[AUX.]]+V062A_203031333436[[#This Row],[CALDERA]])</f>
        <v>0</v>
      </c>
      <c r="P109" s="319"/>
      <c r="Q109" s="270">
        <f>(Q108-V062A_203031333436[[#This Row],[TOTAL ]])+V062A_203031333436[[#This Row],[FAENA]]</f>
        <v>475.24700000000013</v>
      </c>
      <c r="R109" s="245">
        <v>0</v>
      </c>
      <c r="S109" s="246">
        <v>0</v>
      </c>
      <c r="T109" s="246">
        <v>0</v>
      </c>
      <c r="U109" s="246">
        <v>0</v>
      </c>
      <c r="V109" s="246">
        <v>0</v>
      </c>
      <c r="W109" s="246">
        <f>SUM(V062A_203031333436[[#This Row],[MPAL2]:[GI]])</f>
        <v>0</v>
      </c>
      <c r="X109" s="246"/>
      <c r="Y109" s="300">
        <f>(Y108-V062A_203031333436[[#This Row],[TOTAL]])+V062A_203031333436[[#This Row],[FAENA2]]</f>
        <v>44.26</v>
      </c>
      <c r="Z109" s="245">
        <v>0</v>
      </c>
      <c r="AA109" s="246">
        <v>0</v>
      </c>
      <c r="AB109" s="438">
        <f>(AB108-V062A_203031333436[[#This Row],[CYLINDER MP]])+V062A_203031333436[[#This Row],[FAENA EN LTS]]</f>
        <v>2503.9</v>
      </c>
      <c r="AC109" s="246">
        <v>0</v>
      </c>
      <c r="AD109" s="246">
        <v>0</v>
      </c>
      <c r="AE109" s="438">
        <f>(AE108-V062A_203031333436[[#This Row],[CARTER MP.]])+V062A_203031333436[[#This Row],[FAENA EN LTS2]]</f>
        <v>3500</v>
      </c>
      <c r="AF109" s="246">
        <v>0</v>
      </c>
      <c r="AG109" s="246">
        <v>0</v>
      </c>
      <c r="AH109" s="438">
        <f>(AH108-V062A_203031333436[[#This Row],[MOT AUX]])+V062A_203031333436[[#This Row],[FAENA EN  LTS]]</f>
        <v>880</v>
      </c>
      <c r="AI109" s="246">
        <v>0</v>
      </c>
      <c r="AJ109" s="246">
        <v>0</v>
      </c>
      <c r="AK109" s="439">
        <f>(AK108-V062A_203031333436[[#This Row],[HIDRAULICO]])+V062A_203031333436[[#This Row],[FAENA EN LTS3]]</f>
        <v>1140</v>
      </c>
    </row>
    <row r="110" spans="1:37" x14ac:dyDescent="0.25">
      <c r="A110" s="431"/>
      <c r="B110" s="48"/>
      <c r="C110" s="41"/>
      <c r="D110" s="418">
        <f>IF(V062A_203031333436[[#This Row],[FECHA]]-B109=1,((V062A_203031333436[[#This Row],[HORA]]-C109)*24)+24,(V062A_203031333436[[#This Row],[HORA]]-C109)*24)</f>
        <v>0</v>
      </c>
      <c r="E110" s="473"/>
      <c r="F110" s="474"/>
      <c r="G110" s="475"/>
      <c r="H110" s="476"/>
      <c r="I11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0" s="478"/>
      <c r="K110" s="479"/>
      <c r="L110" s="483">
        <v>0</v>
      </c>
      <c r="M110" s="246">
        <v>0</v>
      </c>
      <c r="N110" s="484">
        <v>0</v>
      </c>
      <c r="O110" s="246">
        <f>SUM(V062A_203031333436[[#This Row],[MPAL]]+V062A_203031333436[[#This Row],[AUX.]]+V062A_203031333436[[#This Row],[CALDERA]])</f>
        <v>0</v>
      </c>
      <c r="P110" s="319"/>
      <c r="Q110" s="270">
        <f>(Q109-V062A_203031333436[[#This Row],[TOTAL ]])+V062A_203031333436[[#This Row],[FAENA]]</f>
        <v>475.24700000000013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SUM(V062A_203031333436[[#This Row],[MPAL2]:[GI]])</f>
        <v>0</v>
      </c>
      <c r="X110" s="246"/>
      <c r="Y110" s="300">
        <f>(Y109-V062A_203031333436[[#This Row],[TOTAL]])+V062A_203031333436[[#This Row],[FAENA2]]</f>
        <v>44.26</v>
      </c>
      <c r="Z110" s="245">
        <v>0</v>
      </c>
      <c r="AA110" s="246">
        <v>0</v>
      </c>
      <c r="AB110" s="438">
        <f>(AB109-V062A_203031333436[[#This Row],[CYLINDER MP]])+V062A_203031333436[[#This Row],[FAENA EN LTS]]</f>
        <v>2503.9</v>
      </c>
      <c r="AC110" s="246">
        <v>0</v>
      </c>
      <c r="AD110" s="246">
        <v>0</v>
      </c>
      <c r="AE110" s="438">
        <f>(AE109-V062A_203031333436[[#This Row],[CARTER MP.]])+V062A_203031333436[[#This Row],[FAENA EN LTS2]]</f>
        <v>3500</v>
      </c>
      <c r="AF110" s="246">
        <v>0</v>
      </c>
      <c r="AG110" s="246">
        <v>0</v>
      </c>
      <c r="AH110" s="438">
        <f>(AH109-V062A_203031333436[[#This Row],[MOT AUX]])+V062A_203031333436[[#This Row],[FAENA EN  LTS]]</f>
        <v>880</v>
      </c>
      <c r="AI110" s="246">
        <v>0</v>
      </c>
      <c r="AJ110" s="246">
        <v>0</v>
      </c>
      <c r="AK110" s="439">
        <f>(AK109-V062A_203031333436[[#This Row],[HIDRAULICO]])+V062A_203031333436[[#This Row],[FAENA EN LTS3]]</f>
        <v>1140</v>
      </c>
    </row>
    <row r="111" spans="1:37" x14ac:dyDescent="0.25">
      <c r="A111" s="431"/>
      <c r="B111" s="48"/>
      <c r="C111" s="41"/>
      <c r="D111" s="418">
        <f>IF(V062A_203031333436[[#This Row],[FECHA]]-B110=1,((V062A_203031333436[[#This Row],[HORA]]-C110)*24)+24,(V062A_203031333436[[#This Row],[HORA]]-C110)*24)</f>
        <v>0</v>
      </c>
      <c r="E111" s="473"/>
      <c r="F111" s="474"/>
      <c r="G111" s="475"/>
      <c r="H111" s="476"/>
      <c r="I111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1" s="478"/>
      <c r="K111" s="479"/>
      <c r="L111" s="483">
        <v>0</v>
      </c>
      <c r="M111" s="246">
        <v>0</v>
      </c>
      <c r="N111" s="484">
        <v>0</v>
      </c>
      <c r="O111" s="246">
        <f>SUM(V062A_203031333436[[#This Row],[MPAL]]+V062A_203031333436[[#This Row],[AUX.]]+V062A_203031333436[[#This Row],[CALDERA]])</f>
        <v>0</v>
      </c>
      <c r="P111" s="319"/>
      <c r="Q111" s="270">
        <f>(Q110-V062A_203031333436[[#This Row],[TOTAL ]])+V062A_203031333436[[#This Row],[FAENA]]</f>
        <v>475.24700000000013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SUM(V062A_203031333436[[#This Row],[MPAL2]:[GI]])</f>
        <v>0</v>
      </c>
      <c r="X111" s="246"/>
      <c r="Y111" s="300">
        <f>(Y110-V062A_203031333436[[#This Row],[TOTAL]])+V062A_203031333436[[#This Row],[FAENA2]]</f>
        <v>44.26</v>
      </c>
      <c r="Z111" s="245">
        <v>0</v>
      </c>
      <c r="AA111" s="246">
        <v>0</v>
      </c>
      <c r="AB111" s="438">
        <f>(AB110-V062A_203031333436[[#This Row],[CYLINDER MP]])+V062A_203031333436[[#This Row],[FAENA EN LTS]]</f>
        <v>2503.9</v>
      </c>
      <c r="AC111" s="246">
        <v>0</v>
      </c>
      <c r="AD111" s="246">
        <v>0</v>
      </c>
      <c r="AE111" s="438">
        <f>(AE110-V062A_203031333436[[#This Row],[CARTER MP.]])+V062A_203031333436[[#This Row],[FAENA EN LTS2]]</f>
        <v>3500</v>
      </c>
      <c r="AF111" s="246">
        <v>0</v>
      </c>
      <c r="AG111" s="246">
        <v>0</v>
      </c>
      <c r="AH111" s="438">
        <f>(AH110-V062A_203031333436[[#This Row],[MOT AUX]])+V062A_203031333436[[#This Row],[FAENA EN  LTS]]</f>
        <v>880</v>
      </c>
      <c r="AI111" s="246">
        <v>0</v>
      </c>
      <c r="AJ111" s="246">
        <v>0</v>
      </c>
      <c r="AK111" s="439">
        <f>(AK110-V062A_203031333436[[#This Row],[HIDRAULICO]])+V062A_203031333436[[#This Row],[FAENA EN LTS3]]</f>
        <v>1140</v>
      </c>
    </row>
    <row r="112" spans="1:37" x14ac:dyDescent="0.25">
      <c r="A112" s="431"/>
      <c r="B112" s="48"/>
      <c r="C112" s="41"/>
      <c r="D112" s="418">
        <f>IF(V062A_203031333436[[#This Row],[FECHA]]-B111=1,((V062A_203031333436[[#This Row],[HORA]]-C111)*24)+24,(V062A_203031333436[[#This Row],[HORA]]-C111)*24)</f>
        <v>0</v>
      </c>
      <c r="E112" s="473"/>
      <c r="F112" s="474"/>
      <c r="G112" s="475"/>
      <c r="H112" s="476"/>
      <c r="I112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2" s="478"/>
      <c r="K112" s="479"/>
      <c r="L112" s="483">
        <v>0</v>
      </c>
      <c r="M112" s="246">
        <v>0</v>
      </c>
      <c r="N112" s="484">
        <v>0</v>
      </c>
      <c r="O112" s="246">
        <f>SUM(V062A_203031333436[[#This Row],[MPAL]]+V062A_203031333436[[#This Row],[AUX.]]+V062A_203031333436[[#This Row],[CALDERA]])</f>
        <v>0</v>
      </c>
      <c r="P112" s="319"/>
      <c r="Q112" s="270">
        <f>(Q111-V062A_203031333436[[#This Row],[TOTAL ]])+V062A_203031333436[[#This Row],[FAENA]]</f>
        <v>475.24700000000013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SUM(V062A_203031333436[[#This Row],[MPAL2]:[GI]])</f>
        <v>0</v>
      </c>
      <c r="X112" s="246"/>
      <c r="Y112" s="300">
        <f>(Y111-V062A_203031333436[[#This Row],[TOTAL]])+V062A_203031333436[[#This Row],[FAENA2]]</f>
        <v>44.26</v>
      </c>
      <c r="Z112" s="245">
        <v>0</v>
      </c>
      <c r="AA112" s="246">
        <v>0</v>
      </c>
      <c r="AB112" s="438">
        <f>(AB111-V062A_203031333436[[#This Row],[CYLINDER MP]])+V062A_203031333436[[#This Row],[FAENA EN LTS]]</f>
        <v>2503.9</v>
      </c>
      <c r="AC112" s="246">
        <v>0</v>
      </c>
      <c r="AD112" s="246">
        <v>0</v>
      </c>
      <c r="AE112" s="438">
        <f>(AE111-V062A_203031333436[[#This Row],[CARTER MP.]])+V062A_203031333436[[#This Row],[FAENA EN LTS2]]</f>
        <v>3500</v>
      </c>
      <c r="AF112" s="246">
        <v>0</v>
      </c>
      <c r="AG112" s="246">
        <v>0</v>
      </c>
      <c r="AH112" s="438">
        <f>(AH111-V062A_203031333436[[#This Row],[MOT AUX]])+V062A_203031333436[[#This Row],[FAENA EN  LTS]]</f>
        <v>880</v>
      </c>
      <c r="AI112" s="246">
        <v>0</v>
      </c>
      <c r="AJ112" s="246">
        <v>0</v>
      </c>
      <c r="AK112" s="439">
        <f>(AK111-V062A_203031333436[[#This Row],[HIDRAULICO]])+V062A_203031333436[[#This Row],[FAENA EN LTS3]]</f>
        <v>1140</v>
      </c>
    </row>
    <row r="113" spans="1:37" x14ac:dyDescent="0.25">
      <c r="A113" s="431"/>
      <c r="B113" s="48"/>
      <c r="C113" s="41"/>
      <c r="D113" s="418">
        <f>IF(V062A_203031333436[[#This Row],[FECHA]]-B112=1,((V062A_203031333436[[#This Row],[HORA]]-C112)*24)+24,(V062A_203031333436[[#This Row],[HORA]]-C112)*24)</f>
        <v>0</v>
      </c>
      <c r="E113" s="473"/>
      <c r="F113" s="474"/>
      <c r="G113" s="475"/>
      <c r="H113" s="476"/>
      <c r="I113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3" s="478"/>
      <c r="K113" s="479"/>
      <c r="L113" s="483">
        <v>0</v>
      </c>
      <c r="M113" s="246">
        <v>0</v>
      </c>
      <c r="N113" s="484">
        <v>0</v>
      </c>
      <c r="O113" s="246">
        <f>SUM(V062A_203031333436[[#This Row],[MPAL]]+V062A_203031333436[[#This Row],[AUX.]]+V062A_203031333436[[#This Row],[CALDERA]])</f>
        <v>0</v>
      </c>
      <c r="P113" s="319"/>
      <c r="Q113" s="270">
        <f>(Q112-V062A_203031333436[[#This Row],[TOTAL ]])+V062A_203031333436[[#This Row],[FAENA]]</f>
        <v>475.24700000000013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SUM(V062A_203031333436[[#This Row],[MPAL2]:[GI]])</f>
        <v>0</v>
      </c>
      <c r="X113" s="246"/>
      <c r="Y113" s="300">
        <f>(Y112-V062A_203031333436[[#This Row],[TOTAL]])+V062A_203031333436[[#This Row],[FAENA2]]</f>
        <v>44.26</v>
      </c>
      <c r="Z113" s="245">
        <v>0</v>
      </c>
      <c r="AA113" s="246">
        <v>0</v>
      </c>
      <c r="AB113" s="438">
        <f>(AB112-V062A_203031333436[[#This Row],[CYLINDER MP]])+V062A_203031333436[[#This Row],[FAENA EN LTS]]</f>
        <v>2503.9</v>
      </c>
      <c r="AC113" s="246">
        <v>0</v>
      </c>
      <c r="AD113" s="246">
        <v>0</v>
      </c>
      <c r="AE113" s="438">
        <f>(AE112-V062A_203031333436[[#This Row],[CARTER MP.]])+V062A_203031333436[[#This Row],[FAENA EN LTS2]]</f>
        <v>3500</v>
      </c>
      <c r="AF113" s="246">
        <v>0</v>
      </c>
      <c r="AG113" s="246">
        <v>0</v>
      </c>
      <c r="AH113" s="438">
        <f>(AH112-V062A_203031333436[[#This Row],[MOT AUX]])+V062A_203031333436[[#This Row],[FAENA EN  LTS]]</f>
        <v>880</v>
      </c>
      <c r="AI113" s="246">
        <v>0</v>
      </c>
      <c r="AJ113" s="246">
        <v>0</v>
      </c>
      <c r="AK113" s="439">
        <f>(AK112-V062A_203031333436[[#This Row],[HIDRAULICO]])+V062A_203031333436[[#This Row],[FAENA EN LTS3]]</f>
        <v>1140</v>
      </c>
    </row>
    <row r="114" spans="1:37" x14ac:dyDescent="0.25">
      <c r="A114" s="431"/>
      <c r="B114" s="48"/>
      <c r="C114" s="41"/>
      <c r="D114" s="418">
        <f>IF(V062A_203031333436[[#This Row],[FECHA]]-B113=1,((V062A_203031333436[[#This Row],[HORA]]-C113)*24)+24,(V062A_203031333436[[#This Row],[HORA]]-C113)*24)</f>
        <v>0</v>
      </c>
      <c r="E114" s="444"/>
      <c r="F114" s="480"/>
      <c r="G114" s="446"/>
      <c r="H114" s="447"/>
      <c r="I114" s="448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4" s="449"/>
      <c r="K114" s="450"/>
      <c r="L114" s="483">
        <v>0</v>
      </c>
      <c r="M114" s="246">
        <v>0</v>
      </c>
      <c r="N114" s="484">
        <v>0</v>
      </c>
      <c r="O114" s="246">
        <f>SUM(V062A_203031333436[[#This Row],[MPAL]]+V062A_203031333436[[#This Row],[AUX.]]+V062A_203031333436[[#This Row],[CALDERA]])</f>
        <v>0</v>
      </c>
      <c r="P114" s="452"/>
      <c r="Q114" s="270">
        <f>(Q113-V062A_203031333436[[#This Row],[TOTAL ]])+V062A_203031333436[[#This Row],[FAENA]]</f>
        <v>475.24700000000013</v>
      </c>
      <c r="R114" s="245">
        <v>0</v>
      </c>
      <c r="S114" s="246">
        <v>0</v>
      </c>
      <c r="T114" s="246">
        <v>0</v>
      </c>
      <c r="U114" s="246">
        <v>0</v>
      </c>
      <c r="V114" s="246">
        <v>0</v>
      </c>
      <c r="W114" s="443">
        <f>SUM(V062A_203031333436[[#This Row],[MPAL2]:[GI]])</f>
        <v>0</v>
      </c>
      <c r="X114" s="443"/>
      <c r="Y114" s="300">
        <f>(Y113-V062A_203031333436[[#This Row],[TOTAL]])+V062A_203031333436[[#This Row],[FAENA2]]</f>
        <v>44.26</v>
      </c>
      <c r="Z114" s="245">
        <v>0</v>
      </c>
      <c r="AA114" s="246">
        <v>0</v>
      </c>
      <c r="AB114" s="438">
        <f>(AB113-V062A_203031333436[[#This Row],[CYLINDER MP]])+V062A_203031333436[[#This Row],[FAENA EN LTS]]</f>
        <v>2503.9</v>
      </c>
      <c r="AC114" s="246">
        <v>0</v>
      </c>
      <c r="AD114" s="246">
        <v>0</v>
      </c>
      <c r="AE114" s="438">
        <f>(AE113-V062A_203031333436[[#This Row],[CARTER MP.]])+V062A_203031333436[[#This Row],[FAENA EN LTS2]]</f>
        <v>3500</v>
      </c>
      <c r="AF114" s="246">
        <v>0</v>
      </c>
      <c r="AG114" s="246">
        <v>0</v>
      </c>
      <c r="AH114" s="438">
        <f>(AH113-V062A_203031333436[[#This Row],[MOT AUX]])+V062A_203031333436[[#This Row],[FAENA EN  LTS]]</f>
        <v>880</v>
      </c>
      <c r="AI114" s="246">
        <v>0</v>
      </c>
      <c r="AJ114" s="246">
        <v>0</v>
      </c>
      <c r="AK114" s="439">
        <f>(AK113-V062A_203031333436[[#This Row],[HIDRAULICO]])+V062A_203031333436[[#This Row],[FAENA EN LTS3]]</f>
        <v>1140</v>
      </c>
    </row>
    <row r="115" spans="1:37" x14ac:dyDescent="0.25">
      <c r="A115" s="431"/>
      <c r="B115" s="48"/>
      <c r="C115" s="41"/>
      <c r="D115" s="418">
        <f>IF(V062A_203031333436[[#This Row],[FECHA]]-B114=1,((V062A_203031333436[[#This Row],[HORA]]-C114)*24)+24,(V062A_203031333436[[#This Row],[HORA]]-C114)*24)</f>
        <v>0</v>
      </c>
      <c r="E115" s="473"/>
      <c r="F115" s="474"/>
      <c r="G115" s="475"/>
      <c r="H115" s="476"/>
      <c r="I115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5" s="478"/>
      <c r="K115" s="479"/>
      <c r="L115" s="483">
        <v>0</v>
      </c>
      <c r="M115" s="246">
        <v>0</v>
      </c>
      <c r="N115" s="484">
        <v>0</v>
      </c>
      <c r="O115" s="246">
        <f>SUM(V062A_203031333436[[#This Row],[MPAL]]+V062A_203031333436[[#This Row],[AUX.]]+V062A_203031333436[[#This Row],[CALDERA]])</f>
        <v>0</v>
      </c>
      <c r="P115" s="319"/>
      <c r="Q115" s="270">
        <f>(Q114-V062A_203031333436[[#This Row],[TOTAL ]])+V062A_203031333436[[#This Row],[FAENA]]</f>
        <v>475.24700000000013</v>
      </c>
      <c r="R115" s="245">
        <v>0</v>
      </c>
      <c r="S115" s="246">
        <v>0</v>
      </c>
      <c r="T115" s="246">
        <v>0</v>
      </c>
      <c r="U115" s="246">
        <v>0</v>
      </c>
      <c r="V115" s="246">
        <v>0</v>
      </c>
      <c r="W115" s="246">
        <f>SUM(V062A_203031333436[[#This Row],[MPAL2]:[GI]])</f>
        <v>0</v>
      </c>
      <c r="X115" s="246"/>
      <c r="Y115" s="300">
        <f>(Y114-V062A_203031333436[[#This Row],[TOTAL]])+V062A_203031333436[[#This Row],[FAENA2]]</f>
        <v>44.26</v>
      </c>
      <c r="Z115" s="245">
        <v>0</v>
      </c>
      <c r="AA115" s="246">
        <v>0</v>
      </c>
      <c r="AB115" s="438">
        <f>(AB114-V062A_203031333436[[#This Row],[CYLINDER MP]])+V062A_203031333436[[#This Row],[FAENA EN LTS]]</f>
        <v>2503.9</v>
      </c>
      <c r="AC115" s="246">
        <v>0</v>
      </c>
      <c r="AD115" s="246">
        <v>0</v>
      </c>
      <c r="AE115" s="438">
        <f>(AE114-V062A_203031333436[[#This Row],[CARTER MP.]])+V062A_203031333436[[#This Row],[FAENA EN LTS2]]</f>
        <v>3500</v>
      </c>
      <c r="AF115" s="246">
        <v>0</v>
      </c>
      <c r="AG115" s="246">
        <v>0</v>
      </c>
      <c r="AH115" s="438">
        <f>(AH114-V062A_203031333436[[#This Row],[MOT AUX]])+V062A_203031333436[[#This Row],[FAENA EN  LTS]]</f>
        <v>880</v>
      </c>
      <c r="AI115" s="246">
        <v>0</v>
      </c>
      <c r="AJ115" s="246">
        <v>0</v>
      </c>
      <c r="AK115" s="439">
        <f>(AK114-V062A_203031333436[[#This Row],[HIDRAULICO]])+V062A_203031333436[[#This Row],[FAENA EN LTS3]]</f>
        <v>1140</v>
      </c>
    </row>
    <row r="116" spans="1:37" x14ac:dyDescent="0.25">
      <c r="A116" s="431"/>
      <c r="B116" s="48"/>
      <c r="C116" s="41"/>
      <c r="D116" s="418">
        <f>IF(V062A_203031333436[[#This Row],[FECHA]]-B115=1,((V062A_203031333436[[#This Row],[HORA]]-C115)*24)+24,(V062A_203031333436[[#This Row],[HORA]]-C115)*24)</f>
        <v>0</v>
      </c>
      <c r="E116" s="473"/>
      <c r="F116" s="474"/>
      <c r="G116" s="475"/>
      <c r="H116" s="476"/>
      <c r="I116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6" s="478"/>
      <c r="K116" s="479"/>
      <c r="L116" s="483">
        <v>0</v>
      </c>
      <c r="M116" s="246">
        <v>0</v>
      </c>
      <c r="N116" s="484">
        <v>0</v>
      </c>
      <c r="O116" s="246">
        <f>SUM(V062A_203031333436[[#This Row],[MPAL]]+V062A_203031333436[[#This Row],[AUX.]]+V062A_203031333436[[#This Row],[CALDERA]])</f>
        <v>0</v>
      </c>
      <c r="P116" s="319"/>
      <c r="Q116" s="270">
        <f>(Q115-V062A_203031333436[[#This Row],[TOTAL ]])+V062A_203031333436[[#This Row],[FAENA]]</f>
        <v>475.24700000000013</v>
      </c>
      <c r="R116" s="245">
        <v>0</v>
      </c>
      <c r="S116" s="246">
        <v>0</v>
      </c>
      <c r="T116" s="246">
        <v>0</v>
      </c>
      <c r="U116" s="246">
        <v>0</v>
      </c>
      <c r="V116" s="246">
        <v>0</v>
      </c>
      <c r="W116" s="246">
        <f>SUM(V062A_203031333436[[#This Row],[MPAL2]:[GI]])</f>
        <v>0</v>
      </c>
      <c r="X116" s="246"/>
      <c r="Y116" s="300">
        <f>(Y115-V062A_203031333436[[#This Row],[TOTAL]])+V062A_203031333436[[#This Row],[FAENA2]]</f>
        <v>44.26</v>
      </c>
      <c r="Z116" s="245">
        <v>0</v>
      </c>
      <c r="AA116" s="246">
        <v>0</v>
      </c>
      <c r="AB116" s="438">
        <f>(AB115-V062A_203031333436[[#This Row],[CYLINDER MP]])+V062A_203031333436[[#This Row],[FAENA EN LTS]]</f>
        <v>2503.9</v>
      </c>
      <c r="AC116" s="246">
        <v>0</v>
      </c>
      <c r="AD116" s="246">
        <v>0</v>
      </c>
      <c r="AE116" s="438">
        <f>(AE115-V062A_203031333436[[#This Row],[CARTER MP.]])+V062A_203031333436[[#This Row],[FAENA EN LTS2]]</f>
        <v>3500</v>
      </c>
      <c r="AF116" s="246">
        <v>0</v>
      </c>
      <c r="AG116" s="246">
        <v>0</v>
      </c>
      <c r="AH116" s="438">
        <f>(AH115-V062A_203031333436[[#This Row],[MOT AUX]])+V062A_203031333436[[#This Row],[FAENA EN  LTS]]</f>
        <v>880</v>
      </c>
      <c r="AI116" s="246">
        <v>0</v>
      </c>
      <c r="AJ116" s="246">
        <v>0</v>
      </c>
      <c r="AK116" s="439">
        <f>(AK115-V062A_203031333436[[#This Row],[HIDRAULICO]])+V062A_203031333436[[#This Row],[FAENA EN LTS3]]</f>
        <v>1140</v>
      </c>
    </row>
    <row r="117" spans="1:37" x14ac:dyDescent="0.25">
      <c r="A117" s="431"/>
      <c r="B117" s="48"/>
      <c r="C117" s="41"/>
      <c r="D117" s="418">
        <f>IF(V062A_203031333436[[#This Row],[FECHA]]-B116=1,((V062A_203031333436[[#This Row],[HORA]]-C116)*24)+24,(V062A_203031333436[[#This Row],[HORA]]-C116)*24)</f>
        <v>0</v>
      </c>
      <c r="E117" s="473"/>
      <c r="F117" s="474"/>
      <c r="G117" s="475"/>
      <c r="H117" s="476"/>
      <c r="I117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7" s="478"/>
      <c r="K117" s="479"/>
      <c r="L117" s="483">
        <v>0</v>
      </c>
      <c r="M117" s="246">
        <v>0</v>
      </c>
      <c r="N117" s="484">
        <v>0</v>
      </c>
      <c r="O117" s="246">
        <f>SUM(V062A_203031333436[[#This Row],[MPAL]]+V062A_203031333436[[#This Row],[AUX.]]+V062A_203031333436[[#This Row],[CALDERA]])</f>
        <v>0</v>
      </c>
      <c r="P117" s="319"/>
      <c r="Q117" s="270">
        <f>(Q116-V062A_203031333436[[#This Row],[TOTAL ]])+V062A_203031333436[[#This Row],[FAENA]]</f>
        <v>475.24700000000013</v>
      </c>
      <c r="R117" s="245">
        <v>0</v>
      </c>
      <c r="S117" s="246">
        <v>0</v>
      </c>
      <c r="T117" s="246">
        <v>0</v>
      </c>
      <c r="U117" s="246">
        <v>0</v>
      </c>
      <c r="V117" s="246">
        <v>0</v>
      </c>
      <c r="W117" s="246">
        <f>SUM(V062A_203031333436[[#This Row],[MPAL2]:[GI]])</f>
        <v>0</v>
      </c>
      <c r="X117" s="246"/>
      <c r="Y117" s="300">
        <f>(Y116-V062A_203031333436[[#This Row],[TOTAL]])+V062A_203031333436[[#This Row],[FAENA2]]</f>
        <v>44.26</v>
      </c>
      <c r="Z117" s="245">
        <v>0</v>
      </c>
      <c r="AA117" s="246">
        <v>0</v>
      </c>
      <c r="AB117" s="438">
        <f>(AB116-V062A_203031333436[[#This Row],[CYLINDER MP]])+V062A_203031333436[[#This Row],[FAENA EN LTS]]</f>
        <v>2503.9</v>
      </c>
      <c r="AC117" s="246">
        <v>0</v>
      </c>
      <c r="AD117" s="246">
        <v>0</v>
      </c>
      <c r="AE117" s="438">
        <f>(AE116-V062A_203031333436[[#This Row],[CARTER MP.]])+V062A_203031333436[[#This Row],[FAENA EN LTS2]]</f>
        <v>3500</v>
      </c>
      <c r="AF117" s="246">
        <v>0</v>
      </c>
      <c r="AG117" s="246">
        <v>0</v>
      </c>
      <c r="AH117" s="438">
        <f>(AH116-V062A_203031333436[[#This Row],[MOT AUX]])+V062A_203031333436[[#This Row],[FAENA EN  LTS]]</f>
        <v>880</v>
      </c>
      <c r="AI117" s="246">
        <v>0</v>
      </c>
      <c r="AJ117" s="246">
        <v>0</v>
      </c>
      <c r="AK117" s="439">
        <f>(AK116-V062A_203031333436[[#This Row],[HIDRAULICO]])+V062A_203031333436[[#This Row],[FAENA EN LTS3]]</f>
        <v>1140</v>
      </c>
    </row>
    <row r="118" spans="1:37" x14ac:dyDescent="0.25">
      <c r="A118" s="431"/>
      <c r="B118" s="48"/>
      <c r="C118" s="41"/>
      <c r="D118" s="418">
        <f>IF(V062A_203031333436[[#This Row],[FECHA]]-B117=1,((V062A_203031333436[[#This Row],[HORA]]-C117)*24)+24,(V062A_203031333436[[#This Row],[HORA]]-C117)*24)</f>
        <v>0</v>
      </c>
      <c r="E118" s="473"/>
      <c r="F118" s="474"/>
      <c r="G118" s="475"/>
      <c r="H118" s="476"/>
      <c r="I118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8" s="478"/>
      <c r="K118" s="479"/>
      <c r="L118" s="483">
        <v>0</v>
      </c>
      <c r="M118" s="246">
        <v>0</v>
      </c>
      <c r="N118" s="484">
        <v>0</v>
      </c>
      <c r="O118" s="246">
        <f>SUM(V062A_203031333436[[#This Row],[MPAL]]+V062A_203031333436[[#This Row],[AUX.]]+V062A_203031333436[[#This Row],[CALDERA]])</f>
        <v>0</v>
      </c>
      <c r="P118" s="319"/>
      <c r="Q118" s="270">
        <f>(Q117-V062A_203031333436[[#This Row],[TOTAL ]])+V062A_203031333436[[#This Row],[FAENA]]</f>
        <v>475.24700000000013</v>
      </c>
      <c r="R118" s="245">
        <v>0</v>
      </c>
      <c r="S118" s="246">
        <v>0</v>
      </c>
      <c r="T118" s="246">
        <v>0</v>
      </c>
      <c r="U118" s="246">
        <v>0</v>
      </c>
      <c r="V118" s="246">
        <v>0</v>
      </c>
      <c r="W118" s="246">
        <f>SUM(V062A_203031333436[[#This Row],[MPAL2]:[GI]])</f>
        <v>0</v>
      </c>
      <c r="X118" s="246"/>
      <c r="Y118" s="300">
        <f>(Y117-V062A_203031333436[[#This Row],[TOTAL]])+V062A_203031333436[[#This Row],[FAENA2]]</f>
        <v>44.26</v>
      </c>
      <c r="Z118" s="245">
        <v>0</v>
      </c>
      <c r="AA118" s="246">
        <v>0</v>
      </c>
      <c r="AB118" s="438">
        <f>(AB117-V062A_203031333436[[#This Row],[CYLINDER MP]])+V062A_203031333436[[#This Row],[FAENA EN LTS]]</f>
        <v>2503.9</v>
      </c>
      <c r="AC118" s="246">
        <v>0</v>
      </c>
      <c r="AD118" s="246">
        <v>0</v>
      </c>
      <c r="AE118" s="438">
        <f>(AE117-V062A_203031333436[[#This Row],[CARTER MP.]])+V062A_203031333436[[#This Row],[FAENA EN LTS2]]</f>
        <v>3500</v>
      </c>
      <c r="AF118" s="246">
        <v>0</v>
      </c>
      <c r="AG118" s="246">
        <v>0</v>
      </c>
      <c r="AH118" s="438">
        <f>(AH117-V062A_203031333436[[#This Row],[MOT AUX]])+V062A_203031333436[[#This Row],[FAENA EN  LTS]]</f>
        <v>880</v>
      </c>
      <c r="AI118" s="246">
        <v>0</v>
      </c>
      <c r="AJ118" s="246">
        <v>0</v>
      </c>
      <c r="AK118" s="439">
        <f>(AK117-V062A_203031333436[[#This Row],[HIDRAULICO]])+V062A_203031333436[[#This Row],[FAENA EN LTS3]]</f>
        <v>1140</v>
      </c>
    </row>
    <row r="119" spans="1:37" x14ac:dyDescent="0.25">
      <c r="A119" s="468"/>
      <c r="B119" s="48"/>
      <c r="C119" s="41"/>
      <c r="D119" s="418">
        <f>IF(V062A_203031333436[[#This Row],[FECHA]]-B118=1,((V062A_203031333436[[#This Row],[HORA]]-C118)*24)+24,(V062A_203031333436[[#This Row],[HORA]]-C118)*24)</f>
        <v>0</v>
      </c>
      <c r="E119" s="473"/>
      <c r="F119" s="474"/>
      <c r="G119" s="475"/>
      <c r="H119" s="476"/>
      <c r="I119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19" s="478"/>
      <c r="K119" s="479"/>
      <c r="L119" s="483">
        <v>0</v>
      </c>
      <c r="M119" s="246">
        <v>0</v>
      </c>
      <c r="N119" s="484">
        <v>0</v>
      </c>
      <c r="O119" s="246">
        <f>SUM(V062A_203031333436[[#This Row],[MPAL]]+V062A_203031333436[[#This Row],[AUX.]]+V062A_203031333436[[#This Row],[CALDERA]])</f>
        <v>0</v>
      </c>
      <c r="P119" s="319"/>
      <c r="Q119" s="270">
        <f>(Q118-V062A_203031333436[[#This Row],[TOTAL ]])+V062A_203031333436[[#This Row],[FAENA]]</f>
        <v>475.24700000000013</v>
      </c>
      <c r="R119" s="245">
        <v>0</v>
      </c>
      <c r="S119" s="246">
        <v>0</v>
      </c>
      <c r="T119" s="246">
        <v>0</v>
      </c>
      <c r="U119" s="246">
        <v>0</v>
      </c>
      <c r="V119" s="246">
        <v>0</v>
      </c>
      <c r="W119" s="246">
        <f>SUM(V062A_203031333436[[#This Row],[MPAL2]:[GI]])</f>
        <v>0</v>
      </c>
      <c r="X119" s="246"/>
      <c r="Y119" s="300">
        <f>(Y118-V062A_203031333436[[#This Row],[TOTAL]])+V062A_203031333436[[#This Row],[FAENA2]]</f>
        <v>44.26</v>
      </c>
      <c r="Z119" s="245">
        <v>0</v>
      </c>
      <c r="AA119" s="246">
        <v>0</v>
      </c>
      <c r="AB119" s="438">
        <f>(AB118-V062A_203031333436[[#This Row],[CYLINDER MP]])+V062A_203031333436[[#This Row],[FAENA EN LTS]]</f>
        <v>2503.9</v>
      </c>
      <c r="AC119" s="246">
        <v>0</v>
      </c>
      <c r="AD119" s="246">
        <v>0</v>
      </c>
      <c r="AE119" s="438">
        <f>(AE118-V062A_203031333436[[#This Row],[CARTER MP.]])+V062A_203031333436[[#This Row],[FAENA EN LTS2]]</f>
        <v>3500</v>
      </c>
      <c r="AF119" s="246">
        <v>0</v>
      </c>
      <c r="AG119" s="246">
        <v>0</v>
      </c>
      <c r="AH119" s="438">
        <f>(AH118-V062A_203031333436[[#This Row],[MOT AUX]])+V062A_203031333436[[#This Row],[FAENA EN  LTS]]</f>
        <v>880</v>
      </c>
      <c r="AI119" s="246">
        <v>0</v>
      </c>
      <c r="AJ119" s="246">
        <v>0</v>
      </c>
      <c r="AK119" s="439">
        <f>(AK118-V062A_203031333436[[#This Row],[HIDRAULICO]])+V062A_203031333436[[#This Row],[FAENA EN LTS3]]</f>
        <v>1140</v>
      </c>
    </row>
    <row r="120" spans="1:37" x14ac:dyDescent="0.25">
      <c r="A120" s="468"/>
      <c r="B120" s="48"/>
      <c r="C120" s="41"/>
      <c r="D120" s="418">
        <f>IF(V062A_203031333436[[#This Row],[FECHA]]-B119=1,((V062A_203031333436[[#This Row],[HORA]]-C119)*24)+24,(V062A_203031333436[[#This Row],[HORA]]-C119)*24)</f>
        <v>0</v>
      </c>
      <c r="E120" s="473"/>
      <c r="F120" s="474"/>
      <c r="G120" s="475"/>
      <c r="H120" s="476"/>
      <c r="I120" s="477">
        <f>IF(ISERROR(V062A_203031333436[[#This Row],[DISTANCIA POR CARTA]]/V062A_203031333436[[#This Row],[TIEMPO DE NAVEGACION]]),0,V062A_203031333436[[#This Row],[DISTANCIA POR CARTA]]/V062A_203031333436[[#This Row],[TIEMPO DE NAVEGACION]])</f>
        <v>0</v>
      </c>
      <c r="J120" s="478"/>
      <c r="K120" s="479"/>
      <c r="L120" s="245"/>
      <c r="M120" s="246"/>
      <c r="N120" s="246"/>
      <c r="O120" s="246">
        <f>SUM(V062A_203031333436[[#This Row],[MPAL]]+V062A_203031333436[[#This Row],[AUX.]]+V062A_203031333436[[#This Row],[CALDERA]])</f>
        <v>0</v>
      </c>
      <c r="P120" s="319"/>
      <c r="Q120" s="270">
        <f>(Q119-V062A_203031333436[[#This Row],[TOTAL ]])+V062A_203031333436[[#This Row],[FAENA]]</f>
        <v>475.24700000000013</v>
      </c>
      <c r="R120" s="245">
        <v>0</v>
      </c>
      <c r="S120" s="246">
        <v>0</v>
      </c>
      <c r="T120" s="246">
        <v>0</v>
      </c>
      <c r="U120" s="246">
        <v>0</v>
      </c>
      <c r="V120" s="246">
        <v>0</v>
      </c>
      <c r="W120" s="246">
        <f>SUM(V062A_203031333436[[#This Row],[MPAL2]:[GI]])</f>
        <v>0</v>
      </c>
      <c r="X120" s="246"/>
      <c r="Y120" s="300">
        <f>(Y119-V062A_203031333436[[#This Row],[TOTAL]])+V062A_203031333436[[#This Row],[FAENA2]]</f>
        <v>44.26</v>
      </c>
      <c r="Z120" s="245">
        <v>0</v>
      </c>
      <c r="AA120" s="246">
        <v>0</v>
      </c>
      <c r="AB120" s="438">
        <f>(AB119-V062A_203031333436[[#This Row],[CYLINDER MP]])+V062A_203031333436[[#This Row],[FAENA EN LTS]]</f>
        <v>2503.9</v>
      </c>
      <c r="AC120" s="246">
        <v>0</v>
      </c>
      <c r="AD120" s="246">
        <v>0</v>
      </c>
      <c r="AE120" s="438">
        <f>(AE119-V062A_203031333436[[#This Row],[CARTER MP.]])+V062A_203031333436[[#This Row],[FAENA EN LTS2]]</f>
        <v>3500</v>
      </c>
      <c r="AF120" s="246">
        <v>0</v>
      </c>
      <c r="AG120" s="246">
        <v>0</v>
      </c>
      <c r="AH120" s="438">
        <f>(AH119-V062A_203031333436[[#This Row],[MOT AUX]])+V062A_203031333436[[#This Row],[FAENA EN  LTS]]</f>
        <v>880</v>
      </c>
      <c r="AI120" s="246">
        <v>0</v>
      </c>
      <c r="AJ120" s="246">
        <v>0</v>
      </c>
      <c r="AK120" s="439">
        <f>(AK119-V062A_203031333436[[#This Row],[HIDRAULICO]])+V062A_203031333436[[#This Row],[FAENA EN LTS3]]</f>
        <v>1140</v>
      </c>
    </row>
    <row r="121" spans="1:37" x14ac:dyDescent="0.25">
      <c r="A121" s="431"/>
      <c r="B121" s="469"/>
      <c r="C121" s="237"/>
      <c r="D121" s="418">
        <f>IF(V062A_203031333436[[#This Row],[FECHA]]-B120=1,((V062A_203031333436[[#This Row],[HORA]]-C120)*24)+24,(V062A_203031333436[[#This Row],[HORA]]-C120)*24)</f>
        <v>0</v>
      </c>
      <c r="E121" s="473"/>
      <c r="F121" s="474"/>
      <c r="G121" s="475"/>
      <c r="H121" s="476"/>
      <c r="I121" s="477"/>
      <c r="J121" s="478"/>
      <c r="K121" s="479"/>
      <c r="L121" s="245"/>
      <c r="M121" s="246"/>
      <c r="N121" s="246"/>
      <c r="O121" s="246"/>
      <c r="P121" s="319"/>
      <c r="Q121" s="270">
        <f>(Q120-V062A_203031333436[[#This Row],[TOTAL ]])+V062A_203031333436[[#This Row],[FAENA]]</f>
        <v>475.24700000000013</v>
      </c>
      <c r="R121" s="245"/>
      <c r="S121" s="246"/>
      <c r="T121" s="246"/>
      <c r="U121" s="246"/>
      <c r="V121" s="246"/>
      <c r="W121" s="246"/>
      <c r="X121" s="246"/>
      <c r="Y121" s="300">
        <f>(Y120-V062A_203031333436[[#This Row],[TOTAL]])+V062A_203031333436[[#This Row],[FAENA2]]</f>
        <v>44.26</v>
      </c>
      <c r="Z121" s="245"/>
      <c r="AA121" s="246"/>
      <c r="AB121" s="438">
        <f>(AB120-V062A_203031333436[[#This Row],[CYLINDER MP]])+V062A_203031333436[[#This Row],[FAENA EN LTS]]</f>
        <v>2503.9</v>
      </c>
      <c r="AC121" s="246"/>
      <c r="AD121" s="246"/>
      <c r="AE121" s="438">
        <f>(AE120-V062A_203031333436[[#This Row],[CARTER MP.]])+V062A_203031333436[[#This Row],[FAENA EN LTS2]]</f>
        <v>3500</v>
      </c>
      <c r="AF121" s="246"/>
      <c r="AG121" s="246"/>
      <c r="AH121" s="438">
        <f>(AH120-V062A_203031333436[[#This Row],[MOT AUX]])+V062A_203031333436[[#This Row],[FAENA EN  LTS]]</f>
        <v>880</v>
      </c>
      <c r="AI121" s="246"/>
      <c r="AJ121" s="246"/>
      <c r="AK121" s="439">
        <f>(AK120-V062A_203031333436[[#This Row],[HIDRAULICO]])+V062A_203031333436[[#This Row],[FAENA EN LTS3]]</f>
        <v>1140</v>
      </c>
    </row>
    <row r="122" spans="1:37" x14ac:dyDescent="0.25">
      <c r="A122" s="453"/>
      <c r="B122" s="454"/>
      <c r="C122" s="455"/>
      <c r="D122" s="481"/>
      <c r="E122" s="457"/>
      <c r="F122" s="458"/>
      <c r="G122" s="459"/>
      <c r="H122" s="460"/>
      <c r="I122" s="461"/>
      <c r="J122" s="459"/>
      <c r="K122" s="459"/>
      <c r="L122" s="68"/>
      <c r="M122" s="68"/>
      <c r="N122" s="68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x14ac:dyDescent="0.25">
      <c r="A123" s="453"/>
      <c r="B123" s="454"/>
      <c r="C123" s="455"/>
      <c r="D123" s="456"/>
      <c r="E123" s="457"/>
      <c r="F123" s="458"/>
      <c r="G123" s="459"/>
      <c r="H123" s="460"/>
      <c r="I123" s="461"/>
      <c r="J123" s="459"/>
      <c r="K123" s="459"/>
      <c r="O123" s="67">
        <f>SUM(L122:N122)</f>
        <v>0</v>
      </c>
      <c r="P123" s="462"/>
      <c r="Q123" s="456"/>
      <c r="R123" s="456"/>
      <c r="S123" s="456"/>
      <c r="T123" s="456"/>
      <c r="U123" s="456"/>
      <c r="V123" s="456"/>
      <c r="W123" s="456"/>
      <c r="X123" s="456"/>
      <c r="Y123" s="463"/>
      <c r="Z123" s="463"/>
      <c r="AA123" s="463"/>
      <c r="AB123" s="464"/>
      <c r="AC123" s="463"/>
      <c r="AD123" s="463"/>
      <c r="AE123" s="464"/>
      <c r="AF123" s="456"/>
      <c r="AG123" s="456"/>
      <c r="AH123" s="465"/>
      <c r="AI123" s="456"/>
      <c r="AJ123" s="456"/>
      <c r="AK123" s="465"/>
    </row>
    <row r="124" spans="1:37" x14ac:dyDescent="0.25">
      <c r="A124" s="453"/>
      <c r="B124" s="454"/>
      <c r="C124" s="455"/>
      <c r="D124" s="456"/>
      <c r="E124" s="457"/>
      <c r="F124" s="458"/>
      <c r="G124" s="459"/>
      <c r="H124" s="460"/>
      <c r="I124" s="461"/>
      <c r="J124" s="459"/>
      <c r="K124" s="459"/>
      <c r="L124" s="456"/>
      <c r="M124" s="456"/>
      <c r="N124" s="456"/>
      <c r="O124" s="456"/>
      <c r="P124" s="462"/>
      <c r="Q124" s="456"/>
      <c r="R124" s="456"/>
      <c r="S124" s="456"/>
      <c r="T124" s="456"/>
      <c r="U124" s="456"/>
      <c r="V124" s="456"/>
      <c r="W124" s="456"/>
      <c r="X124" s="456"/>
      <c r="Y124" s="463"/>
      <c r="Z124" s="463"/>
      <c r="AA124" s="463"/>
      <c r="AB124" s="464"/>
      <c r="AC124" s="463"/>
      <c r="AD124" s="463"/>
      <c r="AE124" s="464"/>
      <c r="AF124" s="456"/>
      <c r="AG124" s="456"/>
      <c r="AH124" s="465"/>
      <c r="AI124" s="456"/>
      <c r="AJ124" s="456"/>
      <c r="AK124" s="465"/>
    </row>
    <row r="125" spans="1:37" x14ac:dyDescent="0.25">
      <c r="A125" s="453"/>
      <c r="B125" s="454"/>
      <c r="C125" s="455"/>
      <c r="D125" s="456"/>
      <c r="E125" s="457"/>
      <c r="F125" s="458"/>
      <c r="G125" s="459"/>
      <c r="H125" s="460"/>
      <c r="I125" s="461"/>
      <c r="J125" s="459"/>
      <c r="K125" s="459"/>
      <c r="L125" s="456"/>
      <c r="M125" s="456"/>
      <c r="N125" s="456"/>
      <c r="O125" s="456"/>
      <c r="P125" s="462"/>
      <c r="Q125" s="456"/>
      <c r="R125" s="456"/>
      <c r="S125" s="456"/>
      <c r="T125" s="456"/>
      <c r="U125" s="456"/>
      <c r="V125" s="456"/>
      <c r="W125" s="456"/>
      <c r="X125" s="456"/>
      <c r="Y125" s="463"/>
      <c r="Z125" s="463"/>
      <c r="AA125" s="463"/>
      <c r="AB125" s="464"/>
      <c r="AC125" s="463"/>
      <c r="AD125" s="463"/>
      <c r="AE125" s="464"/>
      <c r="AF125" s="456"/>
      <c r="AG125" s="456"/>
      <c r="AH125" s="465"/>
      <c r="AI125" s="456"/>
      <c r="AJ125" s="456"/>
      <c r="AK125" s="465"/>
    </row>
    <row r="126" spans="1:37" ht="19.5" thickBot="1" x14ac:dyDescent="0.35">
      <c r="C126" s="69" t="s">
        <v>187</v>
      </c>
      <c r="D126" s="69"/>
      <c r="E126" s="69"/>
      <c r="F126" s="467"/>
      <c r="G126" s="69"/>
      <c r="N126" s="69"/>
      <c r="O126" s="69"/>
      <c r="Q126" s="466"/>
      <c r="S126" s="70" t="s">
        <v>188</v>
      </c>
      <c r="AF126" s="466"/>
      <c r="AG126" s="466"/>
      <c r="AH126" s="466"/>
      <c r="AI126" s="466"/>
      <c r="AJ126" s="466"/>
      <c r="AK126" s="466"/>
    </row>
    <row r="127" spans="1:37" ht="19.5" thickBot="1" x14ac:dyDescent="0.35">
      <c r="C127" s="69"/>
      <c r="D127" s="69"/>
      <c r="E127" s="69"/>
      <c r="F127" s="69"/>
      <c r="G127" s="69"/>
      <c r="N127" s="69"/>
      <c r="O127" s="69"/>
      <c r="S127" s="70"/>
    </row>
    <row r="128" spans="1:37" ht="45.75" thickBot="1" x14ac:dyDescent="0.3">
      <c r="C128" s="71" t="s">
        <v>11</v>
      </c>
      <c r="D128" s="71" t="s">
        <v>90</v>
      </c>
      <c r="E128" s="72" t="s">
        <v>91</v>
      </c>
      <c r="F128" s="72" t="s">
        <v>92</v>
      </c>
      <c r="G128" s="72" t="s">
        <v>93</v>
      </c>
      <c r="H128" s="71" t="s">
        <v>94</v>
      </c>
      <c r="I128" s="71" t="s">
        <v>95</v>
      </c>
      <c r="J128" s="71" t="s">
        <v>96</v>
      </c>
      <c r="K128" s="71" t="s">
        <v>97</v>
      </c>
      <c r="L128" s="71" t="s">
        <v>98</v>
      </c>
      <c r="M128" s="377" t="s">
        <v>99</v>
      </c>
      <c r="N128" s="75" t="s">
        <v>100</v>
      </c>
      <c r="R128" s="111" t="s">
        <v>101</v>
      </c>
      <c r="S128" s="111" t="s">
        <v>94</v>
      </c>
      <c r="T128" s="111" t="s">
        <v>102</v>
      </c>
      <c r="U128" s="111" t="s">
        <v>96</v>
      </c>
      <c r="V128" s="111" t="s">
        <v>103</v>
      </c>
      <c r="W128" s="111" t="s">
        <v>104</v>
      </c>
    </row>
    <row r="129" spans="3:23" x14ac:dyDescent="0.25">
      <c r="C129" s="77" t="s">
        <v>71</v>
      </c>
      <c r="D129" s="376">
        <f>SUMIF($E$6:$E$116,C129,$D$6:$D$116)</f>
        <v>91.15</v>
      </c>
      <c r="E129" s="279"/>
      <c r="F129" s="288"/>
      <c r="G129" s="137"/>
      <c r="H129" s="84">
        <f>SUMIF($E$6:$E$116,C129,$L$6:$L$116)+SUMIF($E$6:$E$116,C129,$M$6:$M$116)+SUMIF($E$6:$E$116,C129,$N$6:$N$116)</f>
        <v>10.690000000000001</v>
      </c>
      <c r="I129" s="139">
        <f t="shared" ref="I129:I136" si="0">IF(ISERROR(H129*24/D129),0,H129*24/D129)</f>
        <v>2.8147010422380694</v>
      </c>
      <c r="J129" s="137">
        <v>6</v>
      </c>
      <c r="K129" s="80"/>
      <c r="L129" s="38">
        <f>D129*J129/24</f>
        <v>22.787500000000005</v>
      </c>
      <c r="M129" s="80">
        <f t="shared" ref="M129:M136" si="1">L129-H129</f>
        <v>12.097500000000004</v>
      </c>
      <c r="N129" s="86"/>
      <c r="Q129" s="82"/>
      <c r="R129" s="83" t="s">
        <v>105</v>
      </c>
      <c r="S129" s="228">
        <f>SUM(V5:V116)</f>
        <v>17.419999999999998</v>
      </c>
      <c r="T129" s="84">
        <f>S129*24/($D$130+$D$136)</f>
        <v>4.182891445722861</v>
      </c>
      <c r="U129" s="84">
        <v>6</v>
      </c>
      <c r="V129" s="85">
        <f>($D$130+$D$136)*U129/24</f>
        <v>24.987499999999997</v>
      </c>
      <c r="W129" s="86">
        <f>V129-S129</f>
        <v>7.567499999999999</v>
      </c>
    </row>
    <row r="130" spans="3:23" x14ac:dyDescent="0.25">
      <c r="C130" s="87" t="s">
        <v>51</v>
      </c>
      <c r="D130" s="264">
        <f>SUMIF($E$6:$E$116,C130,$D$6:$D$116)</f>
        <v>52.099999999999994</v>
      </c>
      <c r="E130" s="264"/>
      <c r="F130" s="289"/>
      <c r="G130" s="139"/>
      <c r="H130" s="88">
        <f>SUMIF($E$6:$E$116,C130,$L$6:$L$116)+SUMIF($E$6:$E$116,C130,$M$6:$M$116)+SUMIF($E$6:$E$116,C130,$N$6:$N$116)</f>
        <v>7.15</v>
      </c>
      <c r="I130" s="139">
        <f t="shared" si="0"/>
        <v>3.293666026871402</v>
      </c>
      <c r="J130" s="139">
        <v>6</v>
      </c>
      <c r="K130" s="88"/>
      <c r="L130" s="418">
        <f t="shared" ref="L130:L136" si="2">D130*J130/24</f>
        <v>13.024999999999999</v>
      </c>
      <c r="M130" s="88">
        <f t="shared" si="1"/>
        <v>5.8749999999999982</v>
      </c>
      <c r="N130" s="121"/>
      <c r="R130" s="90" t="s">
        <v>106</v>
      </c>
      <c r="S130" s="286">
        <f>SUM(S5:S73)</f>
        <v>0</v>
      </c>
      <c r="T130" s="84">
        <f>S130*24/($D$130+$D$136)</f>
        <v>0</v>
      </c>
      <c r="U130" s="88"/>
      <c r="V130" s="88"/>
      <c r="W130" s="121"/>
    </row>
    <row r="131" spans="3:23" x14ac:dyDescent="0.25">
      <c r="C131" s="87" t="s">
        <v>61</v>
      </c>
      <c r="D131" s="264">
        <f ca="1">SUMIF($E$6:$E$117,C131,$D$6:$D$116)</f>
        <v>0</v>
      </c>
      <c r="E131" s="264">
        <f>SUMIF($E$6:$E$114,C131,$G$6:$G$114)</f>
        <v>0</v>
      </c>
      <c r="F131" s="289" t="e">
        <f ca="1">E131/D131</f>
        <v>#DIV/0!</v>
      </c>
      <c r="G131" s="139">
        <v>12</v>
      </c>
      <c r="H131" s="88">
        <f>SUMIF($E$6:$E$116,C131,$L$6:$L$116)+SUMIF($E$6:$E$116,C131,$M$6:$M$116)+SUMIF($E$6:$E$116,C131,$N$6:$N$116)</f>
        <v>0</v>
      </c>
      <c r="I131" s="139">
        <f t="shared" ca="1" si="0"/>
        <v>0</v>
      </c>
      <c r="J131" s="139">
        <v>27</v>
      </c>
      <c r="K131" s="88">
        <f>E131/G131</f>
        <v>0</v>
      </c>
      <c r="L131" s="418">
        <f>K131*J131/24</f>
        <v>0</v>
      </c>
      <c r="M131" s="88">
        <f t="shared" si="1"/>
        <v>0</v>
      </c>
      <c r="N131" s="121">
        <f ca="1">K131-D131</f>
        <v>0</v>
      </c>
      <c r="R131" s="90" t="s">
        <v>20</v>
      </c>
      <c r="S131" s="286">
        <f>SUM(T5:T114)</f>
        <v>0</v>
      </c>
      <c r="T131" s="84">
        <f>S131*24/($D$130+$D$136)</f>
        <v>0</v>
      </c>
      <c r="U131" s="88"/>
      <c r="V131" s="88"/>
      <c r="W131" s="121"/>
    </row>
    <row r="132" spans="3:23" x14ac:dyDescent="0.25">
      <c r="C132" s="87" t="s">
        <v>55</v>
      </c>
      <c r="D132" s="264">
        <f>SUMIF($E$6:$E$116,C132,$D$6:$D$116)</f>
        <v>111.4</v>
      </c>
      <c r="E132" s="264">
        <f>SUMIF($E$6:$E$121,C132,$G$6:$G$121)</f>
        <v>1495</v>
      </c>
      <c r="F132" s="289">
        <f>E132/D132</f>
        <v>13.420107719928186</v>
      </c>
      <c r="G132" s="139">
        <v>12</v>
      </c>
      <c r="H132" s="88">
        <f>SUMIF($E$6:$E$121,C132,$L$6:$L$121)+SUMIF($E$6:$E$121,C132,$M$6:$M$121)+SUMIF($E$6:$E$121,C132,$N$6:$N$121)</f>
        <v>120.33</v>
      </c>
      <c r="I132" s="139">
        <f t="shared" si="0"/>
        <v>25.923877917414721</v>
      </c>
      <c r="J132" s="139">
        <v>27</v>
      </c>
      <c r="K132" s="88">
        <f>E132/G132</f>
        <v>124.58333333333333</v>
      </c>
      <c r="L132" s="418">
        <f>K132*J132/24</f>
        <v>140.15625</v>
      </c>
      <c r="M132" s="88">
        <f t="shared" si="1"/>
        <v>19.826250000000002</v>
      </c>
      <c r="N132" s="121">
        <f>K132-D132</f>
        <v>13.183333333333323</v>
      </c>
      <c r="R132" s="90" t="s">
        <v>107</v>
      </c>
      <c r="S132" s="286">
        <f>SUM(U5:U121)</f>
        <v>0</v>
      </c>
      <c r="T132" s="84">
        <f>S132*24/($D$130+$D$136)</f>
        <v>0</v>
      </c>
      <c r="U132" s="88"/>
      <c r="V132" s="88"/>
      <c r="W132" s="121"/>
    </row>
    <row r="133" spans="3:23" ht="15.75" thickBot="1" x14ac:dyDescent="0.3">
      <c r="C133" s="87" t="s">
        <v>108</v>
      </c>
      <c r="D133" s="264">
        <f>SUMIF($E$6:$E$121,C133,$D$6:$D$121)</f>
        <v>0</v>
      </c>
      <c r="E133" s="264">
        <f>SUMIF($E$6:$E$121,C133,$G$6:$G$121)</f>
        <v>0</v>
      </c>
      <c r="F133" s="289">
        <f>IF(ISERROR(E133/D133),0,E133/D133)</f>
        <v>0</v>
      </c>
      <c r="G133" s="139">
        <v>12</v>
      </c>
      <c r="H133" s="88">
        <f>SUMIF($E$6:$E$121,C133,$L$6:$L$121)+SUMIF($E$6:$E$121,C133,$M$6:$M$121)+SUMIF($E$6:$E$121,C133,$N$6:$N$121)</f>
        <v>0</v>
      </c>
      <c r="I133" s="139">
        <f>IF(ISERROR(H133*24/D133),0,H133*24/D133)</f>
        <v>0</v>
      </c>
      <c r="J133" s="139">
        <v>27</v>
      </c>
      <c r="K133" s="88">
        <f>E133/G133</f>
        <v>0</v>
      </c>
      <c r="L133" s="418">
        <f>K133*J133/24</f>
        <v>0</v>
      </c>
      <c r="M133" s="88">
        <f t="shared" si="1"/>
        <v>0</v>
      </c>
      <c r="N133" s="121">
        <f>K133-D133</f>
        <v>0</v>
      </c>
      <c r="R133" s="92" t="s">
        <v>24</v>
      </c>
      <c r="S133" s="287">
        <f>SUM(R5:R121)</f>
        <v>0</v>
      </c>
      <c r="T133" s="84">
        <f>S133*24/($D$130+$D$136)</f>
        <v>0</v>
      </c>
      <c r="U133" s="98"/>
      <c r="V133" s="98"/>
      <c r="W133" s="122"/>
    </row>
    <row r="134" spans="3:23" x14ac:dyDescent="0.25">
      <c r="C134" s="87" t="s">
        <v>45</v>
      </c>
      <c r="D134" s="264">
        <f>SUMIF($E$6:$E$116,C134,$D$6:$D$116)</f>
        <v>9.4999999999999982</v>
      </c>
      <c r="E134" s="264"/>
      <c r="F134" s="289"/>
      <c r="G134" s="139"/>
      <c r="H134" s="88">
        <f>SUMIF($E$6:$E$121,C134,$L$6:$L$121)+SUMIF($E$6:$E$121,C134,$M$6:$M$121)+SUMIF($E$6:$E$121,C134,$N$6:$N$121)</f>
        <v>1.0699999999999998</v>
      </c>
      <c r="I134" s="139">
        <f t="shared" si="0"/>
        <v>2.7031578947368424</v>
      </c>
      <c r="J134" s="139">
        <v>6</v>
      </c>
      <c r="K134" s="88"/>
      <c r="L134" s="418">
        <f t="shared" si="2"/>
        <v>2.3749999999999996</v>
      </c>
      <c r="M134" s="88">
        <f t="shared" si="1"/>
        <v>1.3049999999999997</v>
      </c>
      <c r="N134" s="121"/>
      <c r="S134" s="68"/>
      <c r="T134" s="143"/>
      <c r="U134" s="68"/>
      <c r="V134" s="68"/>
      <c r="W134" s="68"/>
    </row>
    <row r="135" spans="3:23" x14ac:dyDescent="0.25">
      <c r="C135" s="87" t="s">
        <v>47</v>
      </c>
      <c r="D135" s="264">
        <f>SUMIF($E$6:$E$116,C135,$D$6:$D$116)</f>
        <v>24.000000000000004</v>
      </c>
      <c r="E135" s="264"/>
      <c r="F135" s="289"/>
      <c r="G135" s="139"/>
      <c r="H135" s="88">
        <f>SUMIF($E$6:$E$121,C135,$L$6:$L$121)+SUMIF($E$6:$E$121,C135,$M$6:$M$121)+SUMIF($E$6:$E$121,C135,$N$6:$N$121)</f>
        <v>10.4</v>
      </c>
      <c r="I135" s="139">
        <f t="shared" si="0"/>
        <v>10.399999999999999</v>
      </c>
      <c r="J135" s="139">
        <v>6</v>
      </c>
      <c r="K135" s="88"/>
      <c r="L135" s="418">
        <f t="shared" si="2"/>
        <v>6.0000000000000009</v>
      </c>
      <c r="M135" s="88">
        <f t="shared" si="1"/>
        <v>-4.3999999999999995</v>
      </c>
      <c r="N135" s="121"/>
      <c r="S135" s="68"/>
      <c r="T135" s="68"/>
      <c r="U135" s="68"/>
      <c r="V135" s="68"/>
      <c r="W135" s="68"/>
    </row>
    <row r="136" spans="3:23" ht="15.75" thickBot="1" x14ac:dyDescent="0.3">
      <c r="C136" s="97" t="s">
        <v>49</v>
      </c>
      <c r="D136" s="290">
        <f>SUMIF($E$6:$E$116,C136,$D$6:$D$116)</f>
        <v>47.849999999999987</v>
      </c>
      <c r="E136" s="290"/>
      <c r="F136" s="291"/>
      <c r="G136" s="140"/>
      <c r="H136" s="98">
        <f>SUMIF($E$6:$E$121,C136,$L$6:$L$121)+SUMIF($E$6:$E$121,C136,$M$6:$M$121)+SUMIF($E$6:$E$121,C136,$N$6:$N$121)</f>
        <v>5.92</v>
      </c>
      <c r="I136" s="141">
        <f t="shared" si="0"/>
        <v>2.9692789968652042</v>
      </c>
      <c r="J136" s="141">
        <v>8</v>
      </c>
      <c r="K136" s="98"/>
      <c r="L136" s="99">
        <f t="shared" si="2"/>
        <v>15.949999999999996</v>
      </c>
      <c r="M136" s="98">
        <f t="shared" si="1"/>
        <v>10.029999999999996</v>
      </c>
      <c r="N136" s="122"/>
      <c r="O136" s="68"/>
      <c r="S136" s="68"/>
      <c r="T136" s="68"/>
      <c r="U136" s="68"/>
      <c r="V136" s="68"/>
      <c r="W136" s="68"/>
    </row>
    <row r="137" spans="3:23" ht="15.75" thickBot="1" x14ac:dyDescent="0.3">
      <c r="C137" s="124"/>
      <c r="D137" s="327"/>
      <c r="E137" s="292"/>
      <c r="F137" s="293"/>
      <c r="G137" s="134"/>
      <c r="H137" s="328"/>
      <c r="I137" s="144"/>
      <c r="J137" s="144"/>
      <c r="K137" s="68"/>
      <c r="L137" s="102"/>
      <c r="M137" s="68"/>
      <c r="N137" s="145"/>
      <c r="O137" s="68"/>
      <c r="S137" s="68"/>
      <c r="T137" s="68"/>
      <c r="U137" s="68"/>
      <c r="V137" s="68"/>
      <c r="W137" s="68"/>
    </row>
    <row r="138" spans="3:23" ht="15.75" thickBot="1" x14ac:dyDescent="0.3">
      <c r="C138" s="103" t="s">
        <v>29</v>
      </c>
      <c r="D138" s="284">
        <f ca="1">SUM(D129:D136)</f>
        <v>335.99999999999994</v>
      </c>
      <c r="E138" s="284">
        <f>SUM(E129:E135)</f>
        <v>1495</v>
      </c>
      <c r="F138" s="284" t="e">
        <f ca="1">SUM(F129:F135)/2</f>
        <v>#DIV/0!</v>
      </c>
      <c r="H138" s="101">
        <f>SUM(H129:H136)</f>
        <v>155.56</v>
      </c>
      <c r="K138" s="142"/>
      <c r="L138" s="104">
        <f>SUM(L129:L136)</f>
        <v>200.29374999999999</v>
      </c>
      <c r="M138" s="101">
        <f>SUM(M129:M136)</f>
        <v>44.733750000000001</v>
      </c>
      <c r="N138" s="101">
        <f ca="1">SUM(N129:N136)</f>
        <v>13.183333333333323</v>
      </c>
      <c r="R138" s="100" t="s">
        <v>29</v>
      </c>
      <c r="S138" s="101">
        <f>SUM(S129:S133)</f>
        <v>17.419999999999998</v>
      </c>
      <c r="T138" s="101">
        <f>SUM(T129:T133)</f>
        <v>4.182891445722861</v>
      </c>
      <c r="U138" s="68"/>
      <c r="V138" s="68"/>
      <c r="W138" s="68"/>
    </row>
    <row r="147" spans="9:9" x14ac:dyDescent="0.25">
      <c r="I147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5" name="Rango12"/>
    <protectedRange sqref="AC6:AD125" name="Rango10"/>
    <protectedRange sqref="Z121:AA125" name="Rango8"/>
    <protectedRange sqref="X6:X125" name="Rango6"/>
    <protectedRange sqref="R6:V125" name="Rango5"/>
    <protectedRange sqref="P6:P125" name="Rango3"/>
    <protectedRange sqref="J124:N125 J122:K123 E8:H125 G6:H7 J6:K7 J8:N121" name="Rango2"/>
    <protectedRange sqref="B8:B28 C9:C26 C28 B29:C56 A57:C125" name="Rango1"/>
    <protectedRange sqref="B4:C4" name="Rango16"/>
    <protectedRange sqref="A6:C7 C8 A8:A56" name="Rango1_1"/>
    <protectedRange sqref="E6:F7" name="Rango2_2"/>
    <protectedRange sqref="L6:N7" name="Rango2_2_1"/>
    <protectedRange sqref="Z6:AA120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10:J43 J46:J117 J119:J125">
    <cfRule type="cellIs" dxfId="476" priority="11" operator="greaterThan">
      <formula>"S5"</formula>
    </cfRule>
  </conditionalFormatting>
  <conditionalFormatting sqref="I54:I117 I119:I125">
    <cfRule type="cellIs" dxfId="475" priority="10" operator="greaterThan">
      <formula>0</formula>
    </cfRule>
  </conditionalFormatting>
  <conditionalFormatting sqref="J9">
    <cfRule type="cellIs" dxfId="474" priority="9" operator="greaterThan">
      <formula>"S5"</formula>
    </cfRule>
  </conditionalFormatting>
  <conditionalFormatting sqref="I9">
    <cfRule type="cellIs" dxfId="473" priority="8" operator="greaterThan">
      <formula>0</formula>
    </cfRule>
  </conditionalFormatting>
  <conditionalFormatting sqref="I10:I43 I46:I53">
    <cfRule type="cellIs" dxfId="472" priority="7" operator="greaterThan">
      <formula>0</formula>
    </cfRule>
  </conditionalFormatting>
  <conditionalFormatting sqref="I6:I8">
    <cfRule type="cellIs" dxfId="471" priority="5" operator="greaterThan">
      <formula>0</formula>
    </cfRule>
  </conditionalFormatting>
  <conditionalFormatting sqref="J6:J8">
    <cfRule type="cellIs" dxfId="470" priority="6" operator="greaterThan">
      <formula>"S5"</formula>
    </cfRule>
  </conditionalFormatting>
  <conditionalFormatting sqref="J44:J45">
    <cfRule type="cellIs" dxfId="469" priority="4" operator="greaterThan">
      <formula>"S5"</formula>
    </cfRule>
  </conditionalFormatting>
  <conditionalFormatting sqref="I44:I45">
    <cfRule type="cellIs" dxfId="468" priority="3" operator="greaterThan">
      <formula>0</formula>
    </cfRule>
  </conditionalFormatting>
  <conditionalFormatting sqref="J118">
    <cfRule type="cellIs" dxfId="467" priority="2" operator="greaterThan">
      <formula>"S5"</formula>
    </cfRule>
  </conditionalFormatting>
  <conditionalFormatting sqref="I118">
    <cfRule type="cellIs" dxfId="466" priority="1" operator="greaterThan">
      <formula>0</formula>
    </cfRule>
  </conditionalFormatting>
  <dataValidations count="1">
    <dataValidation type="list" showInputMessage="1" showErrorMessage="1" sqref="E6:E125">
      <formula1>$C$129:$C$137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7"/>
  <sheetViews>
    <sheetView topLeftCell="A55" zoomScale="70" zoomScaleNormal="70" workbookViewId="0">
      <selection activeCell="F79" sqref="F79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26.1406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9" max="19" width="12.8554687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513">
        <v>44178</v>
      </c>
      <c r="C4" s="341">
        <v>0.8125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475.25</v>
      </c>
      <c r="R4" s="553" t="s">
        <v>183</v>
      </c>
      <c r="S4" s="554"/>
      <c r="T4" s="554"/>
      <c r="U4" s="554"/>
      <c r="V4" s="554"/>
      <c r="W4" s="554"/>
      <c r="X4" s="555"/>
      <c r="Y4" s="283">
        <v>44.26</v>
      </c>
      <c r="Z4" s="6"/>
      <c r="AA4" s="7" t="s">
        <v>184</v>
      </c>
      <c r="AB4" s="304">
        <v>2503.9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514" t="s">
        <v>366</v>
      </c>
      <c r="B6" s="48">
        <v>44178</v>
      </c>
      <c r="C6" s="41">
        <v>0.8666666666666667</v>
      </c>
      <c r="D6" s="418">
        <v>1.3</v>
      </c>
      <c r="E6" s="45" t="s">
        <v>47</v>
      </c>
      <c r="F6" s="29" t="s">
        <v>386</v>
      </c>
      <c r="G6" s="305"/>
      <c r="H6" s="306"/>
      <c r="I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" s="307"/>
      <c r="K6" s="308"/>
      <c r="L6" s="515">
        <v>0.54</v>
      </c>
      <c r="M6" s="418">
        <v>0.08</v>
      </c>
      <c r="N6" s="516">
        <v>7.0000000000000007E-2</v>
      </c>
      <c r="O6" s="418">
        <f>SUM(V062A_2030313334363538[[#This Row],[MPAL]]+V062A_2030313334363538[[#This Row],[AUX.]]+V062A_2030313334363538[[#This Row],[CALDERA]])</f>
        <v>0.69</v>
      </c>
      <c r="P6" s="88"/>
      <c r="Q6" s="270">
        <f>(Q4-V062A_2030313334363538[[#This Row],[TOTAL ]])+V062A_2030313334363538[[#This Row],[FAENA]]</f>
        <v>474.56</v>
      </c>
      <c r="R6" s="53">
        <v>0</v>
      </c>
      <c r="S6" s="418">
        <v>0</v>
      </c>
      <c r="T6" s="418">
        <v>0</v>
      </c>
      <c r="U6" s="418">
        <v>0</v>
      </c>
      <c r="V6" s="418">
        <v>0</v>
      </c>
      <c r="W6" s="418">
        <f>SUM(V062A_2030313334363538[[#This Row],[MPAL2]:[GI]])</f>
        <v>0</v>
      </c>
      <c r="X6" s="418"/>
      <c r="Y6" s="300">
        <f>(Y4-V062A_2030313334363538[[#This Row],[TOTAL]])+V062A_2030313334363538[[#This Row],[FAENA2]]</f>
        <v>44.26</v>
      </c>
      <c r="Z6" s="53">
        <v>13.5</v>
      </c>
      <c r="AA6" s="418">
        <v>0</v>
      </c>
      <c r="AB6" s="301">
        <f>(AB4-V062A_2030313334363538[[#This Row],[CYLINDER MP]])+V062A_2030313334363538[[#This Row],[FAENA EN LTS]]</f>
        <v>2490.4</v>
      </c>
      <c r="AC6" s="418">
        <v>0</v>
      </c>
      <c r="AD6" s="418">
        <v>0</v>
      </c>
      <c r="AE6" s="301">
        <f>(AE4-V062A_2030313334363538[[#This Row],[CARTER MP.]])+V062A_2030313334363538[[#This Row],[FAENA EN LTS2]]</f>
        <v>3500</v>
      </c>
      <c r="AF6" s="418">
        <v>0</v>
      </c>
      <c r="AG6" s="418">
        <v>0</v>
      </c>
      <c r="AH6" s="301">
        <f>(AH4-V062A_2030313334363538[[#This Row],[MOT AUX]])+V062A_2030313334363538[[#This Row],[FAENA EN  LTS]]</f>
        <v>880</v>
      </c>
      <c r="AI6" s="418">
        <v>0</v>
      </c>
      <c r="AJ6" s="418">
        <v>0</v>
      </c>
      <c r="AK6" s="302">
        <f>(AK4-V062A_2030313334363538[[#This Row],[HIDRAULICO]])+V062A_2030313334363538[[#This Row],[FAENA EN LTS3]]</f>
        <v>1140</v>
      </c>
    </row>
    <row r="7" spans="1:37" x14ac:dyDescent="0.25">
      <c r="A7" s="514" t="s">
        <v>366</v>
      </c>
      <c r="B7" s="48">
        <v>44179</v>
      </c>
      <c r="C7" s="41">
        <v>0.33333333333333331</v>
      </c>
      <c r="D7" s="418">
        <f>IF(V062A_2030313334363538[[#This Row],[FECHA]]-B6=1,((V062A_2030313334363538[[#This Row],[HORA]]-C6)*24)+24,(V062A_2030313334363538[[#This Row],[HORA]]-C6)*24)</f>
        <v>11.199999999999998</v>
      </c>
      <c r="E7" s="45" t="s">
        <v>45</v>
      </c>
      <c r="F7" s="29" t="s">
        <v>417</v>
      </c>
      <c r="G7" s="305"/>
      <c r="H7" s="306"/>
      <c r="I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7" s="307"/>
      <c r="K7" s="308"/>
      <c r="L7" s="515">
        <v>0</v>
      </c>
      <c r="M7" s="418">
        <v>0.7</v>
      </c>
      <c r="N7" s="516">
        <v>0.56000000000000005</v>
      </c>
      <c r="O7" s="418">
        <f>SUM(V062A_2030313334363538[[#This Row],[MPAL]]+V062A_2030313334363538[[#This Row],[AUX.]]+V062A_2030313334363538[[#This Row],[CALDERA]])</f>
        <v>1.26</v>
      </c>
      <c r="P7" s="88"/>
      <c r="Q7" s="270">
        <f>(Q6-V062A_2030313334363538[[#This Row],[TOTAL ]])+V062A_2030313334363538[[#This Row],[FAENA]]</f>
        <v>473.3</v>
      </c>
      <c r="R7" s="53">
        <v>0</v>
      </c>
      <c r="S7" s="418">
        <v>0</v>
      </c>
      <c r="T7" s="418">
        <v>0</v>
      </c>
      <c r="U7" s="418">
        <v>0</v>
      </c>
      <c r="V7" s="418">
        <v>0</v>
      </c>
      <c r="W7" s="418">
        <f>SUM(V062A_2030313334363538[[#This Row],[MPAL2]:[GI]])</f>
        <v>0</v>
      </c>
      <c r="X7" s="418"/>
      <c r="Y7" s="300">
        <f>(Y6-V062A_2030313334363538[[#This Row],[TOTAL]])+V062A_2030313334363538[[#This Row],[FAENA2]]</f>
        <v>44.26</v>
      </c>
      <c r="Z7" s="53">
        <v>0</v>
      </c>
      <c r="AA7" s="418">
        <v>0</v>
      </c>
      <c r="AB7" s="301">
        <f>(AB6-V062A_2030313334363538[[#This Row],[CYLINDER MP]])+V062A_2030313334363538[[#This Row],[FAENA EN LTS]]</f>
        <v>2490.4</v>
      </c>
      <c r="AC7" s="418">
        <v>0</v>
      </c>
      <c r="AD7" s="418">
        <v>0</v>
      </c>
      <c r="AE7" s="301">
        <f>(AE6-V062A_2030313334363538[[#This Row],[CARTER MP.]])+V062A_2030313334363538[[#This Row],[FAENA EN LTS2]]</f>
        <v>3500</v>
      </c>
      <c r="AF7" s="418">
        <v>0</v>
      </c>
      <c r="AG7" s="418">
        <v>0</v>
      </c>
      <c r="AH7" s="301">
        <f>(AH6-V062A_2030313334363538[[#This Row],[MOT AUX]])+V062A_2030313334363538[[#This Row],[FAENA EN  LTS]]</f>
        <v>880</v>
      </c>
      <c r="AI7" s="418">
        <v>0</v>
      </c>
      <c r="AJ7" s="418">
        <v>0</v>
      </c>
      <c r="AK7" s="302">
        <f>(AK6-V062A_2030313334363538[[#This Row],[HIDRAULICO]])+V062A_2030313334363538[[#This Row],[FAENA EN LTS3]]</f>
        <v>1140</v>
      </c>
    </row>
    <row r="8" spans="1:37" x14ac:dyDescent="0.25">
      <c r="A8" s="514" t="s">
        <v>366</v>
      </c>
      <c r="B8" s="48">
        <v>44180</v>
      </c>
      <c r="C8" s="41">
        <v>0.33333333333333331</v>
      </c>
      <c r="D8" s="418">
        <f>IF(V062A_2030313334363538[[#This Row],[FECHA]]-B7=1,((V062A_2030313334363538[[#This Row],[HORA]]-C7)*24)+24,(V062A_2030313334363538[[#This Row],[HORA]]-C7)*24)</f>
        <v>24</v>
      </c>
      <c r="E8" s="45" t="s">
        <v>45</v>
      </c>
      <c r="F8" s="66" t="s">
        <v>417</v>
      </c>
      <c r="G8" s="305"/>
      <c r="H8" s="306"/>
      <c r="I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8" s="307"/>
      <c r="K8" s="308"/>
      <c r="L8" s="515">
        <v>0</v>
      </c>
      <c r="M8" s="418">
        <v>1.5</v>
      </c>
      <c r="N8" s="516">
        <v>3.3</v>
      </c>
      <c r="O8" s="418">
        <f>SUM(V062A_2030313334363538[[#This Row],[MPAL]]+V062A_2030313334363538[[#This Row],[AUX.]]+V062A_2030313334363538[[#This Row],[CALDERA]])</f>
        <v>4.8</v>
      </c>
      <c r="P8" s="88"/>
      <c r="Q8" s="270">
        <f>(Q7-V062A_2030313334363538[[#This Row],[TOTAL ]])+V062A_2030313334363538[[#This Row],[FAENA]]</f>
        <v>468.5</v>
      </c>
      <c r="R8" s="53">
        <v>0</v>
      </c>
      <c r="S8" s="418">
        <v>0</v>
      </c>
      <c r="T8" s="418">
        <v>0</v>
      </c>
      <c r="U8" s="418">
        <v>0</v>
      </c>
      <c r="V8" s="418">
        <v>2.5</v>
      </c>
      <c r="W8" s="418">
        <f>SUM(V062A_2030313334363538[[#This Row],[MPAL2]:[GI]])</f>
        <v>2.5</v>
      </c>
      <c r="X8" s="418"/>
      <c r="Y8" s="300">
        <f>(Y7-V062A_2030313334363538[[#This Row],[TOTAL]])+V062A_2030313334363538[[#This Row],[FAENA2]]</f>
        <v>41.76</v>
      </c>
      <c r="Z8" s="53">
        <v>0</v>
      </c>
      <c r="AA8" s="418">
        <v>0</v>
      </c>
      <c r="AB8" s="301">
        <f>(AB7-V062A_2030313334363538[[#This Row],[CYLINDER MP]])+V062A_2030313334363538[[#This Row],[FAENA EN LTS]]</f>
        <v>2490.4</v>
      </c>
      <c r="AC8" s="418">
        <v>0</v>
      </c>
      <c r="AD8" s="418">
        <v>0</v>
      </c>
      <c r="AE8" s="301">
        <f>(AE7-V062A_2030313334363538[[#This Row],[CARTER MP.]])+V062A_2030313334363538[[#This Row],[FAENA EN LTS2]]</f>
        <v>3500</v>
      </c>
      <c r="AF8" s="418">
        <v>20</v>
      </c>
      <c r="AG8" s="418">
        <v>0</v>
      </c>
      <c r="AH8" s="301">
        <f>(AH7-V062A_2030313334363538[[#This Row],[MOT AUX]])+V062A_2030313334363538[[#This Row],[FAENA EN  LTS]]</f>
        <v>860</v>
      </c>
      <c r="AI8" s="418">
        <v>0</v>
      </c>
      <c r="AJ8" s="418">
        <v>0</v>
      </c>
      <c r="AK8" s="302">
        <f>(AK7-V062A_2030313334363538[[#This Row],[HIDRAULICO]])+V062A_2030313334363538[[#This Row],[FAENA EN LTS3]]</f>
        <v>1140</v>
      </c>
    </row>
    <row r="9" spans="1:37" x14ac:dyDescent="0.25">
      <c r="A9" s="514" t="s">
        <v>366</v>
      </c>
      <c r="B9" s="48">
        <v>44181</v>
      </c>
      <c r="C9" s="41">
        <v>0.33333333333333331</v>
      </c>
      <c r="D9" s="418">
        <f>IF(V062A_2030313334363538[[#This Row],[FECHA]]-B8=1,((V062A_2030313334363538[[#This Row],[HORA]]-C8)*24)+24,(V062A_2030313334363538[[#This Row],[HORA]]-C8)*24)</f>
        <v>24</v>
      </c>
      <c r="E9" s="45" t="s">
        <v>45</v>
      </c>
      <c r="F9" s="66" t="s">
        <v>417</v>
      </c>
      <c r="G9" s="305"/>
      <c r="H9" s="306"/>
      <c r="I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9" s="307"/>
      <c r="K9" s="308"/>
      <c r="L9" s="515">
        <v>0</v>
      </c>
      <c r="M9" s="418">
        <v>1.5</v>
      </c>
      <c r="N9" s="516">
        <v>1.2</v>
      </c>
      <c r="O9" s="38">
        <f>SUM(V062A_2030313334363538[[#This Row],[MPAL]]+V062A_2030313334363538[[#This Row],[AUX.]]+V062A_2030313334363538[[#This Row],[CALDERA]])</f>
        <v>2.7</v>
      </c>
      <c r="P9" s="88"/>
      <c r="Q9" s="281">
        <f>(Q8-V062A_2030313334363538[[#This Row],[TOTAL ]])+V062A_2030313334363538[[#This Row],[FAENA]]</f>
        <v>465.8</v>
      </c>
      <c r="R9" s="53">
        <v>0</v>
      </c>
      <c r="S9" s="418">
        <v>0</v>
      </c>
      <c r="T9" s="418">
        <v>0</v>
      </c>
      <c r="U9" s="418">
        <v>0</v>
      </c>
      <c r="V9" s="418">
        <v>0</v>
      </c>
      <c r="W9" s="38">
        <f>SUM(V062A_2030313334363538[[#This Row],[MPAL2]:[GI]])</f>
        <v>0</v>
      </c>
      <c r="X9" s="418"/>
      <c r="Y9" s="282">
        <f>(Y8-V062A_2030313334363538[[#This Row],[TOTAL]])+V062A_2030313334363538[[#This Row],[FAENA2]]</f>
        <v>41.76</v>
      </c>
      <c r="Z9" s="53">
        <v>0</v>
      </c>
      <c r="AA9" s="418">
        <v>0</v>
      </c>
      <c r="AB9" s="421">
        <f>(AB8-V062A_2030313334363538[[#This Row],[CYLINDER MP]])+V062A_2030313334363538[[#This Row],[FAENA EN LTS]]</f>
        <v>2490.4</v>
      </c>
      <c r="AC9" s="418">
        <v>0</v>
      </c>
      <c r="AD9" s="418">
        <v>0</v>
      </c>
      <c r="AE9" s="421">
        <f>(AE8-V062A_2030313334363538[[#This Row],[CARTER MP.]])+V062A_2030313334363538[[#This Row],[FAENA EN LTS2]]</f>
        <v>3500</v>
      </c>
      <c r="AF9" s="418">
        <v>0</v>
      </c>
      <c r="AG9" s="418">
        <v>0</v>
      </c>
      <c r="AH9" s="421">
        <f>(AH8-V062A_2030313334363538[[#This Row],[MOT AUX]])+V062A_2030313334363538[[#This Row],[FAENA EN  LTS]]</f>
        <v>860</v>
      </c>
      <c r="AI9" s="418">
        <v>0</v>
      </c>
      <c r="AJ9" s="418">
        <v>0</v>
      </c>
      <c r="AK9" s="517">
        <f>(AK8-V062A_2030313334363538[[#This Row],[HIDRAULICO]])+V062A_2030313334363538[[#This Row],[FAENA EN LTS3]]</f>
        <v>1140</v>
      </c>
    </row>
    <row r="10" spans="1:37" x14ac:dyDescent="0.25">
      <c r="A10" s="514" t="s">
        <v>366</v>
      </c>
      <c r="B10" s="48">
        <v>44182</v>
      </c>
      <c r="C10" s="41">
        <v>0.33333333333333331</v>
      </c>
      <c r="D10" s="418">
        <f>IF(V062A_2030313334363538[[#This Row],[FECHA]]-B9=1,((V062A_2030313334363538[[#This Row],[HORA]]-C9)*24)+24,(V062A_2030313334363538[[#This Row],[HORA]]-C9)*24)</f>
        <v>24</v>
      </c>
      <c r="E10" s="45" t="s">
        <v>45</v>
      </c>
      <c r="F10" s="66" t="s">
        <v>417</v>
      </c>
      <c r="G10" s="305"/>
      <c r="H10" s="306"/>
      <c r="I1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0" s="307"/>
      <c r="K10" s="308"/>
      <c r="L10" s="515">
        <v>0</v>
      </c>
      <c r="M10" s="418">
        <v>1.5</v>
      </c>
      <c r="N10" s="516">
        <v>1.2</v>
      </c>
      <c r="O10" s="38">
        <f>SUM(V062A_2030313334363538[[#This Row],[MPAL]]+V062A_2030313334363538[[#This Row],[AUX.]]+V062A_2030313334363538[[#This Row],[CALDERA]])</f>
        <v>2.7</v>
      </c>
      <c r="P10" s="88"/>
      <c r="Q10" s="281">
        <f>(Q9-V062A_2030313334363538[[#This Row],[TOTAL ]])+V062A_2030313334363538[[#This Row],[FAENA]]</f>
        <v>463.1</v>
      </c>
      <c r="R10" s="53">
        <v>0</v>
      </c>
      <c r="S10" s="418">
        <v>0</v>
      </c>
      <c r="T10" s="418">
        <v>0</v>
      </c>
      <c r="U10" s="418">
        <v>0</v>
      </c>
      <c r="V10" s="418">
        <v>3.5</v>
      </c>
      <c r="W10" s="38">
        <f>SUM(V062A_2030313334363538[[#This Row],[MPAL2]:[GI]])</f>
        <v>3.5</v>
      </c>
      <c r="X10" s="418"/>
      <c r="Y10" s="282">
        <f>(Y9-V062A_2030313334363538[[#This Row],[TOTAL]])+V062A_2030313334363538[[#This Row],[FAENA2]]</f>
        <v>38.26</v>
      </c>
      <c r="Z10" s="53">
        <v>0</v>
      </c>
      <c r="AA10" s="418">
        <v>0</v>
      </c>
      <c r="AB10" s="421">
        <f>(AB9-V062A_2030313334363538[[#This Row],[CYLINDER MP]])+V062A_2030313334363538[[#This Row],[FAENA EN LTS]]</f>
        <v>2490.4</v>
      </c>
      <c r="AC10" s="418">
        <v>0</v>
      </c>
      <c r="AD10" s="418">
        <v>0</v>
      </c>
      <c r="AE10" s="421">
        <f>(AE9-V062A_2030313334363538[[#This Row],[CARTER MP.]])+V062A_2030313334363538[[#This Row],[FAENA EN LTS2]]</f>
        <v>3500</v>
      </c>
      <c r="AF10" s="418">
        <v>0</v>
      </c>
      <c r="AG10" s="418">
        <v>0</v>
      </c>
      <c r="AH10" s="421">
        <f>(AH9-V062A_2030313334363538[[#This Row],[MOT AUX]])+V062A_2030313334363538[[#This Row],[FAENA EN  LTS]]</f>
        <v>860</v>
      </c>
      <c r="AI10" s="418">
        <v>0</v>
      </c>
      <c r="AJ10" s="418">
        <v>0</v>
      </c>
      <c r="AK10" s="517">
        <f>(AK9-V062A_2030313334363538[[#This Row],[HIDRAULICO]])+V062A_2030313334363538[[#This Row],[FAENA EN LTS3]]</f>
        <v>1140</v>
      </c>
    </row>
    <row r="11" spans="1:37" x14ac:dyDescent="0.25">
      <c r="A11" s="514" t="s">
        <v>366</v>
      </c>
      <c r="B11" s="48">
        <v>44182</v>
      </c>
      <c r="C11" s="41">
        <v>0.35416666666666669</v>
      </c>
      <c r="D11" s="418">
        <f>IF(V062A_2030313334363538[[#This Row],[FECHA]]-B10=1,((V062A_2030313334363538[[#This Row],[HORA]]-C10)*24)+24,(V062A_2030313334363538[[#This Row],[HORA]]-C10)*24)</f>
        <v>0.50000000000000089</v>
      </c>
      <c r="E11" s="45" t="s">
        <v>45</v>
      </c>
      <c r="F11" s="29" t="s">
        <v>46</v>
      </c>
      <c r="G11" s="305"/>
      <c r="H11" s="306"/>
      <c r="I1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1" s="307"/>
      <c r="K11" s="308"/>
      <c r="L11" s="515">
        <v>0</v>
      </c>
      <c r="M11" s="418">
        <v>0.04</v>
      </c>
      <c r="N11" s="516">
        <v>0.03</v>
      </c>
      <c r="O11" s="38">
        <f>SUM(V062A_2030313334363538[[#This Row],[MPAL]]+V062A_2030313334363538[[#This Row],[AUX.]]+V062A_2030313334363538[[#This Row],[CALDERA]])</f>
        <v>7.0000000000000007E-2</v>
      </c>
      <c r="P11" s="88"/>
      <c r="Q11" s="281">
        <f>(Q10-V062A_2030313334363538[[#This Row],[TOTAL ]])+V062A_2030313334363538[[#This Row],[FAENA]]</f>
        <v>463.03000000000003</v>
      </c>
      <c r="R11" s="53">
        <v>0</v>
      </c>
      <c r="S11" s="418">
        <v>0</v>
      </c>
      <c r="T11" s="418">
        <v>0</v>
      </c>
      <c r="U11" s="418">
        <v>0</v>
      </c>
      <c r="V11" s="418">
        <v>0.13</v>
      </c>
      <c r="W11" s="38">
        <f>SUM(V062A_2030313334363538[[#This Row],[MPAL2]:[GI]])</f>
        <v>0.13</v>
      </c>
      <c r="X11" s="418"/>
      <c r="Y11" s="282">
        <f>(Y10-V062A_2030313334363538[[#This Row],[TOTAL]])+V062A_2030313334363538[[#This Row],[FAENA2]]</f>
        <v>38.129999999999995</v>
      </c>
      <c r="Z11" s="53">
        <v>0</v>
      </c>
      <c r="AA11" s="418">
        <v>0</v>
      </c>
      <c r="AB11" s="421">
        <f>(AB10-V062A_2030313334363538[[#This Row],[CYLINDER MP]])+V062A_2030313334363538[[#This Row],[FAENA EN LTS]]</f>
        <v>2490.4</v>
      </c>
      <c r="AC11" s="418">
        <v>0</v>
      </c>
      <c r="AD11" s="418">
        <v>0</v>
      </c>
      <c r="AE11" s="421">
        <f>(AE10-V062A_2030313334363538[[#This Row],[CARTER MP.]])+V062A_2030313334363538[[#This Row],[FAENA EN LTS2]]</f>
        <v>3500</v>
      </c>
      <c r="AF11" s="418">
        <v>0</v>
      </c>
      <c r="AG11" s="418">
        <v>0</v>
      </c>
      <c r="AH11" s="421">
        <f>(AH10-V062A_2030313334363538[[#This Row],[MOT AUX]])+V062A_2030313334363538[[#This Row],[FAENA EN  LTS]]</f>
        <v>860</v>
      </c>
      <c r="AI11" s="418">
        <v>0</v>
      </c>
      <c r="AJ11" s="418">
        <v>0</v>
      </c>
      <c r="AK11" s="517">
        <f>(AK10-V062A_2030313334363538[[#This Row],[HIDRAULICO]])+V062A_2030313334363538[[#This Row],[FAENA EN LTS3]]</f>
        <v>1140</v>
      </c>
    </row>
    <row r="12" spans="1:37" x14ac:dyDescent="0.25">
      <c r="A12" s="514" t="s">
        <v>366</v>
      </c>
      <c r="B12" s="48">
        <v>44182</v>
      </c>
      <c r="C12" s="41">
        <v>0.42499999999999999</v>
      </c>
      <c r="D12" s="418">
        <f>IF(V062A_2030313334363538[[#This Row],[FECHA]]-B11=1,((V062A_2030313334363538[[#This Row],[HORA]]-C11)*24)+24,(V062A_2030313334363538[[#This Row],[HORA]]-C11)*24)</f>
        <v>1.6999999999999993</v>
      </c>
      <c r="E12" s="45" t="s">
        <v>47</v>
      </c>
      <c r="F12" s="29" t="s">
        <v>384</v>
      </c>
      <c r="G12" s="305"/>
      <c r="H12" s="306"/>
      <c r="I1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2" s="307"/>
      <c r="K12" s="308"/>
      <c r="L12" s="515">
        <v>0.71</v>
      </c>
      <c r="M12" s="418">
        <v>0.11</v>
      </c>
      <c r="N12" s="516">
        <v>0.09</v>
      </c>
      <c r="O12" s="38">
        <f>SUM(V062A_2030313334363538[[#This Row],[MPAL]]+V062A_2030313334363538[[#This Row],[AUX.]]+V062A_2030313334363538[[#This Row],[CALDERA]])</f>
        <v>0.90999999999999992</v>
      </c>
      <c r="P12" s="88"/>
      <c r="Q12" s="281">
        <f>(Q11-V062A_2030313334363538[[#This Row],[TOTAL ]])+V062A_2030313334363538[[#This Row],[FAENA]]</f>
        <v>462.12</v>
      </c>
      <c r="R12" s="53">
        <v>0</v>
      </c>
      <c r="S12" s="418">
        <v>0</v>
      </c>
      <c r="T12" s="418">
        <v>0</v>
      </c>
      <c r="U12" s="418">
        <v>0</v>
      </c>
      <c r="V12" s="418">
        <v>0.43</v>
      </c>
      <c r="W12" s="38">
        <f>SUM(V062A_2030313334363538[[#This Row],[MPAL2]:[GI]])</f>
        <v>0.43</v>
      </c>
      <c r="X12" s="418"/>
      <c r="Y12" s="282">
        <f>(Y11-V062A_2030313334363538[[#This Row],[TOTAL]])+V062A_2030313334363538[[#This Row],[FAENA2]]</f>
        <v>37.699999999999996</v>
      </c>
      <c r="Z12" s="53">
        <v>18</v>
      </c>
      <c r="AA12" s="418">
        <v>0</v>
      </c>
      <c r="AB12" s="421">
        <f>(AB11-V062A_2030313334363538[[#This Row],[CYLINDER MP]])+V062A_2030313334363538[[#This Row],[FAENA EN LTS]]</f>
        <v>2472.4</v>
      </c>
      <c r="AC12" s="418">
        <v>0</v>
      </c>
      <c r="AD12" s="418">
        <v>0</v>
      </c>
      <c r="AE12" s="421">
        <f>(AE11-V062A_2030313334363538[[#This Row],[CARTER MP.]])+V062A_2030313334363538[[#This Row],[FAENA EN LTS2]]</f>
        <v>3500</v>
      </c>
      <c r="AF12" s="418">
        <v>20</v>
      </c>
      <c r="AG12" s="418">
        <v>0</v>
      </c>
      <c r="AH12" s="421">
        <f>(AH11-V062A_2030313334363538[[#This Row],[MOT AUX]])+V062A_2030313334363538[[#This Row],[FAENA EN  LTS]]</f>
        <v>840</v>
      </c>
      <c r="AI12" s="418">
        <v>0</v>
      </c>
      <c r="AJ12" s="418">
        <v>0</v>
      </c>
      <c r="AK12" s="517">
        <f>(AK11-V062A_2030313334363538[[#This Row],[HIDRAULICO]])+V062A_2030313334363538[[#This Row],[FAENA EN LTS3]]</f>
        <v>1140</v>
      </c>
    </row>
    <row r="13" spans="1:37" x14ac:dyDescent="0.25">
      <c r="A13" s="514" t="s">
        <v>366</v>
      </c>
      <c r="B13" s="48">
        <v>44182</v>
      </c>
      <c r="C13" s="41">
        <v>0.52777777777777779</v>
      </c>
      <c r="D13" s="418">
        <f>IF(V062A_2030313334363538[[#This Row],[FECHA]]-B12=1,((V062A_2030313334363538[[#This Row],[HORA]]-C12)*24)+24,(V062A_2030313334363538[[#This Row],[HORA]]-C12)*24)</f>
        <v>2.4666666666666672</v>
      </c>
      <c r="E13" s="45" t="s">
        <v>49</v>
      </c>
      <c r="F13" s="29" t="s">
        <v>50</v>
      </c>
      <c r="G13" s="305"/>
      <c r="H13" s="306"/>
      <c r="I1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3" s="307"/>
      <c r="K13" s="308"/>
      <c r="L13" s="515">
        <v>0</v>
      </c>
      <c r="M13" s="418">
        <v>0.15</v>
      </c>
      <c r="N13" s="516">
        <v>0.12</v>
      </c>
      <c r="O13" s="38">
        <f>SUM(V062A_2030313334363538[[#This Row],[MPAL]]+V062A_2030313334363538[[#This Row],[AUX.]]+V062A_2030313334363538[[#This Row],[CALDERA]])</f>
        <v>0.27</v>
      </c>
      <c r="P13" s="88"/>
      <c r="Q13" s="281">
        <f>(Q12-V062A_2030313334363538[[#This Row],[TOTAL ]])+V062A_2030313334363538[[#This Row],[FAENA]]</f>
        <v>461.85</v>
      </c>
      <c r="R13" s="53">
        <v>0</v>
      </c>
      <c r="S13" s="418">
        <v>0</v>
      </c>
      <c r="T13" s="418">
        <v>0</v>
      </c>
      <c r="U13" s="418">
        <v>0</v>
      </c>
      <c r="V13" s="418">
        <v>0.63</v>
      </c>
      <c r="W13" s="38">
        <f>SUM(V062A_2030313334363538[[#This Row],[MPAL2]:[GI]])</f>
        <v>0.63</v>
      </c>
      <c r="X13" s="418"/>
      <c r="Y13" s="282">
        <f>(Y12-V062A_2030313334363538[[#This Row],[TOTAL]])+V062A_2030313334363538[[#This Row],[FAENA2]]</f>
        <v>37.069999999999993</v>
      </c>
      <c r="Z13" s="53">
        <v>0</v>
      </c>
      <c r="AA13" s="418">
        <v>0</v>
      </c>
      <c r="AB13" s="421">
        <f>(AB12-V062A_2030313334363538[[#This Row],[CYLINDER MP]])+V062A_2030313334363538[[#This Row],[FAENA EN LTS]]</f>
        <v>2472.4</v>
      </c>
      <c r="AC13" s="418">
        <v>0</v>
      </c>
      <c r="AD13" s="418">
        <v>0</v>
      </c>
      <c r="AE13" s="421">
        <f>(AE12-V062A_2030313334363538[[#This Row],[CARTER MP.]])+V062A_2030313334363538[[#This Row],[FAENA EN LTS2]]</f>
        <v>3500</v>
      </c>
      <c r="AF13" s="418">
        <v>0</v>
      </c>
      <c r="AG13" s="418">
        <v>0</v>
      </c>
      <c r="AH13" s="421">
        <f>(AH12-V062A_2030313334363538[[#This Row],[MOT AUX]])+V062A_2030313334363538[[#This Row],[FAENA EN  LTS]]</f>
        <v>840</v>
      </c>
      <c r="AI13" s="418">
        <v>0</v>
      </c>
      <c r="AJ13" s="418">
        <v>0</v>
      </c>
      <c r="AK13" s="517">
        <f>(AK12-V062A_2030313334363538[[#This Row],[HIDRAULICO]])+V062A_2030313334363538[[#This Row],[FAENA EN LTS3]]</f>
        <v>1140</v>
      </c>
    </row>
    <row r="14" spans="1:37" x14ac:dyDescent="0.25">
      <c r="A14" s="514" t="s">
        <v>366</v>
      </c>
      <c r="B14" s="48">
        <v>44182</v>
      </c>
      <c r="C14" s="41">
        <v>0.95833333333333337</v>
      </c>
      <c r="D14" s="418">
        <f>IF(V062A_2030313334363538[[#This Row],[FECHA]]-B13=1,((V062A_2030313334363538[[#This Row],[HORA]]-C13)*24)+24,(V062A_2030313334363538[[#This Row],[HORA]]-C13)*24)</f>
        <v>10.333333333333334</v>
      </c>
      <c r="E14" s="45" t="s">
        <v>51</v>
      </c>
      <c r="F14" s="29" t="s">
        <v>418</v>
      </c>
      <c r="G14" s="305"/>
      <c r="H14" s="306"/>
      <c r="I1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4" s="307"/>
      <c r="K14" s="308"/>
      <c r="L14" s="515">
        <v>0</v>
      </c>
      <c r="M14" s="418">
        <v>0.86</v>
      </c>
      <c r="N14" s="516">
        <v>0.52</v>
      </c>
      <c r="O14" s="38">
        <f>SUM(V062A_2030313334363538[[#This Row],[MPAL]]+V062A_2030313334363538[[#This Row],[AUX.]]+V062A_2030313334363538[[#This Row],[CALDERA]])</f>
        <v>1.38</v>
      </c>
      <c r="P14" s="88"/>
      <c r="Q14" s="281">
        <f>(Q13-V062A_2030313334363538[[#This Row],[TOTAL ]])+V062A_2030313334363538[[#This Row],[FAENA]]</f>
        <v>460.47</v>
      </c>
      <c r="R14" s="53">
        <v>0</v>
      </c>
      <c r="S14" s="418">
        <v>0</v>
      </c>
      <c r="T14" s="418">
        <v>0</v>
      </c>
      <c r="U14" s="418">
        <v>0</v>
      </c>
      <c r="V14" s="418">
        <v>2.58</v>
      </c>
      <c r="W14" s="38">
        <f>SUM(V062A_2030313334363538[[#This Row],[MPAL2]:[GI]])</f>
        <v>2.58</v>
      </c>
      <c r="X14" s="418"/>
      <c r="Y14" s="282">
        <f>(Y13-V062A_2030313334363538[[#This Row],[TOTAL]])+V062A_2030313334363538[[#This Row],[FAENA2]]</f>
        <v>34.489999999999995</v>
      </c>
      <c r="Z14" s="53">
        <v>0</v>
      </c>
      <c r="AA14" s="418">
        <v>0</v>
      </c>
      <c r="AB14" s="421">
        <f>(AB13-V062A_2030313334363538[[#This Row],[CYLINDER MP]])+V062A_2030313334363538[[#This Row],[FAENA EN LTS]]</f>
        <v>2472.4</v>
      </c>
      <c r="AC14" s="418">
        <v>0</v>
      </c>
      <c r="AD14" s="418">
        <v>0</v>
      </c>
      <c r="AE14" s="421">
        <f>(AE13-V062A_2030313334363538[[#This Row],[CARTER MP.]])+V062A_2030313334363538[[#This Row],[FAENA EN LTS2]]</f>
        <v>3500</v>
      </c>
      <c r="AF14" s="418">
        <v>0</v>
      </c>
      <c r="AG14" s="418">
        <v>0</v>
      </c>
      <c r="AH14" s="421">
        <f>(AH13-V062A_2030313334363538[[#This Row],[MOT AUX]])+V062A_2030313334363538[[#This Row],[FAENA EN  LTS]]</f>
        <v>840</v>
      </c>
      <c r="AI14" s="418">
        <v>0</v>
      </c>
      <c r="AJ14" s="418">
        <v>0</v>
      </c>
      <c r="AK14" s="517">
        <f>(AK13-V062A_2030313334363538[[#This Row],[HIDRAULICO]])+V062A_2030313334363538[[#This Row],[FAENA EN LTS3]]</f>
        <v>1140</v>
      </c>
    </row>
    <row r="15" spans="1:37" x14ac:dyDescent="0.25">
      <c r="A15" s="514" t="s">
        <v>366</v>
      </c>
      <c r="B15" s="48">
        <v>44183</v>
      </c>
      <c r="C15" s="41">
        <v>0.33333333333333331</v>
      </c>
      <c r="D15" s="418">
        <f>IF(V062A_2030313334363538[[#This Row],[FECHA]]-B14=1,((V062A_2030313334363538[[#This Row],[HORA]]-C14)*24)+24,(V062A_2030313334363538[[#This Row],[HORA]]-C14)*24)</f>
        <v>9</v>
      </c>
      <c r="E15" s="45" t="s">
        <v>71</v>
      </c>
      <c r="F15" s="29" t="s">
        <v>388</v>
      </c>
      <c r="G15" s="305"/>
      <c r="H15" s="306"/>
      <c r="I1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5" s="307"/>
      <c r="K15" s="308"/>
      <c r="L15" s="515">
        <v>0</v>
      </c>
      <c r="M15" s="418">
        <v>0.56000000000000005</v>
      </c>
      <c r="N15" s="516">
        <v>0.45</v>
      </c>
      <c r="O15" s="38">
        <f>SUM(V062A_2030313334363538[[#This Row],[MPAL]]+V062A_2030313334363538[[#This Row],[AUX.]]+V062A_2030313334363538[[#This Row],[CALDERA]])</f>
        <v>1.01</v>
      </c>
      <c r="P15" s="88"/>
      <c r="Q15" s="281">
        <f>(Q14-V062A_2030313334363538[[#This Row],[TOTAL ]])+V062A_2030313334363538[[#This Row],[FAENA]]</f>
        <v>459.46000000000004</v>
      </c>
      <c r="R15" s="53">
        <v>0</v>
      </c>
      <c r="S15" s="418">
        <v>0</v>
      </c>
      <c r="T15" s="418">
        <v>0</v>
      </c>
      <c r="U15" s="418">
        <v>0</v>
      </c>
      <c r="V15" s="418">
        <v>0</v>
      </c>
      <c r="W15" s="38">
        <f>SUM(V062A_2030313334363538[[#This Row],[MPAL2]:[GI]])</f>
        <v>0</v>
      </c>
      <c r="X15" s="418"/>
      <c r="Y15" s="282">
        <f>(Y14-V062A_2030313334363538[[#This Row],[TOTAL]])+V062A_2030313334363538[[#This Row],[FAENA2]]</f>
        <v>34.489999999999995</v>
      </c>
      <c r="Z15" s="53">
        <v>0</v>
      </c>
      <c r="AA15" s="418">
        <v>0</v>
      </c>
      <c r="AB15" s="421">
        <f>(AB14-V062A_2030313334363538[[#This Row],[CYLINDER MP]])+V062A_2030313334363538[[#This Row],[FAENA EN LTS]]</f>
        <v>2472.4</v>
      </c>
      <c r="AC15" s="418">
        <v>0</v>
      </c>
      <c r="AD15" s="418">
        <v>0</v>
      </c>
      <c r="AE15" s="421">
        <f>(AE14-V062A_2030313334363538[[#This Row],[CARTER MP.]])+V062A_2030313334363538[[#This Row],[FAENA EN LTS2]]</f>
        <v>3500</v>
      </c>
      <c r="AF15" s="418">
        <v>0</v>
      </c>
      <c r="AG15" s="418">
        <v>0</v>
      </c>
      <c r="AH15" s="421">
        <f>(AH14-V062A_2030313334363538[[#This Row],[MOT AUX]])+V062A_2030313334363538[[#This Row],[FAENA EN  LTS]]</f>
        <v>840</v>
      </c>
      <c r="AI15" s="418">
        <v>0</v>
      </c>
      <c r="AJ15" s="418">
        <v>0</v>
      </c>
      <c r="AK15" s="517">
        <f>(AK14-V062A_2030313334363538[[#This Row],[HIDRAULICO]])+V062A_2030313334363538[[#This Row],[FAENA EN LTS3]]</f>
        <v>1140</v>
      </c>
    </row>
    <row r="16" spans="1:37" x14ac:dyDescent="0.25">
      <c r="A16" s="514" t="s">
        <v>366</v>
      </c>
      <c r="B16" s="48">
        <v>44183</v>
      </c>
      <c r="C16" s="41">
        <v>0.79513888888888884</v>
      </c>
      <c r="D16" s="418">
        <f>IF(V062A_2030313334363538[[#This Row],[FECHA]]-B15=1,((V062A_2030313334363538[[#This Row],[HORA]]-C15)*24)+24,(V062A_2030313334363538[[#This Row],[HORA]]-C15)*24)</f>
        <v>11.083333333333332</v>
      </c>
      <c r="E16" s="45" t="s">
        <v>71</v>
      </c>
      <c r="F16" s="29" t="s">
        <v>419</v>
      </c>
      <c r="G16" s="305"/>
      <c r="H16" s="306"/>
      <c r="I1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6" s="307"/>
      <c r="K16" s="308"/>
      <c r="L16" s="515">
        <v>0</v>
      </c>
      <c r="M16" s="418">
        <v>0.69</v>
      </c>
      <c r="N16" s="516">
        <v>0.55000000000000004</v>
      </c>
      <c r="O16" s="38">
        <f>SUM(V062A_2030313334363538[[#This Row],[MPAL]]+V062A_2030313334363538[[#This Row],[AUX.]]+V062A_2030313334363538[[#This Row],[CALDERA]])</f>
        <v>1.24</v>
      </c>
      <c r="P16" s="418"/>
      <c r="Q16" s="281">
        <f>(Q15-V062A_2030313334363538[[#This Row],[TOTAL ]])+V062A_2030313334363538[[#This Row],[FAENA]]</f>
        <v>458.22</v>
      </c>
      <c r="R16" s="53">
        <v>0</v>
      </c>
      <c r="S16" s="418">
        <v>0</v>
      </c>
      <c r="T16" s="418">
        <v>0</v>
      </c>
      <c r="U16" s="418">
        <v>0</v>
      </c>
      <c r="V16" s="418">
        <v>0</v>
      </c>
      <c r="W16" s="38">
        <f>SUM(V062A_2030313334363538[[#This Row],[MPAL2]:[GI]])</f>
        <v>0</v>
      </c>
      <c r="X16" s="418"/>
      <c r="Y16" s="282">
        <f>(Y15-V062A_2030313334363538[[#This Row],[TOTAL]])+V062A_2030313334363538[[#This Row],[FAENA2]]</f>
        <v>34.489999999999995</v>
      </c>
      <c r="Z16" s="53">
        <v>0</v>
      </c>
      <c r="AA16" s="418">
        <v>0</v>
      </c>
      <c r="AB16" s="421">
        <f>(AB15-V062A_2030313334363538[[#This Row],[CYLINDER MP]])+V062A_2030313334363538[[#This Row],[FAENA EN LTS]]</f>
        <v>2472.4</v>
      </c>
      <c r="AC16" s="418">
        <v>0</v>
      </c>
      <c r="AD16" s="418">
        <v>0</v>
      </c>
      <c r="AE16" s="421">
        <f>(AE15-V062A_2030313334363538[[#This Row],[CARTER MP.]])+V062A_2030313334363538[[#This Row],[FAENA EN LTS2]]</f>
        <v>3500</v>
      </c>
      <c r="AF16" s="418">
        <v>0</v>
      </c>
      <c r="AG16" s="418">
        <v>0</v>
      </c>
      <c r="AH16" s="421">
        <f>(AH15-V062A_2030313334363538[[#This Row],[MOT AUX]])+V062A_2030313334363538[[#This Row],[FAENA EN  LTS]]</f>
        <v>840</v>
      </c>
      <c r="AI16" s="418">
        <v>0</v>
      </c>
      <c r="AJ16" s="418">
        <v>0</v>
      </c>
      <c r="AK16" s="517">
        <f>(AK15-V062A_2030313334363538[[#This Row],[HIDRAULICO]])+V062A_2030313334363538[[#This Row],[FAENA EN LTS3]]</f>
        <v>1140</v>
      </c>
    </row>
    <row r="17" spans="1:37" x14ac:dyDescent="0.25">
      <c r="A17" s="514" t="s">
        <v>366</v>
      </c>
      <c r="B17" s="48">
        <v>44184</v>
      </c>
      <c r="C17" s="41">
        <v>5.4166666666666669E-2</v>
      </c>
      <c r="D17" s="418">
        <f>IF(V062A_2030313334363538[[#This Row],[FECHA]]-B16=1,((V062A_2030313334363538[[#This Row],[HORA]]-C16)*24)+24,(V062A_2030313334363538[[#This Row],[HORA]]-C16)*24)</f>
        <v>6.2166666666666686</v>
      </c>
      <c r="E17" s="45" t="s">
        <v>49</v>
      </c>
      <c r="F17" s="29" t="s">
        <v>46</v>
      </c>
      <c r="G17" s="305"/>
      <c r="H17" s="306"/>
      <c r="I1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7" s="307"/>
      <c r="K17" s="308"/>
      <c r="L17" s="515">
        <v>0</v>
      </c>
      <c r="M17" s="418">
        <v>0.52</v>
      </c>
      <c r="N17" s="516">
        <v>0.31</v>
      </c>
      <c r="O17" s="38">
        <f>SUM(V062A_2030313334363538[[#This Row],[MPAL]]+V062A_2030313334363538[[#This Row],[AUX.]]+V062A_2030313334363538[[#This Row],[CALDERA]])</f>
        <v>0.83000000000000007</v>
      </c>
      <c r="P17" s="88"/>
      <c r="Q17" s="281">
        <f>(Q16-V062A_2030313334363538[[#This Row],[TOTAL ]])+V062A_2030313334363538[[#This Row],[FAENA]]</f>
        <v>457.39000000000004</v>
      </c>
      <c r="R17" s="53">
        <v>0</v>
      </c>
      <c r="S17" s="418">
        <v>0</v>
      </c>
      <c r="T17" s="418">
        <v>0</v>
      </c>
      <c r="U17" s="418">
        <v>0</v>
      </c>
      <c r="V17" s="418">
        <v>0</v>
      </c>
      <c r="W17" s="38">
        <f>SUM(V062A_2030313334363538[[#This Row],[MPAL2]:[GI]])</f>
        <v>0</v>
      </c>
      <c r="X17" s="418"/>
      <c r="Y17" s="282">
        <f>(Y16-V062A_2030313334363538[[#This Row],[TOTAL]])+V062A_2030313334363538[[#This Row],[FAENA2]]</f>
        <v>34.489999999999995</v>
      </c>
      <c r="Z17" s="53">
        <v>0</v>
      </c>
      <c r="AA17" s="418">
        <v>0</v>
      </c>
      <c r="AB17" s="421">
        <f>(AB16-V062A_2030313334363538[[#This Row],[CYLINDER MP]])+V062A_2030313334363538[[#This Row],[FAENA EN LTS]]</f>
        <v>2472.4</v>
      </c>
      <c r="AC17" s="418">
        <v>0</v>
      </c>
      <c r="AD17" s="418">
        <v>0</v>
      </c>
      <c r="AE17" s="421">
        <f>(AE16-V062A_2030313334363538[[#This Row],[CARTER MP.]])+V062A_2030313334363538[[#This Row],[FAENA EN LTS2]]</f>
        <v>3500</v>
      </c>
      <c r="AF17" s="418">
        <v>0</v>
      </c>
      <c r="AG17" s="418">
        <v>0</v>
      </c>
      <c r="AH17" s="421">
        <f>(AH16-V062A_2030313334363538[[#This Row],[MOT AUX]])+V062A_2030313334363538[[#This Row],[FAENA EN  LTS]]</f>
        <v>840</v>
      </c>
      <c r="AI17" s="418">
        <v>0</v>
      </c>
      <c r="AJ17" s="418">
        <v>0</v>
      </c>
      <c r="AK17" s="517">
        <f>(AK16-V062A_2030313334363538[[#This Row],[HIDRAULICO]])+V062A_2030313334363538[[#This Row],[FAENA EN LTS3]]</f>
        <v>1140</v>
      </c>
    </row>
    <row r="18" spans="1:37" x14ac:dyDescent="0.25">
      <c r="A18" s="514" t="s">
        <v>366</v>
      </c>
      <c r="B18" s="48">
        <v>44184</v>
      </c>
      <c r="C18" s="41">
        <v>9.1666666666666674E-2</v>
      </c>
      <c r="D18" s="418">
        <f>IF(V062A_2030313334363538[[#This Row],[FECHA]]-B17=1,((V062A_2030313334363538[[#This Row],[HORA]]-C17)*24)+24,(V062A_2030313334363538[[#This Row],[HORA]]-C17)*24)</f>
        <v>0.90000000000000013</v>
      </c>
      <c r="E18" s="45" t="s">
        <v>47</v>
      </c>
      <c r="F18" s="29" t="s">
        <v>277</v>
      </c>
      <c r="G18" s="305"/>
      <c r="H18" s="306"/>
      <c r="I1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18" s="307"/>
      <c r="K18" s="308"/>
      <c r="L18" s="515">
        <v>0.38</v>
      </c>
      <c r="M18" s="418">
        <v>0.06</v>
      </c>
      <c r="N18" s="516">
        <v>0.05</v>
      </c>
      <c r="O18" s="38">
        <f>SUM(V062A_2030313334363538[[#This Row],[MPAL]]+V062A_2030313334363538[[#This Row],[AUX.]]+V062A_2030313334363538[[#This Row],[CALDERA]])</f>
        <v>0.49</v>
      </c>
      <c r="P18" s="88"/>
      <c r="Q18" s="281">
        <f>(Q17-V062A_2030313334363538[[#This Row],[TOTAL ]])+V062A_2030313334363538[[#This Row],[FAENA]]</f>
        <v>456.90000000000003</v>
      </c>
      <c r="R18" s="53">
        <v>0</v>
      </c>
      <c r="S18" s="418">
        <v>0</v>
      </c>
      <c r="T18" s="418">
        <v>0</v>
      </c>
      <c r="U18" s="418">
        <v>0</v>
      </c>
      <c r="V18" s="418">
        <v>0</v>
      </c>
      <c r="W18" s="38">
        <f>SUM(V062A_2030313334363538[[#This Row],[MPAL2]:[GI]])</f>
        <v>0</v>
      </c>
      <c r="X18" s="418"/>
      <c r="Y18" s="282">
        <f>(Y17-V062A_2030313334363538[[#This Row],[TOTAL]])+V062A_2030313334363538[[#This Row],[FAENA2]]</f>
        <v>34.489999999999995</v>
      </c>
      <c r="Z18" s="53">
        <v>9.4</v>
      </c>
      <c r="AA18" s="418">
        <v>0</v>
      </c>
      <c r="AB18" s="421">
        <f>(AB17-V062A_2030313334363538[[#This Row],[CYLINDER MP]])+V062A_2030313334363538[[#This Row],[FAENA EN LTS]]</f>
        <v>2463</v>
      </c>
      <c r="AC18" s="418">
        <v>0</v>
      </c>
      <c r="AD18" s="418">
        <v>0</v>
      </c>
      <c r="AE18" s="421">
        <f>(AE17-V062A_2030313334363538[[#This Row],[CARTER MP.]])+V062A_2030313334363538[[#This Row],[FAENA EN LTS2]]</f>
        <v>3500</v>
      </c>
      <c r="AF18" s="418">
        <v>0</v>
      </c>
      <c r="AG18" s="418">
        <v>0</v>
      </c>
      <c r="AH18" s="421">
        <f>(AH17-V062A_2030313334363538[[#This Row],[MOT AUX]])+V062A_2030313334363538[[#This Row],[FAENA EN  LTS]]</f>
        <v>840</v>
      </c>
      <c r="AI18" s="418">
        <v>0</v>
      </c>
      <c r="AJ18" s="418">
        <v>0</v>
      </c>
      <c r="AK18" s="517">
        <f>(AK17-V062A_2030313334363538[[#This Row],[HIDRAULICO]])+V062A_2030313334363538[[#This Row],[FAENA EN LTS3]]</f>
        <v>1140</v>
      </c>
    </row>
    <row r="19" spans="1:37" x14ac:dyDescent="0.25">
      <c r="A19" s="514" t="s">
        <v>366</v>
      </c>
      <c r="B19" s="48">
        <v>44184</v>
      </c>
      <c r="C19" s="41">
        <v>0.33333333333333331</v>
      </c>
      <c r="D19" s="418">
        <f>IF(V062A_2030313334363538[[#This Row],[FECHA]]-B18=1,((V062A_2030313334363538[[#This Row],[HORA]]-C18)*24)+24,(V062A_2030313334363538[[#This Row],[HORA]]-C18)*24)</f>
        <v>5.7999999999999989</v>
      </c>
      <c r="E19" s="45" t="s">
        <v>55</v>
      </c>
      <c r="F19" s="29" t="s">
        <v>56</v>
      </c>
      <c r="G19" s="305">
        <v>71.599999999999994</v>
      </c>
      <c r="H19" s="306">
        <v>5.8</v>
      </c>
      <c r="I1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12.344827586206897</v>
      </c>
      <c r="J19" s="307">
        <v>4</v>
      </c>
      <c r="K19" s="308">
        <v>97</v>
      </c>
      <c r="L19" s="515">
        <v>5.56</v>
      </c>
      <c r="M19" s="418">
        <v>0.36</v>
      </c>
      <c r="N19" s="516">
        <v>0.28999999999999998</v>
      </c>
      <c r="O19" s="38">
        <f>SUM(V062A_2030313334363538[[#This Row],[MPAL]]+V062A_2030313334363538[[#This Row],[AUX.]]+V062A_2030313334363538[[#This Row],[CALDERA]])</f>
        <v>6.21</v>
      </c>
      <c r="P19" s="88"/>
      <c r="Q19" s="281">
        <f>(Q18-V062A_2030313334363538[[#This Row],[TOTAL ]])+V062A_2030313334363538[[#This Row],[FAENA]]</f>
        <v>450.69000000000005</v>
      </c>
      <c r="R19" s="53">
        <v>0</v>
      </c>
      <c r="S19" s="418">
        <v>0</v>
      </c>
      <c r="T19" s="418">
        <v>0</v>
      </c>
      <c r="U19" s="418">
        <v>0</v>
      </c>
      <c r="V19" s="418">
        <v>0</v>
      </c>
      <c r="W19" s="38">
        <f>SUM(V062A_2030313334363538[[#This Row],[MPAL2]:[GI]])</f>
        <v>0</v>
      </c>
      <c r="X19" s="418"/>
      <c r="Y19" s="282">
        <f>(Y18-V062A_2030313334363538[[#This Row],[TOTAL]])+V062A_2030313334363538[[#This Row],[FAENA2]]</f>
        <v>34.489999999999995</v>
      </c>
      <c r="Z19" s="53">
        <v>60.4</v>
      </c>
      <c r="AA19" s="418">
        <v>0</v>
      </c>
      <c r="AB19" s="421">
        <f>(AB18-V062A_2030313334363538[[#This Row],[CYLINDER MP]])+V062A_2030313334363538[[#This Row],[FAENA EN LTS]]</f>
        <v>2402.6</v>
      </c>
      <c r="AC19" s="418">
        <v>0</v>
      </c>
      <c r="AD19" s="418">
        <v>0</v>
      </c>
      <c r="AE19" s="421">
        <f>(AE18-V062A_2030313334363538[[#This Row],[CARTER MP.]])+V062A_2030313334363538[[#This Row],[FAENA EN LTS2]]</f>
        <v>3500</v>
      </c>
      <c r="AF19" s="418">
        <v>20</v>
      </c>
      <c r="AG19" s="418">
        <v>0</v>
      </c>
      <c r="AH19" s="421">
        <f>(AH18-V062A_2030313334363538[[#This Row],[MOT AUX]])+V062A_2030313334363538[[#This Row],[FAENA EN  LTS]]</f>
        <v>820</v>
      </c>
      <c r="AI19" s="418">
        <v>0</v>
      </c>
      <c r="AJ19" s="418">
        <v>0</v>
      </c>
      <c r="AK19" s="517">
        <f>(AK18-V062A_2030313334363538[[#This Row],[HIDRAULICO]])+V062A_2030313334363538[[#This Row],[FAENA EN LTS3]]</f>
        <v>1140</v>
      </c>
    </row>
    <row r="20" spans="1:37" x14ac:dyDescent="0.25">
      <c r="A20" s="514" t="s">
        <v>366</v>
      </c>
      <c r="B20" s="48">
        <v>44185</v>
      </c>
      <c r="C20" s="41">
        <v>0.24166666666666667</v>
      </c>
      <c r="D20" s="418">
        <f>IF(V062A_2030313334363538[[#This Row],[FECHA]]-B19=1,((V062A_2030313334363538[[#This Row],[HORA]]-C19)*24)+24,(V062A_2030313334363538[[#This Row],[HORA]]-C19)*24)</f>
        <v>21.8</v>
      </c>
      <c r="E20" s="45" t="s">
        <v>55</v>
      </c>
      <c r="F20" s="29" t="s">
        <v>142</v>
      </c>
      <c r="G20" s="305">
        <v>271.39999999999998</v>
      </c>
      <c r="H20" s="306">
        <v>21.8</v>
      </c>
      <c r="I2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12.449541284403669</v>
      </c>
      <c r="J20" s="307">
        <v>4</v>
      </c>
      <c r="K20" s="308">
        <v>97</v>
      </c>
      <c r="L20" s="515">
        <v>20.89</v>
      </c>
      <c r="M20" s="418">
        <v>1.82</v>
      </c>
      <c r="N20" s="516">
        <v>1.18</v>
      </c>
      <c r="O20" s="38">
        <f>SUM(V062A_2030313334363538[[#This Row],[MPAL]]+V062A_2030313334363538[[#This Row],[AUX.]]+V062A_2030313334363538[[#This Row],[CALDERA]])</f>
        <v>23.89</v>
      </c>
      <c r="P20" s="88"/>
      <c r="Q20" s="281">
        <f>(Q19-V062A_2030313334363538[[#This Row],[TOTAL ]])+V062A_2030313334363538[[#This Row],[FAENA]]</f>
        <v>426.80000000000007</v>
      </c>
      <c r="R20" s="53">
        <v>0</v>
      </c>
      <c r="S20" s="418">
        <v>0</v>
      </c>
      <c r="T20" s="418">
        <v>0</v>
      </c>
      <c r="U20" s="418">
        <v>0</v>
      </c>
      <c r="V20" s="418">
        <v>0</v>
      </c>
      <c r="W20" s="38">
        <f>SUM(V062A_2030313334363538[[#This Row],[MPAL2]:[GI]])</f>
        <v>0</v>
      </c>
      <c r="X20" s="418"/>
      <c r="Y20" s="282">
        <f>(Y19-V062A_2030313334363538[[#This Row],[TOTAL]])+V062A_2030313334363538[[#This Row],[FAENA2]]</f>
        <v>34.489999999999995</v>
      </c>
      <c r="Z20" s="53">
        <v>227</v>
      </c>
      <c r="AA20" s="418">
        <v>0</v>
      </c>
      <c r="AB20" s="421">
        <f>(AB19-V062A_2030313334363538[[#This Row],[CYLINDER MP]])+V062A_2030313334363538[[#This Row],[FAENA EN LTS]]</f>
        <v>2175.6</v>
      </c>
      <c r="AC20" s="418">
        <v>0</v>
      </c>
      <c r="AD20" s="418">
        <v>0</v>
      </c>
      <c r="AE20" s="421">
        <f>(AE19-V062A_2030313334363538[[#This Row],[CARTER MP.]])+V062A_2030313334363538[[#This Row],[FAENA EN LTS2]]</f>
        <v>3500</v>
      </c>
      <c r="AF20" s="418">
        <v>0</v>
      </c>
      <c r="AG20" s="418">
        <v>0</v>
      </c>
      <c r="AH20" s="421">
        <f>(AH19-V062A_2030313334363538[[#This Row],[MOT AUX]])+V062A_2030313334363538[[#This Row],[FAENA EN  LTS]]</f>
        <v>820</v>
      </c>
      <c r="AI20" s="418">
        <v>0</v>
      </c>
      <c r="AJ20" s="418">
        <v>0</v>
      </c>
      <c r="AK20" s="517">
        <f>(AK19-V062A_2030313334363538[[#This Row],[HIDRAULICO]])+V062A_2030313334363538[[#This Row],[FAENA EN LTS3]]</f>
        <v>1140</v>
      </c>
    </row>
    <row r="21" spans="1:37" x14ac:dyDescent="0.25">
      <c r="A21" s="514" t="s">
        <v>366</v>
      </c>
      <c r="B21" s="48">
        <v>44185</v>
      </c>
      <c r="C21" s="41">
        <v>0.27499999999999997</v>
      </c>
      <c r="D21" s="418">
        <f>IF(V062A_2030313334363538[[#This Row],[FECHA]]-B20=1,((V062A_2030313334363538[[#This Row],[HORA]]-C20)*24)+24,(V062A_2030313334363538[[#This Row],[HORA]]-C20)*24)</f>
        <v>0.79999999999999916</v>
      </c>
      <c r="E21" s="45" t="s">
        <v>47</v>
      </c>
      <c r="F21" s="29" t="s">
        <v>420</v>
      </c>
      <c r="G21" s="305"/>
      <c r="H21" s="306"/>
      <c r="I2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1" s="307"/>
      <c r="K21" s="308"/>
      <c r="L21" s="515">
        <v>0.33</v>
      </c>
      <c r="M21" s="418">
        <v>0.05</v>
      </c>
      <c r="N21" s="516">
        <v>0.04</v>
      </c>
      <c r="O21" s="38">
        <f>SUM(V062A_2030313334363538[[#This Row],[MPAL]]+V062A_2030313334363538[[#This Row],[AUX.]]+V062A_2030313334363538[[#This Row],[CALDERA]])</f>
        <v>0.42</v>
      </c>
      <c r="P21" s="88"/>
      <c r="Q21" s="281">
        <f>(Q20-V062A_2030313334363538[[#This Row],[TOTAL ]])+V062A_2030313334363538[[#This Row],[FAENA]]</f>
        <v>426.38000000000005</v>
      </c>
      <c r="R21" s="53">
        <v>0</v>
      </c>
      <c r="S21" s="418">
        <v>0</v>
      </c>
      <c r="T21" s="418">
        <v>0</v>
      </c>
      <c r="U21" s="418">
        <v>0</v>
      </c>
      <c r="V21" s="418">
        <v>0</v>
      </c>
      <c r="W21" s="38">
        <f>SUM(V062A_2030313334363538[[#This Row],[MPAL2]:[GI]])</f>
        <v>0</v>
      </c>
      <c r="X21" s="418"/>
      <c r="Y21" s="282">
        <f>(Y20-V062A_2030313334363538[[#This Row],[TOTAL]])+V062A_2030313334363538[[#This Row],[FAENA2]]</f>
        <v>34.489999999999995</v>
      </c>
      <c r="Z21" s="53">
        <v>8.3000000000000007</v>
      </c>
      <c r="AA21" s="418">
        <v>0</v>
      </c>
      <c r="AB21" s="421">
        <f>(AB20-V062A_2030313334363538[[#This Row],[CYLINDER MP]])+V062A_2030313334363538[[#This Row],[FAENA EN LTS]]</f>
        <v>2167.2999999999997</v>
      </c>
      <c r="AC21" s="418">
        <v>0</v>
      </c>
      <c r="AD21" s="418">
        <v>0</v>
      </c>
      <c r="AE21" s="421">
        <f>(AE20-V062A_2030313334363538[[#This Row],[CARTER MP.]])+V062A_2030313334363538[[#This Row],[FAENA EN LTS2]]</f>
        <v>3500</v>
      </c>
      <c r="AF21" s="418">
        <v>0</v>
      </c>
      <c r="AG21" s="418">
        <v>0</v>
      </c>
      <c r="AH21" s="421">
        <f>(AH20-V062A_2030313334363538[[#This Row],[MOT AUX]])+V062A_2030313334363538[[#This Row],[FAENA EN  LTS]]</f>
        <v>820</v>
      </c>
      <c r="AI21" s="418">
        <v>0</v>
      </c>
      <c r="AJ21" s="418">
        <v>0</v>
      </c>
      <c r="AK21" s="517">
        <f>(AK20-V062A_2030313334363538[[#This Row],[HIDRAULICO]])+V062A_2030313334363538[[#This Row],[FAENA EN LTS3]]</f>
        <v>1140</v>
      </c>
    </row>
    <row r="22" spans="1:37" x14ac:dyDescent="0.25">
      <c r="A22" s="514" t="s">
        <v>366</v>
      </c>
      <c r="B22" s="48">
        <v>44185</v>
      </c>
      <c r="C22" s="41">
        <v>0.33333333333333331</v>
      </c>
      <c r="D22" s="418">
        <f>IF(V062A_2030313334363538[[#This Row],[FECHA]]-B21=1,((V062A_2030313334363538[[#This Row],[HORA]]-C21)*24)+24,(V062A_2030313334363538[[#This Row],[HORA]]-C21)*24)</f>
        <v>1.4000000000000004</v>
      </c>
      <c r="E22" s="45" t="s">
        <v>45</v>
      </c>
      <c r="F22" s="29" t="s">
        <v>375</v>
      </c>
      <c r="G22" s="305"/>
      <c r="H22" s="306"/>
      <c r="I2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2" s="307"/>
      <c r="K22" s="308"/>
      <c r="L22" s="515">
        <v>0</v>
      </c>
      <c r="M22" s="418">
        <v>0.09</v>
      </c>
      <c r="N22" s="516">
        <v>7.0000000000000007E-2</v>
      </c>
      <c r="O22" s="38">
        <f>SUM(V062A_2030313334363538[[#This Row],[MPAL]]+V062A_2030313334363538[[#This Row],[AUX.]]+V062A_2030313334363538[[#This Row],[CALDERA]])</f>
        <v>0.16</v>
      </c>
      <c r="P22" s="88"/>
      <c r="Q22" s="281">
        <f>(Q21-V062A_2030313334363538[[#This Row],[TOTAL ]])+V062A_2030313334363538[[#This Row],[FAENA]]</f>
        <v>426.22</v>
      </c>
      <c r="R22" s="53">
        <v>0</v>
      </c>
      <c r="S22" s="418">
        <v>0</v>
      </c>
      <c r="T22" s="418">
        <v>0</v>
      </c>
      <c r="U22" s="418">
        <v>0</v>
      </c>
      <c r="V22" s="418">
        <v>0</v>
      </c>
      <c r="W22" s="38">
        <f>SUM(V062A_2030313334363538[[#This Row],[MPAL2]:[GI]])</f>
        <v>0</v>
      </c>
      <c r="X22" s="418"/>
      <c r="Y22" s="282">
        <f>(Y21-V062A_2030313334363538[[#This Row],[TOTAL]])+V062A_2030313334363538[[#This Row],[FAENA2]]</f>
        <v>34.489999999999995</v>
      </c>
      <c r="Z22" s="53">
        <v>0</v>
      </c>
      <c r="AA22" s="418">
        <v>0</v>
      </c>
      <c r="AB22" s="421">
        <f>(AB21-V062A_2030313334363538[[#This Row],[CYLINDER MP]])+V062A_2030313334363538[[#This Row],[FAENA EN LTS]]</f>
        <v>2167.2999999999997</v>
      </c>
      <c r="AC22" s="418">
        <v>0</v>
      </c>
      <c r="AD22" s="418">
        <v>0</v>
      </c>
      <c r="AE22" s="421">
        <f>(AE21-V062A_2030313334363538[[#This Row],[CARTER MP.]])+V062A_2030313334363538[[#This Row],[FAENA EN LTS2]]</f>
        <v>3500</v>
      </c>
      <c r="AF22" s="418">
        <v>0</v>
      </c>
      <c r="AG22" s="418">
        <v>0</v>
      </c>
      <c r="AH22" s="421">
        <f>(AH21-V062A_2030313334363538[[#This Row],[MOT AUX]])+V062A_2030313334363538[[#This Row],[FAENA EN  LTS]]</f>
        <v>820</v>
      </c>
      <c r="AI22" s="418">
        <v>0</v>
      </c>
      <c r="AJ22" s="418">
        <v>0</v>
      </c>
      <c r="AK22" s="517">
        <f>(AK21-V062A_2030313334363538[[#This Row],[HIDRAULICO]])+V062A_2030313334363538[[#This Row],[FAENA EN LTS3]]</f>
        <v>1140</v>
      </c>
    </row>
    <row r="23" spans="1:37" x14ac:dyDescent="0.25">
      <c r="A23" s="514" t="s">
        <v>366</v>
      </c>
      <c r="B23" s="48">
        <v>44185</v>
      </c>
      <c r="C23" s="41">
        <v>0.5708333333333333</v>
      </c>
      <c r="D23" s="418">
        <f>IF(V062A_2030313334363538[[#This Row],[FECHA]]-B22=1,((V062A_2030313334363538[[#This Row],[HORA]]-C22)*24)+24,(V062A_2030313334363538[[#This Row],[HORA]]-C22)*24)</f>
        <v>5.6999999999999993</v>
      </c>
      <c r="E23" s="45" t="s">
        <v>49</v>
      </c>
      <c r="F23" s="29" t="s">
        <v>50</v>
      </c>
      <c r="G23" s="305"/>
      <c r="H23" s="306"/>
      <c r="I2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3" s="307"/>
      <c r="K23" s="308"/>
      <c r="L23" s="515">
        <v>0</v>
      </c>
      <c r="M23" s="418">
        <v>0.36</v>
      </c>
      <c r="N23" s="516">
        <v>0.28999999999999998</v>
      </c>
      <c r="O23" s="38">
        <f>SUM(V062A_2030313334363538[[#This Row],[MPAL]]+V062A_2030313334363538[[#This Row],[AUX.]]+V062A_2030313334363538[[#This Row],[CALDERA]])</f>
        <v>0.64999999999999991</v>
      </c>
      <c r="P23" s="88"/>
      <c r="Q23" s="281">
        <f>(Q22-V062A_2030313334363538[[#This Row],[TOTAL ]])+V062A_2030313334363538[[#This Row],[FAENA]]</f>
        <v>425.57000000000005</v>
      </c>
      <c r="R23" s="53">
        <v>0</v>
      </c>
      <c r="S23" s="418">
        <v>0</v>
      </c>
      <c r="T23" s="418">
        <v>0</v>
      </c>
      <c r="U23" s="418">
        <v>0</v>
      </c>
      <c r="V23" s="418">
        <v>0.1</v>
      </c>
      <c r="W23" s="38">
        <f>SUM(V062A_2030313334363538[[#This Row],[MPAL2]:[GI]])</f>
        <v>0.1</v>
      </c>
      <c r="X23" s="418"/>
      <c r="Y23" s="282">
        <f>(Y22-V062A_2030313334363538[[#This Row],[TOTAL]])+V062A_2030313334363538[[#This Row],[FAENA2]]</f>
        <v>34.389999999999993</v>
      </c>
      <c r="Z23" s="53">
        <v>0</v>
      </c>
      <c r="AA23" s="418">
        <v>0</v>
      </c>
      <c r="AB23" s="421">
        <f>(AB22-V062A_2030313334363538[[#This Row],[CYLINDER MP]])+V062A_2030313334363538[[#This Row],[FAENA EN LTS]]</f>
        <v>2167.2999999999997</v>
      </c>
      <c r="AC23" s="418">
        <v>0</v>
      </c>
      <c r="AD23" s="418">
        <v>0</v>
      </c>
      <c r="AE23" s="421">
        <f>(AE22-V062A_2030313334363538[[#This Row],[CARTER MP.]])+V062A_2030313334363538[[#This Row],[FAENA EN LTS2]]</f>
        <v>3500</v>
      </c>
      <c r="AF23" s="418">
        <v>0</v>
      </c>
      <c r="AG23" s="418">
        <v>0</v>
      </c>
      <c r="AH23" s="421">
        <f>(AH22-V062A_2030313334363538[[#This Row],[MOT AUX]])+V062A_2030313334363538[[#This Row],[FAENA EN  LTS]]</f>
        <v>820</v>
      </c>
      <c r="AI23" s="418">
        <v>0</v>
      </c>
      <c r="AJ23" s="418">
        <v>0</v>
      </c>
      <c r="AK23" s="517">
        <f>(AK22-V062A_2030313334363538[[#This Row],[HIDRAULICO]])+V062A_2030313334363538[[#This Row],[FAENA EN LTS3]]</f>
        <v>1140</v>
      </c>
    </row>
    <row r="24" spans="1:37" x14ac:dyDescent="0.25">
      <c r="A24" s="514" t="s">
        <v>366</v>
      </c>
      <c r="B24" s="48">
        <v>44186</v>
      </c>
      <c r="C24" s="41">
        <v>0.20416666666666669</v>
      </c>
      <c r="D24" s="418">
        <f>IF(V062A_2030313334363538[[#This Row],[FECHA]]-B23=1,((V062A_2030313334363538[[#This Row],[HORA]]-C23)*24)+24,(V062A_2030313334363538[[#This Row],[HORA]]-C23)*24)</f>
        <v>15.200000000000003</v>
      </c>
      <c r="E24" s="45" t="s">
        <v>51</v>
      </c>
      <c r="F24" s="29" t="s">
        <v>421</v>
      </c>
      <c r="G24" s="305"/>
      <c r="H24" s="306"/>
      <c r="I2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4" s="307"/>
      <c r="K24" s="308"/>
      <c r="L24" s="515">
        <v>0</v>
      </c>
      <c r="M24" s="418">
        <v>1.27</v>
      </c>
      <c r="N24" s="516">
        <v>0.76</v>
      </c>
      <c r="O24" s="38">
        <f>SUM(V062A_2030313334363538[[#This Row],[MPAL]]+V062A_2030313334363538[[#This Row],[AUX.]]+V062A_2030313334363538[[#This Row],[CALDERA]])</f>
        <v>2.0300000000000002</v>
      </c>
      <c r="P24" s="88"/>
      <c r="Q24" s="281">
        <f>(Q23-V062A_2030313334363538[[#This Row],[TOTAL ]])+V062A_2030313334363538[[#This Row],[FAENA]]</f>
        <v>423.54000000000008</v>
      </c>
      <c r="R24" s="53">
        <v>0</v>
      </c>
      <c r="S24" s="418">
        <v>0</v>
      </c>
      <c r="T24" s="418">
        <v>0</v>
      </c>
      <c r="U24" s="418">
        <v>0</v>
      </c>
      <c r="V24" s="418">
        <v>3.8</v>
      </c>
      <c r="W24" s="38">
        <f>SUM(V062A_2030313334363538[[#This Row],[MPAL2]:[GI]])</f>
        <v>3.8</v>
      </c>
      <c r="X24" s="418"/>
      <c r="Y24" s="282">
        <f>(Y23-V062A_2030313334363538[[#This Row],[TOTAL]])+V062A_2030313334363538[[#This Row],[FAENA2]]</f>
        <v>30.589999999999993</v>
      </c>
      <c r="Z24" s="53">
        <v>0</v>
      </c>
      <c r="AA24" s="418">
        <v>0</v>
      </c>
      <c r="AB24" s="421">
        <f>(AB23-V062A_2030313334363538[[#This Row],[CYLINDER MP]])+V062A_2030313334363538[[#This Row],[FAENA EN LTS]]</f>
        <v>2167.2999999999997</v>
      </c>
      <c r="AC24" s="418">
        <v>0</v>
      </c>
      <c r="AD24" s="418">
        <v>0</v>
      </c>
      <c r="AE24" s="421">
        <f>(AE23-V062A_2030313334363538[[#This Row],[CARTER MP.]])+V062A_2030313334363538[[#This Row],[FAENA EN LTS2]]</f>
        <v>3500</v>
      </c>
      <c r="AF24" s="418">
        <v>0</v>
      </c>
      <c r="AG24" s="418">
        <v>0</v>
      </c>
      <c r="AH24" s="421">
        <f>(AH23-V062A_2030313334363538[[#This Row],[MOT AUX]])+V062A_2030313334363538[[#This Row],[FAENA EN  LTS]]</f>
        <v>820</v>
      </c>
      <c r="AI24" s="418">
        <v>0</v>
      </c>
      <c r="AJ24" s="418">
        <v>0</v>
      </c>
      <c r="AK24" s="517">
        <f>(AK23-V062A_2030313334363538[[#This Row],[HIDRAULICO]])+V062A_2030313334363538[[#This Row],[FAENA EN LTS3]]</f>
        <v>1140</v>
      </c>
    </row>
    <row r="25" spans="1:37" x14ac:dyDescent="0.25">
      <c r="A25" s="514" t="s">
        <v>366</v>
      </c>
      <c r="B25" s="48">
        <v>44186</v>
      </c>
      <c r="C25" s="41">
        <v>0.33333333333333331</v>
      </c>
      <c r="D25" s="418">
        <f>IF(V062A_2030313334363538[[#This Row],[FECHA]]-B24=1,((V062A_2030313334363538[[#This Row],[HORA]]-C24)*24)+24,(V062A_2030313334363538[[#This Row],[HORA]]-C24)*24)</f>
        <v>3.0999999999999988</v>
      </c>
      <c r="E25" s="45" t="s">
        <v>49</v>
      </c>
      <c r="F25" s="29" t="s">
        <v>59</v>
      </c>
      <c r="G25" s="305"/>
      <c r="H25" s="306"/>
      <c r="I2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5" s="307"/>
      <c r="K25" s="308"/>
      <c r="L25" s="515">
        <v>0</v>
      </c>
      <c r="M25" s="418">
        <v>0.19</v>
      </c>
      <c r="N25" s="516">
        <v>0.16</v>
      </c>
      <c r="O25" s="38">
        <f>SUM(V062A_2030313334363538[[#This Row],[MPAL]]+V062A_2030313334363538[[#This Row],[AUX.]]+V062A_2030313334363538[[#This Row],[CALDERA]])</f>
        <v>0.35</v>
      </c>
      <c r="P25" s="88"/>
      <c r="Q25" s="281">
        <f>(Q24-V062A_2030313334363538[[#This Row],[TOTAL ]])+V062A_2030313334363538[[#This Row],[FAENA]]</f>
        <v>423.19000000000005</v>
      </c>
      <c r="R25" s="53">
        <v>0</v>
      </c>
      <c r="S25" s="418">
        <v>0</v>
      </c>
      <c r="T25" s="418">
        <v>0</v>
      </c>
      <c r="U25" s="418">
        <v>0</v>
      </c>
      <c r="V25" s="418">
        <v>0</v>
      </c>
      <c r="W25" s="38">
        <f>SUM(V062A_2030313334363538[[#This Row],[MPAL2]:[GI]])</f>
        <v>0</v>
      </c>
      <c r="X25" s="418"/>
      <c r="Y25" s="282">
        <f>(Y24-V062A_2030313334363538[[#This Row],[TOTAL]])+V062A_2030313334363538[[#This Row],[FAENA2]]</f>
        <v>30.589999999999993</v>
      </c>
      <c r="Z25" s="53">
        <v>0</v>
      </c>
      <c r="AA25" s="418">
        <v>0</v>
      </c>
      <c r="AB25" s="421">
        <f>(AB24-V062A_2030313334363538[[#This Row],[CYLINDER MP]])+V062A_2030313334363538[[#This Row],[FAENA EN LTS]]</f>
        <v>2167.2999999999997</v>
      </c>
      <c r="AC25" s="418">
        <v>0</v>
      </c>
      <c r="AD25" s="418">
        <v>0</v>
      </c>
      <c r="AE25" s="421">
        <f>(AE24-V062A_2030313334363538[[#This Row],[CARTER MP.]])+V062A_2030313334363538[[#This Row],[FAENA EN LTS2]]</f>
        <v>3500</v>
      </c>
      <c r="AF25" s="418">
        <v>0</v>
      </c>
      <c r="AG25" s="418">
        <v>0</v>
      </c>
      <c r="AH25" s="421">
        <f>(AH24-V062A_2030313334363538[[#This Row],[MOT AUX]])+V062A_2030313334363538[[#This Row],[FAENA EN  LTS]]</f>
        <v>820</v>
      </c>
      <c r="AI25" s="418">
        <v>0</v>
      </c>
      <c r="AJ25" s="418">
        <v>0</v>
      </c>
      <c r="AK25" s="517">
        <f>(AK24-V062A_2030313334363538[[#This Row],[HIDRAULICO]])+V062A_2030313334363538[[#This Row],[FAENA EN LTS3]]</f>
        <v>1140</v>
      </c>
    </row>
    <row r="26" spans="1:37" x14ac:dyDescent="0.25">
      <c r="A26" s="514" t="s">
        <v>366</v>
      </c>
      <c r="B26" s="48">
        <v>44186</v>
      </c>
      <c r="C26" s="41">
        <v>0.3666666666666667</v>
      </c>
      <c r="D26" s="418">
        <f>IF(V062A_2030313334363538[[#This Row],[FECHA]]-B25=1,((V062A_2030313334363538[[#This Row],[HORA]]-C25)*24)+24,(V062A_2030313334363538[[#This Row],[HORA]]-C25)*24)</f>
        <v>0.80000000000000115</v>
      </c>
      <c r="E26" s="45" t="s">
        <v>49</v>
      </c>
      <c r="F26" s="29" t="s">
        <v>46</v>
      </c>
      <c r="G26" s="305"/>
      <c r="H26" s="306"/>
      <c r="I2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6" s="307"/>
      <c r="K26" s="308"/>
      <c r="L26" s="515">
        <v>0</v>
      </c>
      <c r="M26" s="418">
        <v>7.0000000000000007E-2</v>
      </c>
      <c r="N26" s="516">
        <v>0.04</v>
      </c>
      <c r="O26" s="38">
        <f>SUM(V062A_2030313334363538[[#This Row],[MPAL]]+V062A_2030313334363538[[#This Row],[AUX.]]+V062A_2030313334363538[[#This Row],[CALDERA]])</f>
        <v>0.11000000000000001</v>
      </c>
      <c r="P26" s="88"/>
      <c r="Q26" s="281">
        <f>(Q25-V062A_2030313334363538[[#This Row],[TOTAL ]])+V062A_2030313334363538[[#This Row],[FAENA]]</f>
        <v>423.08000000000004</v>
      </c>
      <c r="R26" s="53">
        <v>0</v>
      </c>
      <c r="S26" s="418">
        <v>0</v>
      </c>
      <c r="T26" s="418">
        <v>0</v>
      </c>
      <c r="U26" s="418">
        <v>0</v>
      </c>
      <c r="V26" s="418">
        <v>0</v>
      </c>
      <c r="W26" s="38">
        <f>SUM(V062A_2030313334363538[[#This Row],[MPAL2]:[GI]])</f>
        <v>0</v>
      </c>
      <c r="X26" s="418"/>
      <c r="Y26" s="282">
        <f>(Y25-V062A_2030313334363538[[#This Row],[TOTAL]])+V062A_2030313334363538[[#This Row],[FAENA2]]</f>
        <v>30.589999999999993</v>
      </c>
      <c r="Z26" s="53">
        <v>0</v>
      </c>
      <c r="AA26" s="418">
        <v>0</v>
      </c>
      <c r="AB26" s="421">
        <f>(AB25-V062A_2030313334363538[[#This Row],[CYLINDER MP]])+V062A_2030313334363538[[#This Row],[FAENA EN LTS]]</f>
        <v>2167.2999999999997</v>
      </c>
      <c r="AC26" s="418">
        <v>0</v>
      </c>
      <c r="AD26" s="418">
        <v>0</v>
      </c>
      <c r="AE26" s="421">
        <f>(AE25-V062A_2030313334363538[[#This Row],[CARTER MP.]])+V062A_2030313334363538[[#This Row],[FAENA EN LTS2]]</f>
        <v>3500</v>
      </c>
      <c r="AF26" s="418">
        <v>0</v>
      </c>
      <c r="AG26" s="418">
        <v>0</v>
      </c>
      <c r="AH26" s="421">
        <f>(AH25-V062A_2030313334363538[[#This Row],[MOT AUX]])+V062A_2030313334363538[[#This Row],[FAENA EN  LTS]]</f>
        <v>820</v>
      </c>
      <c r="AI26" s="418">
        <v>0</v>
      </c>
      <c r="AJ26" s="418">
        <v>0</v>
      </c>
      <c r="AK26" s="517">
        <f>(AK25-V062A_2030313334363538[[#This Row],[HIDRAULICO]])+V062A_2030313334363538[[#This Row],[FAENA EN LTS3]]</f>
        <v>1140</v>
      </c>
    </row>
    <row r="27" spans="1:37" x14ac:dyDescent="0.25">
      <c r="A27" s="514" t="s">
        <v>366</v>
      </c>
      <c r="B27" s="48">
        <v>44186</v>
      </c>
      <c r="C27" s="41">
        <v>0.40416666666666662</v>
      </c>
      <c r="D27" s="418">
        <f>IF(V062A_2030313334363538[[#This Row],[FECHA]]-B26=1,((V062A_2030313334363538[[#This Row],[HORA]]-C26)*24)+24,(V062A_2030313334363538[[#This Row],[HORA]]-C26)*24)</f>
        <v>0.89999999999999813</v>
      </c>
      <c r="E27" s="45" t="s">
        <v>47</v>
      </c>
      <c r="F27" s="29" t="s">
        <v>151</v>
      </c>
      <c r="G27" s="305"/>
      <c r="H27" s="306"/>
      <c r="I2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7" s="307"/>
      <c r="K27" s="308"/>
      <c r="L27" s="515">
        <v>0.37</v>
      </c>
      <c r="M27" s="418">
        <v>0.06</v>
      </c>
      <c r="N27" s="516">
        <v>0.04</v>
      </c>
      <c r="O27" s="38">
        <f>SUM(V062A_2030313334363538[[#This Row],[MPAL]]+V062A_2030313334363538[[#This Row],[AUX.]]+V062A_2030313334363538[[#This Row],[CALDERA]])</f>
        <v>0.47</v>
      </c>
      <c r="P27" s="88"/>
      <c r="Q27" s="281">
        <f>(Q26-V062A_2030313334363538[[#This Row],[TOTAL ]])+V062A_2030313334363538[[#This Row],[FAENA]]</f>
        <v>422.61</v>
      </c>
      <c r="R27" s="53">
        <v>0</v>
      </c>
      <c r="S27" s="418">
        <v>0</v>
      </c>
      <c r="T27" s="418">
        <v>0</v>
      </c>
      <c r="U27" s="418">
        <v>0</v>
      </c>
      <c r="V27" s="418">
        <v>0</v>
      </c>
      <c r="W27" s="38">
        <f>SUM(V062A_2030313334363538[[#This Row],[MPAL2]:[GI]])</f>
        <v>0</v>
      </c>
      <c r="X27" s="418"/>
      <c r="Y27" s="282">
        <f>(Y26-V062A_2030313334363538[[#This Row],[TOTAL]])+V062A_2030313334363538[[#This Row],[FAENA2]]</f>
        <v>30.589999999999993</v>
      </c>
      <c r="Z27" s="53">
        <v>9.4</v>
      </c>
      <c r="AA27" s="418">
        <v>0</v>
      </c>
      <c r="AB27" s="421">
        <f>(AB26-V062A_2030313334363538[[#This Row],[CYLINDER MP]])+V062A_2030313334363538[[#This Row],[FAENA EN LTS]]</f>
        <v>2157.8999999999996</v>
      </c>
      <c r="AC27" s="418">
        <v>0</v>
      </c>
      <c r="AD27" s="418">
        <v>0</v>
      </c>
      <c r="AE27" s="421">
        <f>(AE26-V062A_2030313334363538[[#This Row],[CARTER MP.]])+V062A_2030313334363538[[#This Row],[FAENA EN LTS2]]</f>
        <v>3500</v>
      </c>
      <c r="AF27" s="418">
        <v>0</v>
      </c>
      <c r="AG27" s="418">
        <v>0</v>
      </c>
      <c r="AH27" s="421">
        <f>(AH26-V062A_2030313334363538[[#This Row],[MOT AUX]])+V062A_2030313334363538[[#This Row],[FAENA EN  LTS]]</f>
        <v>820</v>
      </c>
      <c r="AI27" s="418">
        <v>0</v>
      </c>
      <c r="AJ27" s="418">
        <v>0</v>
      </c>
      <c r="AK27" s="517">
        <f>(AK26-V062A_2030313334363538[[#This Row],[HIDRAULICO]])+V062A_2030313334363538[[#This Row],[FAENA EN LTS3]]</f>
        <v>1140</v>
      </c>
    </row>
    <row r="28" spans="1:37" x14ac:dyDescent="0.25">
      <c r="A28" s="514" t="s">
        <v>366</v>
      </c>
      <c r="B28" s="48">
        <v>44187</v>
      </c>
      <c r="C28" s="41">
        <v>7.0833333333333331E-2</v>
      </c>
      <c r="D28" s="418">
        <f>IF(V062A_2030313334363538[[#This Row],[FECHA]]-B27=1,((V062A_2030313334363538[[#This Row],[HORA]]-C27)*24)+24,(V062A_2030313334363538[[#This Row],[HORA]]-C27)*24)</f>
        <v>16</v>
      </c>
      <c r="E28" s="45" t="s">
        <v>55</v>
      </c>
      <c r="F28" s="29" t="s">
        <v>62</v>
      </c>
      <c r="G28" s="305">
        <v>203</v>
      </c>
      <c r="H28" s="306">
        <v>16</v>
      </c>
      <c r="I2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12.6875</v>
      </c>
      <c r="J28" s="307">
        <v>3</v>
      </c>
      <c r="K28" s="308">
        <v>97</v>
      </c>
      <c r="L28" s="515">
        <v>15.33</v>
      </c>
      <c r="M28" s="418">
        <v>1.33</v>
      </c>
      <c r="N28" s="516">
        <v>0.8</v>
      </c>
      <c r="O28" s="38">
        <f>SUM(V062A_2030313334363538[[#This Row],[MPAL]]+V062A_2030313334363538[[#This Row],[AUX.]]+V062A_2030313334363538[[#This Row],[CALDERA]])</f>
        <v>17.46</v>
      </c>
      <c r="P28" s="88"/>
      <c r="Q28" s="281">
        <f>(Q27-V062A_2030313334363538[[#This Row],[TOTAL ]])+V062A_2030313334363538[[#This Row],[FAENA]]</f>
        <v>405.15000000000003</v>
      </c>
      <c r="R28" s="53">
        <v>0</v>
      </c>
      <c r="S28" s="418">
        <v>0</v>
      </c>
      <c r="T28" s="418">
        <v>0</v>
      </c>
      <c r="U28" s="418">
        <v>0</v>
      </c>
      <c r="V28" s="418">
        <v>0</v>
      </c>
      <c r="W28" s="38">
        <f>SUM(V062A_2030313334363538[[#This Row],[MPAL2]:[GI]])</f>
        <v>0</v>
      </c>
      <c r="X28" s="418"/>
      <c r="Y28" s="282">
        <f>(Y27-V062A_2030313334363538[[#This Row],[TOTAL]])+V062A_2030313334363538[[#This Row],[FAENA2]]</f>
        <v>30.589999999999993</v>
      </c>
      <c r="Z28" s="53">
        <v>166.6</v>
      </c>
      <c r="AA28" s="418">
        <v>0</v>
      </c>
      <c r="AB28" s="421">
        <f>(AB27-V062A_2030313334363538[[#This Row],[CYLINDER MP]])+V062A_2030313334363538[[#This Row],[FAENA EN LTS]]</f>
        <v>1991.2999999999997</v>
      </c>
      <c r="AC28" s="418">
        <v>0</v>
      </c>
      <c r="AD28" s="418">
        <v>0</v>
      </c>
      <c r="AE28" s="421">
        <f>(AE27-V062A_2030313334363538[[#This Row],[CARTER MP.]])+V062A_2030313334363538[[#This Row],[FAENA EN LTS2]]</f>
        <v>3500</v>
      </c>
      <c r="AF28" s="418">
        <v>0</v>
      </c>
      <c r="AG28" s="418">
        <v>0</v>
      </c>
      <c r="AH28" s="421">
        <f>(AH27-V062A_2030313334363538[[#This Row],[MOT AUX]])+V062A_2030313334363538[[#This Row],[FAENA EN  LTS]]</f>
        <v>820</v>
      </c>
      <c r="AI28" s="418">
        <v>0</v>
      </c>
      <c r="AJ28" s="418">
        <v>0</v>
      </c>
      <c r="AK28" s="517">
        <f>(AK27-V062A_2030313334363538[[#This Row],[HIDRAULICO]])+V062A_2030313334363538[[#This Row],[FAENA EN LTS3]]</f>
        <v>1140</v>
      </c>
    </row>
    <row r="29" spans="1:37" x14ac:dyDescent="0.25">
      <c r="A29" s="514" t="s">
        <v>366</v>
      </c>
      <c r="B29" s="48">
        <v>44187</v>
      </c>
      <c r="C29" s="41">
        <v>9.9999999999999992E-2</v>
      </c>
      <c r="D29" s="418">
        <f>IF(V062A_2030313334363538[[#This Row],[FECHA]]-B28=1,((V062A_2030313334363538[[#This Row],[HORA]]-C28)*24)+24,(V062A_2030313334363538[[#This Row],[HORA]]-C28)*24)</f>
        <v>0.69999999999999984</v>
      </c>
      <c r="E29" s="45" t="s">
        <v>47</v>
      </c>
      <c r="F29" s="29" t="s">
        <v>393</v>
      </c>
      <c r="G29" s="305"/>
      <c r="H29" s="306"/>
      <c r="I2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29" s="307"/>
      <c r="K29" s="308"/>
      <c r="L29" s="515">
        <v>0.28999999999999998</v>
      </c>
      <c r="M29" s="418">
        <v>0.04</v>
      </c>
      <c r="N29" s="516">
        <v>0.04</v>
      </c>
      <c r="O29" s="38">
        <f>SUM(V062A_2030313334363538[[#This Row],[MPAL]]+V062A_2030313334363538[[#This Row],[AUX.]]+V062A_2030313334363538[[#This Row],[CALDERA]])</f>
        <v>0.36999999999999994</v>
      </c>
      <c r="P29" s="88"/>
      <c r="Q29" s="281">
        <f>(Q28-V062A_2030313334363538[[#This Row],[TOTAL ]])+V062A_2030313334363538[[#This Row],[FAENA]]</f>
        <v>404.78000000000003</v>
      </c>
      <c r="R29" s="53">
        <v>0</v>
      </c>
      <c r="S29" s="418">
        <v>0</v>
      </c>
      <c r="T29" s="418">
        <v>0</v>
      </c>
      <c r="U29" s="418">
        <v>0</v>
      </c>
      <c r="V29" s="418">
        <v>0</v>
      </c>
      <c r="W29" s="38">
        <f>SUM(V062A_2030313334363538[[#This Row],[MPAL2]:[GI]])</f>
        <v>0</v>
      </c>
      <c r="X29" s="418"/>
      <c r="Y29" s="282">
        <f>(Y28-V062A_2030313334363538[[#This Row],[TOTAL]])+V062A_2030313334363538[[#This Row],[FAENA2]]</f>
        <v>30.589999999999993</v>
      </c>
      <c r="Z29" s="53">
        <v>7.3</v>
      </c>
      <c r="AA29" s="418">
        <v>0</v>
      </c>
      <c r="AB29" s="421">
        <f>(AB28-V062A_2030313334363538[[#This Row],[CYLINDER MP]])+V062A_2030313334363538[[#This Row],[FAENA EN LTS]]</f>
        <v>1983.9999999999998</v>
      </c>
      <c r="AC29" s="418">
        <v>0</v>
      </c>
      <c r="AD29" s="418">
        <v>0</v>
      </c>
      <c r="AE29" s="421">
        <f>(AE28-V062A_2030313334363538[[#This Row],[CARTER MP.]])+V062A_2030313334363538[[#This Row],[FAENA EN LTS2]]</f>
        <v>3500</v>
      </c>
      <c r="AF29" s="418">
        <v>0</v>
      </c>
      <c r="AG29" s="418">
        <v>0</v>
      </c>
      <c r="AH29" s="421">
        <f>(AH28-V062A_2030313334363538[[#This Row],[MOT AUX]])+V062A_2030313334363538[[#This Row],[FAENA EN  LTS]]</f>
        <v>820</v>
      </c>
      <c r="AI29" s="418">
        <v>0</v>
      </c>
      <c r="AJ29" s="418">
        <v>0</v>
      </c>
      <c r="AK29" s="517">
        <f>(AK28-V062A_2030313334363538[[#This Row],[HIDRAULICO]])+V062A_2030313334363538[[#This Row],[FAENA EN LTS3]]</f>
        <v>1140</v>
      </c>
    </row>
    <row r="30" spans="1:37" x14ac:dyDescent="0.25">
      <c r="A30" s="514" t="s">
        <v>366</v>
      </c>
      <c r="B30" s="48">
        <v>44187</v>
      </c>
      <c r="C30" s="41">
        <v>0.33333333333333331</v>
      </c>
      <c r="D30" s="418">
        <f>IF(V062A_2030313334363538[[#This Row],[FECHA]]-B29=1,((V062A_2030313334363538[[#This Row],[HORA]]-C29)*24)+24,(V062A_2030313334363538[[#This Row],[HORA]]-C29)*24)</f>
        <v>5.6</v>
      </c>
      <c r="E30" s="45" t="s">
        <v>45</v>
      </c>
      <c r="F30" s="29" t="s">
        <v>394</v>
      </c>
      <c r="G30" s="305"/>
      <c r="H30" s="306"/>
      <c r="I3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0" s="307"/>
      <c r="K30" s="308"/>
      <c r="L30" s="515">
        <v>0</v>
      </c>
      <c r="M30" s="418">
        <v>0.35</v>
      </c>
      <c r="N30" s="516">
        <v>0.28000000000000003</v>
      </c>
      <c r="O30" s="38">
        <f>SUM(V062A_2030313334363538[[#This Row],[MPAL]]+V062A_2030313334363538[[#This Row],[AUX.]]+V062A_2030313334363538[[#This Row],[CALDERA]])</f>
        <v>0.63</v>
      </c>
      <c r="P30" s="88"/>
      <c r="Q30" s="281">
        <f>(Q29-V062A_2030313334363538[[#This Row],[TOTAL ]])+V062A_2030313334363538[[#This Row],[FAENA]]</f>
        <v>404.15000000000003</v>
      </c>
      <c r="R30" s="53">
        <v>0</v>
      </c>
      <c r="S30" s="418">
        <v>0</v>
      </c>
      <c r="T30" s="418">
        <v>0</v>
      </c>
      <c r="U30" s="418">
        <v>0</v>
      </c>
      <c r="V30" s="418">
        <v>0</v>
      </c>
      <c r="W30" s="38">
        <f>SUM(V062A_2030313334363538[[#This Row],[MPAL2]:[GI]])</f>
        <v>0</v>
      </c>
      <c r="X30" s="418"/>
      <c r="Y30" s="282">
        <f>(Y29-V062A_2030313334363538[[#This Row],[TOTAL]])+V062A_2030313334363538[[#This Row],[FAENA2]]</f>
        <v>30.589999999999993</v>
      </c>
      <c r="Z30" s="53">
        <v>0</v>
      </c>
      <c r="AA30" s="418">
        <v>0</v>
      </c>
      <c r="AB30" s="421">
        <f>(AB29-V062A_2030313334363538[[#This Row],[CYLINDER MP]])+V062A_2030313334363538[[#This Row],[FAENA EN LTS]]</f>
        <v>1983.9999999999998</v>
      </c>
      <c r="AC30" s="418">
        <v>0</v>
      </c>
      <c r="AD30" s="418">
        <v>0</v>
      </c>
      <c r="AE30" s="421">
        <f>(AE29-V062A_2030313334363538[[#This Row],[CARTER MP.]])+V062A_2030313334363538[[#This Row],[FAENA EN LTS2]]</f>
        <v>3500</v>
      </c>
      <c r="AF30" s="418">
        <v>0</v>
      </c>
      <c r="AG30" s="418">
        <v>0</v>
      </c>
      <c r="AH30" s="421">
        <f>(AH29-V062A_2030313334363538[[#This Row],[MOT AUX]])+V062A_2030313334363538[[#This Row],[FAENA EN  LTS]]</f>
        <v>820</v>
      </c>
      <c r="AI30" s="418">
        <v>0</v>
      </c>
      <c r="AJ30" s="418">
        <v>0</v>
      </c>
      <c r="AK30" s="517">
        <f>(AK29-V062A_2030313334363538[[#This Row],[HIDRAULICO]])+V062A_2030313334363538[[#This Row],[FAENA EN LTS3]]</f>
        <v>1140</v>
      </c>
    </row>
    <row r="31" spans="1:37" x14ac:dyDescent="0.25">
      <c r="A31" s="514" t="s">
        <v>366</v>
      </c>
      <c r="B31" s="48">
        <v>44188</v>
      </c>
      <c r="C31" s="41">
        <v>1.6666666666666666E-2</v>
      </c>
      <c r="D31" s="418">
        <f>IF(V062A_2030313334363538[[#This Row],[FECHA]]-B30=1,((V062A_2030313334363538[[#This Row],[HORA]]-C30)*24)+24,(V062A_2030313334363538[[#This Row],[HORA]]-C30)*24)</f>
        <v>16.399999999999999</v>
      </c>
      <c r="E31" s="45" t="s">
        <v>49</v>
      </c>
      <c r="F31" s="29" t="s">
        <v>50</v>
      </c>
      <c r="G31" s="305"/>
      <c r="H31" s="306"/>
      <c r="I3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1" s="307"/>
      <c r="K31" s="308"/>
      <c r="L31" s="515">
        <v>0</v>
      </c>
      <c r="M31" s="418">
        <v>0.69</v>
      </c>
      <c r="N31" s="516">
        <v>0.55000000000000004</v>
      </c>
      <c r="O31" s="38">
        <f>SUM(V062A_2030313334363538[[#This Row],[MPAL]]+V062A_2030313334363538[[#This Row],[AUX.]]+V062A_2030313334363538[[#This Row],[CALDERA]])</f>
        <v>1.24</v>
      </c>
      <c r="P31" s="88"/>
      <c r="Q31" s="281">
        <f>(Q30-V062A_2030313334363538[[#This Row],[TOTAL ]])+V062A_2030313334363538[[#This Row],[FAENA]]</f>
        <v>402.91</v>
      </c>
      <c r="R31" s="53">
        <v>0</v>
      </c>
      <c r="S31" s="418">
        <v>0</v>
      </c>
      <c r="T31" s="418">
        <v>0</v>
      </c>
      <c r="U31" s="418">
        <v>0</v>
      </c>
      <c r="V31" s="418">
        <v>4.0999999999999996</v>
      </c>
      <c r="W31" s="38">
        <f>SUM(V062A_2030313334363538[[#This Row],[MPAL2]:[GI]])</f>
        <v>4.0999999999999996</v>
      </c>
      <c r="X31" s="418"/>
      <c r="Y31" s="282">
        <f>(Y30-V062A_2030313334363538[[#This Row],[TOTAL]])+V062A_2030313334363538[[#This Row],[FAENA2]]</f>
        <v>26.489999999999995</v>
      </c>
      <c r="Z31" s="53">
        <v>0</v>
      </c>
      <c r="AA31" s="418">
        <v>0</v>
      </c>
      <c r="AB31" s="421">
        <f>(AB30-V062A_2030313334363538[[#This Row],[CYLINDER MP]])+V062A_2030313334363538[[#This Row],[FAENA EN LTS]]</f>
        <v>1983.9999999999998</v>
      </c>
      <c r="AC31" s="418">
        <v>0</v>
      </c>
      <c r="AD31" s="418">
        <v>0</v>
      </c>
      <c r="AE31" s="421">
        <f>(AE30-V062A_2030313334363538[[#This Row],[CARTER MP.]])+V062A_2030313334363538[[#This Row],[FAENA EN LTS2]]</f>
        <v>3500</v>
      </c>
      <c r="AF31" s="418">
        <v>0</v>
      </c>
      <c r="AG31" s="418">
        <v>0</v>
      </c>
      <c r="AH31" s="421">
        <f>(AH30-V062A_2030313334363538[[#This Row],[MOT AUX]])+V062A_2030313334363538[[#This Row],[FAENA EN  LTS]]</f>
        <v>820</v>
      </c>
      <c r="AI31" s="418">
        <v>0</v>
      </c>
      <c r="AJ31" s="418">
        <v>0</v>
      </c>
      <c r="AK31" s="517">
        <f>(AK30-V062A_2030313334363538[[#This Row],[HIDRAULICO]])+V062A_2030313334363538[[#This Row],[FAENA EN LTS3]]</f>
        <v>1140</v>
      </c>
    </row>
    <row r="32" spans="1:37" x14ac:dyDescent="0.25">
      <c r="A32" s="514" t="s">
        <v>366</v>
      </c>
      <c r="B32" s="48">
        <v>44188</v>
      </c>
      <c r="C32" s="41">
        <v>0.33333333333333331</v>
      </c>
      <c r="D32" s="418">
        <f>IF(V062A_2030313334363538[[#This Row],[FECHA]]-B31=1,((V062A_2030313334363538[[#This Row],[HORA]]-C31)*24)+24,(V062A_2030313334363538[[#This Row],[HORA]]-C31)*24)</f>
        <v>7.6</v>
      </c>
      <c r="E32" s="45" t="s">
        <v>51</v>
      </c>
      <c r="F32" s="29" t="s">
        <v>51</v>
      </c>
      <c r="G32" s="305"/>
      <c r="H32" s="306"/>
      <c r="I3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2" s="307"/>
      <c r="K32" s="308"/>
      <c r="L32" s="515">
        <v>0</v>
      </c>
      <c r="M32" s="418">
        <v>0.63</v>
      </c>
      <c r="N32" s="516">
        <v>0.38</v>
      </c>
      <c r="O32" s="38">
        <f>SUM(V062A_2030313334363538[[#This Row],[MPAL]]+V062A_2030313334363538[[#This Row],[AUX.]]+V062A_2030313334363538[[#This Row],[CALDERA]])</f>
        <v>1.01</v>
      </c>
      <c r="P32" s="88"/>
      <c r="Q32" s="281">
        <f>(Q31-V062A_2030313334363538[[#This Row],[TOTAL ]])+V062A_2030313334363538[[#This Row],[FAENA]]</f>
        <v>401.90000000000003</v>
      </c>
      <c r="R32" s="53">
        <v>0</v>
      </c>
      <c r="S32" s="418">
        <v>0</v>
      </c>
      <c r="T32" s="418">
        <v>0</v>
      </c>
      <c r="U32" s="418">
        <v>0</v>
      </c>
      <c r="V32" s="418">
        <v>1.9</v>
      </c>
      <c r="W32" s="38">
        <f>SUM(V062A_2030313334363538[[#This Row],[MPAL2]:[GI]])</f>
        <v>1.9</v>
      </c>
      <c r="X32" s="418"/>
      <c r="Y32" s="282">
        <f>(Y31-V062A_2030313334363538[[#This Row],[TOTAL]])+V062A_2030313334363538[[#This Row],[FAENA2]]</f>
        <v>24.589999999999996</v>
      </c>
      <c r="Z32" s="53">
        <v>0</v>
      </c>
      <c r="AA32" s="418">
        <v>0</v>
      </c>
      <c r="AB32" s="421">
        <f>(AB31-V062A_2030313334363538[[#This Row],[CYLINDER MP]])+V062A_2030313334363538[[#This Row],[FAENA EN LTS]]</f>
        <v>1983.9999999999998</v>
      </c>
      <c r="AC32" s="418">
        <v>0</v>
      </c>
      <c r="AD32" s="418">
        <v>0</v>
      </c>
      <c r="AE32" s="421">
        <f>(AE31-V062A_2030313334363538[[#This Row],[CARTER MP.]])+V062A_2030313334363538[[#This Row],[FAENA EN LTS2]]</f>
        <v>3500</v>
      </c>
      <c r="AF32" s="418">
        <v>0</v>
      </c>
      <c r="AG32" s="418">
        <v>0</v>
      </c>
      <c r="AH32" s="421">
        <f>(AH31-V062A_2030313334363538[[#This Row],[MOT AUX]])+V062A_2030313334363538[[#This Row],[FAENA EN  LTS]]</f>
        <v>820</v>
      </c>
      <c r="AI32" s="418">
        <v>0</v>
      </c>
      <c r="AJ32" s="418">
        <v>0</v>
      </c>
      <c r="AK32" s="517">
        <f>(AK31-V062A_2030313334363538[[#This Row],[HIDRAULICO]])+V062A_2030313334363538[[#This Row],[FAENA EN LTS3]]</f>
        <v>1140</v>
      </c>
    </row>
    <row r="33" spans="1:37" x14ac:dyDescent="0.25">
      <c r="A33" s="514" t="s">
        <v>366</v>
      </c>
      <c r="B33" s="48">
        <v>44188</v>
      </c>
      <c r="C33" s="41">
        <v>0.95416666666666661</v>
      </c>
      <c r="D33" s="418">
        <f>IF(V062A_2030313334363538[[#This Row],[FECHA]]-B32=1,((V062A_2030313334363538[[#This Row],[HORA]]-C32)*24)+24,(V062A_2030313334363538[[#This Row],[HORA]]-C32)*24)</f>
        <v>14.9</v>
      </c>
      <c r="E33" s="45" t="s">
        <v>51</v>
      </c>
      <c r="F33" s="29" t="s">
        <v>410</v>
      </c>
      <c r="G33" s="305"/>
      <c r="H33" s="306"/>
      <c r="I3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3" s="307"/>
      <c r="K33" s="308"/>
      <c r="L33" s="515">
        <v>0</v>
      </c>
      <c r="M33" s="418">
        <v>1.24</v>
      </c>
      <c r="N33" s="516">
        <v>0.75</v>
      </c>
      <c r="O33" s="38">
        <f>SUM(V062A_2030313334363538[[#This Row],[MPAL]]+V062A_2030313334363538[[#This Row],[AUX.]]+V062A_2030313334363538[[#This Row],[CALDERA]])</f>
        <v>1.99</v>
      </c>
      <c r="P33" s="88"/>
      <c r="Q33" s="281">
        <f>(Q32-V062A_2030313334363538[[#This Row],[TOTAL ]])+V062A_2030313334363538[[#This Row],[FAENA]]</f>
        <v>399.91</v>
      </c>
      <c r="R33" s="53">
        <v>0</v>
      </c>
      <c r="S33" s="418">
        <v>0</v>
      </c>
      <c r="T33" s="418">
        <v>0</v>
      </c>
      <c r="U33" s="418">
        <v>0</v>
      </c>
      <c r="V33" s="418">
        <v>3.7</v>
      </c>
      <c r="W33" s="38">
        <f>SUM(V062A_2030313334363538[[#This Row],[MPAL2]:[GI]])</f>
        <v>3.7</v>
      </c>
      <c r="X33" s="418"/>
      <c r="Y33" s="282">
        <f>(Y32-V062A_2030313334363538[[#This Row],[TOTAL]])+V062A_2030313334363538[[#This Row],[FAENA2]]</f>
        <v>20.889999999999997</v>
      </c>
      <c r="Z33" s="53">
        <v>0</v>
      </c>
      <c r="AA33" s="418">
        <v>0</v>
      </c>
      <c r="AB33" s="421">
        <f>(AB32-V062A_2030313334363538[[#This Row],[CYLINDER MP]])+V062A_2030313334363538[[#This Row],[FAENA EN LTS]]</f>
        <v>1983.9999999999998</v>
      </c>
      <c r="AC33" s="418">
        <v>0</v>
      </c>
      <c r="AD33" s="418">
        <v>0</v>
      </c>
      <c r="AE33" s="421">
        <f>(AE32-V062A_2030313334363538[[#This Row],[CARTER MP.]])+V062A_2030313334363538[[#This Row],[FAENA EN LTS2]]</f>
        <v>3500</v>
      </c>
      <c r="AF33" s="418">
        <v>0</v>
      </c>
      <c r="AG33" s="418">
        <v>0</v>
      </c>
      <c r="AH33" s="421">
        <f>(AH32-V062A_2030313334363538[[#This Row],[MOT AUX]])+V062A_2030313334363538[[#This Row],[FAENA EN  LTS]]</f>
        <v>820</v>
      </c>
      <c r="AI33" s="418">
        <v>0</v>
      </c>
      <c r="AJ33" s="418">
        <v>0</v>
      </c>
      <c r="AK33" s="517">
        <f>(AK32-V062A_2030313334363538[[#This Row],[HIDRAULICO]])+V062A_2030313334363538[[#This Row],[FAENA EN LTS3]]</f>
        <v>1140</v>
      </c>
    </row>
    <row r="34" spans="1:37" x14ac:dyDescent="0.25">
      <c r="A34" s="514" t="s">
        <v>366</v>
      </c>
      <c r="B34" s="48">
        <v>44189</v>
      </c>
      <c r="C34" s="41">
        <v>8.7500000000000008E-2</v>
      </c>
      <c r="D34" s="418">
        <f>IF(V062A_2030313334363538[[#This Row],[FECHA]]-B33=1,((V062A_2030313334363538[[#This Row],[HORA]]-C33)*24)+24,(V062A_2030313334363538[[#This Row],[HORA]]-C33)*24)</f>
        <v>3.2000000000000028</v>
      </c>
      <c r="E34" s="45" t="s">
        <v>49</v>
      </c>
      <c r="F34" s="29" t="s">
        <v>46</v>
      </c>
      <c r="G34" s="305"/>
      <c r="H34" s="306"/>
      <c r="I3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4" s="307"/>
      <c r="K34" s="308"/>
      <c r="L34" s="515">
        <v>0</v>
      </c>
      <c r="M34" s="418">
        <v>0.27</v>
      </c>
      <c r="N34" s="516">
        <v>0.16</v>
      </c>
      <c r="O34" s="38">
        <f>SUM(V062A_2030313334363538[[#This Row],[MPAL]]+V062A_2030313334363538[[#This Row],[AUX.]]+V062A_2030313334363538[[#This Row],[CALDERA]])</f>
        <v>0.43000000000000005</v>
      </c>
      <c r="P34" s="88"/>
      <c r="Q34" s="281">
        <f>(Q33-V062A_2030313334363538[[#This Row],[TOTAL ]])+V062A_2030313334363538[[#This Row],[FAENA]]</f>
        <v>399.48</v>
      </c>
      <c r="R34" s="53">
        <v>0</v>
      </c>
      <c r="S34" s="418">
        <v>0</v>
      </c>
      <c r="T34" s="418">
        <v>0</v>
      </c>
      <c r="U34" s="418">
        <v>0</v>
      </c>
      <c r="V34" s="418">
        <v>0</v>
      </c>
      <c r="W34" s="38">
        <f>SUM(V062A_2030313334363538[[#This Row],[MPAL2]:[GI]])</f>
        <v>0</v>
      </c>
      <c r="X34" s="418"/>
      <c r="Y34" s="282">
        <f>(Y33-V062A_2030313334363538[[#This Row],[TOTAL]])+V062A_2030313334363538[[#This Row],[FAENA2]]</f>
        <v>20.889999999999997</v>
      </c>
      <c r="Z34" s="53">
        <v>0</v>
      </c>
      <c r="AA34" s="418">
        <v>0</v>
      </c>
      <c r="AB34" s="421">
        <f>(AB33-V062A_2030313334363538[[#This Row],[CYLINDER MP]])+V062A_2030313334363538[[#This Row],[FAENA EN LTS]]</f>
        <v>1983.9999999999998</v>
      </c>
      <c r="AC34" s="418">
        <v>0</v>
      </c>
      <c r="AD34" s="418">
        <v>0</v>
      </c>
      <c r="AE34" s="421">
        <f>(AE33-V062A_2030313334363538[[#This Row],[CARTER MP.]])+V062A_2030313334363538[[#This Row],[FAENA EN LTS2]]</f>
        <v>3500</v>
      </c>
      <c r="AF34" s="418">
        <v>0</v>
      </c>
      <c r="AG34" s="418">
        <v>0</v>
      </c>
      <c r="AH34" s="421">
        <f>(AH33-V062A_2030313334363538[[#This Row],[MOT AUX]])+V062A_2030313334363538[[#This Row],[FAENA EN  LTS]]</f>
        <v>820</v>
      </c>
      <c r="AI34" s="418">
        <v>0</v>
      </c>
      <c r="AJ34" s="418">
        <v>0</v>
      </c>
      <c r="AK34" s="517">
        <f>(AK33-V062A_2030313334363538[[#This Row],[HIDRAULICO]])+V062A_2030313334363538[[#This Row],[FAENA EN LTS3]]</f>
        <v>1140</v>
      </c>
    </row>
    <row r="35" spans="1:37" x14ac:dyDescent="0.25">
      <c r="A35" s="514" t="s">
        <v>366</v>
      </c>
      <c r="B35" s="48">
        <v>44189</v>
      </c>
      <c r="C35" s="41">
        <v>0.14166666666666666</v>
      </c>
      <c r="D35" s="418">
        <f>IF(V062A_2030313334363538[[#This Row],[FECHA]]-B34=1,((V062A_2030313334363538[[#This Row],[HORA]]-C34)*24)+24,(V062A_2030313334363538[[#This Row],[HORA]]-C34)*24)</f>
        <v>1.2999999999999998</v>
      </c>
      <c r="E35" s="45" t="s">
        <v>47</v>
      </c>
      <c r="F35" s="29" t="s">
        <v>393</v>
      </c>
      <c r="G35" s="305"/>
      <c r="H35" s="306"/>
      <c r="I3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5" s="307"/>
      <c r="K35" s="308"/>
      <c r="L35" s="515">
        <v>0.54</v>
      </c>
      <c r="M35" s="418">
        <v>0.08</v>
      </c>
      <c r="N35" s="516">
        <v>7.0000000000000007E-2</v>
      </c>
      <c r="O35" s="38">
        <f>SUM(V062A_2030313334363538[[#This Row],[MPAL]]+V062A_2030313334363538[[#This Row],[AUX.]]+V062A_2030313334363538[[#This Row],[CALDERA]])</f>
        <v>0.69</v>
      </c>
      <c r="P35" s="88"/>
      <c r="Q35" s="281">
        <f>(Q34-V062A_2030313334363538[[#This Row],[TOTAL ]])+V062A_2030313334363538[[#This Row],[FAENA]]</f>
        <v>398.79</v>
      </c>
      <c r="R35" s="53">
        <v>0</v>
      </c>
      <c r="S35" s="418">
        <v>0</v>
      </c>
      <c r="T35" s="418">
        <v>0</v>
      </c>
      <c r="U35" s="418">
        <v>0</v>
      </c>
      <c r="V35" s="418">
        <v>0</v>
      </c>
      <c r="W35" s="38">
        <f>SUM(V062A_2030313334363538[[#This Row],[MPAL2]:[GI]])</f>
        <v>0</v>
      </c>
      <c r="X35" s="418"/>
      <c r="Y35" s="282">
        <f>(Y34-V062A_2030313334363538[[#This Row],[TOTAL]])+V062A_2030313334363538[[#This Row],[FAENA2]]</f>
        <v>20.889999999999997</v>
      </c>
      <c r="Z35" s="53">
        <v>13.54</v>
      </c>
      <c r="AA35" s="418">
        <v>0</v>
      </c>
      <c r="AB35" s="421">
        <f>(AB34-V062A_2030313334363538[[#This Row],[CYLINDER MP]])+V062A_2030313334363538[[#This Row],[FAENA EN LTS]]</f>
        <v>1970.4599999999998</v>
      </c>
      <c r="AC35" s="418">
        <v>0</v>
      </c>
      <c r="AD35" s="418">
        <v>0</v>
      </c>
      <c r="AE35" s="421">
        <f>(AE34-V062A_2030313334363538[[#This Row],[CARTER MP.]])+V062A_2030313334363538[[#This Row],[FAENA EN LTS2]]</f>
        <v>3500</v>
      </c>
      <c r="AF35" s="418">
        <v>0</v>
      </c>
      <c r="AG35" s="418">
        <v>0</v>
      </c>
      <c r="AH35" s="421">
        <f>(AH34-V062A_2030313334363538[[#This Row],[MOT AUX]])+V062A_2030313334363538[[#This Row],[FAENA EN  LTS]]</f>
        <v>820</v>
      </c>
      <c r="AI35" s="418">
        <v>0</v>
      </c>
      <c r="AJ35" s="418">
        <v>0</v>
      </c>
      <c r="AK35" s="517">
        <f>(AK34-V062A_2030313334363538[[#This Row],[HIDRAULICO]])+V062A_2030313334363538[[#This Row],[FAENA EN LTS3]]</f>
        <v>1140</v>
      </c>
    </row>
    <row r="36" spans="1:37" x14ac:dyDescent="0.25">
      <c r="A36" s="514" t="s">
        <v>366</v>
      </c>
      <c r="B36" s="48">
        <v>44189</v>
      </c>
      <c r="C36" s="41">
        <v>0.33333333333333331</v>
      </c>
      <c r="D36" s="418">
        <f>IF(V062A_2030313334363538[[#This Row],[FECHA]]-B35=1,((V062A_2030313334363538[[#This Row],[HORA]]-C35)*24)+24,(V062A_2030313334363538[[#This Row],[HORA]]-C35)*24)</f>
        <v>4.5999999999999996</v>
      </c>
      <c r="E36" s="45" t="s">
        <v>45</v>
      </c>
      <c r="F36" s="29" t="s">
        <v>394</v>
      </c>
      <c r="G36" s="305"/>
      <c r="H36" s="306"/>
      <c r="I3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6" s="307"/>
      <c r="K36" s="308"/>
      <c r="L36" s="515">
        <v>0</v>
      </c>
      <c r="M36" s="418">
        <v>0.28999999999999998</v>
      </c>
      <c r="N36" s="516">
        <v>0.23</v>
      </c>
      <c r="O36" s="38">
        <f>SUM(V062A_2030313334363538[[#This Row],[MPAL]]+V062A_2030313334363538[[#This Row],[AUX.]]+V062A_2030313334363538[[#This Row],[CALDERA]])</f>
        <v>0.52</v>
      </c>
      <c r="P36" s="88"/>
      <c r="Q36" s="281">
        <f>(Q35-V062A_2030313334363538[[#This Row],[TOTAL ]])+V062A_2030313334363538[[#This Row],[FAENA]]</f>
        <v>398.27000000000004</v>
      </c>
      <c r="R36" s="53">
        <v>0</v>
      </c>
      <c r="S36" s="418">
        <v>0</v>
      </c>
      <c r="T36" s="418">
        <v>0</v>
      </c>
      <c r="U36" s="418">
        <v>0</v>
      </c>
      <c r="V36" s="418">
        <v>0</v>
      </c>
      <c r="W36" s="38">
        <f>SUM(V062A_2030313334363538[[#This Row],[MPAL2]:[GI]])</f>
        <v>0</v>
      </c>
      <c r="X36" s="418"/>
      <c r="Y36" s="282">
        <f>(Y35-V062A_2030313334363538[[#This Row],[TOTAL]])+V062A_2030313334363538[[#This Row],[FAENA2]]</f>
        <v>20.889999999999997</v>
      </c>
      <c r="Z36" s="53">
        <v>0</v>
      </c>
      <c r="AA36" s="418">
        <v>0</v>
      </c>
      <c r="AB36" s="421">
        <f>(AB35-V062A_2030313334363538[[#This Row],[CYLINDER MP]])+V062A_2030313334363538[[#This Row],[FAENA EN LTS]]</f>
        <v>1970.4599999999998</v>
      </c>
      <c r="AC36" s="418">
        <v>0</v>
      </c>
      <c r="AD36" s="418">
        <v>0</v>
      </c>
      <c r="AE36" s="421">
        <f>(AE35-V062A_2030313334363538[[#This Row],[CARTER MP.]])+V062A_2030313334363538[[#This Row],[FAENA EN LTS2]]</f>
        <v>3500</v>
      </c>
      <c r="AF36" s="418">
        <v>0</v>
      </c>
      <c r="AG36" s="418">
        <v>0</v>
      </c>
      <c r="AH36" s="421">
        <f>(AH35-V062A_2030313334363538[[#This Row],[MOT AUX]])+V062A_2030313334363538[[#This Row],[FAENA EN  LTS]]</f>
        <v>820</v>
      </c>
      <c r="AI36" s="418">
        <v>0</v>
      </c>
      <c r="AJ36" s="418">
        <v>0</v>
      </c>
      <c r="AK36" s="517">
        <f>(AK35-V062A_2030313334363538[[#This Row],[HIDRAULICO]])+V062A_2030313334363538[[#This Row],[FAENA EN LTS3]]</f>
        <v>1140</v>
      </c>
    </row>
    <row r="37" spans="1:37" x14ac:dyDescent="0.25">
      <c r="A37" s="514" t="s">
        <v>366</v>
      </c>
      <c r="B37" s="48">
        <v>44190</v>
      </c>
      <c r="C37" s="41">
        <v>0.33333333333333331</v>
      </c>
      <c r="D37" s="418">
        <f>IF(V062A_2030313334363538[[#This Row],[FECHA]]-B36=1,((V062A_2030313334363538[[#This Row],[HORA]]-C36)*24)+24,(V062A_2030313334363538[[#This Row],[HORA]]-C36)*24)</f>
        <v>24</v>
      </c>
      <c r="E37" s="45" t="s">
        <v>45</v>
      </c>
      <c r="F37" s="29" t="s">
        <v>394</v>
      </c>
      <c r="G37" s="305"/>
      <c r="H37" s="306"/>
      <c r="I3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7" s="307"/>
      <c r="K37" s="308"/>
      <c r="L37" s="515">
        <v>0</v>
      </c>
      <c r="M37" s="418">
        <v>0.5</v>
      </c>
      <c r="N37" s="516">
        <v>0.4</v>
      </c>
      <c r="O37" s="38">
        <f>SUM(V062A_2030313334363538[[#This Row],[MPAL]]+V062A_2030313334363538[[#This Row],[AUX.]]+V062A_2030313334363538[[#This Row],[CALDERA]])</f>
        <v>0.9</v>
      </c>
      <c r="P37" s="88"/>
      <c r="Q37" s="281">
        <f>(Q36-V062A_2030313334363538[[#This Row],[TOTAL ]])+V062A_2030313334363538[[#This Row],[FAENA]]</f>
        <v>397.37000000000006</v>
      </c>
      <c r="R37" s="53">
        <v>0</v>
      </c>
      <c r="S37" s="418">
        <v>0</v>
      </c>
      <c r="T37" s="418">
        <v>0</v>
      </c>
      <c r="U37" s="418">
        <v>0</v>
      </c>
      <c r="V37" s="418">
        <v>0</v>
      </c>
      <c r="W37" s="38">
        <f>SUM(V062A_2030313334363538[[#This Row],[MPAL2]:[GI]])</f>
        <v>0</v>
      </c>
      <c r="X37" s="418"/>
      <c r="Y37" s="282">
        <f>(Y36-V062A_2030313334363538[[#This Row],[TOTAL]])+V062A_2030313334363538[[#This Row],[FAENA2]]</f>
        <v>20.889999999999997</v>
      </c>
      <c r="Z37" s="53">
        <v>0</v>
      </c>
      <c r="AA37" s="418">
        <v>0</v>
      </c>
      <c r="AB37" s="421">
        <f>(AB36-V062A_2030313334363538[[#This Row],[CYLINDER MP]])+V062A_2030313334363538[[#This Row],[FAENA EN LTS]]</f>
        <v>1970.4599999999998</v>
      </c>
      <c r="AC37" s="418">
        <v>0</v>
      </c>
      <c r="AD37" s="418">
        <v>0</v>
      </c>
      <c r="AE37" s="421" t="e">
        <f>(#REF!-V062A_2030313334363538[[#This Row],[CARTER MP.]])+V062A_2030313334363538[[#This Row],[FAENA EN LTS2]]</f>
        <v>#REF!</v>
      </c>
      <c r="AF37" s="418">
        <v>0</v>
      </c>
      <c r="AG37" s="418">
        <v>0</v>
      </c>
      <c r="AH37" s="421">
        <f>(AH36-V062A_2030313334363538[[#This Row],[MOT AUX]])+V062A_2030313334363538[[#This Row],[FAENA EN  LTS]]</f>
        <v>820</v>
      </c>
      <c r="AI37" s="418">
        <v>0</v>
      </c>
      <c r="AJ37" s="418">
        <v>0</v>
      </c>
      <c r="AK37" s="517">
        <f>(AK36-V062A_2030313334363538[[#This Row],[HIDRAULICO]])+V062A_2030313334363538[[#This Row],[FAENA EN LTS3]]</f>
        <v>1140</v>
      </c>
    </row>
    <row r="38" spans="1:37" x14ac:dyDescent="0.25">
      <c r="A38" s="514" t="s">
        <v>366</v>
      </c>
      <c r="B38" s="518">
        <v>44191</v>
      </c>
      <c r="C38" s="41">
        <v>0</v>
      </c>
      <c r="D38" s="418">
        <f>IF(V062A_2030313334363538[[#This Row],[FECHA]]-B37=1,((V062A_2030313334363538[[#This Row],[HORA]]-C37)*24)+24,(V062A_2030313334363538[[#This Row],[HORA]]-C37)*24)</f>
        <v>16</v>
      </c>
      <c r="E38" s="45" t="s">
        <v>45</v>
      </c>
      <c r="F38" s="66" t="s">
        <v>394</v>
      </c>
      <c r="G38" s="305"/>
      <c r="H38" s="306"/>
      <c r="I3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8" s="307"/>
      <c r="K38" s="308"/>
      <c r="L38" s="53">
        <v>0</v>
      </c>
      <c r="M38" s="418">
        <v>1</v>
      </c>
      <c r="N38" s="418">
        <v>0.8</v>
      </c>
      <c r="O38" s="418">
        <f>SUM(V062A_2030313334363538[[#This Row],[MPAL]]+V062A_2030313334363538[[#This Row],[AUX.]]+V062A_2030313334363538[[#This Row],[CALDERA]])</f>
        <v>1.8</v>
      </c>
      <c r="P38" s="88"/>
      <c r="Q38" s="281">
        <f>(Q37-V062A_2030313334363538[[#This Row],[TOTAL ]])+V062A_2030313334363538[[#This Row],[FAENA]]</f>
        <v>395.57000000000005</v>
      </c>
      <c r="R38" s="53">
        <v>0</v>
      </c>
      <c r="S38" s="418">
        <v>0</v>
      </c>
      <c r="T38" s="418">
        <v>0</v>
      </c>
      <c r="U38" s="418">
        <v>0</v>
      </c>
      <c r="V38" s="418">
        <v>0</v>
      </c>
      <c r="W38" s="418">
        <f>SUM(V062A_2030313334363538[[#This Row],[MPAL2]:[GI]])</f>
        <v>0</v>
      </c>
      <c r="X38" s="418"/>
      <c r="Y38" s="282">
        <f>(Y37-V062A_2030313334363538[[#This Row],[TOTAL]])+V062A_2030313334363538[[#This Row],[FAENA2]]</f>
        <v>20.889999999999997</v>
      </c>
      <c r="Z38" s="53">
        <v>0</v>
      </c>
      <c r="AA38" s="418">
        <v>0</v>
      </c>
      <c r="AB38" s="421">
        <f>(AB37-V062A_2030313334363538[[#This Row],[CYLINDER MP]])+V062A_2030313334363538[[#This Row],[FAENA EN LTS]]</f>
        <v>1970.4599999999998</v>
      </c>
      <c r="AC38" s="418">
        <v>0</v>
      </c>
      <c r="AD38" s="418">
        <v>0</v>
      </c>
      <c r="AE38" s="421" t="e">
        <f>(AE37-V062A_2030313334363538[[#This Row],[CARTER MP.]])+V062A_2030313334363538[[#This Row],[FAENA EN LTS2]]</f>
        <v>#REF!</v>
      </c>
      <c r="AF38" s="418">
        <v>0</v>
      </c>
      <c r="AG38" s="418">
        <v>0</v>
      </c>
      <c r="AH38" s="421">
        <f>(AH37-V062A_2030313334363538[[#This Row],[MOT AUX]])+V062A_2030313334363538[[#This Row],[FAENA EN  LTS]]</f>
        <v>820</v>
      </c>
      <c r="AI38" s="418">
        <v>0</v>
      </c>
      <c r="AJ38" s="418">
        <v>0</v>
      </c>
      <c r="AK38" s="517">
        <f>(AK37-V062A_2030313334363538[[#This Row],[HIDRAULICO]])+V062A_2030313334363538[[#This Row],[FAENA EN LTS3]]</f>
        <v>1140</v>
      </c>
    </row>
    <row r="39" spans="1:37" x14ac:dyDescent="0.25">
      <c r="A39" s="514" t="s">
        <v>366</v>
      </c>
      <c r="B39" s="48">
        <v>44191</v>
      </c>
      <c r="C39" s="41">
        <v>0.33333333333333331</v>
      </c>
      <c r="D39" s="418">
        <f>IF(V062A_2030313334363538[[#This Row],[FECHA]]-B37=1,((V062A_2030313334363538[[#This Row],[HORA]]-C37)*24)+24,(V062A_2030313334363538[[#This Row],[HORA]]-C37)*24)</f>
        <v>24</v>
      </c>
      <c r="E39" s="45" t="s">
        <v>45</v>
      </c>
      <c r="F39" s="29" t="s">
        <v>394</v>
      </c>
      <c r="G39" s="305"/>
      <c r="H39" s="306"/>
      <c r="I3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39" s="307"/>
      <c r="K39" s="308"/>
      <c r="L39" s="515">
        <v>0</v>
      </c>
      <c r="M39" s="418">
        <v>1.5</v>
      </c>
      <c r="N39" s="516">
        <v>1.2</v>
      </c>
      <c r="O39" s="38">
        <f>SUM(V062A_2030313334363538[[#This Row],[MPAL]]+V062A_2030313334363538[[#This Row],[AUX.]]+V062A_2030313334363538[[#This Row],[CALDERA]])</f>
        <v>2.7</v>
      </c>
      <c r="P39" s="88"/>
      <c r="Q39" s="281">
        <f>(Q37-V062A_2030313334363538[[#This Row],[TOTAL ]])+V062A_2030313334363538[[#This Row],[FAENA]]</f>
        <v>394.67000000000007</v>
      </c>
      <c r="R39" s="53">
        <v>0</v>
      </c>
      <c r="S39" s="418">
        <v>0</v>
      </c>
      <c r="T39" s="418">
        <v>0</v>
      </c>
      <c r="U39" s="418">
        <v>0</v>
      </c>
      <c r="V39" s="418">
        <v>0</v>
      </c>
      <c r="W39" s="38">
        <f>SUM(V062A_2030313334363538[[#This Row],[MPAL2]:[GI]])</f>
        <v>0</v>
      </c>
      <c r="X39" s="418"/>
      <c r="Y39" s="282">
        <f>(Y37-V062A_2030313334363538[[#This Row],[TOTAL]])+V062A_2030313334363538[[#This Row],[FAENA2]]</f>
        <v>20.889999999999997</v>
      </c>
      <c r="Z39" s="53">
        <v>0</v>
      </c>
      <c r="AA39" s="418">
        <v>0</v>
      </c>
      <c r="AB39" s="421">
        <f>(AB37-V062A_2030313334363538[[#This Row],[CYLINDER MP]])+V062A_2030313334363538[[#This Row],[FAENA EN LTS]]</f>
        <v>1970.4599999999998</v>
      </c>
      <c r="AC39" s="418">
        <v>0</v>
      </c>
      <c r="AD39" s="418">
        <v>0</v>
      </c>
      <c r="AE39" s="421" t="e">
        <f>(AE37-V062A_2030313334363538[[#This Row],[CARTER MP.]])+V062A_2030313334363538[[#This Row],[FAENA EN LTS2]]</f>
        <v>#REF!</v>
      </c>
      <c r="AF39" s="418">
        <v>0</v>
      </c>
      <c r="AG39" s="418">
        <v>0</v>
      </c>
      <c r="AH39" s="421">
        <f>(AH37-V062A_2030313334363538[[#This Row],[MOT AUX]])+V062A_2030313334363538[[#This Row],[FAENA EN  LTS]]</f>
        <v>820</v>
      </c>
      <c r="AI39" s="418">
        <v>0</v>
      </c>
      <c r="AJ39" s="418">
        <v>0</v>
      </c>
      <c r="AK39" s="517">
        <f>(AK37-V062A_2030313334363538[[#This Row],[HIDRAULICO]])+V062A_2030313334363538[[#This Row],[FAENA EN LTS3]]</f>
        <v>1140</v>
      </c>
    </row>
    <row r="40" spans="1:37" x14ac:dyDescent="0.25">
      <c r="A40" s="514" t="s">
        <v>366</v>
      </c>
      <c r="B40" s="48">
        <v>44192</v>
      </c>
      <c r="C40" s="41">
        <v>0.33333333333333331</v>
      </c>
      <c r="D40" s="418">
        <f>IF(V062A_2030313334363538[[#This Row],[FECHA]]-B39=1,((V062A_2030313334363538[[#This Row],[HORA]]-C39)*24)+24,(V062A_2030313334363538[[#This Row],[HORA]]-C39)*24)</f>
        <v>24</v>
      </c>
      <c r="E40" s="45" t="s">
        <v>45</v>
      </c>
      <c r="F40" s="29" t="s">
        <v>394</v>
      </c>
      <c r="G40" s="305"/>
      <c r="H40" s="306"/>
      <c r="I4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0" s="307"/>
      <c r="K40" s="308"/>
      <c r="L40" s="515">
        <v>0</v>
      </c>
      <c r="M40" s="418">
        <v>1.5</v>
      </c>
      <c r="N40" s="516">
        <v>1.2</v>
      </c>
      <c r="O40" s="38">
        <f>SUM(V062A_2030313334363538[[#This Row],[MPAL]]+V062A_2030313334363538[[#This Row],[AUX.]]+V062A_2030313334363538[[#This Row],[CALDERA]])</f>
        <v>2.7</v>
      </c>
      <c r="P40" s="88"/>
      <c r="Q40" s="281">
        <f>(Q39-V062A_2030313334363538[[#This Row],[TOTAL ]])+V062A_2030313334363538[[#This Row],[FAENA]]</f>
        <v>391.97000000000008</v>
      </c>
      <c r="R40" s="53">
        <v>0</v>
      </c>
      <c r="S40" s="418">
        <v>0</v>
      </c>
      <c r="T40" s="418">
        <v>0</v>
      </c>
      <c r="U40" s="418">
        <v>0</v>
      </c>
      <c r="V40" s="418">
        <v>3.8</v>
      </c>
      <c r="W40" s="38">
        <f>SUM(V062A_2030313334363538[[#This Row],[MPAL2]:[GI]])</f>
        <v>3.8</v>
      </c>
      <c r="X40" s="418"/>
      <c r="Y40" s="282">
        <f>(Y39-V062A_2030313334363538[[#This Row],[TOTAL]])+V062A_2030313334363538[[#This Row],[FAENA2]]</f>
        <v>17.089999999999996</v>
      </c>
      <c r="Z40" s="53">
        <v>0</v>
      </c>
      <c r="AA40" s="418">
        <v>0</v>
      </c>
      <c r="AB40" s="421">
        <f>(AB39-V062A_2030313334363538[[#This Row],[CYLINDER MP]])+V062A_2030313334363538[[#This Row],[FAENA EN LTS]]</f>
        <v>1970.4599999999998</v>
      </c>
      <c r="AC40" s="418">
        <v>0</v>
      </c>
      <c r="AD40" s="418">
        <v>0</v>
      </c>
      <c r="AE40" s="421" t="e">
        <f>(AE39-V062A_2030313334363538[[#This Row],[CARTER MP.]])+V062A_2030313334363538[[#This Row],[FAENA EN LTS2]]</f>
        <v>#REF!</v>
      </c>
      <c r="AF40" s="418">
        <v>0</v>
      </c>
      <c r="AG40" s="418">
        <v>0</v>
      </c>
      <c r="AH40" s="421">
        <f>(AH39-V062A_2030313334363538[[#This Row],[MOT AUX]])+V062A_2030313334363538[[#This Row],[FAENA EN  LTS]]</f>
        <v>820</v>
      </c>
      <c r="AI40" s="418">
        <v>0</v>
      </c>
      <c r="AJ40" s="418">
        <v>0</v>
      </c>
      <c r="AK40" s="517">
        <f>(AK39-V062A_2030313334363538[[#This Row],[HIDRAULICO]])+V062A_2030313334363538[[#This Row],[FAENA EN LTS3]]</f>
        <v>1140</v>
      </c>
    </row>
    <row r="41" spans="1:37" x14ac:dyDescent="0.25">
      <c r="A41" s="514" t="s">
        <v>366</v>
      </c>
      <c r="B41" s="48">
        <v>44193</v>
      </c>
      <c r="C41" s="41">
        <v>0.33333333333333331</v>
      </c>
      <c r="D41" s="418">
        <f>IF(V062A_2030313334363538[[#This Row],[FECHA]]-B40=1,((V062A_2030313334363538[[#This Row],[HORA]]-C40)*24)+24,(V062A_2030313334363538[[#This Row],[HORA]]-C40)*24)</f>
        <v>24</v>
      </c>
      <c r="E41" s="45" t="s">
        <v>45</v>
      </c>
      <c r="F41" s="29" t="s">
        <v>394</v>
      </c>
      <c r="G41" s="305"/>
      <c r="H41" s="306"/>
      <c r="I4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1" s="307"/>
      <c r="K41" s="308"/>
      <c r="L41" s="515">
        <v>0</v>
      </c>
      <c r="M41" s="418">
        <v>1.5</v>
      </c>
      <c r="N41" s="516">
        <v>1.2</v>
      </c>
      <c r="O41" s="38">
        <f>SUM(V062A_2030313334363538[[#This Row],[MPAL]]+V062A_2030313334363538[[#This Row],[AUX.]]+V062A_2030313334363538[[#This Row],[CALDERA]])</f>
        <v>2.7</v>
      </c>
      <c r="P41" s="88"/>
      <c r="Q41" s="281">
        <f>(Q40-V062A_2030313334363538[[#This Row],[TOTAL ]])+V062A_2030313334363538[[#This Row],[FAENA]]</f>
        <v>389.2700000000001</v>
      </c>
      <c r="R41" s="53">
        <v>0</v>
      </c>
      <c r="S41" s="418">
        <v>0</v>
      </c>
      <c r="T41" s="418">
        <v>0</v>
      </c>
      <c r="U41" s="418">
        <v>0</v>
      </c>
      <c r="V41" s="418">
        <v>0</v>
      </c>
      <c r="W41" s="38">
        <f>SUM(V062A_2030313334363538[[#This Row],[MPAL2]:[GI]])</f>
        <v>0</v>
      </c>
      <c r="X41" s="418"/>
      <c r="Y41" s="282">
        <f>(Y40-V062A_2030313334363538[[#This Row],[TOTAL]])+V062A_2030313334363538[[#This Row],[FAENA2]]</f>
        <v>17.089999999999996</v>
      </c>
      <c r="Z41" s="53">
        <v>0</v>
      </c>
      <c r="AA41" s="418">
        <v>0</v>
      </c>
      <c r="AB41" s="421">
        <f>(AB40-V062A_2030313334363538[[#This Row],[CYLINDER MP]])+V062A_2030313334363538[[#This Row],[FAENA EN LTS]]</f>
        <v>1970.4599999999998</v>
      </c>
      <c r="AC41" s="418">
        <v>0</v>
      </c>
      <c r="AD41" s="418">
        <v>0</v>
      </c>
      <c r="AE41" s="421" t="e">
        <f>(AE40-V062A_2030313334363538[[#This Row],[CARTER MP.]])+V062A_2030313334363538[[#This Row],[FAENA EN LTS2]]</f>
        <v>#REF!</v>
      </c>
      <c r="AF41" s="418">
        <v>0</v>
      </c>
      <c r="AG41" s="418">
        <v>0</v>
      </c>
      <c r="AH41" s="421">
        <f>(AH40-V062A_2030313334363538[[#This Row],[MOT AUX]])+V062A_2030313334363538[[#This Row],[FAENA EN  LTS]]</f>
        <v>820</v>
      </c>
      <c r="AI41" s="418">
        <v>0</v>
      </c>
      <c r="AJ41" s="418">
        <v>0</v>
      </c>
      <c r="AK41" s="517">
        <f>(AK40-V062A_2030313334363538[[#This Row],[HIDRAULICO]])+V062A_2030313334363538[[#This Row],[FAENA EN LTS3]]</f>
        <v>1140</v>
      </c>
    </row>
    <row r="42" spans="1:37" x14ac:dyDescent="0.25">
      <c r="A42" s="514" t="s">
        <v>422</v>
      </c>
      <c r="B42" s="48">
        <v>44194</v>
      </c>
      <c r="C42" s="41">
        <v>0.33333333333333331</v>
      </c>
      <c r="D42" s="418">
        <f>IF(V062A_2030313334363538[[#This Row],[FECHA]]-B41=1,((V062A_2030313334363538[[#This Row],[HORA]]-C41)*24)+24,(V062A_2030313334363538[[#This Row],[HORA]]-C41)*24)</f>
        <v>24</v>
      </c>
      <c r="E42" s="45" t="s">
        <v>45</v>
      </c>
      <c r="F42" s="29" t="s">
        <v>394</v>
      </c>
      <c r="G42" s="305"/>
      <c r="H42" s="306"/>
      <c r="I4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2" s="307"/>
      <c r="K42" s="308"/>
      <c r="L42" s="515">
        <v>0</v>
      </c>
      <c r="M42" s="418">
        <v>1.5</v>
      </c>
      <c r="N42" s="516">
        <v>1.2</v>
      </c>
      <c r="O42" s="38">
        <f>SUM(V062A_2030313334363538[[#This Row],[MPAL]]+V062A_2030313334363538[[#This Row],[AUX.]]+V062A_2030313334363538[[#This Row],[CALDERA]])</f>
        <v>2.7</v>
      </c>
      <c r="P42" s="88"/>
      <c r="Q42" s="281">
        <f>(Q41-V062A_2030313334363538[[#This Row],[TOTAL ]])+V062A_2030313334363538[[#This Row],[FAENA]]</f>
        <v>386.57000000000011</v>
      </c>
      <c r="R42" s="53">
        <v>0</v>
      </c>
      <c r="S42" s="418">
        <v>0</v>
      </c>
      <c r="T42" s="418">
        <v>0</v>
      </c>
      <c r="U42" s="418">
        <v>0</v>
      </c>
      <c r="V42" s="418">
        <v>0</v>
      </c>
      <c r="W42" s="38">
        <f>SUM(V062A_2030313334363538[[#This Row],[MPAL2]:[GI]])</f>
        <v>0</v>
      </c>
      <c r="X42" s="418"/>
      <c r="Y42" s="282">
        <f>(Y41-V062A_2030313334363538[[#This Row],[TOTAL]])+V062A_2030313334363538[[#This Row],[FAENA2]]</f>
        <v>17.089999999999996</v>
      </c>
      <c r="Z42" s="53">
        <v>0</v>
      </c>
      <c r="AA42" s="418">
        <v>0</v>
      </c>
      <c r="AB42" s="421">
        <f>(AB41-V062A_2030313334363538[[#This Row],[CYLINDER MP]])+V062A_2030313334363538[[#This Row],[FAENA EN LTS]]</f>
        <v>1970.4599999999998</v>
      </c>
      <c r="AC42" s="418">
        <v>0</v>
      </c>
      <c r="AD42" s="418">
        <v>0</v>
      </c>
      <c r="AE42" s="421" t="e">
        <f>(AE41-V062A_2030313334363538[[#This Row],[CARTER MP.]])+V062A_2030313334363538[[#This Row],[FAENA EN LTS2]]</f>
        <v>#REF!</v>
      </c>
      <c r="AF42" s="418">
        <v>0</v>
      </c>
      <c r="AG42" s="418">
        <v>0</v>
      </c>
      <c r="AH42" s="421">
        <f>(AH41-V062A_2030313334363538[[#This Row],[MOT AUX]])+V062A_2030313334363538[[#This Row],[FAENA EN  LTS]]</f>
        <v>820</v>
      </c>
      <c r="AI42" s="418">
        <v>0</v>
      </c>
      <c r="AJ42" s="418">
        <v>0</v>
      </c>
      <c r="AK42" s="517">
        <f>(AK41-V062A_2030313334363538[[#This Row],[HIDRAULICO]])+V062A_2030313334363538[[#This Row],[FAENA EN LTS3]]</f>
        <v>1140</v>
      </c>
    </row>
    <row r="43" spans="1:37" x14ac:dyDescent="0.25">
      <c r="A43" s="514" t="s">
        <v>423</v>
      </c>
      <c r="B43" s="48">
        <v>44195</v>
      </c>
      <c r="C43" s="41">
        <v>0.33333333333333331</v>
      </c>
      <c r="D43" s="418">
        <f>IF(V062A_2030313334363538[[#This Row],[FECHA]]-B42=1,((V062A_2030313334363538[[#This Row],[HORA]]-C42)*24)+24,(V062A_2030313334363538[[#This Row],[HORA]]-C42)*24)</f>
        <v>24</v>
      </c>
      <c r="E43" s="45" t="s">
        <v>45</v>
      </c>
      <c r="F43" s="29" t="s">
        <v>394</v>
      </c>
      <c r="G43" s="305"/>
      <c r="H43" s="306"/>
      <c r="I4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3" s="307"/>
      <c r="K43" s="308"/>
      <c r="L43" s="515">
        <v>0</v>
      </c>
      <c r="M43" s="418">
        <v>1.5</v>
      </c>
      <c r="N43" s="516">
        <v>1.2</v>
      </c>
      <c r="O43" s="38">
        <f>SUM(V062A_2030313334363538[[#This Row],[MPAL]]+V062A_2030313334363538[[#This Row],[AUX.]]+V062A_2030313334363538[[#This Row],[CALDERA]])</f>
        <v>2.7</v>
      </c>
      <c r="P43" s="88"/>
      <c r="Q43" s="281">
        <f>(Q42-V062A_2030313334363538[[#This Row],[TOTAL ]])+V062A_2030313334363538[[#This Row],[FAENA]]</f>
        <v>383.87000000000012</v>
      </c>
      <c r="R43" s="53">
        <v>0</v>
      </c>
      <c r="S43" s="418">
        <v>0</v>
      </c>
      <c r="T43" s="418">
        <v>0</v>
      </c>
      <c r="U43" s="418">
        <v>0</v>
      </c>
      <c r="V43" s="418">
        <v>0</v>
      </c>
      <c r="W43" s="38">
        <f>SUM(V062A_2030313334363538[[#This Row],[MPAL2]:[GI]])</f>
        <v>0</v>
      </c>
      <c r="X43" s="418"/>
      <c r="Y43" s="282">
        <f>(Y42-V062A_2030313334363538[[#This Row],[TOTAL]])+V062A_2030313334363538[[#This Row],[FAENA2]]</f>
        <v>17.089999999999996</v>
      </c>
      <c r="Z43" s="53">
        <v>0</v>
      </c>
      <c r="AA43" s="418">
        <v>0</v>
      </c>
      <c r="AB43" s="421">
        <f>(AB42-V062A_2030313334363538[[#This Row],[CYLINDER MP]])+V062A_2030313334363538[[#This Row],[FAENA EN LTS]]</f>
        <v>1970.4599999999998</v>
      </c>
      <c r="AC43" s="418">
        <v>0</v>
      </c>
      <c r="AD43" s="418">
        <v>0</v>
      </c>
      <c r="AE43" s="421" t="e">
        <f>(AE42-V062A_2030313334363538[[#This Row],[CARTER MP.]])+V062A_2030313334363538[[#This Row],[FAENA EN LTS2]]</f>
        <v>#REF!</v>
      </c>
      <c r="AF43" s="418">
        <v>0</v>
      </c>
      <c r="AG43" s="418">
        <v>0</v>
      </c>
      <c r="AH43" s="421">
        <f>(AH42-V062A_2030313334363538[[#This Row],[MOT AUX]])+V062A_2030313334363538[[#This Row],[FAENA EN  LTS]]</f>
        <v>820</v>
      </c>
      <c r="AI43" s="418">
        <v>0</v>
      </c>
      <c r="AJ43" s="418">
        <v>0</v>
      </c>
      <c r="AK43" s="517">
        <f>(AK42-V062A_2030313334363538[[#This Row],[HIDRAULICO]])+V062A_2030313334363538[[#This Row],[FAENA EN LTS3]]</f>
        <v>1140</v>
      </c>
    </row>
    <row r="44" spans="1:37" x14ac:dyDescent="0.25">
      <c r="A44" s="514" t="s">
        <v>424</v>
      </c>
      <c r="B44" s="48">
        <v>44196</v>
      </c>
      <c r="C44" s="41">
        <v>0.33333333333333331</v>
      </c>
      <c r="D44" s="418">
        <f>IF(V062A_2030313334363538[[#This Row],[FECHA]]-B43=1,((V062A_2030313334363538[[#This Row],[HORA]]-C43)*24)+24,(V062A_2030313334363538[[#This Row],[HORA]]-C43)*24)</f>
        <v>24</v>
      </c>
      <c r="E44" s="45" t="s">
        <v>45</v>
      </c>
      <c r="F44" s="29" t="s">
        <v>394</v>
      </c>
      <c r="G44" s="305"/>
      <c r="H44" s="306"/>
      <c r="I4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4" s="307"/>
      <c r="K44" s="308"/>
      <c r="L44" s="515">
        <v>0</v>
      </c>
      <c r="M44" s="418">
        <v>1.5</v>
      </c>
      <c r="N44" s="516">
        <v>1.2</v>
      </c>
      <c r="O44" s="38">
        <f>SUM(V062A_2030313334363538[[#This Row],[MPAL]]+V062A_2030313334363538[[#This Row],[AUX.]]+V062A_2030313334363538[[#This Row],[CALDERA]])</f>
        <v>2.7</v>
      </c>
      <c r="P44" s="88"/>
      <c r="Q44" s="281">
        <f>(Q43-V062A_2030313334363538[[#This Row],[TOTAL ]])+V062A_2030313334363538[[#This Row],[FAENA]]</f>
        <v>381.17000000000013</v>
      </c>
      <c r="R44" s="53">
        <v>0</v>
      </c>
      <c r="S44" s="418">
        <v>0</v>
      </c>
      <c r="T44" s="418">
        <v>0</v>
      </c>
      <c r="U44" s="418">
        <v>0</v>
      </c>
      <c r="V44" s="418">
        <v>0</v>
      </c>
      <c r="W44" s="38">
        <f>SUM(V062A_2030313334363538[[#This Row],[MPAL2]:[GI]])</f>
        <v>0</v>
      </c>
      <c r="X44" s="418"/>
      <c r="Y44" s="282">
        <f>(Y43-V062A_2030313334363538[[#This Row],[TOTAL]])+V062A_2030313334363538[[#This Row],[FAENA2]]</f>
        <v>17.089999999999996</v>
      </c>
      <c r="Z44" s="53">
        <v>0</v>
      </c>
      <c r="AA44" s="418">
        <v>0</v>
      </c>
      <c r="AB44" s="421">
        <f>(AB43-V062A_2030313334363538[[#This Row],[CYLINDER MP]])+V062A_2030313334363538[[#This Row],[FAENA EN LTS]]</f>
        <v>1970.4599999999998</v>
      </c>
      <c r="AC44" s="418">
        <v>0</v>
      </c>
      <c r="AD44" s="418">
        <v>0</v>
      </c>
      <c r="AE44" s="421" t="e">
        <f>(AE43-V062A_2030313334363538[[#This Row],[CARTER MP.]])+V062A_2030313334363538[[#This Row],[FAENA EN LTS2]]</f>
        <v>#REF!</v>
      </c>
      <c r="AF44" s="418">
        <v>0</v>
      </c>
      <c r="AG44" s="418">
        <v>0</v>
      </c>
      <c r="AH44" s="421">
        <f>(AH43-V062A_2030313334363538[[#This Row],[MOT AUX]])+V062A_2030313334363538[[#This Row],[FAENA EN  LTS]]</f>
        <v>820</v>
      </c>
      <c r="AI44" s="418">
        <v>0</v>
      </c>
      <c r="AJ44" s="418">
        <v>0</v>
      </c>
      <c r="AK44" s="517">
        <f>(AK43-V062A_2030313334363538[[#This Row],[HIDRAULICO]])+V062A_2030313334363538[[#This Row],[FAENA EN LTS3]]</f>
        <v>1140</v>
      </c>
    </row>
    <row r="45" spans="1:37" x14ac:dyDescent="0.25">
      <c r="A45" s="514" t="s">
        <v>366</v>
      </c>
      <c r="B45" s="48">
        <v>44197</v>
      </c>
      <c r="C45" s="41">
        <v>9.1666666666666674E-2</v>
      </c>
      <c r="D45" s="418">
        <v>1.3</v>
      </c>
      <c r="E45" s="45" t="s">
        <v>45</v>
      </c>
      <c r="F45" s="29" t="s">
        <v>46</v>
      </c>
      <c r="G45" s="305"/>
      <c r="H45" s="306"/>
      <c r="I45" s="130">
        <v>0</v>
      </c>
      <c r="J45" s="307"/>
      <c r="K45" s="308"/>
      <c r="L45" s="515">
        <v>0</v>
      </c>
      <c r="M45" s="418">
        <v>0.18</v>
      </c>
      <c r="N45" s="516">
        <v>0.11</v>
      </c>
      <c r="O45" s="38">
        <v>0.28999999999999998</v>
      </c>
      <c r="P45" s="88"/>
      <c r="Q45" s="281">
        <v>376.5</v>
      </c>
      <c r="R45" s="53">
        <v>0</v>
      </c>
      <c r="S45" s="418">
        <v>0</v>
      </c>
      <c r="T45" s="418">
        <v>0</v>
      </c>
      <c r="U45" s="418">
        <v>0</v>
      </c>
      <c r="V45" s="418">
        <v>0</v>
      </c>
      <c r="W45" s="38">
        <v>0</v>
      </c>
      <c r="X45" s="418"/>
      <c r="Y45" s="282">
        <v>17.09</v>
      </c>
      <c r="Z45" s="53">
        <v>22.91</v>
      </c>
      <c r="AA45" s="418">
        <v>0</v>
      </c>
      <c r="AB45" s="421">
        <v>1947.55</v>
      </c>
      <c r="AC45" s="418">
        <v>0</v>
      </c>
      <c r="AD45" s="418">
        <v>0</v>
      </c>
      <c r="AE45" s="421">
        <v>3500</v>
      </c>
      <c r="AF45" s="418">
        <v>20</v>
      </c>
      <c r="AG45" s="418">
        <v>0</v>
      </c>
      <c r="AH45" s="421">
        <v>800</v>
      </c>
      <c r="AI45" s="418">
        <v>0</v>
      </c>
      <c r="AJ45" s="418">
        <v>0</v>
      </c>
      <c r="AK45" s="517">
        <v>1140</v>
      </c>
    </row>
    <row r="46" spans="1:37" x14ac:dyDescent="0.25">
      <c r="A46" s="514" t="s">
        <v>366</v>
      </c>
      <c r="B46" s="48">
        <v>44197</v>
      </c>
      <c r="C46" s="41">
        <v>0.1125</v>
      </c>
      <c r="D46" s="418">
        <v>0.5</v>
      </c>
      <c r="E46" s="45" t="s">
        <v>47</v>
      </c>
      <c r="F46" s="29" t="s">
        <v>212</v>
      </c>
      <c r="G46" s="305"/>
      <c r="H46" s="306"/>
      <c r="I46" s="130">
        <v>0</v>
      </c>
      <c r="J46" s="307"/>
      <c r="K46" s="308"/>
      <c r="L46" s="515">
        <v>0.21</v>
      </c>
      <c r="M46" s="418">
        <v>0.03</v>
      </c>
      <c r="N46" s="516">
        <v>0.03</v>
      </c>
      <c r="O46" s="38">
        <v>0.27</v>
      </c>
      <c r="P46" s="88"/>
      <c r="Q46" s="281">
        <v>376.23</v>
      </c>
      <c r="R46" s="53">
        <v>0</v>
      </c>
      <c r="S46" s="418">
        <v>0</v>
      </c>
      <c r="T46" s="418">
        <v>0</v>
      </c>
      <c r="U46" s="418">
        <v>0</v>
      </c>
      <c r="V46" s="418">
        <v>0</v>
      </c>
      <c r="W46" s="38">
        <v>0</v>
      </c>
      <c r="X46" s="418"/>
      <c r="Y46" s="282">
        <v>17.09</v>
      </c>
      <c r="Z46" s="53">
        <v>5.2</v>
      </c>
      <c r="AA46" s="418">
        <v>0</v>
      </c>
      <c r="AB46" s="421">
        <v>1942.35</v>
      </c>
      <c r="AC46" s="418">
        <v>0</v>
      </c>
      <c r="AD46" s="418">
        <v>0</v>
      </c>
      <c r="AE46" s="421">
        <v>3500</v>
      </c>
      <c r="AF46" s="418">
        <v>0</v>
      </c>
      <c r="AG46" s="418">
        <v>0</v>
      </c>
      <c r="AH46" s="421">
        <v>800</v>
      </c>
      <c r="AI46" s="418">
        <v>0</v>
      </c>
      <c r="AJ46" s="418">
        <v>0</v>
      </c>
      <c r="AK46" s="517">
        <v>1140</v>
      </c>
    </row>
    <row r="47" spans="1:37" x14ac:dyDescent="0.25">
      <c r="A47" s="431" t="s">
        <v>366</v>
      </c>
      <c r="B47" s="48">
        <v>44197</v>
      </c>
      <c r="C47" s="237">
        <v>0.21249999999999999</v>
      </c>
      <c r="D47" s="418">
        <v>0.5</v>
      </c>
      <c r="E47" s="432" t="s">
        <v>55</v>
      </c>
      <c r="F47" s="378" t="s">
        <v>271</v>
      </c>
      <c r="G47" s="433">
        <v>30</v>
      </c>
      <c r="H47" s="434">
        <v>2.4</v>
      </c>
      <c r="I4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12.5</v>
      </c>
      <c r="J47" s="436">
        <v>4</v>
      </c>
      <c r="K47" s="437">
        <v>97</v>
      </c>
      <c r="L47" s="483">
        <v>2.2999999999999998</v>
      </c>
      <c r="M47" s="246">
        <v>0.2</v>
      </c>
      <c r="N47" s="484">
        <v>0.12</v>
      </c>
      <c r="O47" s="246">
        <f>SUM(V062A_20303133343635[[#This Row],[MPAL]]+V062A_20303133343635[[#This Row],[AUX.]]+V062A_20303133343635[[#This Row],[CALDERA]])</f>
        <v>0.45000000000000007</v>
      </c>
      <c r="P47" s="319"/>
      <c r="Q47" s="270">
        <f>(Q46-V062A_20303133343635[[#This Row],[TOTAL ]])+V062A_20303133343635[[#This Row],[FAENA]]</f>
        <v>375.78000000000003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SUM(V062A_20303133343635[[#This Row],[MPAL2]:[GI]])</f>
        <v>0</v>
      </c>
      <c r="X47" s="246"/>
      <c r="Y47" s="300">
        <f>(Y46-V062A_20303133343635[[#This Row],[TOTAL]])+V062A_20303133343635[[#This Row],[FAENA2]]</f>
        <v>17.09</v>
      </c>
      <c r="Z47" s="245">
        <v>25</v>
      </c>
      <c r="AA47" s="246">
        <v>0</v>
      </c>
      <c r="AB47" s="438">
        <f>(AB46-V062A_20303133343635[[#This Row],[CYLINDER MP]])+V062A_20303133343635[[#This Row],[FAENA EN LTS]]</f>
        <v>1942.35</v>
      </c>
      <c r="AC47" s="246">
        <v>0</v>
      </c>
      <c r="AD47" s="246">
        <v>0</v>
      </c>
      <c r="AE47" s="438">
        <f>(AE46-V062A_20303133343635[[#This Row],[CARTER MP.]])+V062A_20303133343635[[#This Row],[FAENA EN LTS2]]</f>
        <v>3500</v>
      </c>
      <c r="AF47" s="246">
        <v>0</v>
      </c>
      <c r="AG47" s="246">
        <v>0</v>
      </c>
      <c r="AH47" s="438">
        <f>(AH46-V062A_20303133343635[[#This Row],[MOT AUX]])+V062A_20303133343635[[#This Row],[FAENA EN  LTS]]</f>
        <v>800</v>
      </c>
      <c r="AI47" s="246">
        <v>0</v>
      </c>
      <c r="AJ47" s="246">
        <v>0</v>
      </c>
      <c r="AK47" s="439">
        <f>(AK46-V062A_20303133343635[[#This Row],[HIDRAULICO]])+V062A_20303133343635[[#This Row],[FAENA EN LTS3]]</f>
        <v>1140</v>
      </c>
    </row>
    <row r="48" spans="1:37" x14ac:dyDescent="0.25">
      <c r="A48" s="514"/>
      <c r="B48" s="48"/>
      <c r="C48" s="41"/>
      <c r="D48" s="418">
        <f>IF(V062A_2030313334363538[[#This Row],[FECHA]]-B47=1,((V062A_2030313334363538[[#This Row],[HORA]]-C47)*24)+24,(V062A_2030313334363538[[#This Row],[HORA]]-C47)*24)</f>
        <v>-5.0999999999999996</v>
      </c>
      <c r="E48" s="45"/>
      <c r="F48" s="29"/>
      <c r="G48" s="305"/>
      <c r="H48" s="306"/>
      <c r="I4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8" s="307"/>
      <c r="K48" s="308"/>
      <c r="L48" s="515"/>
      <c r="M48" s="418"/>
      <c r="N48" s="516"/>
      <c r="O48" s="38">
        <f>SUM(V062A_2030313334363538[[#This Row],[MPAL]]+V062A_2030313334363538[[#This Row],[AUX.]]+V062A_2030313334363538[[#This Row],[CALDERA]])</f>
        <v>0</v>
      </c>
      <c r="P48" s="88"/>
      <c r="Q48" s="281">
        <f>(Q47-V062A_2030313334363538[[#This Row],[TOTAL ]])+V062A_2030313334363538[[#This Row],[FAENA]]</f>
        <v>375.78000000000003</v>
      </c>
      <c r="R48" s="53">
        <v>0</v>
      </c>
      <c r="S48" s="418">
        <v>0</v>
      </c>
      <c r="T48" s="418">
        <v>0</v>
      </c>
      <c r="U48" s="418">
        <v>0</v>
      </c>
      <c r="V48" s="418">
        <v>0</v>
      </c>
      <c r="W48" s="38">
        <f>SUM(V062A_2030313334363538[[#This Row],[MPAL2]:[GI]])</f>
        <v>0</v>
      </c>
      <c r="X48" s="418"/>
      <c r="Y48" s="282">
        <f>(Y47-V062A_2030313334363538[[#This Row],[TOTAL]])+V062A_2030313334363538[[#This Row],[FAENA2]]</f>
        <v>17.09</v>
      </c>
      <c r="Z48" s="53">
        <v>0</v>
      </c>
      <c r="AA48" s="418">
        <v>0</v>
      </c>
      <c r="AB48" s="421">
        <f>(AB47-V062A_2030313334363538[[#This Row],[CYLINDER MP]])+V062A_2030313334363538[[#This Row],[FAENA EN LTS]]</f>
        <v>1942.35</v>
      </c>
      <c r="AC48" s="418">
        <v>0</v>
      </c>
      <c r="AD48" s="418">
        <v>0</v>
      </c>
      <c r="AE48" s="421">
        <f>(AE47-V062A_2030313334363538[[#This Row],[CARTER MP.]])+V062A_2030313334363538[[#This Row],[FAENA EN LTS2]]</f>
        <v>3500</v>
      </c>
      <c r="AF48" s="418">
        <v>0</v>
      </c>
      <c r="AG48" s="418">
        <v>0</v>
      </c>
      <c r="AH48" s="421">
        <f>(AH47-V062A_2030313334363538[[#This Row],[MOT AUX]])+V062A_2030313334363538[[#This Row],[FAENA EN  LTS]]</f>
        <v>800</v>
      </c>
      <c r="AI48" s="418">
        <v>0</v>
      </c>
      <c r="AJ48" s="418">
        <v>0</v>
      </c>
      <c r="AK48" s="517">
        <f>(AK47-V062A_2030313334363538[[#This Row],[HIDRAULICO]])+V062A_2030313334363538[[#This Row],[FAENA EN LTS3]]</f>
        <v>1140</v>
      </c>
    </row>
    <row r="49" spans="1:37" x14ac:dyDescent="0.25">
      <c r="A49" s="514"/>
      <c r="B49" s="48"/>
      <c r="C49" s="41"/>
      <c r="D49" s="418">
        <f>IF(V062A_2030313334363538[[#This Row],[FECHA]]-B48=1,((V062A_2030313334363538[[#This Row],[HORA]]-C48)*24)+24,(V062A_2030313334363538[[#This Row],[HORA]]-C48)*24)</f>
        <v>0</v>
      </c>
      <c r="E49" s="45"/>
      <c r="F49" s="29"/>
      <c r="G49" s="305"/>
      <c r="H49" s="306"/>
      <c r="I4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49" s="307"/>
      <c r="K49" s="308"/>
      <c r="L49" s="515"/>
      <c r="M49" s="418"/>
      <c r="N49" s="516"/>
      <c r="O49" s="38">
        <f>SUM(V062A_2030313334363538[[#This Row],[MPAL]]+V062A_2030313334363538[[#This Row],[AUX.]]+V062A_2030313334363538[[#This Row],[CALDERA]])</f>
        <v>0</v>
      </c>
      <c r="P49" s="88"/>
      <c r="Q49" s="281">
        <f>(Q48-V062A_2030313334363538[[#This Row],[TOTAL ]])+V062A_2030313334363538[[#This Row],[FAENA]]</f>
        <v>375.78000000000003</v>
      </c>
      <c r="R49" s="53">
        <v>0</v>
      </c>
      <c r="S49" s="418">
        <v>0</v>
      </c>
      <c r="T49" s="418">
        <v>0</v>
      </c>
      <c r="U49" s="418">
        <v>0</v>
      </c>
      <c r="V49" s="418">
        <v>0</v>
      </c>
      <c r="W49" s="38">
        <f>SUM(V062A_2030313334363538[[#This Row],[MPAL2]:[GI]])</f>
        <v>0</v>
      </c>
      <c r="X49" s="418"/>
      <c r="Y49" s="282">
        <f>(Y48-V062A_2030313334363538[[#This Row],[TOTAL]])+V062A_2030313334363538[[#This Row],[FAENA2]]</f>
        <v>17.09</v>
      </c>
      <c r="Z49" s="53">
        <v>0</v>
      </c>
      <c r="AA49" s="418">
        <v>0</v>
      </c>
      <c r="AB49" s="421">
        <f>(AB48-V062A_2030313334363538[[#This Row],[CYLINDER MP]])+V062A_2030313334363538[[#This Row],[FAENA EN LTS]]</f>
        <v>1942.35</v>
      </c>
      <c r="AC49" s="418">
        <v>0</v>
      </c>
      <c r="AD49" s="418">
        <v>0</v>
      </c>
      <c r="AE49" s="421">
        <f>(AE48-V062A_2030313334363538[[#This Row],[CARTER MP.]])+V062A_2030313334363538[[#This Row],[FAENA EN LTS2]]</f>
        <v>3500</v>
      </c>
      <c r="AF49" s="418">
        <v>0</v>
      </c>
      <c r="AG49" s="418">
        <v>0</v>
      </c>
      <c r="AH49" s="421">
        <f>(AH48-V062A_2030313334363538[[#This Row],[MOT AUX]])+V062A_2030313334363538[[#This Row],[FAENA EN  LTS]]</f>
        <v>800</v>
      </c>
      <c r="AI49" s="418">
        <v>0</v>
      </c>
      <c r="AJ49" s="418">
        <v>0</v>
      </c>
      <c r="AK49" s="517">
        <f>(AK48-V062A_2030313334363538[[#This Row],[HIDRAULICO]])+V062A_2030313334363538[[#This Row],[FAENA EN LTS3]]</f>
        <v>1140</v>
      </c>
    </row>
    <row r="50" spans="1:37" x14ac:dyDescent="0.25">
      <c r="A50" s="514"/>
      <c r="B50" s="48"/>
      <c r="C50" s="41"/>
      <c r="D50" s="418">
        <f>IF(V062A_2030313334363538[[#This Row],[FECHA]]-B49=1,((V062A_2030313334363538[[#This Row],[HORA]]-C49)*24)+24,(V062A_2030313334363538[[#This Row],[HORA]]-C49)*24)</f>
        <v>0</v>
      </c>
      <c r="E50" s="45"/>
      <c r="F50" s="29"/>
      <c r="G50" s="305"/>
      <c r="H50" s="306"/>
      <c r="I5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0" s="307"/>
      <c r="K50" s="308"/>
      <c r="L50" s="515"/>
      <c r="M50" s="418"/>
      <c r="N50" s="516"/>
      <c r="O50" s="38">
        <f>SUM(V062A_2030313334363538[[#This Row],[MPAL]]+V062A_2030313334363538[[#This Row],[AUX.]]+V062A_2030313334363538[[#This Row],[CALDERA]])</f>
        <v>0</v>
      </c>
      <c r="P50" s="88"/>
      <c r="Q50" s="281">
        <f>(Q49-V062A_2030313334363538[[#This Row],[TOTAL ]])+V062A_2030313334363538[[#This Row],[FAENA]]</f>
        <v>375.78000000000003</v>
      </c>
      <c r="R50" s="53">
        <v>0</v>
      </c>
      <c r="S50" s="418">
        <v>0</v>
      </c>
      <c r="T50" s="418">
        <v>0</v>
      </c>
      <c r="U50" s="418">
        <v>0</v>
      </c>
      <c r="V50" s="418">
        <v>0</v>
      </c>
      <c r="W50" s="38">
        <f>SUM(V062A_2030313334363538[[#This Row],[MPAL2]:[GI]])</f>
        <v>0</v>
      </c>
      <c r="X50" s="418"/>
      <c r="Y50" s="282">
        <f>(Y49-V062A_2030313334363538[[#This Row],[TOTAL]])+V062A_2030313334363538[[#This Row],[FAENA2]]</f>
        <v>17.09</v>
      </c>
      <c r="Z50" s="53">
        <v>0</v>
      </c>
      <c r="AA50" s="418">
        <v>0</v>
      </c>
      <c r="AB50" s="421">
        <f>(AB49-V062A_2030313334363538[[#This Row],[CYLINDER MP]])+V062A_2030313334363538[[#This Row],[FAENA EN LTS]]</f>
        <v>1942.35</v>
      </c>
      <c r="AC50" s="418">
        <v>0</v>
      </c>
      <c r="AD50" s="418">
        <v>0</v>
      </c>
      <c r="AE50" s="421">
        <f>(AE49-V062A_2030313334363538[[#This Row],[CARTER MP.]])+V062A_2030313334363538[[#This Row],[FAENA EN LTS2]]</f>
        <v>3500</v>
      </c>
      <c r="AF50" s="418">
        <v>0</v>
      </c>
      <c r="AG50" s="418">
        <v>0</v>
      </c>
      <c r="AH50" s="421">
        <f>(AH49-V062A_2030313334363538[[#This Row],[MOT AUX]])+V062A_2030313334363538[[#This Row],[FAENA EN  LTS]]</f>
        <v>800</v>
      </c>
      <c r="AI50" s="418">
        <v>0</v>
      </c>
      <c r="AJ50" s="418">
        <v>0</v>
      </c>
      <c r="AK50" s="517">
        <f>(AK49-V062A_2030313334363538[[#This Row],[HIDRAULICO]])+V062A_2030313334363538[[#This Row],[FAENA EN LTS3]]</f>
        <v>1140</v>
      </c>
    </row>
    <row r="51" spans="1:37" x14ac:dyDescent="0.25">
      <c r="A51" s="514"/>
      <c r="B51" s="48"/>
      <c r="C51" s="41"/>
      <c r="D51" s="418">
        <f>IF(V062A_2030313334363538[[#This Row],[FECHA]]-B50=1,((V062A_2030313334363538[[#This Row],[HORA]]-C50)*24)+24,(V062A_2030313334363538[[#This Row],[HORA]]-C50)*24)</f>
        <v>0</v>
      </c>
      <c r="E51" s="45"/>
      <c r="F51" s="29"/>
      <c r="G51" s="305"/>
      <c r="H51" s="306"/>
      <c r="I51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1" s="307"/>
      <c r="K51" s="308"/>
      <c r="L51" s="515"/>
      <c r="M51" s="418"/>
      <c r="N51" s="516"/>
      <c r="O51" s="38">
        <f>SUM(V062A_2030313334363538[[#This Row],[MPAL]]+V062A_2030313334363538[[#This Row],[AUX.]]+V062A_2030313334363538[[#This Row],[CALDERA]])</f>
        <v>0</v>
      </c>
      <c r="P51" s="88"/>
      <c r="Q51" s="281">
        <f>(Q50-V062A_2030313334363538[[#This Row],[TOTAL ]])+V062A_2030313334363538[[#This Row],[FAENA]]</f>
        <v>375.78000000000003</v>
      </c>
      <c r="R51" s="53">
        <v>0</v>
      </c>
      <c r="S51" s="418">
        <v>0</v>
      </c>
      <c r="T51" s="418">
        <v>0</v>
      </c>
      <c r="U51" s="418">
        <v>0</v>
      </c>
      <c r="V51" s="418">
        <v>0</v>
      </c>
      <c r="W51" s="38">
        <f>SUM(V062A_2030313334363538[[#This Row],[MPAL2]:[GI]])</f>
        <v>0</v>
      </c>
      <c r="X51" s="418"/>
      <c r="Y51" s="282">
        <f>(Y50-V062A_2030313334363538[[#This Row],[TOTAL]])+V062A_2030313334363538[[#This Row],[FAENA2]]</f>
        <v>17.09</v>
      </c>
      <c r="Z51" s="53">
        <v>0</v>
      </c>
      <c r="AA51" s="418">
        <v>0</v>
      </c>
      <c r="AB51" s="421">
        <f>(AB50-V062A_2030313334363538[[#This Row],[CYLINDER MP]])+V062A_2030313334363538[[#This Row],[FAENA EN LTS]]</f>
        <v>1942.35</v>
      </c>
      <c r="AC51" s="418">
        <v>0</v>
      </c>
      <c r="AD51" s="418">
        <v>0</v>
      </c>
      <c r="AE51" s="421">
        <f>(AE50-V062A_2030313334363538[[#This Row],[CARTER MP.]])+V062A_2030313334363538[[#This Row],[FAENA EN LTS2]]</f>
        <v>3500</v>
      </c>
      <c r="AF51" s="418">
        <v>0</v>
      </c>
      <c r="AG51" s="418">
        <v>0</v>
      </c>
      <c r="AH51" s="421">
        <f>(AH50-V062A_2030313334363538[[#This Row],[MOT AUX]])+V062A_2030313334363538[[#This Row],[FAENA EN  LTS]]</f>
        <v>800</v>
      </c>
      <c r="AI51" s="418">
        <v>0</v>
      </c>
      <c r="AJ51" s="418">
        <v>0</v>
      </c>
      <c r="AK51" s="517">
        <f>(AK50-V062A_2030313334363538[[#This Row],[HIDRAULICO]])+V062A_2030313334363538[[#This Row],[FAENA EN LTS3]]</f>
        <v>1140</v>
      </c>
    </row>
    <row r="52" spans="1:37" x14ac:dyDescent="0.25">
      <c r="A52" s="514"/>
      <c r="B52" s="48"/>
      <c r="C52" s="41"/>
      <c r="D52" s="418">
        <f>IF(V062A_2030313334363538[[#This Row],[FECHA]]-B51=1,((V062A_2030313334363538[[#This Row],[HORA]]-C51)*24)+24,(V062A_2030313334363538[[#This Row],[HORA]]-C51)*24)</f>
        <v>0</v>
      </c>
      <c r="E52" s="45"/>
      <c r="F52" s="29"/>
      <c r="G52" s="305"/>
      <c r="H52" s="306"/>
      <c r="I52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2" s="307"/>
      <c r="K52" s="308"/>
      <c r="L52" s="515"/>
      <c r="M52" s="418"/>
      <c r="N52" s="516"/>
      <c r="O52" s="38">
        <f>SUM(V062A_2030313334363538[[#This Row],[MPAL]]+V062A_2030313334363538[[#This Row],[AUX.]]+V062A_2030313334363538[[#This Row],[CALDERA]])</f>
        <v>0</v>
      </c>
      <c r="P52" s="88"/>
      <c r="Q52" s="281">
        <f>(Q51-V062A_2030313334363538[[#This Row],[TOTAL ]])+V062A_2030313334363538[[#This Row],[FAENA]]</f>
        <v>375.78000000000003</v>
      </c>
      <c r="R52" s="53">
        <v>0</v>
      </c>
      <c r="S52" s="418">
        <v>0</v>
      </c>
      <c r="T52" s="418">
        <v>0</v>
      </c>
      <c r="U52" s="418">
        <v>0</v>
      </c>
      <c r="V52" s="418">
        <v>0</v>
      </c>
      <c r="W52" s="38">
        <f>SUM(V062A_2030313334363538[[#This Row],[MPAL2]:[GI]])</f>
        <v>0</v>
      </c>
      <c r="X52" s="418"/>
      <c r="Y52" s="282">
        <f>(Y51-V062A_2030313334363538[[#This Row],[TOTAL]])+V062A_2030313334363538[[#This Row],[FAENA2]]</f>
        <v>17.09</v>
      </c>
      <c r="Z52" s="53">
        <v>0</v>
      </c>
      <c r="AA52" s="418">
        <v>0</v>
      </c>
      <c r="AB52" s="421">
        <f>(AB51-V062A_2030313334363538[[#This Row],[CYLINDER MP]])+V062A_2030313334363538[[#This Row],[FAENA EN LTS]]</f>
        <v>1942.35</v>
      </c>
      <c r="AC52" s="418">
        <v>0</v>
      </c>
      <c r="AD52" s="418">
        <v>0</v>
      </c>
      <c r="AE52" s="421">
        <f>(AE51-V062A_2030313334363538[[#This Row],[CARTER MP.]])+V062A_2030313334363538[[#This Row],[FAENA EN LTS2]]</f>
        <v>3500</v>
      </c>
      <c r="AF52" s="418">
        <v>0</v>
      </c>
      <c r="AG52" s="418">
        <v>0</v>
      </c>
      <c r="AH52" s="421">
        <f>(AH51-V062A_2030313334363538[[#This Row],[MOT AUX]])+V062A_2030313334363538[[#This Row],[FAENA EN  LTS]]</f>
        <v>800</v>
      </c>
      <c r="AI52" s="418">
        <v>0</v>
      </c>
      <c r="AJ52" s="418">
        <v>0</v>
      </c>
      <c r="AK52" s="517">
        <f>(AK51-V062A_2030313334363538[[#This Row],[HIDRAULICO]])+V062A_2030313334363538[[#This Row],[FAENA EN LTS3]]</f>
        <v>1140</v>
      </c>
    </row>
    <row r="53" spans="1:37" x14ac:dyDescent="0.25">
      <c r="A53" s="514"/>
      <c r="B53" s="48"/>
      <c r="C53" s="41"/>
      <c r="D53" s="418">
        <f>IF(V062A_2030313334363538[[#This Row],[FECHA]]-B52=1,((V062A_2030313334363538[[#This Row],[HORA]]-C52)*24)+24,(V062A_2030313334363538[[#This Row],[HORA]]-C52)*24)</f>
        <v>0</v>
      </c>
      <c r="E53" s="45"/>
      <c r="F53" s="29"/>
      <c r="G53" s="305"/>
      <c r="H53" s="306"/>
      <c r="I53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3" s="307"/>
      <c r="K53" s="308"/>
      <c r="L53" s="515"/>
      <c r="M53" s="418"/>
      <c r="N53" s="516"/>
      <c r="O53" s="38">
        <f>SUM(V062A_2030313334363538[[#This Row],[MPAL]]+V062A_2030313334363538[[#This Row],[AUX.]]+V062A_2030313334363538[[#This Row],[CALDERA]])</f>
        <v>0</v>
      </c>
      <c r="P53" s="88"/>
      <c r="Q53" s="281">
        <f>(Q52-V062A_2030313334363538[[#This Row],[TOTAL ]])+V062A_2030313334363538[[#This Row],[FAENA]]</f>
        <v>375.78000000000003</v>
      </c>
      <c r="R53" s="53">
        <v>0</v>
      </c>
      <c r="S53" s="418">
        <v>0</v>
      </c>
      <c r="T53" s="418">
        <v>0</v>
      </c>
      <c r="U53" s="418">
        <v>0</v>
      </c>
      <c r="V53" s="418">
        <v>0</v>
      </c>
      <c r="W53" s="38">
        <f>SUM(V062A_2030313334363538[[#This Row],[MPAL2]:[GI]])</f>
        <v>0</v>
      </c>
      <c r="X53" s="418"/>
      <c r="Y53" s="282">
        <f>(Y52-V062A_2030313334363538[[#This Row],[TOTAL]])+V062A_2030313334363538[[#This Row],[FAENA2]]</f>
        <v>17.09</v>
      </c>
      <c r="Z53" s="53">
        <v>0</v>
      </c>
      <c r="AA53" s="418">
        <v>0</v>
      </c>
      <c r="AB53" s="421">
        <f>(AB52-V062A_2030313334363538[[#This Row],[CYLINDER MP]])+V062A_2030313334363538[[#This Row],[FAENA EN LTS]]</f>
        <v>1942.35</v>
      </c>
      <c r="AC53" s="418">
        <v>0</v>
      </c>
      <c r="AD53" s="418">
        <v>0</v>
      </c>
      <c r="AE53" s="421">
        <f>(AE52-V062A_2030313334363538[[#This Row],[CARTER MP.]])+V062A_2030313334363538[[#This Row],[FAENA EN LTS2]]</f>
        <v>3500</v>
      </c>
      <c r="AF53" s="418">
        <v>0</v>
      </c>
      <c r="AG53" s="418">
        <v>0</v>
      </c>
      <c r="AH53" s="421">
        <f>(AH52-V062A_2030313334363538[[#This Row],[MOT AUX]])+V062A_2030313334363538[[#This Row],[FAENA EN  LTS]]</f>
        <v>800</v>
      </c>
      <c r="AI53" s="418">
        <v>0</v>
      </c>
      <c r="AJ53" s="418">
        <v>0</v>
      </c>
      <c r="AK53" s="517">
        <f>(AK52-V062A_2030313334363538[[#This Row],[HIDRAULICO]])+V062A_2030313334363538[[#This Row],[FAENA EN LTS3]]</f>
        <v>1140</v>
      </c>
    </row>
    <row r="54" spans="1:37" x14ac:dyDescent="0.25">
      <c r="A54" s="514"/>
      <c r="B54" s="48"/>
      <c r="C54" s="41"/>
      <c r="D54" s="418">
        <f>IF(V062A_2030313334363538[[#This Row],[FECHA]]-B53=1,((V062A_2030313334363538[[#This Row],[HORA]]-C53)*24)+24,(V062A_2030313334363538[[#This Row],[HORA]]-C53)*24)</f>
        <v>0</v>
      </c>
      <c r="E54" s="45"/>
      <c r="F54" s="29"/>
      <c r="G54" s="305"/>
      <c r="H54" s="306"/>
      <c r="I54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4" s="307"/>
      <c r="K54" s="308"/>
      <c r="L54" s="515"/>
      <c r="M54" s="418"/>
      <c r="N54" s="516"/>
      <c r="O54" s="38">
        <f>SUM(V062A_2030313334363538[[#This Row],[MPAL]]+V062A_2030313334363538[[#This Row],[AUX.]]+V062A_2030313334363538[[#This Row],[CALDERA]])</f>
        <v>0</v>
      </c>
      <c r="P54" s="88"/>
      <c r="Q54" s="281">
        <f>(Q53-V062A_2030313334363538[[#This Row],[TOTAL ]])+V062A_2030313334363538[[#This Row],[FAENA]]</f>
        <v>375.78000000000003</v>
      </c>
      <c r="R54" s="53">
        <v>0</v>
      </c>
      <c r="S54" s="418">
        <v>0</v>
      </c>
      <c r="T54" s="418">
        <v>0</v>
      </c>
      <c r="U54" s="418">
        <v>0</v>
      </c>
      <c r="V54" s="418">
        <v>0</v>
      </c>
      <c r="W54" s="38">
        <f>SUM(V062A_2030313334363538[[#This Row],[MPAL2]:[GI]])</f>
        <v>0</v>
      </c>
      <c r="X54" s="418"/>
      <c r="Y54" s="282">
        <f>(Y53-V062A_2030313334363538[[#This Row],[TOTAL]])+V062A_2030313334363538[[#This Row],[FAENA2]]</f>
        <v>17.09</v>
      </c>
      <c r="Z54" s="53">
        <v>0</v>
      </c>
      <c r="AA54" s="418">
        <v>0</v>
      </c>
      <c r="AB54" s="421">
        <f>(AB53-V062A_2030313334363538[[#This Row],[CYLINDER MP]])+V062A_2030313334363538[[#This Row],[FAENA EN LTS]]</f>
        <v>1942.35</v>
      </c>
      <c r="AC54" s="418">
        <v>0</v>
      </c>
      <c r="AD54" s="418">
        <v>0</v>
      </c>
      <c r="AE54" s="421">
        <f>(AE53-V062A_2030313334363538[[#This Row],[CARTER MP.]])+V062A_2030313334363538[[#This Row],[FAENA EN LTS2]]</f>
        <v>3500</v>
      </c>
      <c r="AF54" s="418">
        <v>0</v>
      </c>
      <c r="AG54" s="418">
        <v>0</v>
      </c>
      <c r="AH54" s="421">
        <f>(AH53-V062A_2030313334363538[[#This Row],[MOT AUX]])+V062A_2030313334363538[[#This Row],[FAENA EN  LTS]]</f>
        <v>800</v>
      </c>
      <c r="AI54" s="418">
        <v>0</v>
      </c>
      <c r="AJ54" s="418">
        <v>0</v>
      </c>
      <c r="AK54" s="517">
        <f>(AK53-V062A_2030313334363538[[#This Row],[HIDRAULICO]])+V062A_2030313334363538[[#This Row],[FAENA EN LTS3]]</f>
        <v>1140</v>
      </c>
    </row>
    <row r="55" spans="1:37" x14ac:dyDescent="0.25">
      <c r="A55" s="514"/>
      <c r="B55" s="48"/>
      <c r="C55" s="41"/>
      <c r="D55" s="418">
        <f>IF(V062A_2030313334363538[[#This Row],[FECHA]]-B54=1,((V062A_2030313334363538[[#This Row],[HORA]]-C54)*24)+24,(V062A_2030313334363538[[#This Row],[HORA]]-C54)*24)</f>
        <v>0</v>
      </c>
      <c r="E55" s="45"/>
      <c r="F55" s="29"/>
      <c r="G55" s="305"/>
      <c r="H55" s="306"/>
      <c r="I55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5" s="307"/>
      <c r="K55" s="308"/>
      <c r="L55" s="515"/>
      <c r="M55" s="418"/>
      <c r="N55" s="516"/>
      <c r="O55" s="38">
        <f>SUM(V062A_2030313334363538[[#This Row],[MPAL]]+V062A_2030313334363538[[#This Row],[AUX.]]+V062A_2030313334363538[[#This Row],[CALDERA]])</f>
        <v>0</v>
      </c>
      <c r="P55" s="88"/>
      <c r="Q55" s="281">
        <f>(Q54-V062A_2030313334363538[[#This Row],[TOTAL ]])+V062A_2030313334363538[[#This Row],[FAENA]]</f>
        <v>375.78000000000003</v>
      </c>
      <c r="R55" s="53">
        <v>0</v>
      </c>
      <c r="S55" s="418">
        <v>0</v>
      </c>
      <c r="T55" s="418">
        <v>0</v>
      </c>
      <c r="U55" s="418">
        <v>0</v>
      </c>
      <c r="V55" s="418">
        <v>0</v>
      </c>
      <c r="W55" s="38">
        <f>SUM(V062A_2030313334363538[[#This Row],[MPAL2]:[GI]])</f>
        <v>0</v>
      </c>
      <c r="X55" s="418"/>
      <c r="Y55" s="282">
        <f>(Y54-V062A_2030313334363538[[#This Row],[TOTAL]])+V062A_2030313334363538[[#This Row],[FAENA2]]</f>
        <v>17.09</v>
      </c>
      <c r="Z55" s="53">
        <v>0</v>
      </c>
      <c r="AA55" s="418">
        <v>0</v>
      </c>
      <c r="AB55" s="421">
        <f>(AB54-V062A_2030313334363538[[#This Row],[CYLINDER MP]])+V062A_2030313334363538[[#This Row],[FAENA EN LTS]]</f>
        <v>1942.35</v>
      </c>
      <c r="AC55" s="418">
        <v>0</v>
      </c>
      <c r="AD55" s="418">
        <v>0</v>
      </c>
      <c r="AE55" s="421">
        <f>(AE54-V062A_2030313334363538[[#This Row],[CARTER MP.]])+V062A_2030313334363538[[#This Row],[FAENA EN LTS2]]</f>
        <v>3500</v>
      </c>
      <c r="AF55" s="418">
        <v>0</v>
      </c>
      <c r="AG55" s="418">
        <v>0</v>
      </c>
      <c r="AH55" s="421">
        <f>(AH54-V062A_2030313334363538[[#This Row],[MOT AUX]])+V062A_2030313334363538[[#This Row],[FAENA EN  LTS]]</f>
        <v>800</v>
      </c>
      <c r="AI55" s="418">
        <v>0</v>
      </c>
      <c r="AJ55" s="418">
        <v>0</v>
      </c>
      <c r="AK55" s="517">
        <f>(AK54-V062A_2030313334363538[[#This Row],[HIDRAULICO]])+V062A_2030313334363538[[#This Row],[FAENA EN LTS3]]</f>
        <v>1140</v>
      </c>
    </row>
    <row r="56" spans="1:37" x14ac:dyDescent="0.25">
      <c r="A56" s="514"/>
      <c r="B56" s="48"/>
      <c r="C56" s="41"/>
      <c r="D56" s="418">
        <f>IF(V062A_2030313334363538[[#This Row],[FECHA]]-B55=1,((V062A_2030313334363538[[#This Row],[HORA]]-C55)*24)+24,(V062A_2030313334363538[[#This Row],[HORA]]-C55)*24)</f>
        <v>0</v>
      </c>
      <c r="E56" s="45"/>
      <c r="F56" s="29"/>
      <c r="G56" s="305"/>
      <c r="H56" s="306"/>
      <c r="I56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6" s="307"/>
      <c r="K56" s="308"/>
      <c r="L56" s="515"/>
      <c r="M56" s="418"/>
      <c r="N56" s="516"/>
      <c r="O56" s="38">
        <f>SUM(V062A_2030313334363538[[#This Row],[MPAL]]+V062A_2030313334363538[[#This Row],[AUX.]]+V062A_2030313334363538[[#This Row],[CALDERA]])</f>
        <v>0</v>
      </c>
      <c r="P56" s="88"/>
      <c r="Q56" s="281">
        <f>(Q55-V062A_2030313334363538[[#This Row],[TOTAL ]])+V062A_2030313334363538[[#This Row],[FAENA]]</f>
        <v>375.78000000000003</v>
      </c>
      <c r="R56" s="53">
        <v>0</v>
      </c>
      <c r="S56" s="418">
        <v>0</v>
      </c>
      <c r="T56" s="418">
        <v>0</v>
      </c>
      <c r="U56" s="418">
        <v>0</v>
      </c>
      <c r="V56" s="418">
        <v>0</v>
      </c>
      <c r="W56" s="38">
        <f>SUM(V062A_2030313334363538[[#This Row],[MPAL2]:[GI]])</f>
        <v>0</v>
      </c>
      <c r="X56" s="418"/>
      <c r="Y56" s="282">
        <f>(Y55-V062A_2030313334363538[[#This Row],[TOTAL]])+V062A_2030313334363538[[#This Row],[FAENA2]]</f>
        <v>17.09</v>
      </c>
      <c r="Z56" s="53">
        <v>0</v>
      </c>
      <c r="AA56" s="418">
        <v>0</v>
      </c>
      <c r="AB56" s="421">
        <f>(AB55-V062A_2030313334363538[[#This Row],[CYLINDER MP]])+V062A_2030313334363538[[#This Row],[FAENA EN LTS]]</f>
        <v>1942.35</v>
      </c>
      <c r="AC56" s="418">
        <v>0</v>
      </c>
      <c r="AD56" s="418">
        <v>0</v>
      </c>
      <c r="AE56" s="421">
        <f>(AE55-V062A_2030313334363538[[#This Row],[CARTER MP.]])+V062A_2030313334363538[[#This Row],[FAENA EN LTS2]]</f>
        <v>3500</v>
      </c>
      <c r="AF56" s="418">
        <v>0</v>
      </c>
      <c r="AG56" s="418">
        <v>0</v>
      </c>
      <c r="AH56" s="421">
        <f>(AH55-V062A_2030313334363538[[#This Row],[MOT AUX]])+V062A_2030313334363538[[#This Row],[FAENA EN  LTS]]</f>
        <v>800</v>
      </c>
      <c r="AI56" s="418">
        <v>0</v>
      </c>
      <c r="AJ56" s="418">
        <v>0</v>
      </c>
      <c r="AK56" s="517">
        <f>(AK55-V062A_2030313334363538[[#This Row],[HIDRAULICO]])+V062A_2030313334363538[[#This Row],[FAENA EN LTS3]]</f>
        <v>1140</v>
      </c>
    </row>
    <row r="57" spans="1:37" x14ac:dyDescent="0.25">
      <c r="A57" s="514"/>
      <c r="B57" s="48"/>
      <c r="C57" s="41"/>
      <c r="D57" s="418">
        <f>IF(V062A_2030313334363538[[#This Row],[FECHA]]-B56=1,((V062A_2030313334363538[[#This Row],[HORA]]-C56)*24)+24,(V062A_2030313334363538[[#This Row],[HORA]]-C56)*24)</f>
        <v>0</v>
      </c>
      <c r="E57" s="45"/>
      <c r="F57" s="29"/>
      <c r="G57" s="305"/>
      <c r="H57" s="306"/>
      <c r="I57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7" s="307"/>
      <c r="K57" s="308"/>
      <c r="L57" s="515"/>
      <c r="M57" s="418"/>
      <c r="N57" s="516"/>
      <c r="O57" s="38">
        <f>SUM(V062A_2030313334363538[[#This Row],[MPAL]]+V062A_2030313334363538[[#This Row],[AUX.]]+V062A_2030313334363538[[#This Row],[CALDERA]])</f>
        <v>0</v>
      </c>
      <c r="P57" s="88"/>
      <c r="Q57" s="281">
        <f>(Q56-V062A_2030313334363538[[#This Row],[TOTAL ]])+V062A_2030313334363538[[#This Row],[FAENA]]</f>
        <v>375.78000000000003</v>
      </c>
      <c r="R57" s="53">
        <v>0</v>
      </c>
      <c r="S57" s="418">
        <v>0</v>
      </c>
      <c r="T57" s="418">
        <v>0</v>
      </c>
      <c r="U57" s="418">
        <v>0</v>
      </c>
      <c r="V57" s="418">
        <v>0</v>
      </c>
      <c r="W57" s="38">
        <f>SUM(V062A_2030313334363538[[#This Row],[MPAL2]:[GI]])</f>
        <v>0</v>
      </c>
      <c r="X57" s="418"/>
      <c r="Y57" s="282">
        <f>(Y56-V062A_2030313334363538[[#This Row],[TOTAL]])+V062A_2030313334363538[[#This Row],[FAENA2]]</f>
        <v>17.09</v>
      </c>
      <c r="Z57" s="53">
        <v>0</v>
      </c>
      <c r="AA57" s="418">
        <v>0</v>
      </c>
      <c r="AB57" s="421">
        <f>(AB56-V062A_2030313334363538[[#This Row],[CYLINDER MP]])+V062A_2030313334363538[[#This Row],[FAENA EN LTS]]</f>
        <v>1942.35</v>
      </c>
      <c r="AC57" s="418">
        <v>0</v>
      </c>
      <c r="AD57" s="418">
        <v>0</v>
      </c>
      <c r="AE57" s="421">
        <f>(AE56-V062A_2030313334363538[[#This Row],[CARTER MP.]])+V062A_2030313334363538[[#This Row],[FAENA EN LTS2]]</f>
        <v>3500</v>
      </c>
      <c r="AF57" s="418">
        <v>0</v>
      </c>
      <c r="AG57" s="418">
        <v>0</v>
      </c>
      <c r="AH57" s="421">
        <f>(AH56-V062A_2030313334363538[[#This Row],[MOT AUX]])+V062A_2030313334363538[[#This Row],[FAENA EN  LTS]]</f>
        <v>800</v>
      </c>
      <c r="AI57" s="418">
        <v>0</v>
      </c>
      <c r="AJ57" s="418">
        <v>0</v>
      </c>
      <c r="AK57" s="517">
        <f>(AK56-V062A_2030313334363538[[#This Row],[HIDRAULICO]])+V062A_2030313334363538[[#This Row],[FAENA EN LTS3]]</f>
        <v>1140</v>
      </c>
    </row>
    <row r="58" spans="1:37" x14ac:dyDescent="0.25">
      <c r="A58" s="514"/>
      <c r="B58" s="48"/>
      <c r="C58" s="41"/>
      <c r="D58" s="418">
        <f>IF(V062A_2030313334363538[[#This Row],[FECHA]]-B57=1,((V062A_2030313334363538[[#This Row],[HORA]]-C57)*24)+24,(V062A_2030313334363538[[#This Row],[HORA]]-C57)*24)</f>
        <v>0</v>
      </c>
      <c r="E58" s="45"/>
      <c r="F58" s="29"/>
      <c r="G58" s="305"/>
      <c r="H58" s="306"/>
      <c r="I58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8" s="307"/>
      <c r="K58" s="308"/>
      <c r="L58" s="515"/>
      <c r="M58" s="418"/>
      <c r="N58" s="516"/>
      <c r="O58" s="38">
        <f>SUM(V062A_2030313334363538[[#This Row],[MPAL]]+V062A_2030313334363538[[#This Row],[AUX.]]+V062A_2030313334363538[[#This Row],[CALDERA]])</f>
        <v>0</v>
      </c>
      <c r="P58" s="88"/>
      <c r="Q58" s="281">
        <f>(Q57-V062A_2030313334363538[[#This Row],[TOTAL ]])+V062A_2030313334363538[[#This Row],[FAENA]]</f>
        <v>375.78000000000003</v>
      </c>
      <c r="R58" s="53">
        <v>0</v>
      </c>
      <c r="S58" s="418">
        <v>0</v>
      </c>
      <c r="T58" s="418">
        <v>0</v>
      </c>
      <c r="U58" s="418">
        <v>0</v>
      </c>
      <c r="V58" s="418">
        <v>0</v>
      </c>
      <c r="W58" s="38">
        <f>SUM(V062A_2030313334363538[[#This Row],[MPAL2]:[GI]])</f>
        <v>0</v>
      </c>
      <c r="X58" s="418"/>
      <c r="Y58" s="282">
        <f>(Y57-V062A_2030313334363538[[#This Row],[TOTAL]])+V062A_2030313334363538[[#This Row],[FAENA2]]</f>
        <v>17.09</v>
      </c>
      <c r="Z58" s="53">
        <v>0</v>
      </c>
      <c r="AA58" s="418">
        <v>0</v>
      </c>
      <c r="AB58" s="421">
        <f>(AB57-V062A_2030313334363538[[#This Row],[CYLINDER MP]])+V062A_2030313334363538[[#This Row],[FAENA EN LTS]]</f>
        <v>1942.35</v>
      </c>
      <c r="AC58" s="418">
        <v>0</v>
      </c>
      <c r="AD58" s="418">
        <v>0</v>
      </c>
      <c r="AE58" s="421">
        <f>(AE57-V062A_2030313334363538[[#This Row],[CARTER MP.]])+V062A_2030313334363538[[#This Row],[FAENA EN LTS2]]</f>
        <v>3500</v>
      </c>
      <c r="AF58" s="418">
        <v>0</v>
      </c>
      <c r="AG58" s="418">
        <v>0</v>
      </c>
      <c r="AH58" s="421">
        <f>(AH57-V062A_2030313334363538[[#This Row],[MOT AUX]])+V062A_2030313334363538[[#This Row],[FAENA EN  LTS]]</f>
        <v>800</v>
      </c>
      <c r="AI58" s="418">
        <v>0</v>
      </c>
      <c r="AJ58" s="418">
        <v>0</v>
      </c>
      <c r="AK58" s="517">
        <f>(AK57-V062A_2030313334363538[[#This Row],[HIDRAULICO]])+V062A_2030313334363538[[#This Row],[FAENA EN LTS3]]</f>
        <v>1140</v>
      </c>
    </row>
    <row r="59" spans="1:37" x14ac:dyDescent="0.25">
      <c r="A59" s="514"/>
      <c r="B59" s="48"/>
      <c r="C59" s="41"/>
      <c r="D59" s="418">
        <f>IF(V062A_2030313334363538[[#This Row],[FECHA]]-B58=1,((V062A_2030313334363538[[#This Row],[HORA]]-C58)*24)+24,(V062A_2030313334363538[[#This Row],[HORA]]-C58)*24)</f>
        <v>0</v>
      </c>
      <c r="E59" s="45"/>
      <c r="F59" s="29"/>
      <c r="G59" s="305"/>
      <c r="H59" s="306"/>
      <c r="I59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59" s="307"/>
      <c r="K59" s="308"/>
      <c r="L59" s="515"/>
      <c r="M59" s="418"/>
      <c r="N59" s="516"/>
      <c r="O59" s="38">
        <f>SUM(V062A_2030313334363538[[#This Row],[MPAL]]+V062A_2030313334363538[[#This Row],[AUX.]]+V062A_2030313334363538[[#This Row],[CALDERA]])</f>
        <v>0</v>
      </c>
      <c r="P59" s="88"/>
      <c r="Q59" s="281">
        <f>(Q58-V062A_2030313334363538[[#This Row],[TOTAL ]])+V062A_2030313334363538[[#This Row],[FAENA]]</f>
        <v>375.78000000000003</v>
      </c>
      <c r="R59" s="53">
        <v>0</v>
      </c>
      <c r="S59" s="418">
        <v>0</v>
      </c>
      <c r="T59" s="418">
        <v>0</v>
      </c>
      <c r="U59" s="418">
        <v>0</v>
      </c>
      <c r="V59" s="418">
        <v>0</v>
      </c>
      <c r="W59" s="38">
        <f>SUM(V062A_2030313334363538[[#This Row],[MPAL2]:[GI]])</f>
        <v>0</v>
      </c>
      <c r="X59" s="418"/>
      <c r="Y59" s="282">
        <f>(Y58-V062A_2030313334363538[[#This Row],[TOTAL]])+V062A_2030313334363538[[#This Row],[FAENA2]]</f>
        <v>17.09</v>
      </c>
      <c r="Z59" s="53">
        <v>0</v>
      </c>
      <c r="AA59" s="418">
        <v>0</v>
      </c>
      <c r="AB59" s="421">
        <f>(AB58-V062A_2030313334363538[[#This Row],[CYLINDER MP]])+V062A_2030313334363538[[#This Row],[FAENA EN LTS]]</f>
        <v>1942.35</v>
      </c>
      <c r="AC59" s="418">
        <v>0</v>
      </c>
      <c r="AD59" s="418">
        <v>0</v>
      </c>
      <c r="AE59" s="421">
        <f>(AE58-V062A_2030313334363538[[#This Row],[CARTER MP.]])+V062A_2030313334363538[[#This Row],[FAENA EN LTS2]]</f>
        <v>3500</v>
      </c>
      <c r="AF59" s="418">
        <v>0</v>
      </c>
      <c r="AG59" s="418">
        <v>0</v>
      </c>
      <c r="AH59" s="421">
        <f>(AH58-V062A_2030313334363538[[#This Row],[MOT AUX]])+V062A_2030313334363538[[#This Row],[FAENA EN  LTS]]</f>
        <v>800</v>
      </c>
      <c r="AI59" s="418">
        <v>0</v>
      </c>
      <c r="AJ59" s="418">
        <v>0</v>
      </c>
      <c r="AK59" s="517">
        <f>(AK58-V062A_2030313334363538[[#This Row],[HIDRAULICO]])+V062A_2030313334363538[[#This Row],[FAENA EN LTS3]]</f>
        <v>1140</v>
      </c>
    </row>
    <row r="60" spans="1:37" x14ac:dyDescent="0.25">
      <c r="A60" s="514"/>
      <c r="B60" s="48"/>
      <c r="C60" s="41"/>
      <c r="D60" s="418">
        <f>IF(V062A_2030313334363538[[#This Row],[FECHA]]-B59=1,((V062A_2030313334363538[[#This Row],[HORA]]-C59)*24)+24,(V062A_2030313334363538[[#This Row],[HORA]]-C59)*24)</f>
        <v>0</v>
      </c>
      <c r="E60" s="45"/>
      <c r="F60" s="29"/>
      <c r="G60" s="305"/>
      <c r="H60" s="306"/>
      <c r="I60" s="130">
        <f>IF(ISERROR(V062A_2030313334363538[[#This Row],[DISTANCIA POR CARTA]]/V062A_2030313334363538[[#This Row],[TIEMPO DE NAVEGACION]]),0,V062A_2030313334363538[[#This Row],[DISTANCIA POR CARTA]]/V062A_2030313334363538[[#This Row],[TIEMPO DE NAVEGACION]])</f>
        <v>0</v>
      </c>
      <c r="J60" s="307"/>
      <c r="K60" s="308"/>
      <c r="L60" s="515"/>
      <c r="M60" s="418"/>
      <c r="N60" s="516"/>
      <c r="O60" s="38">
        <f>SUM(V062A_2030313334363538[[#This Row],[MPAL]]+V062A_2030313334363538[[#This Row],[AUX.]]+V062A_2030313334363538[[#This Row],[CALDERA]])</f>
        <v>0</v>
      </c>
      <c r="P60" s="88"/>
      <c r="Q60" s="281">
        <f>(Q59-V062A_2030313334363538[[#This Row],[TOTAL ]])+V062A_2030313334363538[[#This Row],[FAENA]]</f>
        <v>375.78000000000003</v>
      </c>
      <c r="R60" s="53">
        <v>0</v>
      </c>
      <c r="S60" s="418">
        <v>0</v>
      </c>
      <c r="T60" s="418">
        <v>0</v>
      </c>
      <c r="U60" s="418">
        <v>0</v>
      </c>
      <c r="V60" s="418">
        <v>0</v>
      </c>
      <c r="W60" s="38">
        <f>SUM(V062A_2030313334363538[[#This Row],[MPAL2]:[GI]])</f>
        <v>0</v>
      </c>
      <c r="X60" s="418"/>
      <c r="Y60" s="282">
        <f>(Y59-V062A_2030313334363538[[#This Row],[TOTAL]])+V062A_2030313334363538[[#This Row],[FAENA2]]</f>
        <v>17.09</v>
      </c>
      <c r="Z60" s="53">
        <v>0</v>
      </c>
      <c r="AA60" s="418">
        <v>0</v>
      </c>
      <c r="AB60" s="421">
        <f>(AB59-V062A_2030313334363538[[#This Row],[CYLINDER MP]])+V062A_2030313334363538[[#This Row],[FAENA EN LTS]]</f>
        <v>1942.35</v>
      </c>
      <c r="AC60" s="418">
        <v>0</v>
      </c>
      <c r="AD60" s="418">
        <v>0</v>
      </c>
      <c r="AE60" s="421">
        <f>(AE59-V062A_2030313334363538[[#This Row],[CARTER MP.]])+V062A_2030313334363538[[#This Row],[FAENA EN LTS2]]</f>
        <v>3500</v>
      </c>
      <c r="AF60" s="418">
        <v>0</v>
      </c>
      <c r="AG60" s="418">
        <v>0</v>
      </c>
      <c r="AH60" s="421">
        <f>(AH59-V062A_2030313334363538[[#This Row],[MOT AUX]])+V062A_2030313334363538[[#This Row],[FAENA EN  LTS]]</f>
        <v>800</v>
      </c>
      <c r="AI60" s="418">
        <v>0</v>
      </c>
      <c r="AJ60" s="418">
        <v>0</v>
      </c>
      <c r="AK60" s="517">
        <f>(AK59-V062A_2030313334363538[[#This Row],[HIDRAULICO]])+V062A_2030313334363538[[#This Row],[FAENA EN LTS3]]</f>
        <v>1140</v>
      </c>
    </row>
    <row r="61" spans="1:37" x14ac:dyDescent="0.25">
      <c r="A61" s="514"/>
      <c r="B61" s="518"/>
      <c r="C61" s="41"/>
      <c r="D61" s="418">
        <f>IF(V062A_2030313334363538[[#This Row],[FECHA]]-B60=1,((V062A_2030313334363538[[#This Row],[HORA]]-C60)*24)+24,(V062A_2030313334363538[[#This Row],[HORA]]-C60)*24)</f>
        <v>0</v>
      </c>
      <c r="E61" s="45"/>
      <c r="F61" s="66"/>
      <c r="G61" s="305"/>
      <c r="H61" s="306"/>
      <c r="I61" s="130"/>
      <c r="J61" s="307"/>
      <c r="K61" s="308"/>
      <c r="L61" s="53"/>
      <c r="M61" s="418"/>
      <c r="N61" s="418"/>
      <c r="O61" s="418"/>
      <c r="P61" s="88"/>
      <c r="Q61" s="270" t="e">
        <f>(#REF!-V062A_2030313334363538[[#This Row],[TOTAL ]])+V062A_2030313334363538[[#This Row],[FAENA]]</f>
        <v>#REF!</v>
      </c>
      <c r="R61" s="53"/>
      <c r="S61" s="418"/>
      <c r="T61" s="418"/>
      <c r="U61" s="418"/>
      <c r="V61" s="418"/>
      <c r="W61" s="418"/>
      <c r="X61" s="418"/>
      <c r="Y61" s="300" t="e">
        <f>(#REF!-V062A_2030313334363538[[#This Row],[TOTAL]])+V062A_2030313334363538[[#This Row],[FAENA2]]</f>
        <v>#REF!</v>
      </c>
      <c r="Z61" s="53"/>
      <c r="AA61" s="418"/>
      <c r="AB61" s="301" t="e">
        <f>(#REF!-V062A_2030313334363538[[#This Row],[CYLINDER MP]])+V062A_2030313334363538[[#This Row],[FAENA EN LTS]]</f>
        <v>#REF!</v>
      </c>
      <c r="AC61" s="418"/>
      <c r="AD61" s="418"/>
      <c r="AE61" s="301" t="e">
        <f>(#REF!-V062A_2030313334363538[[#This Row],[CARTER MP.]])+V062A_2030313334363538[[#This Row],[FAENA EN LTS2]]</f>
        <v>#REF!</v>
      </c>
      <c r="AF61" s="418"/>
      <c r="AG61" s="418"/>
      <c r="AH61" s="301" t="e">
        <f>(#REF!-V062A_2030313334363538[[#This Row],[MOT AUX]])+V062A_2030313334363538[[#This Row],[FAENA EN  LTS]]</f>
        <v>#REF!</v>
      </c>
      <c r="AI61" s="418"/>
      <c r="AJ61" s="418"/>
      <c r="AK61" s="302" t="e">
        <f>(#REF!-V062A_2030313334363538[[#This Row],[HIDRAULICO]])+V062A_2030313334363538[[#This Row],[FAENA EN LTS3]]</f>
        <v>#REF!</v>
      </c>
    </row>
    <row r="62" spans="1:37" x14ac:dyDescent="0.25">
      <c r="A62" s="194"/>
      <c r="B62" s="519"/>
      <c r="C62" s="338"/>
      <c r="D62" s="520"/>
      <c r="E62" s="521"/>
      <c r="F62" s="4"/>
      <c r="G62" s="522"/>
      <c r="H62" s="522"/>
      <c r="I62" s="523"/>
      <c r="J62" s="522"/>
      <c r="K62" s="522"/>
      <c r="L62" s="68"/>
      <c r="M62" s="68"/>
      <c r="N62" s="68"/>
      <c r="P62" s="68"/>
      <c r="Q62" s="102"/>
      <c r="R62" s="102"/>
      <c r="S62" s="102"/>
      <c r="T62" s="102"/>
      <c r="U62" s="102"/>
      <c r="V62" s="102"/>
      <c r="W62" s="102"/>
      <c r="X62" s="102"/>
      <c r="Y62" s="144"/>
      <c r="Z62" s="144"/>
      <c r="AA62" s="144"/>
      <c r="AB62" s="524"/>
      <c r="AC62" s="144"/>
      <c r="AD62" s="144"/>
      <c r="AE62" s="524"/>
      <c r="AF62" s="102"/>
      <c r="AG62" s="102"/>
      <c r="AH62" s="525"/>
      <c r="AI62" s="102"/>
      <c r="AJ62" s="102"/>
      <c r="AK62" s="525"/>
    </row>
    <row r="63" spans="1:37" x14ac:dyDescent="0.25">
      <c r="A63" s="194"/>
      <c r="B63" s="519"/>
      <c r="C63" s="338"/>
      <c r="D63" s="102"/>
      <c r="E63" s="521"/>
      <c r="F63" s="4"/>
      <c r="G63" s="522"/>
      <c r="H63" s="522"/>
      <c r="I63" s="523"/>
      <c r="J63" s="522"/>
      <c r="K63" s="522"/>
      <c r="O63" s="67">
        <f>SUM(L62:N62)</f>
        <v>0</v>
      </c>
      <c r="P63" s="68"/>
      <c r="Q63" s="102"/>
      <c r="R63" s="102"/>
      <c r="S63" s="102"/>
      <c r="T63" s="102"/>
      <c r="U63" s="102"/>
      <c r="V63" s="102"/>
      <c r="W63" s="102"/>
      <c r="X63" s="102"/>
      <c r="Y63" s="144"/>
      <c r="Z63" s="144"/>
      <c r="AA63" s="144"/>
      <c r="AB63" s="524"/>
      <c r="AC63" s="144"/>
      <c r="AD63" s="144"/>
      <c r="AE63" s="524"/>
      <c r="AF63" s="102"/>
      <c r="AG63" s="102"/>
      <c r="AH63" s="525"/>
      <c r="AI63" s="102"/>
      <c r="AJ63" s="102"/>
      <c r="AK63" s="525"/>
    </row>
    <row r="64" spans="1:37" x14ac:dyDescent="0.25">
      <c r="A64" s="194"/>
      <c r="B64" s="519"/>
      <c r="C64" s="338"/>
      <c r="D64" s="102"/>
      <c r="E64" s="521"/>
      <c r="F64" s="4"/>
      <c r="G64" s="522"/>
      <c r="H64" s="522"/>
      <c r="I64" s="523"/>
      <c r="J64" s="522"/>
      <c r="K64" s="522"/>
      <c r="L64" s="102"/>
      <c r="M64" s="102"/>
      <c r="N64" s="102"/>
      <c r="O64" s="102"/>
      <c r="P64" s="68"/>
      <c r="Q64" s="102"/>
      <c r="R64" s="102"/>
      <c r="S64" s="102"/>
      <c r="T64" s="102"/>
      <c r="U64" s="102"/>
      <c r="V64" s="102"/>
      <c r="W64" s="102"/>
      <c r="X64" s="102"/>
      <c r="Y64" s="144"/>
      <c r="Z64" s="144"/>
      <c r="AA64" s="144"/>
      <c r="AB64" s="524"/>
      <c r="AC64" s="144"/>
      <c r="AD64" s="144"/>
      <c r="AE64" s="524"/>
      <c r="AF64" s="102"/>
      <c r="AG64" s="102"/>
      <c r="AH64" s="525"/>
      <c r="AI64" s="102"/>
      <c r="AJ64" s="102"/>
      <c r="AK64" s="525"/>
    </row>
    <row r="65" spans="1:37" x14ac:dyDescent="0.25">
      <c r="A65" s="194"/>
      <c r="B65" s="519"/>
      <c r="C65" s="338"/>
      <c r="D65" s="102"/>
      <c r="E65" s="521"/>
      <c r="F65" s="4"/>
      <c r="G65" s="522"/>
      <c r="H65" s="522"/>
      <c r="I65" s="523"/>
      <c r="J65" s="522"/>
      <c r="K65" s="522"/>
      <c r="L65" s="102"/>
      <c r="M65" s="102"/>
      <c r="N65" s="102"/>
      <c r="O65" s="102"/>
      <c r="P65" s="68"/>
      <c r="Q65" s="102"/>
      <c r="R65" s="102"/>
      <c r="S65" s="102"/>
      <c r="T65" s="102"/>
      <c r="U65" s="102"/>
      <c r="V65" s="102"/>
      <c r="W65" s="102"/>
      <c r="X65" s="102"/>
      <c r="Y65" s="144"/>
      <c r="Z65" s="144"/>
      <c r="AA65" s="144"/>
      <c r="AB65" s="524"/>
      <c r="AC65" s="144"/>
      <c r="AD65" s="144"/>
      <c r="AE65" s="524"/>
      <c r="AF65" s="102"/>
      <c r="AG65" s="102"/>
      <c r="AH65" s="525"/>
      <c r="AI65" s="102"/>
      <c r="AJ65" s="102"/>
      <c r="AK65" s="525"/>
    </row>
    <row r="66" spans="1:37" ht="19.5" thickBot="1" x14ac:dyDescent="0.35">
      <c r="C66" s="69" t="s">
        <v>187</v>
      </c>
      <c r="D66" s="69"/>
      <c r="E66" s="69"/>
      <c r="F66" s="69"/>
      <c r="G66" s="69"/>
      <c r="N66" s="69"/>
      <c r="O66" s="69"/>
      <c r="S66" s="70" t="s">
        <v>188</v>
      </c>
    </row>
    <row r="67" spans="1:37" ht="19.5" thickBot="1" x14ac:dyDescent="0.35">
      <c r="C67" s="69"/>
      <c r="D67" s="69"/>
      <c r="E67" s="69"/>
      <c r="F67" s="69"/>
      <c r="G67" s="69"/>
      <c r="N67" s="69"/>
      <c r="O67" s="69"/>
      <c r="S67" s="70"/>
    </row>
    <row r="68" spans="1:37" ht="45.75" thickBot="1" x14ac:dyDescent="0.3">
      <c r="C68" s="71" t="s">
        <v>11</v>
      </c>
      <c r="D68" s="71" t="s">
        <v>90</v>
      </c>
      <c r="E68" s="72" t="s">
        <v>91</v>
      </c>
      <c r="F68" s="72" t="s">
        <v>92</v>
      </c>
      <c r="G68" s="72" t="s">
        <v>93</v>
      </c>
      <c r="H68" s="71" t="s">
        <v>94</v>
      </c>
      <c r="I68" s="71" t="s">
        <v>95</v>
      </c>
      <c r="J68" s="71" t="s">
        <v>96</v>
      </c>
      <c r="K68" s="71" t="s">
        <v>97</v>
      </c>
      <c r="L68" s="71" t="s">
        <v>98</v>
      </c>
      <c r="M68" s="377" t="s">
        <v>99</v>
      </c>
      <c r="N68" s="75" t="s">
        <v>100</v>
      </c>
      <c r="R68" s="111" t="s">
        <v>101</v>
      </c>
      <c r="S68" s="111" t="s">
        <v>94</v>
      </c>
      <c r="T68" s="111" t="s">
        <v>102</v>
      </c>
      <c r="U68" s="111" t="s">
        <v>96</v>
      </c>
      <c r="V68" s="111" t="s">
        <v>103</v>
      </c>
      <c r="W68" s="111" t="s">
        <v>104</v>
      </c>
    </row>
    <row r="69" spans="1:37" x14ac:dyDescent="0.25">
      <c r="C69" s="77" t="s">
        <v>71</v>
      </c>
      <c r="D69" s="376">
        <f>SUMIF($E$6:$E$60,C69,$D$6:$D$60)</f>
        <v>20.083333333333332</v>
      </c>
      <c r="E69" s="279"/>
      <c r="F69" s="288"/>
      <c r="G69" s="137"/>
      <c r="H69" s="84">
        <f>SUMIF($E$6:$E$60,C69,$L$6:$L$60)+SUMIF($E$6:$E$60,C69,$M$6:$M$60)+SUMIF($E$6:$E$60,C69,$N$6:$N$60)</f>
        <v>2.25</v>
      </c>
      <c r="I69" s="139">
        <f t="shared" ref="I69:I76" si="0">IF(ISERROR(H69*24/D69),0,H69*24/D69)</f>
        <v>2.6887966804979255</v>
      </c>
      <c r="J69" s="137">
        <v>6</v>
      </c>
      <c r="K69" s="80"/>
      <c r="L69" s="38">
        <f>D69*J69/24</f>
        <v>5.020833333333333</v>
      </c>
      <c r="M69" s="80">
        <f t="shared" ref="M69:M76" si="1">L69-H69</f>
        <v>2.770833333333333</v>
      </c>
      <c r="N69" s="86"/>
      <c r="Q69" s="82"/>
      <c r="R69" s="83" t="s">
        <v>105</v>
      </c>
      <c r="S69" s="228">
        <f>SUM(V5:V60)</f>
        <v>27.169999999999995</v>
      </c>
      <c r="T69" s="84">
        <f>S69*24/($D$70+$D$76)</f>
        <v>7.5896799224054288</v>
      </c>
      <c r="U69" s="84">
        <v>6</v>
      </c>
      <c r="V69" s="85">
        <f>($D$70+$D$76)*U69/24</f>
        <v>21.479166666666671</v>
      </c>
      <c r="W69" s="86">
        <f>V69-S69</f>
        <v>-5.6908333333333232</v>
      </c>
    </row>
    <row r="70" spans="1:37" x14ac:dyDescent="0.25">
      <c r="C70" s="87" t="s">
        <v>51</v>
      </c>
      <c r="D70" s="264">
        <f>SUMIF($E$6:$E$60,C70,$D$6:$D$60)</f>
        <v>48.033333333333339</v>
      </c>
      <c r="E70" s="264"/>
      <c r="F70" s="289"/>
      <c r="G70" s="139"/>
      <c r="H70" s="88">
        <f>SUMIF($E$6:$E$60,C70,$L$6:$L$60)+SUMIF($E$6:$E$60,C70,$M$6:$M$60)+SUMIF($E$6:$E$60,C70,$N$6:$N$60)</f>
        <v>6.41</v>
      </c>
      <c r="I70" s="139">
        <f t="shared" si="0"/>
        <v>3.2027758501040942</v>
      </c>
      <c r="J70" s="139">
        <v>6</v>
      </c>
      <c r="K70" s="88"/>
      <c r="L70" s="418">
        <f t="shared" ref="L70:L76" si="2">D70*J70/24</f>
        <v>12.008333333333335</v>
      </c>
      <c r="M70" s="88">
        <f t="shared" si="1"/>
        <v>5.5983333333333345</v>
      </c>
      <c r="N70" s="121"/>
      <c r="R70" s="90" t="s">
        <v>106</v>
      </c>
      <c r="S70" s="286">
        <f>SUM(S5:S60)</f>
        <v>0</v>
      </c>
      <c r="T70" s="84">
        <f>S70*24/($D$70+$D$76)</f>
        <v>0</v>
      </c>
      <c r="U70" s="88"/>
      <c r="V70" s="88"/>
      <c r="W70" s="121"/>
    </row>
    <row r="71" spans="1:37" x14ac:dyDescent="0.25">
      <c r="C71" s="87" t="s">
        <v>61</v>
      </c>
      <c r="D71" s="264">
        <f>SUMIF($E$6:$E$60,C71,$D$6:$D$60)</f>
        <v>0</v>
      </c>
      <c r="E71" s="264">
        <f>SUMIF($E$6:$E$60,C71,$G$6:$G$60)</f>
        <v>0</v>
      </c>
      <c r="F71" s="289">
        <v>0</v>
      </c>
      <c r="G71" s="139">
        <v>12</v>
      </c>
      <c r="H71" s="88">
        <f>SUMIF($E$6:$E$60,C71,$L$6:$L$60)+SUMIF($E$6:$E$60,C71,$M$6:$M$60)+SUMIF($E$6:$E$60,C71,$N$6:$N$60)</f>
        <v>0</v>
      </c>
      <c r="I71" s="139">
        <f t="shared" si="0"/>
        <v>0</v>
      </c>
      <c r="J71" s="139">
        <v>27</v>
      </c>
      <c r="K71" s="88">
        <f>E71/G71</f>
        <v>0</v>
      </c>
      <c r="L71" s="418">
        <f>K71*J71/24</f>
        <v>0</v>
      </c>
      <c r="M71" s="88">
        <f t="shared" si="1"/>
        <v>0</v>
      </c>
      <c r="N71" s="121">
        <f>K71-D71</f>
        <v>0</v>
      </c>
      <c r="R71" s="90" t="s">
        <v>20</v>
      </c>
      <c r="S71" s="286">
        <f>SUM(T5:T60)</f>
        <v>0</v>
      </c>
      <c r="T71" s="84">
        <f>S71*24/($D$70+$D$76)</f>
        <v>0</v>
      </c>
      <c r="U71" s="88"/>
      <c r="V71" s="88"/>
      <c r="W71" s="121"/>
    </row>
    <row r="72" spans="1:37" x14ac:dyDescent="0.25">
      <c r="C72" s="87" t="s">
        <v>55</v>
      </c>
      <c r="D72" s="264">
        <f>SUMIF($E$6:$E$60,C72,$D$6:$D$60)</f>
        <v>44.1</v>
      </c>
      <c r="E72" s="264">
        <f>SUMIF($E$6:$E$61,C72,$G$6:$G$61)</f>
        <v>576</v>
      </c>
      <c r="F72" s="289">
        <f>E72/D72</f>
        <v>13.061224489795919</v>
      </c>
      <c r="G72" s="139">
        <v>12</v>
      </c>
      <c r="H72" s="88">
        <f>SUMIF($E$6:$E$61,C72,$L$6:$L$61)+SUMIF($E$6:$E$61,C72,$M$6:$M$61)+SUMIF($E$6:$E$61,C72,$N$6:$N$61)</f>
        <v>50.18</v>
      </c>
      <c r="I72" s="139">
        <f t="shared" si="0"/>
        <v>27.308843537414965</v>
      </c>
      <c r="J72" s="139">
        <v>27</v>
      </c>
      <c r="K72" s="88">
        <f>E72/G72</f>
        <v>48</v>
      </c>
      <c r="L72" s="418">
        <f>K72*J72/24</f>
        <v>54</v>
      </c>
      <c r="M72" s="88">
        <f t="shared" si="1"/>
        <v>3.8200000000000003</v>
      </c>
      <c r="N72" s="121">
        <f>K72-D72</f>
        <v>3.8999999999999986</v>
      </c>
      <c r="R72" s="90" t="s">
        <v>107</v>
      </c>
      <c r="S72" s="286">
        <f>SUM(U5:U61)</f>
        <v>0</v>
      </c>
      <c r="T72" s="84">
        <f>S72*24/($D$70+$D$76)</f>
        <v>0</v>
      </c>
      <c r="U72" s="88"/>
      <c r="V72" s="88"/>
      <c r="W72" s="121"/>
    </row>
    <row r="73" spans="1:37" ht="15.75" thickBot="1" x14ac:dyDescent="0.3">
      <c r="C73" s="87" t="s">
        <v>108</v>
      </c>
      <c r="D73" s="264">
        <f>SUMIF($E$6:$E$61,C73,$D$6:$D$61)</f>
        <v>0</v>
      </c>
      <c r="E73" s="264">
        <f>SUMIF($E$6:$E$61,C73,$G$6:$G$61)</f>
        <v>0</v>
      </c>
      <c r="F73" s="289">
        <f>IF(ISERROR(E73/D73),0,E73/D73)</f>
        <v>0</v>
      </c>
      <c r="G73" s="139">
        <v>12</v>
      </c>
      <c r="H73" s="88">
        <f>SUMIF($E$6:$E$61,C73,$L$6:$L$61)+SUMIF($E$6:$E$61,C73,$M$6:$M$61)+SUMIF($E$6:$E$61,C73,$N$6:$N$61)</f>
        <v>0</v>
      </c>
      <c r="I73" s="139">
        <f>IF(ISERROR(H73*24/D73),0,H73*24/D73)</f>
        <v>0</v>
      </c>
      <c r="J73" s="139">
        <v>27</v>
      </c>
      <c r="K73" s="88">
        <f>E73/G73</f>
        <v>0</v>
      </c>
      <c r="L73" s="418">
        <f>K73*J73/24</f>
        <v>0</v>
      </c>
      <c r="M73" s="88">
        <f t="shared" si="1"/>
        <v>0</v>
      </c>
      <c r="N73" s="121">
        <f>K73-D73</f>
        <v>0</v>
      </c>
      <c r="R73" s="92" t="s">
        <v>24</v>
      </c>
      <c r="S73" s="287">
        <f>SUM(R5:R61)</f>
        <v>0</v>
      </c>
      <c r="T73" s="84">
        <f>S73*24/($D$70+$D$76)</f>
        <v>0</v>
      </c>
      <c r="U73" s="98"/>
      <c r="V73" s="98"/>
      <c r="W73" s="122"/>
    </row>
    <row r="74" spans="1:37" x14ac:dyDescent="0.25">
      <c r="C74" s="87" t="s">
        <v>45</v>
      </c>
      <c r="D74" s="264">
        <f>SUMIF($E$6:$E$60,C74,$D$6:$D$60)</f>
        <v>280.59999999999997</v>
      </c>
      <c r="E74" s="264"/>
      <c r="F74" s="289"/>
      <c r="G74" s="139"/>
      <c r="H74" s="88">
        <f>SUMIF($E$6:$E$61,C74,$L$6:$L$61)+SUMIF($E$6:$E$61,C74,$M$6:$M$61)+SUMIF($E$6:$E$61,C74,$N$6:$N$61)</f>
        <v>32.029999999999994</v>
      </c>
      <c r="I74" s="139">
        <f t="shared" si="0"/>
        <v>2.7395580898075549</v>
      </c>
      <c r="J74" s="139">
        <v>6</v>
      </c>
      <c r="K74" s="88"/>
      <c r="L74" s="418">
        <f t="shared" si="2"/>
        <v>70.149999999999991</v>
      </c>
      <c r="M74" s="88">
        <f t="shared" si="1"/>
        <v>38.119999999999997</v>
      </c>
      <c r="N74" s="121"/>
      <c r="S74" s="68"/>
      <c r="T74" s="143"/>
      <c r="U74" s="68"/>
      <c r="V74" s="68"/>
      <c r="W74" s="68"/>
    </row>
    <row r="75" spans="1:37" x14ac:dyDescent="0.25">
      <c r="C75" s="87" t="s">
        <v>47</v>
      </c>
      <c r="D75" s="264">
        <f>SUMIF($E$6:$E$60,C75,$D$6:$D$60)</f>
        <v>8.0999999999999961</v>
      </c>
      <c r="E75" s="264"/>
      <c r="F75" s="289"/>
      <c r="G75" s="139"/>
      <c r="H75" s="88">
        <f>SUMIF($E$6:$E$61,C75,$L$6:$L$61)+SUMIF($E$6:$E$61,C75,$M$6:$M$61)+SUMIF($E$6:$E$61,C75,$N$6:$N$61)</f>
        <v>4.3099999999999996</v>
      </c>
      <c r="I75" s="139">
        <f t="shared" si="0"/>
        <v>12.770370370370376</v>
      </c>
      <c r="J75" s="139">
        <v>6</v>
      </c>
      <c r="K75" s="88"/>
      <c r="L75" s="418">
        <f t="shared" si="2"/>
        <v>2.024999999999999</v>
      </c>
      <c r="M75" s="88">
        <f t="shared" si="1"/>
        <v>-2.2850000000000006</v>
      </c>
      <c r="N75" s="121"/>
      <c r="S75" s="68"/>
      <c r="T75" s="68"/>
      <c r="U75" s="68"/>
      <c r="V75" s="68"/>
      <c r="W75" s="68"/>
    </row>
    <row r="76" spans="1:37" ht="15.75" thickBot="1" x14ac:dyDescent="0.3">
      <c r="C76" s="97" t="s">
        <v>49</v>
      </c>
      <c r="D76" s="290">
        <f>SUMIF($E$6:$E$60,C76,$D$6:$D$60)</f>
        <v>37.88333333333334</v>
      </c>
      <c r="E76" s="290"/>
      <c r="F76" s="291"/>
      <c r="G76" s="140"/>
      <c r="H76" s="98">
        <f>SUMIF($E$6:$E$61,C76,$L$6:$L$61)+SUMIF($E$6:$E$61,C76,$M$6:$M$61)+SUMIF($E$6:$E$61,C76,$N$6:$N$61)</f>
        <v>3.88</v>
      </c>
      <c r="I76" s="141">
        <f t="shared" si="0"/>
        <v>2.4580730312362515</v>
      </c>
      <c r="J76" s="141">
        <v>8</v>
      </c>
      <c r="K76" s="98"/>
      <c r="L76" s="99">
        <f t="shared" si="2"/>
        <v>12.62777777777778</v>
      </c>
      <c r="M76" s="98">
        <f t="shared" si="1"/>
        <v>8.747777777777781</v>
      </c>
      <c r="N76" s="122"/>
      <c r="O76" s="68"/>
      <c r="S76" s="68"/>
      <c r="T76" s="68"/>
      <c r="U76" s="68"/>
      <c r="V76" s="68"/>
      <c r="W76" s="68"/>
    </row>
    <row r="77" spans="1:37" ht="15.75" thickBot="1" x14ac:dyDescent="0.3">
      <c r="C77" s="124"/>
      <c r="D77" s="116"/>
      <c r="E77" s="292"/>
      <c r="F77" s="293"/>
      <c r="G77" s="134"/>
      <c r="H77" s="68"/>
      <c r="I77" s="144"/>
      <c r="J77" s="144"/>
      <c r="K77" s="68"/>
      <c r="L77" s="102"/>
      <c r="M77" s="68"/>
      <c r="N77" s="145"/>
      <c r="O77" s="68"/>
      <c r="S77" s="68"/>
      <c r="T77" s="68"/>
      <c r="U77" s="68"/>
      <c r="V77" s="68"/>
      <c r="W77" s="68"/>
    </row>
    <row r="78" spans="1:37" ht="15.75" thickBot="1" x14ac:dyDescent="0.3">
      <c r="C78" s="103" t="s">
        <v>29</v>
      </c>
      <c r="D78" s="284">
        <f>SUM(D69:D76)</f>
        <v>438.79999999999995</v>
      </c>
      <c r="E78" s="284">
        <f>SUM(E69:E75)</f>
        <v>576</v>
      </c>
      <c r="F78" s="284">
        <f>SUM(F69:F75)/1</f>
        <v>13.061224489795919</v>
      </c>
      <c r="H78" s="101">
        <f>SUM(H69:H76)</f>
        <v>99.06</v>
      </c>
      <c r="K78" s="142"/>
      <c r="L78" s="104">
        <f>SUM(L69:L76)</f>
        <v>155.83194444444445</v>
      </c>
      <c r="M78" s="101">
        <f>SUM(M69:M76)</f>
        <v>56.771944444444443</v>
      </c>
      <c r="N78" s="101">
        <f>SUM(N69:N76)</f>
        <v>3.8999999999999986</v>
      </c>
      <c r="R78" s="100" t="s">
        <v>29</v>
      </c>
      <c r="S78" s="101">
        <f>SUM(S69:S73)</f>
        <v>27.169999999999995</v>
      </c>
      <c r="T78" s="101">
        <f>SUM(T69:T73)</f>
        <v>7.5896799224054288</v>
      </c>
      <c r="U78" s="68"/>
      <c r="V78" s="68"/>
      <c r="W78" s="68"/>
    </row>
    <row r="87" spans="9:9" x14ac:dyDescent="0.25">
      <c r="I87"/>
    </row>
  </sheetData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46 AF48:AG65" name="Rango12"/>
    <protectedRange sqref="AC6:AD46 AC48:AD65" name="Rango10"/>
    <protectedRange sqref="Z61:AA65" name="Rango8"/>
    <protectedRange sqref="X6:X46 X48:X65" name="Rango6"/>
    <protectedRange sqref="R6:V46 R48:V65" name="Rango5"/>
    <protectedRange sqref="P6:P46 P48:P65" name="Rango3"/>
    <protectedRange sqref="J64:N65 J62:K63 J6:K7 J8:N46 E6:H46 J48:N61 E48:H65" name="Rango2"/>
    <protectedRange sqref="C9:C26 C28 A6:C7 A8:B28 A29:C38 A39:A44 B39:C46 B48:C57 A58:C65" name="Rango1"/>
    <protectedRange sqref="B4:C4" name="Rango16"/>
    <protectedRange sqref="C8 A45:A46 A48:A57" name="Rango1_1"/>
    <protectedRange sqref="Z8:AA46 Z48:AA60" name="Rango8_1"/>
    <protectedRange sqref="Z6:AA7" name="Rango8_1_1"/>
    <protectedRange sqref="L6:N7" name="Rango2_1"/>
    <protectedRange sqref="AF47:AG47" name="Rango12_1"/>
    <protectedRange sqref="AC47:AD47" name="Rango10_1"/>
    <protectedRange sqref="X47" name="Rango6_1"/>
    <protectedRange sqref="R47:V47" name="Rango5_1"/>
    <protectedRange sqref="P47" name="Rango3_1"/>
    <protectedRange sqref="J47:N47 E47:H47" name="Rango2_2"/>
    <protectedRange sqref="A47:B47" name="Rango1_2"/>
    <protectedRange sqref="C47" name="Rango1_1_1"/>
    <protectedRange sqref="Z47:AA47" name="Rango8_1_2"/>
  </protectedRanges>
  <mergeCells count="6">
    <mergeCell ref="G3:K4"/>
    <mergeCell ref="L3:Q3"/>
    <mergeCell ref="R3:Y3"/>
    <mergeCell ref="Z3:AK3"/>
    <mergeCell ref="L4:P4"/>
    <mergeCell ref="R4:X4"/>
  </mergeCells>
  <conditionalFormatting sqref="J39:J44 J10:J37 J48:J65">
    <cfRule type="cellIs" dxfId="424" priority="16" operator="greaterThan">
      <formula>"S5"</formula>
    </cfRule>
  </conditionalFormatting>
  <conditionalFormatting sqref="I39:I44 I10:I37 I55:I65">
    <cfRule type="cellIs" dxfId="423" priority="15" operator="greaterThan">
      <formula>0</formula>
    </cfRule>
  </conditionalFormatting>
  <conditionalFormatting sqref="J9">
    <cfRule type="cellIs" dxfId="422" priority="14" operator="greaterThan">
      <formula>"S5"</formula>
    </cfRule>
  </conditionalFormatting>
  <conditionalFormatting sqref="I9">
    <cfRule type="cellIs" dxfId="421" priority="13" operator="greaterThan">
      <formula>0</formula>
    </cfRule>
  </conditionalFormatting>
  <conditionalFormatting sqref="I48:I54">
    <cfRule type="cellIs" dxfId="420" priority="12" operator="greaterThan">
      <formula>0</formula>
    </cfRule>
  </conditionalFormatting>
  <conditionalFormatting sqref="I6:I8">
    <cfRule type="cellIs" dxfId="419" priority="10" operator="greaterThan">
      <formula>0</formula>
    </cfRule>
  </conditionalFormatting>
  <conditionalFormatting sqref="J6:J8">
    <cfRule type="cellIs" dxfId="418" priority="11" operator="greaterThan">
      <formula>"S5"</formula>
    </cfRule>
  </conditionalFormatting>
  <conditionalFormatting sqref="J45:J46">
    <cfRule type="cellIs" dxfId="417" priority="9" operator="greaterThan">
      <formula>"S5"</formula>
    </cfRule>
  </conditionalFormatting>
  <conditionalFormatting sqref="I45:I46">
    <cfRule type="cellIs" dxfId="416" priority="8" operator="greaterThan">
      <formula>0</formula>
    </cfRule>
  </conditionalFormatting>
  <conditionalFormatting sqref="I38">
    <cfRule type="cellIs" dxfId="415" priority="4" operator="greaterThan">
      <formula>0</formula>
    </cfRule>
  </conditionalFormatting>
  <conditionalFormatting sqref="J38">
    <cfRule type="cellIs" dxfId="414" priority="5" operator="greaterThan">
      <formula>"S5"</formula>
    </cfRule>
  </conditionalFormatting>
  <conditionalFormatting sqref="I47">
    <cfRule type="cellIs" dxfId="413" priority="1" operator="greaterThan">
      <formula>0</formula>
    </cfRule>
  </conditionalFormatting>
  <conditionalFormatting sqref="J47">
    <cfRule type="cellIs" dxfId="412" priority="3" operator="greaterThan">
      <formula>"S5"</formula>
    </cfRule>
  </conditionalFormatting>
  <dataValidations count="2">
    <dataValidation type="list" showInputMessage="1" showErrorMessage="1" sqref="E6:E46 E48:E65">
      <formula1>$C$69:$C$77</formula1>
    </dataValidation>
    <dataValidation type="list" showInputMessage="1" showErrorMessage="1" sqref="E47">
      <formula1>$C$74:$C$82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25"/>
  <sheetViews>
    <sheetView zoomScale="66" zoomScaleNormal="66" workbookViewId="0">
      <pane xSplit="6" ySplit="5" topLeftCell="P5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Y56" sqref="Y5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4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44197</v>
      </c>
      <c r="C4" s="341">
        <v>0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375.78</v>
      </c>
      <c r="R4" s="553" t="s">
        <v>183</v>
      </c>
      <c r="S4" s="554"/>
      <c r="T4" s="554"/>
      <c r="U4" s="554"/>
      <c r="V4" s="554"/>
      <c r="W4" s="554"/>
      <c r="X4" s="555"/>
      <c r="Y4" s="283">
        <v>17.09</v>
      </c>
      <c r="Z4" s="6"/>
      <c r="AA4" s="7" t="s">
        <v>184</v>
      </c>
      <c r="AB4" s="304">
        <v>1942.35</v>
      </c>
      <c r="AC4" s="9"/>
      <c r="AD4" s="7" t="s">
        <v>184</v>
      </c>
      <c r="AE4" s="304">
        <v>3500</v>
      </c>
      <c r="AG4" s="7" t="s">
        <v>184</v>
      </c>
      <c r="AH4" s="304">
        <v>880</v>
      </c>
      <c r="AJ4" s="7" t="s">
        <v>184</v>
      </c>
      <c r="AK4" s="304">
        <v>1140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366</v>
      </c>
      <c r="B6" s="48">
        <v>44197</v>
      </c>
      <c r="C6" s="237">
        <v>0.21249999999999999</v>
      </c>
      <c r="D6" s="418">
        <v>0</v>
      </c>
      <c r="E6" s="432" t="s">
        <v>55</v>
      </c>
      <c r="F6" s="378" t="s">
        <v>271</v>
      </c>
      <c r="G6" s="433">
        <v>30</v>
      </c>
      <c r="H6" s="434">
        <v>2.4</v>
      </c>
      <c r="I6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12.5</v>
      </c>
      <c r="J6" s="436">
        <v>4</v>
      </c>
      <c r="K6" s="437">
        <v>97</v>
      </c>
      <c r="L6" s="483">
        <v>2.2999999999999998</v>
      </c>
      <c r="M6" s="246">
        <v>0.2</v>
      </c>
      <c r="N6" s="484">
        <v>0.12</v>
      </c>
      <c r="O6" s="246">
        <f>SUM(V062A_20303133343635[[#This Row],[MPAL]]+V062A_20303133343635[[#This Row],[AUX.]]+V062A_20303133343635[[#This Row],[CALDERA]])</f>
        <v>2.62</v>
      </c>
      <c r="P6" s="319"/>
      <c r="Q6" s="270">
        <v>375.78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SUM(V062A_20303133343635[[#This Row],[MPAL2]:[GI]])</f>
        <v>0</v>
      </c>
      <c r="X6" s="246"/>
      <c r="Y6" s="300">
        <v>17.09</v>
      </c>
      <c r="Z6" s="245">
        <v>25</v>
      </c>
      <c r="AA6" s="246">
        <v>0</v>
      </c>
      <c r="AB6" s="438">
        <v>1942.35</v>
      </c>
      <c r="AC6" s="246">
        <v>0</v>
      </c>
      <c r="AD6" s="246">
        <v>0</v>
      </c>
      <c r="AE6" s="438">
        <v>3500</v>
      </c>
      <c r="AF6" s="246">
        <v>0</v>
      </c>
      <c r="AG6" s="246">
        <v>0</v>
      </c>
      <c r="AH6" s="438">
        <v>800</v>
      </c>
      <c r="AI6" s="246">
        <v>0</v>
      </c>
      <c r="AJ6" s="246">
        <v>0</v>
      </c>
      <c r="AK6" s="439">
        <v>1140</v>
      </c>
    </row>
    <row r="7" spans="1:37" x14ac:dyDescent="0.25">
      <c r="A7" s="431" t="s">
        <v>366</v>
      </c>
      <c r="B7" s="48">
        <v>44197</v>
      </c>
      <c r="C7" s="41">
        <v>0.33333333333333331</v>
      </c>
      <c r="D7" s="418">
        <f>IF(V062A_20303133343635[[#This Row],[FECHA]]-B6=1,((V062A_20303133343635[[#This Row],[HORA]]-C6)*24)+24,(V062A_20303133343635[[#This Row],[HORA]]-C6)*24)</f>
        <v>2.8999999999999995</v>
      </c>
      <c r="E7" s="432" t="s">
        <v>47</v>
      </c>
      <c r="F7" s="378" t="s">
        <v>367</v>
      </c>
      <c r="G7" s="324"/>
      <c r="H7" s="306"/>
      <c r="I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" s="242"/>
      <c r="K7" s="325"/>
      <c r="L7" s="483">
        <v>1.21</v>
      </c>
      <c r="M7" s="246">
        <v>0.24</v>
      </c>
      <c r="N7" s="484">
        <v>0.15</v>
      </c>
      <c r="O7" s="257">
        <f>SUM(V062A_20303133343635[[#This Row],[MPAL]]+V062A_20303133343635[[#This Row],[AUX.]]+V062A_20303133343635[[#This Row],[CALDERA]])</f>
        <v>1.5999999999999999</v>
      </c>
      <c r="P7" s="319"/>
      <c r="Q7" s="281">
        <f>(Q6-V062A_20303133343635[[#This Row],[TOTAL ]])+V062A_20303133343635[[#This Row],[FAENA]]</f>
        <v>374.17999999999995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57">
        <f>SUM(V062A_20303133343635[[#This Row],[MPAL2]:[GI]])</f>
        <v>0</v>
      </c>
      <c r="X7" s="246"/>
      <c r="Y7" s="282">
        <f>(Y6-V062A_20303133343635[[#This Row],[TOTAL]])+V062A_20303133343635[[#This Row],[FAENA2]]</f>
        <v>17.09</v>
      </c>
      <c r="Z7" s="245">
        <v>30</v>
      </c>
      <c r="AA7" s="246">
        <v>0</v>
      </c>
      <c r="AB7" s="320">
        <f>(AB6-V062A_20303133343635[[#This Row],[CYLINDER MP]])+V062A_20303133343635[[#This Row],[FAENA EN LTS]]</f>
        <v>1912.35</v>
      </c>
      <c r="AC7" s="246">
        <v>0</v>
      </c>
      <c r="AD7" s="246">
        <v>0</v>
      </c>
      <c r="AE7" s="320">
        <f>(AE6-V062A_20303133343635[[#This Row],[CARTER MP.]])+V062A_20303133343635[[#This Row],[FAENA EN LTS2]]</f>
        <v>3500</v>
      </c>
      <c r="AF7" s="246">
        <v>20</v>
      </c>
      <c r="AG7" s="246">
        <v>0</v>
      </c>
      <c r="AH7" s="320">
        <f>(AH6-V062A_20303133343635[[#This Row],[MOT AUX]])+V062A_20303133343635[[#This Row],[FAENA EN  LTS]]</f>
        <v>780</v>
      </c>
      <c r="AI7" s="246">
        <v>0</v>
      </c>
      <c r="AJ7" s="246">
        <v>0</v>
      </c>
      <c r="AK7" s="321">
        <f>(AK6-V062A_20303133343635[[#This Row],[HIDRAULICO]])+V062A_20303133343635[[#This Row],[FAENA EN LTS3]]</f>
        <v>1140</v>
      </c>
    </row>
    <row r="8" spans="1:37" x14ac:dyDescent="0.25">
      <c r="A8" s="431" t="s">
        <v>366</v>
      </c>
      <c r="B8" s="48">
        <v>44197</v>
      </c>
      <c r="C8" s="41">
        <v>0.37083333333333335</v>
      </c>
      <c r="D8" s="418">
        <f>IF(V062A_20303133343635[[#This Row],[FECHA]]-B7=1,((V062A_20303133343635[[#This Row],[HORA]]-C7)*24)+24,(V062A_20303133343635[[#This Row],[HORA]]-C7)*24)</f>
        <v>0.9000000000000008</v>
      </c>
      <c r="E8" s="432" t="s">
        <v>47</v>
      </c>
      <c r="F8" s="378" t="s">
        <v>368</v>
      </c>
      <c r="G8" s="324"/>
      <c r="H8" s="306"/>
      <c r="I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" s="242"/>
      <c r="K8" s="325"/>
      <c r="L8" s="483">
        <v>0.38</v>
      </c>
      <c r="M8" s="246">
        <v>0.08</v>
      </c>
      <c r="N8" s="484">
        <v>0.05</v>
      </c>
      <c r="O8" s="257">
        <f>SUM(V062A_20303133343635[[#This Row],[MPAL]]+V062A_20303133343635[[#This Row],[AUX.]]+V062A_20303133343635[[#This Row],[CALDERA]])</f>
        <v>0.51</v>
      </c>
      <c r="P8" s="319"/>
      <c r="Q8" s="281">
        <f>(Q7-V062A_20303133343635[[#This Row],[TOTAL ]])+V062A_20303133343635[[#This Row],[FAENA]]</f>
        <v>373.66999999999996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SUM(V062A_20303133343635[[#This Row],[MPAL2]:[GI]])</f>
        <v>0</v>
      </c>
      <c r="X8" s="246"/>
      <c r="Y8" s="282">
        <f>(Y7-V062A_20303133343635[[#This Row],[TOTAL]])+V062A_20303133343635[[#This Row],[FAENA2]]</f>
        <v>17.09</v>
      </c>
      <c r="Z8" s="245">
        <v>10</v>
      </c>
      <c r="AA8" s="246">
        <v>0</v>
      </c>
      <c r="AB8" s="320">
        <f>(AB7-V062A_20303133343635[[#This Row],[CYLINDER MP]])+V062A_20303133343635[[#This Row],[FAENA EN LTS]]</f>
        <v>1902.35</v>
      </c>
      <c r="AC8" s="246">
        <v>0</v>
      </c>
      <c r="AD8" s="246">
        <v>0</v>
      </c>
      <c r="AE8" s="320">
        <f>(AE7-V062A_20303133343635[[#This Row],[CARTER MP.]])+V062A_20303133343635[[#This Row],[FAENA EN LTS2]]</f>
        <v>3500</v>
      </c>
      <c r="AF8" s="246">
        <v>0</v>
      </c>
      <c r="AG8" s="246">
        <v>0</v>
      </c>
      <c r="AH8" s="320">
        <f>(AH7-V062A_20303133343635[[#This Row],[MOT AUX]])+V062A_20303133343635[[#This Row],[FAENA EN  LTS]]</f>
        <v>780</v>
      </c>
      <c r="AI8" s="246">
        <v>0</v>
      </c>
      <c r="AJ8" s="246">
        <v>0</v>
      </c>
      <c r="AK8" s="321">
        <f>(AK7-V062A_20303133343635[[#This Row],[HIDRAULICO]])+V062A_20303133343635[[#This Row],[FAENA EN LTS3]]</f>
        <v>1140</v>
      </c>
    </row>
    <row r="9" spans="1:37" x14ac:dyDescent="0.25">
      <c r="A9" s="431" t="s">
        <v>370</v>
      </c>
      <c r="B9" s="48">
        <v>44197</v>
      </c>
      <c r="C9" s="41">
        <v>0.49722222222222223</v>
      </c>
      <c r="D9" s="418">
        <f>IF(V062A_20303133343635[[#This Row],[FECHA]]-B8=1,((V062A_20303133343635[[#This Row],[HORA]]-C8)*24)+24,(V062A_20303133343635[[#This Row],[HORA]]-C8)*24)</f>
        <v>3.0333333333333332</v>
      </c>
      <c r="E9" s="432" t="s">
        <v>71</v>
      </c>
      <c r="F9" s="378" t="s">
        <v>369</v>
      </c>
      <c r="G9" s="324"/>
      <c r="H9" s="306"/>
      <c r="I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" s="242"/>
      <c r="K9" s="325"/>
      <c r="L9" s="483">
        <v>0</v>
      </c>
      <c r="M9" s="246">
        <v>0.19</v>
      </c>
      <c r="N9" s="484">
        <v>0.15</v>
      </c>
      <c r="O9" s="257">
        <f>SUM(V062A_20303133343635[[#This Row],[MPAL]]+V062A_20303133343635[[#This Row],[AUX.]]+V062A_20303133343635[[#This Row],[CALDERA]])</f>
        <v>0.33999999999999997</v>
      </c>
      <c r="P9" s="319"/>
      <c r="Q9" s="281">
        <f>(Q8-V062A_20303133343635[[#This Row],[TOTAL ]])+V062A_20303133343635[[#This Row],[FAENA]]</f>
        <v>373.33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57">
        <f>SUM(V062A_20303133343635[[#This Row],[MPAL2]:[GI]])</f>
        <v>0</v>
      </c>
      <c r="X9" s="246"/>
      <c r="Y9" s="282">
        <f>(Y8-V062A_20303133343635[[#This Row],[TOTAL]])+V062A_20303133343635[[#This Row],[FAENA2]]</f>
        <v>17.09</v>
      </c>
      <c r="Z9" s="245">
        <v>0</v>
      </c>
      <c r="AA9" s="246">
        <v>0</v>
      </c>
      <c r="AB9" s="320">
        <f>(AB8-V062A_20303133343635[[#This Row],[CYLINDER MP]])+V062A_20303133343635[[#This Row],[FAENA EN LTS]]</f>
        <v>1902.35</v>
      </c>
      <c r="AC9" s="246">
        <v>0</v>
      </c>
      <c r="AD9" s="246">
        <v>0</v>
      </c>
      <c r="AE9" s="320">
        <f>(AE8-V062A_20303133343635[[#This Row],[CARTER MP.]])+V062A_20303133343635[[#This Row],[FAENA EN LTS2]]</f>
        <v>3500</v>
      </c>
      <c r="AF9" s="246">
        <v>0</v>
      </c>
      <c r="AG9" s="246">
        <v>0</v>
      </c>
      <c r="AH9" s="320">
        <f>(AH8-V062A_20303133343635[[#This Row],[MOT AUX]])+V062A_20303133343635[[#This Row],[FAENA EN  LTS]]</f>
        <v>780</v>
      </c>
      <c r="AI9" s="246">
        <v>0</v>
      </c>
      <c r="AJ9" s="246">
        <v>0</v>
      </c>
      <c r="AK9" s="321">
        <f>(AK8-V062A_20303133343635[[#This Row],[HIDRAULICO]])+V062A_20303133343635[[#This Row],[FAENA EN LTS3]]</f>
        <v>1140</v>
      </c>
    </row>
    <row r="10" spans="1:37" x14ac:dyDescent="0.25">
      <c r="A10" s="431" t="s">
        <v>370</v>
      </c>
      <c r="B10" s="48">
        <v>44198</v>
      </c>
      <c r="C10" s="41">
        <v>0.33333333333333331</v>
      </c>
      <c r="D10" s="418">
        <f>IF(V062A_20303133343635[[#This Row],[FECHA]]-B9=1,((V062A_20303133343635[[#This Row],[HORA]]-C9)*24)+24,(V062A_20303133343635[[#This Row],[HORA]]-C9)*24)</f>
        <v>20.066666666666666</v>
      </c>
      <c r="E10" s="432" t="s">
        <v>71</v>
      </c>
      <c r="F10" s="378" t="s">
        <v>262</v>
      </c>
      <c r="G10" s="324"/>
      <c r="H10" s="306"/>
      <c r="I1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0" s="380"/>
      <c r="K10" s="325"/>
      <c r="L10" s="483">
        <v>0</v>
      </c>
      <c r="M10" s="246">
        <v>1.25</v>
      </c>
      <c r="N10" s="484">
        <v>1</v>
      </c>
      <c r="O10" s="257">
        <f>SUM(V062A_20303133343635[[#This Row],[MPAL]]+V062A_20303133343635[[#This Row],[AUX.]]+V062A_20303133343635[[#This Row],[CALDERA]])</f>
        <v>2.25</v>
      </c>
      <c r="P10" s="319"/>
      <c r="Q10" s="281">
        <f>(Q9-V062A_20303133343635[[#This Row],[TOTAL ]])+V062A_20303133343635[[#This Row],[FAENA]]</f>
        <v>371.08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SUM(V062A_20303133343635[[#This Row],[MPAL2]:[GI]])</f>
        <v>0</v>
      </c>
      <c r="X10" s="246"/>
      <c r="Y10" s="282">
        <f>(Y9-V062A_20303133343635[[#This Row],[TOTAL]])+V062A_20303133343635[[#This Row],[FAENA2]]</f>
        <v>17.09</v>
      </c>
      <c r="Z10" s="245">
        <v>0</v>
      </c>
      <c r="AA10" s="246">
        <v>0</v>
      </c>
      <c r="AB10" s="320">
        <f>(AB9-V062A_20303133343635[[#This Row],[CYLINDER MP]])+V062A_20303133343635[[#This Row],[FAENA EN LTS]]</f>
        <v>1902.35</v>
      </c>
      <c r="AC10" s="246">
        <v>0</v>
      </c>
      <c r="AD10" s="246">
        <v>0</v>
      </c>
      <c r="AE10" s="320">
        <f>(AE9-V062A_20303133343635[[#This Row],[CARTER MP.]])+V062A_20303133343635[[#This Row],[FAENA EN LTS2]]</f>
        <v>3500</v>
      </c>
      <c r="AF10" s="246">
        <v>0</v>
      </c>
      <c r="AG10" s="246">
        <v>0</v>
      </c>
      <c r="AH10" s="320">
        <f>(AH9-V062A_20303133343635[[#This Row],[MOT AUX]])+V062A_20303133343635[[#This Row],[FAENA EN  LTS]]</f>
        <v>780</v>
      </c>
      <c r="AI10" s="246">
        <v>0</v>
      </c>
      <c r="AJ10" s="246">
        <v>0</v>
      </c>
      <c r="AK10" s="321">
        <f>(AK9-V062A_20303133343635[[#This Row],[HIDRAULICO]])+V062A_20303133343635[[#This Row],[FAENA EN LTS3]]</f>
        <v>1140</v>
      </c>
    </row>
    <row r="11" spans="1:37" x14ac:dyDescent="0.25">
      <c r="A11" s="431" t="s">
        <v>370</v>
      </c>
      <c r="B11" s="48">
        <v>44199</v>
      </c>
      <c r="C11" s="41">
        <v>0.33333333333333331</v>
      </c>
      <c r="D11" s="418">
        <f>IF(V062A_20303133343635[[#This Row],[FECHA]]-B10=1,((V062A_20303133343635[[#This Row],[HORA]]-C10)*24)+24,(V062A_20303133343635[[#This Row],[HORA]]-C10)*24)</f>
        <v>24</v>
      </c>
      <c r="E11" s="432" t="s">
        <v>71</v>
      </c>
      <c r="F11" s="378" t="s">
        <v>262</v>
      </c>
      <c r="G11" s="324"/>
      <c r="H11" s="306"/>
      <c r="I1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1" s="380"/>
      <c r="K11" s="325"/>
      <c r="L11" s="483">
        <v>0</v>
      </c>
      <c r="M11" s="246">
        <v>1.5</v>
      </c>
      <c r="N11" s="484">
        <v>1.2</v>
      </c>
      <c r="O11" s="257">
        <f>SUM(V062A_20303133343635[[#This Row],[MPAL]]+V062A_20303133343635[[#This Row],[AUX.]]+V062A_20303133343635[[#This Row],[CALDERA]])</f>
        <v>2.7</v>
      </c>
      <c r="P11" s="319"/>
      <c r="Q11" s="281">
        <f>(Q10-V062A_20303133343635[[#This Row],[TOTAL ]])+V062A_20303133343635[[#This Row],[FAENA]]</f>
        <v>368.38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SUM(V062A_20303133343635[[#This Row],[MPAL2]:[GI]])</f>
        <v>0</v>
      </c>
      <c r="X11" s="246"/>
      <c r="Y11" s="282">
        <f>(Y10-V062A_20303133343635[[#This Row],[TOTAL]])+V062A_20303133343635[[#This Row],[FAENA2]]</f>
        <v>17.09</v>
      </c>
      <c r="Z11" s="245">
        <v>0</v>
      </c>
      <c r="AA11" s="246">
        <v>0</v>
      </c>
      <c r="AB11" s="320">
        <f>(AB10-V062A_20303133343635[[#This Row],[CYLINDER MP]])+V062A_20303133343635[[#This Row],[FAENA EN LTS]]</f>
        <v>1902.35</v>
      </c>
      <c r="AC11" s="246">
        <v>0</v>
      </c>
      <c r="AD11" s="246">
        <v>0</v>
      </c>
      <c r="AE11" s="320">
        <f>(AE10-V062A_20303133343635[[#This Row],[CARTER MP.]])+V062A_20303133343635[[#This Row],[FAENA EN LTS2]]</f>
        <v>3500</v>
      </c>
      <c r="AF11" s="246">
        <v>0</v>
      </c>
      <c r="AG11" s="246">
        <v>0</v>
      </c>
      <c r="AH11" s="320">
        <f>(AH10-V062A_20303133343635[[#This Row],[MOT AUX]])+V062A_20303133343635[[#This Row],[FAENA EN  LTS]]</f>
        <v>780</v>
      </c>
      <c r="AI11" s="246">
        <v>0</v>
      </c>
      <c r="AJ11" s="246">
        <v>0</v>
      </c>
      <c r="AK11" s="321">
        <f>(AK10-V062A_20303133343635[[#This Row],[HIDRAULICO]])+V062A_20303133343635[[#This Row],[FAENA EN LTS3]]</f>
        <v>1140</v>
      </c>
    </row>
    <row r="12" spans="1:37" x14ac:dyDescent="0.25">
      <c r="A12" s="431" t="s">
        <v>370</v>
      </c>
      <c r="B12" s="48">
        <v>44199</v>
      </c>
      <c r="C12" s="41">
        <v>0.89583333333333337</v>
      </c>
      <c r="D12" s="418">
        <f>IF(V062A_20303133343635[[#This Row],[FECHA]]-B11=1,((V062A_20303133343635[[#This Row],[HORA]]-C11)*24)+24,(V062A_20303133343635[[#This Row],[HORA]]-C11)*24)</f>
        <v>13.5</v>
      </c>
      <c r="E12" s="432" t="s">
        <v>51</v>
      </c>
      <c r="F12" s="378" t="s">
        <v>263</v>
      </c>
      <c r="G12" s="324"/>
      <c r="H12" s="306"/>
      <c r="I1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2" s="380"/>
      <c r="K12" s="325"/>
      <c r="L12" s="483">
        <v>0</v>
      </c>
      <c r="M12" s="246">
        <v>1.1299999999999999</v>
      </c>
      <c r="N12" s="484">
        <v>0.68</v>
      </c>
      <c r="O12" s="257">
        <f>SUM(V062A_20303133343635[[#This Row],[MPAL]]+V062A_20303133343635[[#This Row],[AUX.]]+V062A_20303133343635[[#This Row],[CALDERA]])</f>
        <v>1.81</v>
      </c>
      <c r="P12" s="319"/>
      <c r="Q12" s="281">
        <f>(Q11-V062A_20303133343635[[#This Row],[TOTAL ]])+V062A_20303133343635[[#This Row],[FAENA]]</f>
        <v>366.57</v>
      </c>
      <c r="R12" s="245">
        <v>0</v>
      </c>
      <c r="S12" s="246">
        <v>0</v>
      </c>
      <c r="T12" s="246">
        <v>0</v>
      </c>
      <c r="U12" s="246">
        <v>0</v>
      </c>
      <c r="V12" s="246">
        <v>0.43</v>
      </c>
      <c r="W12" s="257">
        <f>SUM(V062A_20303133343635[[#This Row],[MPAL2]:[GI]])</f>
        <v>0.43</v>
      </c>
      <c r="X12" s="246"/>
      <c r="Y12" s="282">
        <f>(Y11-V062A_20303133343635[[#This Row],[TOTAL]])+V062A_20303133343635[[#This Row],[FAENA2]]</f>
        <v>16.66</v>
      </c>
      <c r="Z12" s="245">
        <v>0</v>
      </c>
      <c r="AA12" s="246">
        <v>0</v>
      </c>
      <c r="AB12" s="320">
        <f>(AB11-V062A_20303133343635[[#This Row],[CYLINDER MP]])+V062A_20303133343635[[#This Row],[FAENA EN LTS]]</f>
        <v>1902.35</v>
      </c>
      <c r="AC12" s="246">
        <v>0</v>
      </c>
      <c r="AD12" s="246">
        <v>0</v>
      </c>
      <c r="AE12" s="320">
        <f>(AE11-V062A_20303133343635[[#This Row],[CARTER MP.]])+V062A_20303133343635[[#This Row],[FAENA EN LTS2]]</f>
        <v>3500</v>
      </c>
      <c r="AF12" s="246">
        <v>0</v>
      </c>
      <c r="AG12" s="246">
        <v>0</v>
      </c>
      <c r="AH12" s="320">
        <f>(AH11-V062A_20303133343635[[#This Row],[MOT AUX]])+V062A_20303133343635[[#This Row],[FAENA EN  LTS]]</f>
        <v>780</v>
      </c>
      <c r="AI12" s="246">
        <v>0</v>
      </c>
      <c r="AJ12" s="246">
        <v>0</v>
      </c>
      <c r="AK12" s="321">
        <f>(AK11-V062A_20303133343635[[#This Row],[HIDRAULICO]])+V062A_20303133343635[[#This Row],[FAENA EN LTS3]]</f>
        <v>1140</v>
      </c>
    </row>
    <row r="13" spans="1:37" x14ac:dyDescent="0.25">
      <c r="A13" s="431" t="s">
        <v>370</v>
      </c>
      <c r="B13" s="48">
        <v>44200</v>
      </c>
      <c r="C13" s="41">
        <v>0.1875</v>
      </c>
      <c r="D13" s="418">
        <f>IF(V062A_20303133343635[[#This Row],[FECHA]]-B12=1,((V062A_20303133343635[[#This Row],[HORA]]-C12)*24)+24,(V062A_20303133343635[[#This Row],[HORA]]-C12)*24)</f>
        <v>7</v>
      </c>
      <c r="E13" s="432" t="s">
        <v>45</v>
      </c>
      <c r="F13" s="378" t="s">
        <v>46</v>
      </c>
      <c r="G13" s="324"/>
      <c r="H13" s="306"/>
      <c r="I1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3" s="380"/>
      <c r="K13" s="325"/>
      <c r="L13" s="483">
        <v>0</v>
      </c>
      <c r="M13" s="246">
        <v>0.57999999999999996</v>
      </c>
      <c r="N13" s="484">
        <v>0.35</v>
      </c>
      <c r="O13" s="257">
        <f>SUM(V062A_20303133343635[[#This Row],[MPAL]]+V062A_20303133343635[[#This Row],[AUX.]]+V062A_20303133343635[[#This Row],[CALDERA]])</f>
        <v>0.92999999999999994</v>
      </c>
      <c r="P13" s="319"/>
      <c r="Q13" s="281">
        <f>(Q12-V062A_20303133343635[[#This Row],[TOTAL ]])+V062A_20303133343635[[#This Row],[FAENA]]</f>
        <v>365.64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SUM(V062A_20303133343635[[#This Row],[MPAL2]:[GI]])</f>
        <v>0</v>
      </c>
      <c r="X13" s="246"/>
      <c r="Y13" s="282">
        <f>(Y12-V062A_20303133343635[[#This Row],[TOTAL]])+V062A_20303133343635[[#This Row],[FAENA2]]</f>
        <v>16.66</v>
      </c>
      <c r="Z13" s="245">
        <v>0</v>
      </c>
      <c r="AA13" s="246">
        <v>0</v>
      </c>
      <c r="AB13" s="320">
        <f>(AB12-V062A_20303133343635[[#This Row],[CYLINDER MP]])+V062A_20303133343635[[#This Row],[FAENA EN LTS]]</f>
        <v>1902.35</v>
      </c>
      <c r="AC13" s="246">
        <v>0</v>
      </c>
      <c r="AD13" s="246">
        <v>0</v>
      </c>
      <c r="AE13" s="320">
        <f>(AE12-V062A_20303133343635[[#This Row],[CARTER MP.]])+V062A_20303133343635[[#This Row],[FAENA EN LTS2]]</f>
        <v>3500</v>
      </c>
      <c r="AF13" s="246">
        <v>0</v>
      </c>
      <c r="AG13" s="246">
        <v>0</v>
      </c>
      <c r="AH13" s="320">
        <f>(AH12-V062A_20303133343635[[#This Row],[MOT AUX]])+V062A_20303133343635[[#This Row],[FAENA EN  LTS]]</f>
        <v>780</v>
      </c>
      <c r="AI13" s="246">
        <v>0</v>
      </c>
      <c r="AJ13" s="246">
        <v>0</v>
      </c>
      <c r="AK13" s="321">
        <f>(AK12-V062A_20303133343635[[#This Row],[HIDRAULICO]])+V062A_20303133343635[[#This Row],[FAENA EN LTS3]]</f>
        <v>1140</v>
      </c>
    </row>
    <row r="14" spans="1:37" x14ac:dyDescent="0.25">
      <c r="A14" s="431" t="s">
        <v>370</v>
      </c>
      <c r="B14" s="48">
        <v>44200</v>
      </c>
      <c r="C14" s="41">
        <v>0.21666666666666667</v>
      </c>
      <c r="D14" s="418">
        <f>IF(V062A_20303133343635[[#This Row],[FECHA]]-B13=1,((V062A_20303133343635[[#This Row],[HORA]]-C13)*24)+24,(V062A_20303133343635[[#This Row],[HORA]]-C13)*24)</f>
        <v>0.70000000000000018</v>
      </c>
      <c r="E14" s="432" t="s">
        <v>47</v>
      </c>
      <c r="F14" s="378" t="s">
        <v>272</v>
      </c>
      <c r="G14" s="324"/>
      <c r="H14" s="306"/>
      <c r="I1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4" s="380"/>
      <c r="K14" s="325"/>
      <c r="L14" s="483">
        <v>0.28999999999999998</v>
      </c>
      <c r="M14" s="246">
        <v>0.04</v>
      </c>
      <c r="N14" s="484">
        <v>0.04</v>
      </c>
      <c r="O14" s="257">
        <f>SUM(V062A_20303133343635[[#This Row],[MPAL]]+V062A_20303133343635[[#This Row],[AUX.]]+V062A_20303133343635[[#This Row],[CALDERA]])</f>
        <v>0.36999999999999994</v>
      </c>
      <c r="P14" s="246"/>
      <c r="Q14" s="281">
        <f>(Q13-V062A_20303133343635[[#This Row],[TOTAL ]])+V062A_20303133343635[[#This Row],[FAENA]]</f>
        <v>365.27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57">
        <f>SUM(V062A_20303133343635[[#This Row],[MPAL2]:[GI]])</f>
        <v>0</v>
      </c>
      <c r="X14" s="246"/>
      <c r="Y14" s="282">
        <f>(Y13-V062A_20303133343635[[#This Row],[TOTAL]])+V062A_20303133343635[[#This Row],[FAENA2]]</f>
        <v>16.66</v>
      </c>
      <c r="Z14" s="245">
        <v>7.29</v>
      </c>
      <c r="AA14" s="246">
        <v>0</v>
      </c>
      <c r="AB14" s="320">
        <f>(AB13-V062A_20303133343635[[#This Row],[CYLINDER MP]])+V062A_20303133343635[[#This Row],[FAENA EN LTS]]</f>
        <v>1895.06</v>
      </c>
      <c r="AC14" s="246">
        <v>0</v>
      </c>
      <c r="AD14" s="246">
        <v>0</v>
      </c>
      <c r="AE14" s="320">
        <f>(AE13-V062A_20303133343635[[#This Row],[CARTER MP.]])+V062A_20303133343635[[#This Row],[FAENA EN LTS2]]</f>
        <v>3500</v>
      </c>
      <c r="AF14" s="246">
        <v>20</v>
      </c>
      <c r="AG14" s="246">
        <v>0</v>
      </c>
      <c r="AH14" s="320">
        <f>(AH13-V062A_20303133343635[[#This Row],[MOT AUX]])+V062A_20303133343635[[#This Row],[FAENA EN  LTS]]</f>
        <v>760</v>
      </c>
      <c r="AI14" s="246">
        <v>0</v>
      </c>
      <c r="AJ14" s="246">
        <v>0</v>
      </c>
      <c r="AK14" s="321">
        <f>(AK13-V062A_20303133343635[[#This Row],[HIDRAULICO]])+V062A_20303133343635[[#This Row],[FAENA EN LTS3]]</f>
        <v>1140</v>
      </c>
    </row>
    <row r="15" spans="1:37" x14ac:dyDescent="0.25">
      <c r="A15" s="431" t="s">
        <v>370</v>
      </c>
      <c r="B15" s="48">
        <v>44200</v>
      </c>
      <c r="C15" s="41">
        <v>0.33333333333333331</v>
      </c>
      <c r="D15" s="418">
        <f>IF(V062A_20303133343635[[#This Row],[FECHA]]-B14=1,((V062A_20303133343635[[#This Row],[HORA]]-C14)*24)+24,(V062A_20303133343635[[#This Row],[HORA]]-C14)*24)</f>
        <v>2.7999999999999994</v>
      </c>
      <c r="E15" s="432" t="s">
        <v>55</v>
      </c>
      <c r="F15" s="378" t="s">
        <v>56</v>
      </c>
      <c r="G15" s="324"/>
      <c r="H15" s="306"/>
      <c r="I1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5" s="380"/>
      <c r="K15" s="325"/>
      <c r="L15" s="483">
        <v>2.68</v>
      </c>
      <c r="M15" s="246">
        <v>0.18</v>
      </c>
      <c r="N15" s="484">
        <v>0.14000000000000001</v>
      </c>
      <c r="O15" s="257">
        <f>SUM(V062A_20303133343635[[#This Row],[MPAL]]+V062A_20303133343635[[#This Row],[AUX.]]+V062A_20303133343635[[#This Row],[CALDERA]])</f>
        <v>3.0000000000000004</v>
      </c>
      <c r="P15" s="319"/>
      <c r="Q15" s="281">
        <f>(Q14-V062A_20303133343635[[#This Row],[TOTAL ]])+V062A_20303133343635[[#This Row],[FAENA]]</f>
        <v>362.27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SUM(V062A_20303133343635[[#This Row],[MPAL2]:[GI]])</f>
        <v>0</v>
      </c>
      <c r="X15" s="246"/>
      <c r="Y15" s="282">
        <f>(Y14-V062A_20303133343635[[#This Row],[TOTAL]])+V062A_20303133343635[[#This Row],[FAENA2]]</f>
        <v>16.66</v>
      </c>
      <c r="Z15" s="245">
        <v>29.16</v>
      </c>
      <c r="AA15" s="246">
        <v>0</v>
      </c>
      <c r="AB15" s="320">
        <f>(AB14-V062A_20303133343635[[#This Row],[CYLINDER MP]])+V062A_20303133343635[[#This Row],[FAENA EN LTS]]</f>
        <v>1865.8999999999999</v>
      </c>
      <c r="AC15" s="246">
        <v>0</v>
      </c>
      <c r="AD15" s="246">
        <v>0</v>
      </c>
      <c r="AE15" s="320">
        <f>(AE14-V062A_20303133343635[[#This Row],[CARTER MP.]])+V062A_20303133343635[[#This Row],[FAENA EN LTS2]]</f>
        <v>3500</v>
      </c>
      <c r="AF15" s="246">
        <v>0</v>
      </c>
      <c r="AG15" s="246">
        <v>0</v>
      </c>
      <c r="AH15" s="320">
        <f>(AH14-V062A_20303133343635[[#This Row],[MOT AUX]])+V062A_20303133343635[[#This Row],[FAENA EN  LTS]]</f>
        <v>760</v>
      </c>
      <c r="AI15" s="246">
        <v>0</v>
      </c>
      <c r="AJ15" s="246">
        <v>0</v>
      </c>
      <c r="AK15" s="321">
        <f>(AK14-V062A_20303133343635[[#This Row],[HIDRAULICO]])+V062A_20303133343635[[#This Row],[FAENA EN LTS3]]</f>
        <v>1140</v>
      </c>
    </row>
    <row r="16" spans="1:37" x14ac:dyDescent="0.25">
      <c r="A16" s="431" t="s">
        <v>370</v>
      </c>
      <c r="B16" s="48">
        <v>44201</v>
      </c>
      <c r="C16" s="41">
        <v>0.33333333333333331</v>
      </c>
      <c r="D16" s="418">
        <f>IF(V062A_20303133343635[[#This Row],[FECHA]]-B15=1,((V062A_20303133343635[[#This Row],[HORA]]-C15)*24)+24,(V062A_20303133343635[[#This Row],[HORA]]-C15)*24)</f>
        <v>24</v>
      </c>
      <c r="E16" s="432" t="s">
        <v>55</v>
      </c>
      <c r="F16" s="378" t="s">
        <v>56</v>
      </c>
      <c r="G16" s="324"/>
      <c r="H16" s="306"/>
      <c r="I1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6" s="380"/>
      <c r="K16" s="325"/>
      <c r="L16" s="483">
        <v>23</v>
      </c>
      <c r="M16" s="246">
        <v>1.5</v>
      </c>
      <c r="N16" s="484">
        <v>1.2</v>
      </c>
      <c r="O16" s="257">
        <f>SUM(V062A_20303133343635[[#This Row],[MPAL]]+V062A_20303133343635[[#This Row],[AUX.]]+V062A_20303133343635[[#This Row],[CALDERA]])</f>
        <v>25.7</v>
      </c>
      <c r="P16" s="319"/>
      <c r="Q16" s="281">
        <f>(Q15-V062A_20303133343635[[#This Row],[TOTAL ]])+V062A_20303133343635[[#This Row],[FAENA]]</f>
        <v>336.57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SUM(V062A_20303133343635[[#This Row],[MPAL2]:[GI]])</f>
        <v>0</v>
      </c>
      <c r="X16" s="246"/>
      <c r="Y16" s="282">
        <f>(Y15-V062A_20303133343635[[#This Row],[TOTAL]])+V062A_20303133343635[[#This Row],[FAENA2]]</f>
        <v>16.66</v>
      </c>
      <c r="Z16" s="245">
        <v>250</v>
      </c>
      <c r="AA16" s="246">
        <v>0</v>
      </c>
      <c r="AB16" s="320">
        <f>(AB15-V062A_20303133343635[[#This Row],[CYLINDER MP]])+V062A_20303133343635[[#This Row],[FAENA EN LTS]]</f>
        <v>1615.8999999999999</v>
      </c>
      <c r="AC16" s="246">
        <v>0</v>
      </c>
      <c r="AD16" s="246">
        <v>0</v>
      </c>
      <c r="AE16" s="320">
        <f>(AE15-V062A_20303133343635[[#This Row],[CARTER MP.]])+V062A_20303133343635[[#This Row],[FAENA EN LTS2]]</f>
        <v>3500</v>
      </c>
      <c r="AF16" s="246">
        <v>0</v>
      </c>
      <c r="AG16" s="246">
        <v>0</v>
      </c>
      <c r="AH16" s="320">
        <f>(AH15-V062A_20303133343635[[#This Row],[MOT AUX]])+V062A_20303133343635[[#This Row],[FAENA EN  LTS]]</f>
        <v>760</v>
      </c>
      <c r="AI16" s="246">
        <v>0</v>
      </c>
      <c r="AJ16" s="246">
        <v>0</v>
      </c>
      <c r="AK16" s="321">
        <f>(AK15-V062A_20303133343635[[#This Row],[HIDRAULICO]])+V062A_20303133343635[[#This Row],[FAENA EN LTS3]]</f>
        <v>1140</v>
      </c>
    </row>
    <row r="17" spans="1:37" x14ac:dyDescent="0.25">
      <c r="A17" s="431" t="s">
        <v>370</v>
      </c>
      <c r="B17" s="48">
        <v>44201</v>
      </c>
      <c r="C17" s="41">
        <v>0.86249999999999993</v>
      </c>
      <c r="D17" s="418">
        <f>IF(V062A_20303133343635[[#This Row],[FECHA]]-B16=1,((V062A_20303133343635[[#This Row],[HORA]]-C16)*24)+24,(V062A_20303133343635[[#This Row],[HORA]]-C16)*24)</f>
        <v>12.699999999999998</v>
      </c>
      <c r="E17" s="432" t="s">
        <v>55</v>
      </c>
      <c r="F17" s="378" t="s">
        <v>216</v>
      </c>
      <c r="G17" s="324">
        <v>483</v>
      </c>
      <c r="H17" s="306">
        <v>39.5</v>
      </c>
      <c r="I17" s="259">
        <f>IF(ISERROR(V062A_20303133343635[[#This Row],[DISTANCIA POR CARTA]]/V062A_20303133343635[[#This Row],[TIEMPO DE NAVEGACION]]),0,V062A_20303133343635[[#This Row],[DISTANCIA POR CARTA]]/V062A_20303133343635[[#This Row],[TIEMPO DE NAVEGACION]])</f>
        <v>12.227848101265822</v>
      </c>
      <c r="J17" s="380">
        <v>4</v>
      </c>
      <c r="K17" s="325">
        <v>97</v>
      </c>
      <c r="L17" s="483">
        <v>12.17</v>
      </c>
      <c r="M17" s="246">
        <v>1.06</v>
      </c>
      <c r="N17" s="484">
        <v>0.64</v>
      </c>
      <c r="O17" s="257">
        <f>SUM(V062A_20303133343635[[#This Row],[MPAL]]+V062A_20303133343635[[#This Row],[AUX.]]+V062A_20303133343635[[#This Row],[CALDERA]])</f>
        <v>13.870000000000001</v>
      </c>
      <c r="P17" s="319"/>
      <c r="Q17" s="281">
        <f>(Q16-V062A_20303133343635[[#This Row],[TOTAL ]])+V062A_20303133343635[[#This Row],[FAENA]]</f>
        <v>322.7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SUM(V062A_20303133343635[[#This Row],[MPAL2]:[GI]])</f>
        <v>0</v>
      </c>
      <c r="X17" s="246"/>
      <c r="Y17" s="282">
        <f>(Y16-V062A_20303133343635[[#This Row],[TOTAL]])+V062A_20303133343635[[#This Row],[FAENA2]]</f>
        <v>16.66</v>
      </c>
      <c r="Z17" s="245">
        <v>132.29</v>
      </c>
      <c r="AA17" s="246">
        <v>0</v>
      </c>
      <c r="AB17" s="320">
        <f>(AB16-V062A_20303133343635[[#This Row],[CYLINDER MP]])+V062A_20303133343635[[#This Row],[FAENA EN LTS]]</f>
        <v>1483.61</v>
      </c>
      <c r="AC17" s="246">
        <v>0</v>
      </c>
      <c r="AD17" s="246">
        <v>0</v>
      </c>
      <c r="AE17" s="320">
        <f>(AE16-V062A_20303133343635[[#This Row],[CARTER MP.]])+V062A_20303133343635[[#This Row],[FAENA EN LTS2]]</f>
        <v>3500</v>
      </c>
      <c r="AF17" s="246">
        <v>20</v>
      </c>
      <c r="AG17" s="246">
        <v>0</v>
      </c>
      <c r="AH17" s="320">
        <f>(AH16-V062A_20303133343635[[#This Row],[MOT AUX]])+V062A_20303133343635[[#This Row],[FAENA EN  LTS]]</f>
        <v>740</v>
      </c>
      <c r="AI17" s="246">
        <v>0</v>
      </c>
      <c r="AJ17" s="246">
        <v>0</v>
      </c>
      <c r="AK17" s="321">
        <f>(AK16-V062A_20303133343635[[#This Row],[HIDRAULICO]])+V062A_20303133343635[[#This Row],[FAENA EN LTS3]]</f>
        <v>1140</v>
      </c>
    </row>
    <row r="18" spans="1:37" x14ac:dyDescent="0.25">
      <c r="A18" s="431" t="s">
        <v>370</v>
      </c>
      <c r="B18" s="48">
        <v>44202</v>
      </c>
      <c r="C18" s="41">
        <v>0.33333333333333331</v>
      </c>
      <c r="D18" s="418">
        <f>IF(V062A_20303133343635[[#This Row],[FECHA]]-B17=1,((V062A_20303133343635[[#This Row],[HORA]]-C17)*24)+24,(V062A_20303133343635[[#This Row],[HORA]]-C17)*24)</f>
        <v>11.300000000000002</v>
      </c>
      <c r="E18" s="432" t="s">
        <v>45</v>
      </c>
      <c r="F18" s="378" t="s">
        <v>371</v>
      </c>
      <c r="G18" s="324"/>
      <c r="H18" s="306"/>
      <c r="I1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8" s="380"/>
      <c r="K18" s="325"/>
      <c r="L18" s="483">
        <v>0</v>
      </c>
      <c r="M18" s="246">
        <v>0.71</v>
      </c>
      <c r="N18" s="484">
        <v>0.56999999999999995</v>
      </c>
      <c r="O18" s="257">
        <f>SUM(V062A_20303133343635[[#This Row],[MPAL]]+V062A_20303133343635[[#This Row],[AUX.]]+V062A_20303133343635[[#This Row],[CALDERA]])</f>
        <v>1.2799999999999998</v>
      </c>
      <c r="P18" s="319"/>
      <c r="Q18" s="281">
        <f>(Q17-V062A_20303133343635[[#This Row],[TOTAL ]])+V062A_20303133343635[[#This Row],[FAENA]]</f>
        <v>321.42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SUM(V062A_20303133343635[[#This Row],[MPAL2]:[GI]])</f>
        <v>0</v>
      </c>
      <c r="X18" s="246"/>
      <c r="Y18" s="282">
        <f>(Y17-V062A_20303133343635[[#This Row],[TOTAL]])+V062A_20303133343635[[#This Row],[FAENA2]]</f>
        <v>16.66</v>
      </c>
      <c r="Z18" s="245">
        <v>0</v>
      </c>
      <c r="AA18" s="246">
        <v>0</v>
      </c>
      <c r="AB18" s="320">
        <f>(AB17-V062A_20303133343635[[#This Row],[CYLINDER MP]])+V062A_20303133343635[[#This Row],[FAENA EN LTS]]</f>
        <v>1483.61</v>
      </c>
      <c r="AC18" s="246">
        <v>0</v>
      </c>
      <c r="AD18" s="246">
        <v>0</v>
      </c>
      <c r="AE18" s="320">
        <f>(AE17-V062A_20303133343635[[#This Row],[CARTER MP.]])+V062A_20303133343635[[#This Row],[FAENA EN LTS2]]</f>
        <v>3500</v>
      </c>
      <c r="AF18" s="246">
        <v>0</v>
      </c>
      <c r="AG18" s="246">
        <v>0</v>
      </c>
      <c r="AH18" s="320">
        <f>(AH17-V062A_20303133343635[[#This Row],[MOT AUX]])+V062A_20303133343635[[#This Row],[FAENA EN  LTS]]</f>
        <v>740</v>
      </c>
      <c r="AI18" s="246">
        <v>0</v>
      </c>
      <c r="AJ18" s="246">
        <v>0</v>
      </c>
      <c r="AK18" s="321">
        <f>(AK17-V062A_20303133343635[[#This Row],[HIDRAULICO]])+V062A_20303133343635[[#This Row],[FAENA EN LTS3]]</f>
        <v>1140</v>
      </c>
    </row>
    <row r="19" spans="1:37" x14ac:dyDescent="0.25">
      <c r="A19" s="431" t="s">
        <v>370</v>
      </c>
      <c r="B19" s="48">
        <v>44202</v>
      </c>
      <c r="C19" s="41">
        <v>0.37916666666666665</v>
      </c>
      <c r="D19" s="418">
        <f>IF(V062A_20303133343635[[#This Row],[FECHA]]-B18=1,((V062A_20303133343635[[#This Row],[HORA]]-C18)*24)+24,(V062A_20303133343635[[#This Row],[HORA]]-C18)*24)</f>
        <v>1.1000000000000001</v>
      </c>
      <c r="E19" s="432" t="s">
        <v>45</v>
      </c>
      <c r="F19" s="378" t="s">
        <v>46</v>
      </c>
      <c r="G19" s="324"/>
      <c r="H19" s="306"/>
      <c r="I1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19" s="380"/>
      <c r="K19" s="325"/>
      <c r="L19" s="483">
        <v>0</v>
      </c>
      <c r="M19" s="246">
        <v>0.09</v>
      </c>
      <c r="N19" s="484">
        <v>0.06</v>
      </c>
      <c r="O19" s="257">
        <f>SUM(V062A_20303133343635[[#This Row],[MPAL]]+V062A_20303133343635[[#This Row],[AUX.]]+V062A_20303133343635[[#This Row],[CALDERA]])</f>
        <v>0.15</v>
      </c>
      <c r="P19" s="319"/>
      <c r="Q19" s="281">
        <f>(Q18-V062A_20303133343635[[#This Row],[TOTAL ]])+V062A_20303133343635[[#This Row],[FAENA]]</f>
        <v>321.27000000000004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SUM(V062A_20303133343635[[#This Row],[MPAL2]:[GI]])</f>
        <v>0</v>
      </c>
      <c r="X19" s="246"/>
      <c r="Y19" s="282">
        <f>(Y18-V062A_20303133343635[[#This Row],[TOTAL]])+V062A_20303133343635[[#This Row],[FAENA2]]</f>
        <v>16.66</v>
      </c>
      <c r="Z19" s="245">
        <v>0</v>
      </c>
      <c r="AA19" s="246">
        <v>0</v>
      </c>
      <c r="AB19" s="320">
        <f>(AB18-V062A_20303133343635[[#This Row],[CYLINDER MP]])+V062A_20303133343635[[#This Row],[FAENA EN LTS]]</f>
        <v>1483.61</v>
      </c>
      <c r="AC19" s="246">
        <v>0</v>
      </c>
      <c r="AD19" s="246">
        <v>0</v>
      </c>
      <c r="AE19" s="320">
        <f>(AE18-V062A_20303133343635[[#This Row],[CARTER MP.]])+V062A_20303133343635[[#This Row],[FAENA EN LTS2]]</f>
        <v>3500</v>
      </c>
      <c r="AF19" s="246">
        <v>0</v>
      </c>
      <c r="AG19" s="246">
        <v>0</v>
      </c>
      <c r="AH19" s="320">
        <f>(AH18-V062A_20303133343635[[#This Row],[MOT AUX]])+V062A_20303133343635[[#This Row],[FAENA EN  LTS]]</f>
        <v>740</v>
      </c>
      <c r="AI19" s="246">
        <v>0</v>
      </c>
      <c r="AJ19" s="246">
        <v>0</v>
      </c>
      <c r="AK19" s="321">
        <f>(AK18-V062A_20303133343635[[#This Row],[HIDRAULICO]])+V062A_20303133343635[[#This Row],[FAENA EN LTS3]]</f>
        <v>1140</v>
      </c>
    </row>
    <row r="20" spans="1:37" x14ac:dyDescent="0.25">
      <c r="A20" s="431" t="s">
        <v>370</v>
      </c>
      <c r="B20" s="48">
        <v>44202</v>
      </c>
      <c r="C20" s="41">
        <v>0.44166666666666665</v>
      </c>
      <c r="D20" s="418">
        <f>IF(V062A_20303133343635[[#This Row],[FECHA]]-B19=1,((V062A_20303133343635[[#This Row],[HORA]]-C19)*24)+24,(V062A_20303133343635[[#This Row],[HORA]]-C19)*24)</f>
        <v>1.5</v>
      </c>
      <c r="E20" s="432" t="s">
        <v>47</v>
      </c>
      <c r="F20" s="378" t="s">
        <v>372</v>
      </c>
      <c r="G20" s="324"/>
      <c r="H20" s="306"/>
      <c r="I2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0" s="380"/>
      <c r="K20" s="325"/>
      <c r="L20" s="483">
        <v>0.63</v>
      </c>
      <c r="M20" s="246">
        <v>0.13</v>
      </c>
      <c r="N20" s="484">
        <v>0.08</v>
      </c>
      <c r="O20" s="257">
        <f>SUM(V062A_20303133343635[[#This Row],[MPAL]]+V062A_20303133343635[[#This Row],[AUX.]]+V062A_20303133343635[[#This Row],[CALDERA]])</f>
        <v>0.84</v>
      </c>
      <c r="P20" s="319"/>
      <c r="Q20" s="281">
        <f>(Q19-V062A_20303133343635[[#This Row],[TOTAL ]])+V062A_20303133343635[[#This Row],[FAENA]]</f>
        <v>320.43000000000006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SUM(V062A_20303133343635[[#This Row],[MPAL2]:[GI]])</f>
        <v>0</v>
      </c>
      <c r="X20" s="246"/>
      <c r="Y20" s="282">
        <f>(Y19-V062A_20303133343635[[#This Row],[TOTAL]])+V062A_20303133343635[[#This Row],[FAENA2]]</f>
        <v>16.66</v>
      </c>
      <c r="Z20" s="245">
        <v>0</v>
      </c>
      <c r="AA20" s="246">
        <v>0</v>
      </c>
      <c r="AB20" s="320">
        <f>(AB19-V062A_20303133343635[[#This Row],[CYLINDER MP]])+V062A_20303133343635[[#This Row],[FAENA EN LTS]]</f>
        <v>1483.61</v>
      </c>
      <c r="AC20" s="246">
        <v>0</v>
      </c>
      <c r="AD20" s="246">
        <v>0</v>
      </c>
      <c r="AE20" s="320">
        <f>(AE19-V062A_20303133343635[[#This Row],[CARTER MP.]])+V062A_20303133343635[[#This Row],[FAENA EN LTS2]]</f>
        <v>3500</v>
      </c>
      <c r="AF20" s="246">
        <v>0</v>
      </c>
      <c r="AG20" s="246">
        <v>0</v>
      </c>
      <c r="AH20" s="320">
        <f>(AH19-V062A_20303133343635[[#This Row],[MOT AUX]])+V062A_20303133343635[[#This Row],[FAENA EN  LTS]]</f>
        <v>740</v>
      </c>
      <c r="AI20" s="246">
        <v>0</v>
      </c>
      <c r="AJ20" s="246">
        <v>0</v>
      </c>
      <c r="AK20" s="321">
        <f>(AK19-V062A_20303133343635[[#This Row],[HIDRAULICO]])+V062A_20303133343635[[#This Row],[FAENA EN LTS3]]</f>
        <v>1140</v>
      </c>
    </row>
    <row r="21" spans="1:37" x14ac:dyDescent="0.25">
      <c r="A21" s="431" t="s">
        <v>370</v>
      </c>
      <c r="B21" s="48">
        <v>44202</v>
      </c>
      <c r="C21" s="41">
        <v>0.53749999999999998</v>
      </c>
      <c r="D21" s="418">
        <f>IF(V062A_20303133343635[[#This Row],[FECHA]]-B20=1,((V062A_20303133343635[[#This Row],[HORA]]-C20)*24)+24,(V062A_20303133343635[[#This Row],[HORA]]-C20)*24)</f>
        <v>2.2999999999999998</v>
      </c>
      <c r="E21" s="432" t="s">
        <v>51</v>
      </c>
      <c r="F21" s="378" t="s">
        <v>373</v>
      </c>
      <c r="G21" s="324"/>
      <c r="H21" s="306"/>
      <c r="I2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1" s="380"/>
      <c r="K21" s="325"/>
      <c r="L21" s="483">
        <v>0</v>
      </c>
      <c r="M21" s="246">
        <v>0.14000000000000001</v>
      </c>
      <c r="N21" s="484">
        <v>0.12</v>
      </c>
      <c r="O21" s="257">
        <f>SUM(V062A_20303133343635[[#This Row],[MPAL]]+V062A_20303133343635[[#This Row],[AUX.]]+V062A_20303133343635[[#This Row],[CALDERA]])</f>
        <v>0.26</v>
      </c>
      <c r="P21" s="319"/>
      <c r="Q21" s="281">
        <f>(Q20-V062A_20303133343635[[#This Row],[TOTAL ]])+V062A_20303133343635[[#This Row],[FAENA]]</f>
        <v>320.17000000000007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57">
        <f>SUM(V062A_20303133343635[[#This Row],[MPAL2]:[GI]])</f>
        <v>0</v>
      </c>
      <c r="X21" s="246"/>
      <c r="Y21" s="282">
        <f>(Y20-V062A_20303133343635[[#This Row],[TOTAL]])+V062A_20303133343635[[#This Row],[FAENA2]]</f>
        <v>16.66</v>
      </c>
      <c r="Z21" s="245">
        <v>0</v>
      </c>
      <c r="AA21" s="246">
        <v>0</v>
      </c>
      <c r="AB21" s="320">
        <f>(AB20-V062A_20303133343635[[#This Row],[CYLINDER MP]])+V062A_20303133343635[[#This Row],[FAENA EN LTS]]</f>
        <v>1483.61</v>
      </c>
      <c r="AC21" s="246">
        <v>0</v>
      </c>
      <c r="AD21" s="246">
        <v>0</v>
      </c>
      <c r="AE21" s="320">
        <f>(AE20-V062A_20303133343635[[#This Row],[CARTER MP.]])+V062A_20303133343635[[#This Row],[FAENA EN LTS2]]</f>
        <v>3500</v>
      </c>
      <c r="AF21" s="246">
        <v>0</v>
      </c>
      <c r="AG21" s="246">
        <v>0</v>
      </c>
      <c r="AH21" s="320">
        <f>(AH20-V062A_20303133343635[[#This Row],[MOT AUX]])+V062A_20303133343635[[#This Row],[FAENA EN  LTS]]</f>
        <v>740</v>
      </c>
      <c r="AI21" s="246">
        <v>0</v>
      </c>
      <c r="AJ21" s="246">
        <v>0</v>
      </c>
      <c r="AK21" s="321">
        <f>(AK20-V062A_20303133343635[[#This Row],[HIDRAULICO]])+V062A_20303133343635[[#This Row],[FAENA EN LTS3]]</f>
        <v>1140</v>
      </c>
    </row>
    <row r="22" spans="1:37" x14ac:dyDescent="0.25">
      <c r="A22" s="431" t="s">
        <v>370</v>
      </c>
      <c r="B22" s="48">
        <v>44203</v>
      </c>
      <c r="C22" s="41">
        <v>0.10833333333333334</v>
      </c>
      <c r="D22" s="418">
        <f>IF(V062A_20303133343635[[#This Row],[FECHA]]-B21=1,((V062A_20303133343635[[#This Row],[HORA]]-C21)*24)+24,(V062A_20303133343635[[#This Row],[HORA]]-C21)*24)</f>
        <v>13.700000000000001</v>
      </c>
      <c r="E22" s="432" t="s">
        <v>51</v>
      </c>
      <c r="F22" s="378" t="s">
        <v>374</v>
      </c>
      <c r="G22" s="324"/>
      <c r="H22" s="306"/>
      <c r="I2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2" s="242"/>
      <c r="K22" s="325"/>
      <c r="L22" s="483">
        <v>0</v>
      </c>
      <c r="M22" s="246">
        <v>1.1399999999999999</v>
      </c>
      <c r="N22" s="484">
        <v>0.69</v>
      </c>
      <c r="O22" s="257">
        <f>SUM(V062A_20303133343635[[#This Row],[MPAL]]+V062A_20303133343635[[#This Row],[AUX.]]+V062A_20303133343635[[#This Row],[CALDERA]])</f>
        <v>1.8299999999999998</v>
      </c>
      <c r="P22" s="319"/>
      <c r="Q22" s="281">
        <f>(Q21-V062A_20303133343635[[#This Row],[TOTAL ]])+V062A_20303133343635[[#This Row],[FAENA]]</f>
        <v>318.34000000000009</v>
      </c>
      <c r="R22" s="245">
        <v>0</v>
      </c>
      <c r="S22" s="246">
        <v>0</v>
      </c>
      <c r="T22" s="246">
        <v>0</v>
      </c>
      <c r="U22" s="246">
        <v>0</v>
      </c>
      <c r="V22" s="246">
        <v>0.2</v>
      </c>
      <c r="W22" s="257">
        <f>SUM(V062A_20303133343635[[#This Row],[MPAL2]:[GI]])</f>
        <v>0.2</v>
      </c>
      <c r="X22" s="246"/>
      <c r="Y22" s="282">
        <f>(Y21-V062A_20303133343635[[#This Row],[TOTAL]])+V062A_20303133343635[[#This Row],[FAENA2]]</f>
        <v>16.46</v>
      </c>
      <c r="Z22" s="245">
        <v>0</v>
      </c>
      <c r="AA22" s="246">
        <v>0</v>
      </c>
      <c r="AB22" s="320">
        <f>(AB21-V062A_20303133343635[[#This Row],[CYLINDER MP]])+V062A_20303133343635[[#This Row],[FAENA EN LTS]]</f>
        <v>1483.61</v>
      </c>
      <c r="AC22" s="246">
        <v>0</v>
      </c>
      <c r="AD22" s="246">
        <v>0</v>
      </c>
      <c r="AE22" s="320">
        <f>(AE21-V062A_20303133343635[[#This Row],[CARTER MP.]])+V062A_20303133343635[[#This Row],[FAENA EN LTS2]]</f>
        <v>3500</v>
      </c>
      <c r="AF22" s="246">
        <v>0</v>
      </c>
      <c r="AG22" s="246">
        <v>0</v>
      </c>
      <c r="AH22" s="320">
        <f>(AH21-V062A_20303133343635[[#This Row],[MOT AUX]])+V062A_20303133343635[[#This Row],[FAENA EN  LTS]]</f>
        <v>740</v>
      </c>
      <c r="AI22" s="246">
        <v>0</v>
      </c>
      <c r="AJ22" s="246">
        <v>0</v>
      </c>
      <c r="AK22" s="321">
        <f>(AK21-V062A_20303133343635[[#This Row],[HIDRAULICO]])+V062A_20303133343635[[#This Row],[FAENA EN LTS3]]</f>
        <v>1140</v>
      </c>
    </row>
    <row r="23" spans="1:37" x14ac:dyDescent="0.25">
      <c r="A23" s="431" t="s">
        <v>370</v>
      </c>
      <c r="B23" s="48">
        <v>44203</v>
      </c>
      <c r="C23" s="41">
        <v>0.27499999999999997</v>
      </c>
      <c r="D23" s="418">
        <f>IF(V062A_20303133343635[[#This Row],[FECHA]]-B22=1,((V062A_20303133343635[[#This Row],[HORA]]-C22)*24)+24,(V062A_20303133343635[[#This Row],[HORA]]-C22)*24)</f>
        <v>3.9999999999999991</v>
      </c>
      <c r="E23" s="432" t="s">
        <v>45</v>
      </c>
      <c r="F23" s="378" t="s">
        <v>46</v>
      </c>
      <c r="G23" s="324"/>
      <c r="H23" s="306"/>
      <c r="I2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3" s="242"/>
      <c r="K23" s="325"/>
      <c r="L23" s="483">
        <v>0</v>
      </c>
      <c r="M23" s="246">
        <v>0.33</v>
      </c>
      <c r="N23" s="484">
        <v>0.25</v>
      </c>
      <c r="O23" s="257">
        <f>SUM(V062A_20303133343635[[#This Row],[MPAL]]+V062A_20303133343635[[#This Row],[AUX.]]+V062A_20303133343635[[#This Row],[CALDERA]])</f>
        <v>0.58000000000000007</v>
      </c>
      <c r="P23" s="319"/>
      <c r="Q23" s="281">
        <f>(Q22-V062A_20303133343635[[#This Row],[TOTAL ]])+V062A_20303133343635[[#This Row],[FAENA]]</f>
        <v>317.7600000000001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57">
        <f>SUM(V062A_20303133343635[[#This Row],[MPAL2]:[GI]])</f>
        <v>0</v>
      </c>
      <c r="X23" s="246"/>
      <c r="Y23" s="282">
        <f>(Y22-V062A_20303133343635[[#This Row],[TOTAL]])+V062A_20303133343635[[#This Row],[FAENA2]]</f>
        <v>16.46</v>
      </c>
      <c r="Z23" s="245">
        <v>41.6</v>
      </c>
      <c r="AA23" s="246">
        <v>0</v>
      </c>
      <c r="AB23" s="320">
        <f>(AB22-V062A_20303133343635[[#This Row],[CYLINDER MP]])+V062A_20303133343635[[#This Row],[FAENA EN LTS]]</f>
        <v>1442.01</v>
      </c>
      <c r="AC23" s="246">
        <v>0</v>
      </c>
      <c r="AD23" s="246">
        <v>0</v>
      </c>
      <c r="AE23" s="320">
        <f>(AE22-V062A_20303133343635[[#This Row],[CARTER MP.]])+V062A_20303133343635[[#This Row],[FAENA EN LTS2]]</f>
        <v>3500</v>
      </c>
      <c r="AF23" s="246">
        <v>20</v>
      </c>
      <c r="AG23" s="246">
        <v>0</v>
      </c>
      <c r="AH23" s="320">
        <f>(AH22-V062A_20303133343635[[#This Row],[MOT AUX]])+V062A_20303133343635[[#This Row],[FAENA EN  LTS]]</f>
        <v>720</v>
      </c>
      <c r="AI23" s="246">
        <v>0</v>
      </c>
      <c r="AJ23" s="246">
        <v>0</v>
      </c>
      <c r="AK23" s="321">
        <f>(AK22-V062A_20303133343635[[#This Row],[HIDRAULICO]])+V062A_20303133343635[[#This Row],[FAENA EN LTS3]]</f>
        <v>1140</v>
      </c>
    </row>
    <row r="24" spans="1:37" x14ac:dyDescent="0.25">
      <c r="A24" s="431" t="s">
        <v>370</v>
      </c>
      <c r="B24" s="48">
        <v>44203</v>
      </c>
      <c r="C24" s="41">
        <v>0.3</v>
      </c>
      <c r="D24" s="418">
        <f>IF(V062A_20303133343635[[#This Row],[FECHA]]-B23=1,((V062A_20303133343635[[#This Row],[HORA]]-C23)*24)+24,(V062A_20303133343635[[#This Row],[HORA]]-C23)*24)</f>
        <v>0.60000000000000053</v>
      </c>
      <c r="E24" s="409" t="s">
        <v>47</v>
      </c>
      <c r="F24" s="378" t="s">
        <v>217</v>
      </c>
      <c r="G24" s="324"/>
      <c r="H24" s="306"/>
      <c r="I2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4" s="242"/>
      <c r="K24" s="325"/>
      <c r="L24" s="483">
        <v>0.25</v>
      </c>
      <c r="M24" s="246">
        <v>0.04</v>
      </c>
      <c r="N24" s="484">
        <v>0.03</v>
      </c>
      <c r="O24" s="257">
        <f>SUM(V062A_20303133343635[[#This Row],[MPAL]]+V062A_20303133343635[[#This Row],[AUX.]]+V062A_20303133343635[[#This Row],[CALDERA]])</f>
        <v>0.31999999999999995</v>
      </c>
      <c r="P24" s="319"/>
      <c r="Q24" s="281">
        <f>(Q23-V062A_20303133343635[[#This Row],[TOTAL ]])+V062A_20303133343635[[#This Row],[FAENA]]</f>
        <v>317.44000000000011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57">
        <f>SUM(V062A_20303133343635[[#This Row],[MPAL2]:[GI]])</f>
        <v>0</v>
      </c>
      <c r="X24" s="246"/>
      <c r="Y24" s="282">
        <f>(Y23-V062A_20303133343635[[#This Row],[TOTAL]])+V062A_20303133343635[[#This Row],[FAENA2]]</f>
        <v>16.46</v>
      </c>
      <c r="Z24" s="245">
        <v>6.25</v>
      </c>
      <c r="AA24" s="246">
        <v>0</v>
      </c>
      <c r="AB24" s="320">
        <f>(AB23-V062A_20303133343635[[#This Row],[CYLINDER MP]])+V062A_20303133343635[[#This Row],[FAENA EN LTS]]</f>
        <v>1435.76</v>
      </c>
      <c r="AC24" s="246">
        <v>0</v>
      </c>
      <c r="AD24" s="246">
        <v>0</v>
      </c>
      <c r="AE24" s="320">
        <f>(AE23-V062A_20303133343635[[#This Row],[CARTER MP.]])+V062A_20303133343635[[#This Row],[FAENA EN LTS2]]</f>
        <v>3500</v>
      </c>
      <c r="AF24" s="246">
        <v>0</v>
      </c>
      <c r="AG24" s="246">
        <v>0</v>
      </c>
      <c r="AH24" s="320">
        <f>(AH23-V062A_20303133343635[[#This Row],[MOT AUX]])+V062A_20303133343635[[#This Row],[FAENA EN  LTS]]</f>
        <v>720</v>
      </c>
      <c r="AI24" s="246">
        <v>0</v>
      </c>
      <c r="AJ24" s="246">
        <v>0</v>
      </c>
      <c r="AK24" s="321">
        <f>(AK23-V062A_20303133343635[[#This Row],[HIDRAULICO]])+V062A_20303133343635[[#This Row],[FAENA EN LTS3]]</f>
        <v>1140</v>
      </c>
    </row>
    <row r="25" spans="1:37" x14ac:dyDescent="0.25">
      <c r="A25" s="431" t="s">
        <v>370</v>
      </c>
      <c r="B25" s="48">
        <v>44203</v>
      </c>
      <c r="C25" s="237">
        <v>0.33333333333333331</v>
      </c>
      <c r="D25" s="418">
        <f>IF(V062A_20303133343635[[#This Row],[FECHA]]-B24=1,((V062A_20303133343635[[#This Row],[HORA]]-C24)*24)+24,(V062A_20303133343635[[#This Row],[HORA]]-C24)*24)</f>
        <v>0.79999999999999982</v>
      </c>
      <c r="E25" s="432" t="s">
        <v>55</v>
      </c>
      <c r="F25" s="378" t="s">
        <v>56</v>
      </c>
      <c r="G25" s="324"/>
      <c r="H25" s="306"/>
      <c r="I2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5" s="242"/>
      <c r="K25" s="325"/>
      <c r="L25" s="483">
        <v>0.77</v>
      </c>
      <c r="M25" s="246">
        <v>0.05</v>
      </c>
      <c r="N25" s="484">
        <v>0.04</v>
      </c>
      <c r="O25" s="257">
        <f>SUM(V062A_20303133343635[[#This Row],[MPAL]]+V062A_20303133343635[[#This Row],[AUX.]]+V062A_20303133343635[[#This Row],[CALDERA]])</f>
        <v>0.8600000000000001</v>
      </c>
      <c r="P25" s="319"/>
      <c r="Q25" s="281">
        <f>(Q24-V062A_20303133343635[[#This Row],[TOTAL ]])+V062A_20303133343635[[#This Row],[FAENA]]</f>
        <v>316.5800000000001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57">
        <f>SUM(V062A_20303133343635[[#This Row],[MPAL2]:[GI]])</f>
        <v>0</v>
      </c>
      <c r="X25" s="246"/>
      <c r="Y25" s="282">
        <f>(Y24-V062A_20303133343635[[#This Row],[TOTAL]])+V062A_20303133343635[[#This Row],[FAENA2]]</f>
        <v>16.46</v>
      </c>
      <c r="Z25" s="245">
        <v>8.3000000000000007</v>
      </c>
      <c r="AA25" s="246">
        <v>0</v>
      </c>
      <c r="AB25" s="320">
        <f>(AB24-V062A_20303133343635[[#This Row],[CYLINDER MP]])+V062A_20303133343635[[#This Row],[FAENA EN LTS]]</f>
        <v>1427.46</v>
      </c>
      <c r="AC25" s="246">
        <v>0</v>
      </c>
      <c r="AD25" s="246">
        <v>0</v>
      </c>
      <c r="AE25" s="320">
        <f>(AE24-V062A_20303133343635[[#This Row],[CARTER MP.]])+V062A_20303133343635[[#This Row],[FAENA EN LTS2]]</f>
        <v>3500</v>
      </c>
      <c r="AF25" s="246">
        <v>0</v>
      </c>
      <c r="AG25" s="246">
        <v>0</v>
      </c>
      <c r="AH25" s="320">
        <f>(AH24-V062A_20303133343635[[#This Row],[MOT AUX]])+V062A_20303133343635[[#This Row],[FAENA EN  LTS]]</f>
        <v>720</v>
      </c>
      <c r="AI25" s="246">
        <v>0</v>
      </c>
      <c r="AJ25" s="246">
        <v>0</v>
      </c>
      <c r="AK25" s="321">
        <f>(AK24-V062A_20303133343635[[#This Row],[HIDRAULICO]])+V062A_20303133343635[[#This Row],[FAENA EN LTS3]]</f>
        <v>1140</v>
      </c>
    </row>
    <row r="26" spans="1:37" x14ac:dyDescent="0.25">
      <c r="A26" s="431" t="s">
        <v>370</v>
      </c>
      <c r="B26" s="48">
        <v>44204</v>
      </c>
      <c r="C26" s="41">
        <v>0.33333333333333331</v>
      </c>
      <c r="D26" s="418">
        <f>IF(V062A_20303133343635[[#This Row],[FECHA]]-B25=1,((V062A_20303133343635[[#This Row],[HORA]]-C25)*24)+24,(V062A_20303133343635[[#This Row],[HORA]]-C25)*24)</f>
        <v>24</v>
      </c>
      <c r="E26" s="432" t="s">
        <v>55</v>
      </c>
      <c r="F26" s="378" t="s">
        <v>56</v>
      </c>
      <c r="G26" s="324"/>
      <c r="H26" s="306"/>
      <c r="I2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6" s="380"/>
      <c r="K26" s="325"/>
      <c r="L26" s="483">
        <v>23</v>
      </c>
      <c r="M26" s="246">
        <v>1.5</v>
      </c>
      <c r="N26" s="484">
        <v>1.2</v>
      </c>
      <c r="O26" s="257">
        <f>SUM(V062A_20303133343635[[#This Row],[MPAL]]+V062A_20303133343635[[#This Row],[AUX.]]+V062A_20303133343635[[#This Row],[CALDERA]])</f>
        <v>25.7</v>
      </c>
      <c r="P26" s="319"/>
      <c r="Q26" s="281">
        <f>(Q25-V062A_20303133343635[[#This Row],[TOTAL ]])+V062A_20303133343635[[#This Row],[FAENA]]</f>
        <v>290.88000000000011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57">
        <f>SUM(V062A_20303133343635[[#This Row],[MPAL2]:[GI]])</f>
        <v>0</v>
      </c>
      <c r="X26" s="246"/>
      <c r="Y26" s="282">
        <f>(Y25-V062A_20303133343635[[#This Row],[TOTAL]])+V062A_20303133343635[[#This Row],[FAENA2]]</f>
        <v>16.46</v>
      </c>
      <c r="Z26" s="245">
        <v>250</v>
      </c>
      <c r="AA26" s="246">
        <v>0</v>
      </c>
      <c r="AB26" s="320">
        <f>(AB25-V062A_20303133343635[[#This Row],[CYLINDER MP]])+V062A_20303133343635[[#This Row],[FAENA EN LTS]]</f>
        <v>1177.46</v>
      </c>
      <c r="AC26" s="246">
        <v>0</v>
      </c>
      <c r="AD26" s="246">
        <v>0</v>
      </c>
      <c r="AE26" s="320">
        <f>(AE25-V062A_20303133343635[[#This Row],[CARTER MP.]])+V062A_20303133343635[[#This Row],[FAENA EN LTS2]]</f>
        <v>3500</v>
      </c>
      <c r="AF26" s="246">
        <v>0</v>
      </c>
      <c r="AG26" s="246">
        <v>0</v>
      </c>
      <c r="AH26" s="320">
        <f>(AH25-V062A_20303133343635[[#This Row],[MOT AUX]])+V062A_20303133343635[[#This Row],[FAENA EN  LTS]]</f>
        <v>720</v>
      </c>
      <c r="AI26" s="246">
        <v>0</v>
      </c>
      <c r="AJ26" s="246">
        <v>0</v>
      </c>
      <c r="AK26" s="321">
        <f>(AK25-V062A_20303133343635[[#This Row],[HIDRAULICO]])+V062A_20303133343635[[#This Row],[FAENA EN LTS3]]</f>
        <v>1140</v>
      </c>
    </row>
    <row r="27" spans="1:37" x14ac:dyDescent="0.25">
      <c r="A27" s="431" t="s">
        <v>370</v>
      </c>
      <c r="B27" s="48">
        <v>44205</v>
      </c>
      <c r="C27" s="41">
        <v>0.33333333333333331</v>
      </c>
      <c r="D27" s="418">
        <f>IF(V062A_20303133343635[[#This Row],[FECHA]]-B26=1,((V062A_20303133343635[[#This Row],[HORA]]-C26)*24)+24,(V062A_20303133343635[[#This Row],[HORA]]-C26)*24)</f>
        <v>24</v>
      </c>
      <c r="E27" s="432" t="s">
        <v>55</v>
      </c>
      <c r="F27" s="378" t="s">
        <v>56</v>
      </c>
      <c r="G27" s="324"/>
      <c r="H27" s="306"/>
      <c r="I2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7" s="242"/>
      <c r="K27" s="325"/>
      <c r="L27" s="483">
        <v>23</v>
      </c>
      <c r="M27" s="246">
        <v>1.5</v>
      </c>
      <c r="N27" s="484">
        <v>1.2</v>
      </c>
      <c r="O27" s="257">
        <f>SUM(V062A_20303133343635[[#This Row],[MPAL]]+V062A_20303133343635[[#This Row],[AUX.]]+V062A_20303133343635[[#This Row],[CALDERA]])</f>
        <v>25.7</v>
      </c>
      <c r="P27" s="319"/>
      <c r="Q27" s="281">
        <f>(Q26-V062A_20303133343635[[#This Row],[TOTAL ]])+V062A_20303133343635[[#This Row],[FAENA]]</f>
        <v>265.18000000000012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57">
        <f>SUM(V062A_20303133343635[[#This Row],[MPAL2]:[GI]])</f>
        <v>0</v>
      </c>
      <c r="X27" s="246"/>
      <c r="Y27" s="282">
        <f>(Y26-V062A_20303133343635[[#This Row],[TOTAL]])+V062A_20303133343635[[#This Row],[FAENA2]]</f>
        <v>16.46</v>
      </c>
      <c r="Z27" s="245">
        <v>250</v>
      </c>
      <c r="AA27" s="246">
        <v>0</v>
      </c>
      <c r="AB27" s="320">
        <f>(AB26-V062A_20303133343635[[#This Row],[CYLINDER MP]])+V062A_20303133343635[[#This Row],[FAENA EN LTS]]</f>
        <v>927.46</v>
      </c>
      <c r="AC27" s="246">
        <v>0</v>
      </c>
      <c r="AD27" s="246">
        <v>0</v>
      </c>
      <c r="AE27" s="320">
        <f>(AE26-V062A_20303133343635[[#This Row],[CARTER MP.]])+V062A_20303133343635[[#This Row],[FAENA EN LTS2]]</f>
        <v>3500</v>
      </c>
      <c r="AF27" s="246">
        <v>0</v>
      </c>
      <c r="AG27" s="246">
        <v>0</v>
      </c>
      <c r="AH27" s="320">
        <f>(AH26-V062A_20303133343635[[#This Row],[MOT AUX]])+V062A_20303133343635[[#This Row],[FAENA EN  LTS]]</f>
        <v>720</v>
      </c>
      <c r="AI27" s="246">
        <v>0</v>
      </c>
      <c r="AJ27" s="246">
        <v>0</v>
      </c>
      <c r="AK27" s="321">
        <f>(AK26-V062A_20303133343635[[#This Row],[HIDRAULICO]])+V062A_20303133343635[[#This Row],[FAENA EN LTS3]]</f>
        <v>1140</v>
      </c>
    </row>
    <row r="28" spans="1:37" x14ac:dyDescent="0.25">
      <c r="A28" s="431" t="s">
        <v>370</v>
      </c>
      <c r="B28" s="48">
        <v>44205</v>
      </c>
      <c r="C28" s="41">
        <v>0.48749999999999999</v>
      </c>
      <c r="D28" s="418">
        <f>IF(V062A_20303133343635[[#This Row],[FECHA]]-B27=1,((V062A_20303133343635[[#This Row],[HORA]]-C27)*24)+24,(V062A_20303133343635[[#This Row],[HORA]]-C27)*24)</f>
        <v>3.7</v>
      </c>
      <c r="E28" s="432" t="s">
        <v>55</v>
      </c>
      <c r="F28" s="378" t="s">
        <v>142</v>
      </c>
      <c r="G28" s="324">
        <v>698</v>
      </c>
      <c r="H28" s="306">
        <v>52.5</v>
      </c>
      <c r="I2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13.295238095238096</v>
      </c>
      <c r="J28" s="380">
        <v>4</v>
      </c>
      <c r="K28" s="325">
        <v>97</v>
      </c>
      <c r="L28" s="483">
        <v>3.55</v>
      </c>
      <c r="M28" s="246">
        <v>0.31</v>
      </c>
      <c r="N28" s="484">
        <v>0.19</v>
      </c>
      <c r="O28" s="257">
        <f>SUM(V062A_20303133343635[[#This Row],[MPAL]]+V062A_20303133343635[[#This Row],[AUX.]]+V062A_20303133343635[[#This Row],[CALDERA]])</f>
        <v>4.05</v>
      </c>
      <c r="P28" s="319"/>
      <c r="Q28" s="281">
        <f>(Q27-V062A_20303133343635[[#This Row],[TOTAL ]])+V062A_20303133343635[[#This Row],[FAENA]]</f>
        <v>261.13000000000011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57">
        <f>SUM(V062A_20303133343635[[#This Row],[MPAL2]:[GI]])</f>
        <v>0</v>
      </c>
      <c r="X28" s="246"/>
      <c r="Y28" s="282">
        <f>(Y27-V062A_20303133343635[[#This Row],[TOTAL]])+V062A_20303133343635[[#This Row],[FAENA2]]</f>
        <v>16.46</v>
      </c>
      <c r="Z28" s="245">
        <v>38.54</v>
      </c>
      <c r="AA28" s="246">
        <v>0</v>
      </c>
      <c r="AB28" s="320">
        <f>(AB27-V062A_20303133343635[[#This Row],[CYLINDER MP]])+V062A_20303133343635[[#This Row],[FAENA EN LTS]]</f>
        <v>888.92000000000007</v>
      </c>
      <c r="AC28" s="246">
        <v>0</v>
      </c>
      <c r="AD28" s="246">
        <v>0</v>
      </c>
      <c r="AE28" s="320">
        <f>(AE27-V062A_20303133343635[[#This Row],[CARTER MP.]])+V062A_20303133343635[[#This Row],[FAENA EN LTS2]]</f>
        <v>3500</v>
      </c>
      <c r="AF28" s="246">
        <v>0</v>
      </c>
      <c r="AG28" s="246">
        <v>0</v>
      </c>
      <c r="AH28" s="320">
        <f>(AH27-V062A_20303133343635[[#This Row],[MOT AUX]])+V062A_20303133343635[[#This Row],[FAENA EN  LTS]]</f>
        <v>720</v>
      </c>
      <c r="AI28" s="246">
        <v>0</v>
      </c>
      <c r="AJ28" s="246">
        <v>0</v>
      </c>
      <c r="AK28" s="321">
        <f>(AK27-V062A_20303133343635[[#This Row],[HIDRAULICO]])+V062A_20303133343635[[#This Row],[FAENA EN LTS3]]</f>
        <v>1140</v>
      </c>
    </row>
    <row r="29" spans="1:37" x14ac:dyDescent="0.25">
      <c r="A29" s="431" t="s">
        <v>370</v>
      </c>
      <c r="B29" s="48">
        <v>44205</v>
      </c>
      <c r="C29" s="41">
        <v>0.52083333333333337</v>
      </c>
      <c r="D29" s="418">
        <f>IF(V062A_20303133343635[[#This Row],[FECHA]]-B28=1,((V062A_20303133343635[[#This Row],[HORA]]-C28)*24)+24,(V062A_20303133343635[[#This Row],[HORA]]-C28)*24)</f>
        <v>0.80000000000000115</v>
      </c>
      <c r="E29" s="432" t="s">
        <v>45</v>
      </c>
      <c r="F29" s="378" t="s">
        <v>375</v>
      </c>
      <c r="G29" s="324"/>
      <c r="H29" s="306"/>
      <c r="I2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29" s="242"/>
      <c r="K29" s="325"/>
      <c r="L29" s="483">
        <v>0</v>
      </c>
      <c r="M29" s="246">
        <v>0.05</v>
      </c>
      <c r="N29" s="484">
        <v>0.04</v>
      </c>
      <c r="O29" s="257">
        <f>SUM(V062A_20303133343635[[#This Row],[MPAL]]+V062A_20303133343635[[#This Row],[AUX.]]+V062A_20303133343635[[#This Row],[CALDERA]])</f>
        <v>0.09</v>
      </c>
      <c r="P29" s="319"/>
      <c r="Q29" s="281">
        <f>(Q28-V062A_20303133343635[[#This Row],[TOTAL ]])+V062A_20303133343635[[#This Row],[FAENA]]</f>
        <v>261.04000000000013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57">
        <f>SUM(V062A_20303133343635[[#This Row],[MPAL2]:[GI]])</f>
        <v>0</v>
      </c>
      <c r="X29" s="246"/>
      <c r="Y29" s="282">
        <f>(Y28-V062A_20303133343635[[#This Row],[TOTAL]])+V062A_20303133343635[[#This Row],[FAENA2]]</f>
        <v>16.46</v>
      </c>
      <c r="Z29" s="245">
        <v>0</v>
      </c>
      <c r="AA29" s="246">
        <v>0</v>
      </c>
      <c r="AB29" s="320">
        <f>(AB28-V062A_20303133343635[[#This Row],[CYLINDER MP]])+V062A_20303133343635[[#This Row],[FAENA EN LTS]]</f>
        <v>888.92000000000007</v>
      </c>
      <c r="AC29" s="246">
        <v>0</v>
      </c>
      <c r="AD29" s="246">
        <v>0</v>
      </c>
      <c r="AE29" s="320">
        <f>(AE28-V062A_20303133343635[[#This Row],[CARTER MP.]])+V062A_20303133343635[[#This Row],[FAENA EN LTS2]]</f>
        <v>3500</v>
      </c>
      <c r="AF29" s="246">
        <v>0</v>
      </c>
      <c r="AG29" s="246">
        <v>0</v>
      </c>
      <c r="AH29" s="320">
        <f>(AH28-V062A_20303133343635[[#This Row],[MOT AUX]])+V062A_20303133343635[[#This Row],[FAENA EN  LTS]]</f>
        <v>720</v>
      </c>
      <c r="AI29" s="246">
        <v>0</v>
      </c>
      <c r="AJ29" s="246">
        <v>0</v>
      </c>
      <c r="AK29" s="321">
        <f>(AK28-V062A_20303133343635[[#This Row],[HIDRAULICO]])+V062A_20303133343635[[#This Row],[FAENA EN LTS3]]</f>
        <v>1140</v>
      </c>
    </row>
    <row r="30" spans="1:37" x14ac:dyDescent="0.25">
      <c r="A30" s="431" t="s">
        <v>370</v>
      </c>
      <c r="B30" s="48">
        <v>44205</v>
      </c>
      <c r="C30" s="41">
        <v>0.60416666666666663</v>
      </c>
      <c r="D30" s="418">
        <f>IF(V062A_20303133343635[[#This Row],[FECHA]]-B29=1,((V062A_20303133343635[[#This Row],[HORA]]-C29)*24)+24,(V062A_20303133343635[[#This Row],[HORA]]-C29)*24)</f>
        <v>1.9999999999999982</v>
      </c>
      <c r="E30" s="432" t="s">
        <v>45</v>
      </c>
      <c r="F30" s="378" t="s">
        <v>46</v>
      </c>
      <c r="G30" s="324"/>
      <c r="H30" s="306"/>
      <c r="I3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0" s="242"/>
      <c r="K30" s="325"/>
      <c r="L30" s="483">
        <v>0</v>
      </c>
      <c r="M30" s="246">
        <v>0.17</v>
      </c>
      <c r="N30" s="484">
        <v>0.1</v>
      </c>
      <c r="O30" s="257">
        <f>SUM(V062A_20303133343635[[#This Row],[MPAL]]+V062A_20303133343635[[#This Row],[AUX.]]+V062A_20303133343635[[#This Row],[CALDERA]])</f>
        <v>0.27</v>
      </c>
      <c r="P30" s="319"/>
      <c r="Q30" s="281">
        <f>(Q29-V062A_20303133343635[[#This Row],[TOTAL ]])+V062A_20303133343635[[#This Row],[FAENA]]</f>
        <v>260.77000000000015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57">
        <f>SUM(V062A_20303133343635[[#This Row],[MPAL2]:[GI]])</f>
        <v>0</v>
      </c>
      <c r="X30" s="246"/>
      <c r="Y30" s="282">
        <f>(Y29-V062A_20303133343635[[#This Row],[TOTAL]])+V062A_20303133343635[[#This Row],[FAENA2]]</f>
        <v>16.46</v>
      </c>
      <c r="Z30" s="245">
        <v>0</v>
      </c>
      <c r="AA30" s="246">
        <v>0</v>
      </c>
      <c r="AB30" s="320">
        <f>(AB29-V062A_20303133343635[[#This Row],[CYLINDER MP]])+V062A_20303133343635[[#This Row],[FAENA EN LTS]]</f>
        <v>888.92000000000007</v>
      </c>
      <c r="AC30" s="246">
        <v>0</v>
      </c>
      <c r="AD30" s="246">
        <v>0</v>
      </c>
      <c r="AE30" s="320">
        <f>(AE29-V062A_20303133343635[[#This Row],[CARTER MP.]])+V062A_20303133343635[[#This Row],[FAENA EN LTS2]]</f>
        <v>3500</v>
      </c>
      <c r="AF30" s="246">
        <v>0</v>
      </c>
      <c r="AG30" s="246">
        <v>0</v>
      </c>
      <c r="AH30" s="320">
        <f>(AH29-V062A_20303133343635[[#This Row],[MOT AUX]])+V062A_20303133343635[[#This Row],[FAENA EN  LTS]]</f>
        <v>720</v>
      </c>
      <c r="AI30" s="246">
        <v>0</v>
      </c>
      <c r="AJ30" s="246">
        <v>0</v>
      </c>
      <c r="AK30" s="321">
        <f>(AK29-V062A_20303133343635[[#This Row],[HIDRAULICO]])+V062A_20303133343635[[#This Row],[FAENA EN LTS3]]</f>
        <v>1140</v>
      </c>
    </row>
    <row r="31" spans="1:37" x14ac:dyDescent="0.25">
      <c r="A31" s="431" t="s">
        <v>370</v>
      </c>
      <c r="B31" s="48">
        <v>44205</v>
      </c>
      <c r="C31" s="41">
        <v>0.66666666666666663</v>
      </c>
      <c r="D31" s="418">
        <f>IF(V062A_20303133343635[[#This Row],[FECHA]]-B30=1,((V062A_20303133343635[[#This Row],[HORA]]-C30)*24)+24,(V062A_20303133343635[[#This Row],[HORA]]-C30)*24)</f>
        <v>1.5</v>
      </c>
      <c r="E31" s="432" t="s">
        <v>47</v>
      </c>
      <c r="F31" s="378" t="s">
        <v>376</v>
      </c>
      <c r="G31" s="324"/>
      <c r="H31" s="306"/>
      <c r="I3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1" s="242"/>
      <c r="K31" s="325"/>
      <c r="L31" s="483">
        <v>0.63</v>
      </c>
      <c r="M31" s="246">
        <v>0.13</v>
      </c>
      <c r="N31" s="484">
        <v>0.08</v>
      </c>
      <c r="O31" s="257">
        <f>SUM(V062A_20303133343635[[#This Row],[MPAL]]+V062A_20303133343635[[#This Row],[AUX.]]+V062A_20303133343635[[#This Row],[CALDERA]])</f>
        <v>0.84</v>
      </c>
      <c r="P31" s="319"/>
      <c r="Q31" s="281">
        <f>(Q30-V062A_20303133343635[[#This Row],[TOTAL ]])+V062A_20303133343635[[#This Row],[FAENA]]</f>
        <v>259.93000000000018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57">
        <f>SUM(V062A_20303133343635[[#This Row],[MPAL2]:[GI]])</f>
        <v>0</v>
      </c>
      <c r="X31" s="246"/>
      <c r="Y31" s="282">
        <f>(Y30-V062A_20303133343635[[#This Row],[TOTAL]])+V062A_20303133343635[[#This Row],[FAENA2]]</f>
        <v>16.46</v>
      </c>
      <c r="Z31" s="245">
        <v>0</v>
      </c>
      <c r="AA31" s="246">
        <v>0</v>
      </c>
      <c r="AB31" s="320">
        <f>(AB30-V062A_20303133343635[[#This Row],[CYLINDER MP]])+V062A_20303133343635[[#This Row],[FAENA EN LTS]]</f>
        <v>888.92000000000007</v>
      </c>
      <c r="AC31" s="246">
        <v>0</v>
      </c>
      <c r="AD31" s="246">
        <v>0</v>
      </c>
      <c r="AE31" s="320">
        <f>(AE30-V062A_20303133343635[[#This Row],[CARTER MP.]])+V062A_20303133343635[[#This Row],[FAENA EN LTS2]]</f>
        <v>3500</v>
      </c>
      <c r="AF31" s="246">
        <v>0</v>
      </c>
      <c r="AG31" s="246">
        <v>0</v>
      </c>
      <c r="AH31" s="320">
        <f>(AH30-V062A_20303133343635[[#This Row],[MOT AUX]])+V062A_20303133343635[[#This Row],[FAENA EN  LTS]]</f>
        <v>720</v>
      </c>
      <c r="AI31" s="246">
        <v>0</v>
      </c>
      <c r="AJ31" s="246">
        <v>0</v>
      </c>
      <c r="AK31" s="321">
        <f>(AK30-V062A_20303133343635[[#This Row],[HIDRAULICO]])+V062A_20303133343635[[#This Row],[FAENA EN LTS3]]</f>
        <v>1140</v>
      </c>
    </row>
    <row r="32" spans="1:37" x14ac:dyDescent="0.25">
      <c r="A32" s="431" t="s">
        <v>370</v>
      </c>
      <c r="B32" s="48">
        <v>44206</v>
      </c>
      <c r="C32" s="41">
        <v>4.5833333333333337E-2</v>
      </c>
      <c r="D32" s="418">
        <f>IF(V062A_20303133343635[[#This Row],[FECHA]]-B31=1,((V062A_20303133343635[[#This Row],[HORA]]-C31)*24)+24,(V062A_20303133343635[[#This Row],[HORA]]-C31)*24)</f>
        <v>9.1</v>
      </c>
      <c r="E32" s="432" t="s">
        <v>51</v>
      </c>
      <c r="F32" s="378" t="s">
        <v>377</v>
      </c>
      <c r="G32" s="324"/>
      <c r="H32" s="306"/>
      <c r="I3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2" s="242"/>
      <c r="K32" s="325"/>
      <c r="L32" s="483">
        <v>0</v>
      </c>
      <c r="M32" s="246">
        <v>0.76</v>
      </c>
      <c r="N32" s="484">
        <v>0.46</v>
      </c>
      <c r="O32" s="257">
        <f>SUM(V062A_20303133343635[[#This Row],[MPAL]]+V062A_20303133343635[[#This Row],[AUX.]]+V062A_20303133343635[[#This Row],[CALDERA]])</f>
        <v>1.22</v>
      </c>
      <c r="P32" s="319"/>
      <c r="Q32" s="281">
        <f>(Q31-V062A_20303133343635[[#This Row],[TOTAL ]])+V062A_20303133343635[[#This Row],[FAENA]]</f>
        <v>258.71000000000015</v>
      </c>
      <c r="R32" s="245">
        <v>0</v>
      </c>
      <c r="S32" s="246">
        <v>0</v>
      </c>
      <c r="T32" s="246">
        <v>0</v>
      </c>
      <c r="U32" s="246">
        <v>0</v>
      </c>
      <c r="V32" s="246">
        <v>0.25</v>
      </c>
      <c r="W32" s="257">
        <f>SUM(V062A_20303133343635[[#This Row],[MPAL2]:[GI]])</f>
        <v>0.25</v>
      </c>
      <c r="X32" s="246"/>
      <c r="Y32" s="282">
        <f>(Y31-V062A_20303133343635[[#This Row],[TOTAL]])+V062A_20303133343635[[#This Row],[FAENA2]]</f>
        <v>16.21</v>
      </c>
      <c r="Z32" s="245">
        <v>0</v>
      </c>
      <c r="AA32" s="246">
        <v>0</v>
      </c>
      <c r="AB32" s="320">
        <f>(AB31-V062A_20303133343635[[#This Row],[CYLINDER MP]])+V062A_20303133343635[[#This Row],[FAENA EN LTS]]</f>
        <v>888.92000000000007</v>
      </c>
      <c r="AC32" s="246">
        <v>0</v>
      </c>
      <c r="AD32" s="246">
        <v>0</v>
      </c>
      <c r="AE32" s="320">
        <f>(AE31-V062A_20303133343635[[#This Row],[CARTER MP.]])+V062A_20303133343635[[#This Row],[FAENA EN LTS2]]</f>
        <v>3500</v>
      </c>
      <c r="AF32" s="246">
        <v>0</v>
      </c>
      <c r="AG32" s="246">
        <v>0</v>
      </c>
      <c r="AH32" s="320">
        <f>(AH31-V062A_20303133343635[[#This Row],[MOT AUX]])+V062A_20303133343635[[#This Row],[FAENA EN  LTS]]</f>
        <v>720</v>
      </c>
      <c r="AI32" s="246">
        <v>0</v>
      </c>
      <c r="AJ32" s="246">
        <v>0</v>
      </c>
      <c r="AK32" s="321">
        <f>(AK31-V062A_20303133343635[[#This Row],[HIDRAULICO]])+V062A_20303133343635[[#This Row],[FAENA EN LTS3]]</f>
        <v>1140</v>
      </c>
    </row>
    <row r="33" spans="1:37" x14ac:dyDescent="0.25">
      <c r="A33" s="431" t="s">
        <v>370</v>
      </c>
      <c r="B33" s="48">
        <v>44206</v>
      </c>
      <c r="C33" s="41">
        <v>0.17500000000000002</v>
      </c>
      <c r="D33" s="418">
        <f>IF(V062A_20303133343635[[#This Row],[FECHA]]-B32=1,((V062A_20303133343635[[#This Row],[HORA]]-C32)*24)+24,(V062A_20303133343635[[#This Row],[HORA]]-C32)*24)</f>
        <v>3.1000000000000005</v>
      </c>
      <c r="E33" s="432" t="s">
        <v>45</v>
      </c>
      <c r="F33" s="378" t="s">
        <v>46</v>
      </c>
      <c r="G33" s="324"/>
      <c r="H33" s="306"/>
      <c r="I3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3" s="242"/>
      <c r="K33" s="325"/>
      <c r="L33" s="483">
        <v>0</v>
      </c>
      <c r="M33" s="246">
        <v>0.26</v>
      </c>
      <c r="N33" s="484">
        <v>0.16</v>
      </c>
      <c r="O33" s="257">
        <f>SUM(V062A_20303133343635[[#This Row],[MPAL]]+V062A_20303133343635[[#This Row],[AUX.]]+V062A_20303133343635[[#This Row],[CALDERA]])</f>
        <v>0.42000000000000004</v>
      </c>
      <c r="P33" s="319"/>
      <c r="Q33" s="281">
        <f>(Q32-V062A_20303133343635[[#This Row],[TOTAL ]])+V062A_20303133343635[[#This Row],[FAENA]]</f>
        <v>258.29000000000013</v>
      </c>
      <c r="R33" s="245">
        <v>0</v>
      </c>
      <c r="S33" s="246">
        <v>0</v>
      </c>
      <c r="T33" s="246">
        <v>0</v>
      </c>
      <c r="U33" s="246">
        <v>0</v>
      </c>
      <c r="V33" s="246">
        <v>0.78</v>
      </c>
      <c r="W33" s="257">
        <v>0.78</v>
      </c>
      <c r="X33" s="246"/>
      <c r="Y33" s="282">
        <f>(Y32-V062A_20303133343635[[#This Row],[TOTAL]])+V062A_20303133343635[[#This Row],[FAENA2]]</f>
        <v>15.430000000000001</v>
      </c>
      <c r="Z33" s="245">
        <v>0</v>
      </c>
      <c r="AA33" s="246">
        <v>0</v>
      </c>
      <c r="AB33" s="320">
        <f>(AB32-V062A_20303133343635[[#This Row],[CYLINDER MP]])+V062A_20303133343635[[#This Row],[FAENA EN LTS]]</f>
        <v>888.92000000000007</v>
      </c>
      <c r="AC33" s="246">
        <v>0</v>
      </c>
      <c r="AD33" s="246">
        <v>0</v>
      </c>
      <c r="AE33" s="320">
        <f>(AE32-V062A_20303133343635[[#This Row],[CARTER MP.]])+V062A_20303133343635[[#This Row],[FAENA EN LTS2]]</f>
        <v>3500</v>
      </c>
      <c r="AF33" s="246">
        <v>0</v>
      </c>
      <c r="AG33" s="246">
        <v>0</v>
      </c>
      <c r="AH33" s="320">
        <f>(AH32-V062A_20303133343635[[#This Row],[MOT AUX]])+V062A_20303133343635[[#This Row],[FAENA EN  LTS]]</f>
        <v>720</v>
      </c>
      <c r="AI33" s="246">
        <v>0</v>
      </c>
      <c r="AJ33" s="246">
        <v>0</v>
      </c>
      <c r="AK33" s="321">
        <f>(AK32-V062A_20303133343635[[#This Row],[HIDRAULICO]])+V062A_20303133343635[[#This Row],[FAENA EN LTS3]]</f>
        <v>1140</v>
      </c>
    </row>
    <row r="34" spans="1:37" x14ac:dyDescent="0.25">
      <c r="A34" s="431" t="s">
        <v>370</v>
      </c>
      <c r="B34" s="48">
        <v>44206</v>
      </c>
      <c r="C34" s="41">
        <v>0.19999999999999998</v>
      </c>
      <c r="D34" s="418">
        <f>IF(V062A_20303133343635[[#This Row],[FECHA]]-B33=1,((V062A_20303133343635[[#This Row],[HORA]]-C33)*24)+24,(V062A_20303133343635[[#This Row],[HORA]]-C33)*24)</f>
        <v>0.5999999999999992</v>
      </c>
      <c r="E34" s="432" t="s">
        <v>47</v>
      </c>
      <c r="F34" s="378" t="s">
        <v>151</v>
      </c>
      <c r="G34" s="324"/>
      <c r="H34" s="306"/>
      <c r="I3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4" s="242"/>
      <c r="K34" s="325"/>
      <c r="L34" s="483">
        <v>0.25</v>
      </c>
      <c r="M34" s="246">
        <v>0.04</v>
      </c>
      <c r="N34" s="484">
        <v>0.03</v>
      </c>
      <c r="O34" s="257">
        <f>SUM(V062A_20303133343635[[#This Row],[MPAL]]+V062A_20303133343635[[#This Row],[AUX.]]+V062A_20303133343635[[#This Row],[CALDERA]])</f>
        <v>0.31999999999999995</v>
      </c>
      <c r="P34" s="319"/>
      <c r="Q34" s="281">
        <f>(Q33-V062A_20303133343635[[#This Row],[TOTAL ]])+V062A_20303133343635[[#This Row],[FAENA]]</f>
        <v>257.97000000000014</v>
      </c>
      <c r="R34" s="245">
        <v>0</v>
      </c>
      <c r="S34" s="246">
        <v>0</v>
      </c>
      <c r="T34" s="246">
        <v>0</v>
      </c>
      <c r="U34" s="246">
        <v>0</v>
      </c>
      <c r="V34" s="246">
        <v>0.15</v>
      </c>
      <c r="W34" s="257">
        <f>SUM(V062A_20303133343635[[#This Row],[MPAL2]:[GI]])</f>
        <v>0.15</v>
      </c>
      <c r="X34" s="246"/>
      <c r="Y34" s="282">
        <f>(Y33-V062A_20303133343635[[#This Row],[TOTAL]])+V062A_20303133343635[[#This Row],[FAENA2]]</f>
        <v>15.280000000000001</v>
      </c>
      <c r="Z34" s="245">
        <v>0</v>
      </c>
      <c r="AA34" s="246">
        <v>0</v>
      </c>
      <c r="AB34" s="320">
        <f>(AB33-V062A_20303133343635[[#This Row],[CYLINDER MP]])+V062A_20303133343635[[#This Row],[FAENA EN LTS]]</f>
        <v>888.92000000000007</v>
      </c>
      <c r="AC34" s="246">
        <v>0</v>
      </c>
      <c r="AD34" s="246">
        <v>0</v>
      </c>
      <c r="AE34" s="320">
        <f>(AE33-V062A_20303133343635[[#This Row],[CARTER MP.]])+V062A_20303133343635[[#This Row],[FAENA EN LTS2]]</f>
        <v>3500</v>
      </c>
      <c r="AF34" s="246">
        <v>0</v>
      </c>
      <c r="AG34" s="246">
        <v>0</v>
      </c>
      <c r="AH34" s="320">
        <f>(AH33-V062A_20303133343635[[#This Row],[MOT AUX]])+V062A_20303133343635[[#This Row],[FAENA EN  LTS]]</f>
        <v>720</v>
      </c>
      <c r="AI34" s="246">
        <v>0</v>
      </c>
      <c r="AJ34" s="246">
        <v>0</v>
      </c>
      <c r="AK34" s="321">
        <f>(AK33-V062A_20303133343635[[#This Row],[HIDRAULICO]])+V062A_20303133343635[[#This Row],[FAENA EN LTS3]]</f>
        <v>1140</v>
      </c>
    </row>
    <row r="35" spans="1:37" x14ac:dyDescent="0.25">
      <c r="A35" s="431" t="s">
        <v>370</v>
      </c>
      <c r="B35" s="48">
        <v>44206</v>
      </c>
      <c r="C35" s="41">
        <v>0.33333333333333331</v>
      </c>
      <c r="D35" s="418">
        <f>IF(V062A_20303133343635[[#This Row],[FECHA]]-B34=1,((V062A_20303133343635[[#This Row],[HORA]]-C34)*24)+24,(V062A_20303133343635[[#This Row],[HORA]]-C34)*24)</f>
        <v>3.2</v>
      </c>
      <c r="E35" s="432" t="s">
        <v>55</v>
      </c>
      <c r="F35" s="378" t="s">
        <v>56</v>
      </c>
      <c r="G35" s="324"/>
      <c r="H35" s="306"/>
      <c r="I3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5" s="380"/>
      <c r="K35" s="325"/>
      <c r="L35" s="483">
        <v>3.07</v>
      </c>
      <c r="M35" s="246">
        <v>0.2</v>
      </c>
      <c r="N35" s="484">
        <v>0.16</v>
      </c>
      <c r="O35" s="257">
        <f>SUM(V062A_20303133343635[[#This Row],[MPAL]]+V062A_20303133343635[[#This Row],[AUX.]]+V062A_20303133343635[[#This Row],[CALDERA]])</f>
        <v>3.43</v>
      </c>
      <c r="P35" s="319"/>
      <c r="Q35" s="281">
        <f>(Q34-V062A_20303133343635[[#This Row],[TOTAL ]])+V062A_20303133343635[[#This Row],[FAENA]]</f>
        <v>254.54000000000013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57">
        <f>SUM(V062A_20303133343635[[#This Row],[MPAL2]:[GI]])</f>
        <v>0</v>
      </c>
      <c r="X35" s="246"/>
      <c r="Y35" s="282">
        <f>(Y34-V062A_20303133343635[[#This Row],[TOTAL]])+V062A_20303133343635[[#This Row],[FAENA2]]</f>
        <v>15.280000000000001</v>
      </c>
      <c r="Z35" s="245">
        <v>0</v>
      </c>
      <c r="AA35" s="246">
        <v>0</v>
      </c>
      <c r="AB35" s="320">
        <f>(AB34-V062A_20303133343635[[#This Row],[CYLINDER MP]])+V062A_20303133343635[[#This Row],[FAENA EN LTS]]</f>
        <v>888.92000000000007</v>
      </c>
      <c r="AC35" s="246">
        <v>0</v>
      </c>
      <c r="AD35" s="246">
        <v>0</v>
      </c>
      <c r="AE35" s="320">
        <f>(AE34-V062A_20303133343635[[#This Row],[CARTER MP.]])+V062A_20303133343635[[#This Row],[FAENA EN LTS2]]</f>
        <v>3500</v>
      </c>
      <c r="AF35" s="246">
        <v>0</v>
      </c>
      <c r="AG35" s="246">
        <v>0</v>
      </c>
      <c r="AH35" s="320">
        <f>(AH34-V062A_20303133343635[[#This Row],[MOT AUX]])+V062A_20303133343635[[#This Row],[FAENA EN  LTS]]</f>
        <v>720</v>
      </c>
      <c r="AI35" s="246">
        <v>0</v>
      </c>
      <c r="AJ35" s="246">
        <v>0</v>
      </c>
      <c r="AK35" s="321">
        <f>(AK34-V062A_20303133343635[[#This Row],[HIDRAULICO]])+V062A_20303133343635[[#This Row],[FAENA EN LTS3]]</f>
        <v>1140</v>
      </c>
    </row>
    <row r="36" spans="1:37" x14ac:dyDescent="0.25">
      <c r="A36" s="431" t="s">
        <v>370</v>
      </c>
      <c r="B36" s="48">
        <v>44206</v>
      </c>
      <c r="C36" s="237">
        <v>0.39583333333333331</v>
      </c>
      <c r="D36" s="418">
        <f>IF(V062A_20303133343635[[#This Row],[FECHA]]-B35=1,((V062A_20303133343635[[#This Row],[HORA]]-C35)*24)+24,(V062A_20303133343635[[#This Row],[HORA]]-C35)*24)</f>
        <v>1.5</v>
      </c>
      <c r="E36" s="432" t="s">
        <v>55</v>
      </c>
      <c r="F36" s="378" t="s">
        <v>57</v>
      </c>
      <c r="G36" s="485">
        <v>67</v>
      </c>
      <c r="H36" s="486">
        <v>4.7</v>
      </c>
      <c r="I36" s="487">
        <f>IF(ISERROR(V062A_20303133343635[[#This Row],[DISTANCIA POR CARTA]]/V062A_20303133343635[[#This Row],[TIEMPO DE NAVEGACION]]),0,V062A_20303133343635[[#This Row],[DISTANCIA POR CARTA]]/V062A_20303133343635[[#This Row],[TIEMPO DE NAVEGACION]])</f>
        <v>14.25531914893617</v>
      </c>
      <c r="J36" s="488">
        <v>4</v>
      </c>
      <c r="K36" s="489">
        <v>97</v>
      </c>
      <c r="L36" s="483">
        <v>1.44</v>
      </c>
      <c r="M36" s="246">
        <v>0.09</v>
      </c>
      <c r="N36" s="484">
        <v>0.08</v>
      </c>
      <c r="O36" s="246">
        <f>SUM(V062A_20303133343635[[#This Row],[MPAL]]+V062A_20303133343635[[#This Row],[AUX.]]+V062A_20303133343635[[#This Row],[CALDERA]])</f>
        <v>1.61</v>
      </c>
      <c r="P36" s="319"/>
      <c r="Q36" s="281">
        <f>(Q35-V062A_20303133343635[[#This Row],[TOTAL ]])+V062A_20303133343635[[#This Row],[FAENA]]</f>
        <v>252.93000000000012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f>SUM(V062A_20303133343635[[#This Row],[MPAL2]:[GI]])</f>
        <v>0</v>
      </c>
      <c r="X36" s="246"/>
      <c r="Y36" s="282">
        <f>(Y35-V062A_20303133343635[[#This Row],[TOTAL]])+V062A_20303133343635[[#This Row],[FAENA2]]</f>
        <v>15.280000000000001</v>
      </c>
      <c r="Z36" s="245">
        <v>0</v>
      </c>
      <c r="AA36" s="246">
        <v>0</v>
      </c>
      <c r="AB36" s="320">
        <f>(AB35-V062A_20303133343635[[#This Row],[CYLINDER MP]])+V062A_20303133343635[[#This Row],[FAENA EN LTS]]</f>
        <v>888.92000000000007</v>
      </c>
      <c r="AC36" s="246">
        <v>0</v>
      </c>
      <c r="AD36" s="246">
        <v>0</v>
      </c>
      <c r="AE36" s="320">
        <f>(AE35-V062A_20303133343635[[#This Row],[CARTER MP.]])+V062A_20303133343635[[#This Row],[FAENA EN LTS2]]</f>
        <v>3500</v>
      </c>
      <c r="AF36" s="246">
        <v>0</v>
      </c>
      <c r="AG36" s="246">
        <v>0</v>
      </c>
      <c r="AH36" s="320">
        <f>(AH35-V062A_20303133343635[[#This Row],[MOT AUX]])+V062A_20303133343635[[#This Row],[FAENA EN  LTS]]</f>
        <v>720</v>
      </c>
      <c r="AI36" s="246">
        <v>0</v>
      </c>
      <c r="AJ36" s="246">
        <v>0</v>
      </c>
      <c r="AK36" s="321">
        <f>(AK35-V062A_20303133343635[[#This Row],[HIDRAULICO]])+V062A_20303133343635[[#This Row],[FAENA EN LTS3]]</f>
        <v>1140</v>
      </c>
    </row>
    <row r="37" spans="1:37" x14ac:dyDescent="0.25">
      <c r="A37" s="431" t="s">
        <v>370</v>
      </c>
      <c r="B37" s="48">
        <v>44206</v>
      </c>
      <c r="C37" s="41">
        <v>0.41250000000000003</v>
      </c>
      <c r="D37" s="418">
        <f>IF(V062A_20303133343635[[#This Row],[FECHA]]-B35=1,((V062A_20303133343635[[#This Row],[HORA]]-C35)*24)+24,(V062A_20303133343635[[#This Row],[HORA]]-C35)*24)</f>
        <v>1.9000000000000012</v>
      </c>
      <c r="E37" s="432" t="s">
        <v>45</v>
      </c>
      <c r="F37" s="378" t="s">
        <v>378</v>
      </c>
      <c r="G37" s="324"/>
      <c r="H37" s="306"/>
      <c r="I3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7" s="242"/>
      <c r="K37" s="325"/>
      <c r="L37" s="483">
        <v>0</v>
      </c>
      <c r="M37" s="246">
        <v>0.03</v>
      </c>
      <c r="N37" s="484">
        <v>0.02</v>
      </c>
      <c r="O37" s="257">
        <f>SUM(V062A_20303133343635[[#This Row],[MPAL]]+V062A_20303133343635[[#This Row],[AUX.]]+V062A_20303133343635[[#This Row],[CALDERA]])</f>
        <v>0.05</v>
      </c>
      <c r="P37" s="319"/>
      <c r="Q37" s="281">
        <f>(Q36-V062A_20303133343635[[#This Row],[TOTAL ]])+V062A_20303133343635[[#This Row],[FAENA]]</f>
        <v>252.88000000000011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57">
        <f>SUM(V062A_20303133343635[[#This Row],[MPAL2]:[GI]])</f>
        <v>0</v>
      </c>
      <c r="X37" s="246"/>
      <c r="Y37" s="282">
        <f>(Y35-V062A_20303133343635[[#This Row],[TOTAL]])+V062A_20303133343635[[#This Row],[FAENA2]]</f>
        <v>15.280000000000001</v>
      </c>
      <c r="Z37" s="245">
        <v>0</v>
      </c>
      <c r="AA37" s="246">
        <v>0</v>
      </c>
      <c r="AB37" s="320">
        <f>(AB35-V062A_20303133343635[[#This Row],[CYLINDER MP]])+V062A_20303133343635[[#This Row],[FAENA EN LTS]]</f>
        <v>888.92000000000007</v>
      </c>
      <c r="AC37" s="246">
        <v>0</v>
      </c>
      <c r="AD37" s="246">
        <v>0</v>
      </c>
      <c r="AE37" s="320">
        <f>(AE36-V062A_20303133343635[[#This Row],[CARTER MP.]])+V062A_20303133343635[[#This Row],[FAENA EN LTS2]]</f>
        <v>3500</v>
      </c>
      <c r="AF37" s="246">
        <v>0</v>
      </c>
      <c r="AG37" s="246">
        <v>0</v>
      </c>
      <c r="AH37" s="320">
        <f>(AH35-V062A_20303133343635[[#This Row],[MOT AUX]])+V062A_20303133343635[[#This Row],[FAENA EN  LTS]]</f>
        <v>720</v>
      </c>
      <c r="AI37" s="246">
        <v>0</v>
      </c>
      <c r="AJ37" s="246">
        <v>0</v>
      </c>
      <c r="AK37" s="321">
        <f>(AK35-V062A_20303133343635[[#This Row],[HIDRAULICO]])+V062A_20303133343635[[#This Row],[FAENA EN LTS3]]</f>
        <v>1140</v>
      </c>
    </row>
    <row r="38" spans="1:37" x14ac:dyDescent="0.25">
      <c r="A38" s="431" t="s">
        <v>370</v>
      </c>
      <c r="B38" s="48">
        <v>44207</v>
      </c>
      <c r="C38" s="41">
        <v>0.33333333333333331</v>
      </c>
      <c r="D38" s="418">
        <f>IF(V062A_20303133343635[[#This Row],[FECHA]]-B37=1,((V062A_20303133343635[[#This Row],[HORA]]-C37)*24)+24,(V062A_20303133343635[[#This Row],[HORA]]-C37)*24)</f>
        <v>22.099999999999998</v>
      </c>
      <c r="E38" s="432" t="s">
        <v>45</v>
      </c>
      <c r="F38" s="378" t="s">
        <v>378</v>
      </c>
      <c r="G38" s="324"/>
      <c r="H38" s="306"/>
      <c r="I3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8" s="242"/>
      <c r="K38" s="325"/>
      <c r="L38" s="483">
        <v>0</v>
      </c>
      <c r="M38" s="246">
        <v>1.38</v>
      </c>
      <c r="N38" s="484">
        <v>1.1100000000000001</v>
      </c>
      <c r="O38" s="257">
        <f>SUM(V062A_20303133343635[[#This Row],[MPAL]]+V062A_20303133343635[[#This Row],[AUX.]]+V062A_20303133343635[[#This Row],[CALDERA]])</f>
        <v>2.4900000000000002</v>
      </c>
      <c r="P38" s="319"/>
      <c r="Q38" s="281">
        <f>(Q37-V062A_20303133343635[[#This Row],[TOTAL ]])+V062A_20303133343635[[#This Row],[FAENA]]</f>
        <v>250.3900000000001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57">
        <f>SUM(V062A_20303133343635[[#This Row],[MPAL2]:[GI]])</f>
        <v>0</v>
      </c>
      <c r="X38" s="246"/>
      <c r="Y38" s="282">
        <f>(Y37-V062A_20303133343635[[#This Row],[TOTAL]])+V062A_20303133343635[[#This Row],[FAENA2]]</f>
        <v>15.280000000000001</v>
      </c>
      <c r="Z38" s="245">
        <v>0</v>
      </c>
      <c r="AA38" s="246">
        <v>0</v>
      </c>
      <c r="AB38" s="320">
        <f>(AB37-V062A_20303133343635[[#This Row],[CYLINDER MP]])+V062A_20303133343635[[#This Row],[FAENA EN LTS]]</f>
        <v>888.92000000000007</v>
      </c>
      <c r="AC38" s="246">
        <v>0</v>
      </c>
      <c r="AD38" s="246">
        <v>0</v>
      </c>
      <c r="AE38" s="320">
        <f>(AE37-V062A_20303133343635[[#This Row],[CARTER MP.]])+V062A_20303133343635[[#This Row],[FAENA EN LTS2]]</f>
        <v>3500</v>
      </c>
      <c r="AF38" s="246">
        <v>0</v>
      </c>
      <c r="AG38" s="246">
        <v>0</v>
      </c>
      <c r="AH38" s="320">
        <f>(AH37-V062A_20303133343635[[#This Row],[MOT AUX]])+V062A_20303133343635[[#This Row],[FAENA EN  LTS]]</f>
        <v>720</v>
      </c>
      <c r="AI38" s="246">
        <v>0</v>
      </c>
      <c r="AJ38" s="246">
        <v>0</v>
      </c>
      <c r="AK38" s="321">
        <f>(AK37-V062A_20303133343635[[#This Row],[HIDRAULICO]])+V062A_20303133343635[[#This Row],[FAENA EN LTS3]]</f>
        <v>1140</v>
      </c>
    </row>
    <row r="39" spans="1:37" x14ac:dyDescent="0.25">
      <c r="A39" s="431" t="s">
        <v>370</v>
      </c>
      <c r="B39" s="48">
        <v>44208</v>
      </c>
      <c r="C39" s="41">
        <v>0.33333333333333331</v>
      </c>
      <c r="D39" s="418">
        <f>IF(V062A_20303133343635[[#This Row],[FECHA]]-B38=1,((V062A_20303133343635[[#This Row],[HORA]]-C38)*24)+24,(V062A_20303133343635[[#This Row],[HORA]]-C38)*24)</f>
        <v>24</v>
      </c>
      <c r="E39" s="432" t="s">
        <v>45</v>
      </c>
      <c r="F39" s="378" t="s">
        <v>378</v>
      </c>
      <c r="G39" s="324"/>
      <c r="H39" s="306"/>
      <c r="I3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39" s="242"/>
      <c r="K39" s="325"/>
      <c r="L39" s="483">
        <v>0</v>
      </c>
      <c r="M39" s="246">
        <v>1.5</v>
      </c>
      <c r="N39" s="484">
        <v>1.2</v>
      </c>
      <c r="O39" s="257">
        <f>SUM(V062A_20303133343635[[#This Row],[MPAL]]+V062A_20303133343635[[#This Row],[AUX.]]+V062A_20303133343635[[#This Row],[CALDERA]])</f>
        <v>2.7</v>
      </c>
      <c r="P39" s="319"/>
      <c r="Q39" s="281">
        <f>(Q38-V062A_20303133343635[[#This Row],[TOTAL ]])+V062A_20303133343635[[#This Row],[FAENA]]</f>
        <v>247.69000000000011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57">
        <f>SUM(V062A_20303133343635[[#This Row],[MPAL2]:[GI]])</f>
        <v>0</v>
      </c>
      <c r="X39" s="246"/>
      <c r="Y39" s="282">
        <f>(Y38-V062A_20303133343635[[#This Row],[TOTAL]])+V062A_20303133343635[[#This Row],[FAENA2]]</f>
        <v>15.280000000000001</v>
      </c>
      <c r="Z39" s="245">
        <v>0</v>
      </c>
      <c r="AA39" s="246">
        <v>0</v>
      </c>
      <c r="AB39" s="320">
        <f>(AB38-V062A_20303133343635[[#This Row],[CYLINDER MP]])+V062A_20303133343635[[#This Row],[FAENA EN LTS]]</f>
        <v>888.92000000000007</v>
      </c>
      <c r="AC39" s="246">
        <v>0</v>
      </c>
      <c r="AD39" s="246">
        <v>0</v>
      </c>
      <c r="AE39" s="320">
        <f>(AE38-V062A_20303133343635[[#This Row],[CARTER MP.]])+V062A_20303133343635[[#This Row],[FAENA EN LTS2]]</f>
        <v>3500</v>
      </c>
      <c r="AF39" s="246">
        <v>0</v>
      </c>
      <c r="AG39" s="246">
        <v>0</v>
      </c>
      <c r="AH39" s="320">
        <f>(AH38-V062A_20303133343635[[#This Row],[MOT AUX]])+V062A_20303133343635[[#This Row],[FAENA EN  LTS]]</f>
        <v>720</v>
      </c>
      <c r="AI39" s="246">
        <v>0</v>
      </c>
      <c r="AJ39" s="246">
        <v>0</v>
      </c>
      <c r="AK39" s="321">
        <f>(AK38-V062A_20303133343635[[#This Row],[HIDRAULICO]])+V062A_20303133343635[[#This Row],[FAENA EN LTS3]]</f>
        <v>1140</v>
      </c>
    </row>
    <row r="40" spans="1:37" x14ac:dyDescent="0.25">
      <c r="A40" s="431" t="s">
        <v>370</v>
      </c>
      <c r="B40" s="48">
        <v>44209</v>
      </c>
      <c r="C40" s="41">
        <v>0.33333333333333331</v>
      </c>
      <c r="D40" s="418">
        <f>IF(V062A_20303133343635[[#This Row],[FECHA]]-B39=1,((V062A_20303133343635[[#This Row],[HORA]]-C39)*24)+24,(V062A_20303133343635[[#This Row],[HORA]]-C39)*24)</f>
        <v>24</v>
      </c>
      <c r="E40" s="432" t="s">
        <v>45</v>
      </c>
      <c r="F40" s="378" t="s">
        <v>378</v>
      </c>
      <c r="G40" s="324"/>
      <c r="H40" s="306"/>
      <c r="I4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0" s="242"/>
      <c r="K40" s="325"/>
      <c r="L40" s="483">
        <v>0</v>
      </c>
      <c r="M40" s="246">
        <v>1.5</v>
      </c>
      <c r="N40" s="484">
        <v>1.2</v>
      </c>
      <c r="O40" s="257">
        <f>SUM(V062A_20303133343635[[#This Row],[MPAL]]+V062A_20303133343635[[#This Row],[AUX.]]+V062A_20303133343635[[#This Row],[CALDERA]])</f>
        <v>2.7</v>
      </c>
      <c r="P40" s="319"/>
      <c r="Q40" s="281">
        <f>(Q39-V062A_20303133343635[[#This Row],[TOTAL ]])+V062A_20303133343635[[#This Row],[FAENA]]</f>
        <v>244.99000000000012</v>
      </c>
      <c r="R40" s="245">
        <v>0</v>
      </c>
      <c r="S40" s="246">
        <v>0</v>
      </c>
      <c r="T40" s="246">
        <v>0</v>
      </c>
      <c r="U40" s="246">
        <v>0</v>
      </c>
      <c r="V40" s="246">
        <v>0</v>
      </c>
      <c r="W40" s="257">
        <f>SUM(V062A_20303133343635[[#This Row],[MPAL2]:[GI]])</f>
        <v>0</v>
      </c>
      <c r="X40" s="246"/>
      <c r="Y40" s="282">
        <f>Y39</f>
        <v>15.280000000000001</v>
      </c>
      <c r="Z40" s="245">
        <v>0</v>
      </c>
      <c r="AA40" s="246">
        <v>0</v>
      </c>
      <c r="AB40" s="320">
        <f>(AB39-V062A_20303133343635[[#This Row],[CYLINDER MP]])+V062A_20303133343635[[#This Row],[FAENA EN LTS]]</f>
        <v>888.92000000000007</v>
      </c>
      <c r="AC40" s="246">
        <v>0</v>
      </c>
      <c r="AD40" s="246">
        <v>0</v>
      </c>
      <c r="AE40" s="320">
        <f>(AE39-V062A_20303133343635[[#This Row],[CARTER MP.]])+V062A_20303133343635[[#This Row],[FAENA EN LTS2]]</f>
        <v>3500</v>
      </c>
      <c r="AF40" s="246">
        <v>0</v>
      </c>
      <c r="AG40" s="246">
        <v>0</v>
      </c>
      <c r="AH40" s="320">
        <f>(AH39-V062A_20303133343635[[#This Row],[MOT AUX]])+V062A_20303133343635[[#This Row],[FAENA EN  LTS]]</f>
        <v>720</v>
      </c>
      <c r="AI40" s="246">
        <v>0</v>
      </c>
      <c r="AJ40" s="246">
        <v>0</v>
      </c>
      <c r="AK40" s="321">
        <f>(AK39-V062A_20303133343635[[#This Row],[HIDRAULICO]])+V062A_20303133343635[[#This Row],[FAENA EN LTS3]]</f>
        <v>1140</v>
      </c>
    </row>
    <row r="41" spans="1:37" x14ac:dyDescent="0.25">
      <c r="A41" s="431" t="s">
        <v>370</v>
      </c>
      <c r="B41" s="48">
        <v>44210</v>
      </c>
      <c r="C41" s="41">
        <v>0.33333333333333331</v>
      </c>
      <c r="D41" s="418">
        <f>IF(V062A_20303133343635[[#This Row],[FECHA]]-B40=1,((V062A_20303133343635[[#This Row],[HORA]]-C40)*24)+24,(V062A_20303133343635[[#This Row],[HORA]]-C40)*24)</f>
        <v>24</v>
      </c>
      <c r="E41" s="432" t="s">
        <v>45</v>
      </c>
      <c r="F41" s="378" t="s">
        <v>378</v>
      </c>
      <c r="G41" s="324"/>
      <c r="H41" s="306"/>
      <c r="I4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1" s="242"/>
      <c r="K41" s="325"/>
      <c r="L41" s="483">
        <v>0</v>
      </c>
      <c r="M41" s="246">
        <v>1.5</v>
      </c>
      <c r="N41" s="484">
        <v>1.2</v>
      </c>
      <c r="O41" s="257">
        <f>SUM(V062A_20303133343635[[#This Row],[MPAL]]+V062A_20303133343635[[#This Row],[AUX.]]+V062A_20303133343635[[#This Row],[CALDERA]])</f>
        <v>2.7</v>
      </c>
      <c r="P41" s="319"/>
      <c r="Q41" s="281">
        <f>(Q40-V062A_20303133343635[[#This Row],[TOTAL ]])+V062A_20303133343635[[#This Row],[FAENA]]</f>
        <v>242.29000000000013</v>
      </c>
      <c r="R41" s="245">
        <v>0</v>
      </c>
      <c r="S41" s="246">
        <v>0</v>
      </c>
      <c r="T41" s="246">
        <v>0</v>
      </c>
      <c r="U41" s="246">
        <v>0</v>
      </c>
      <c r="V41" s="246">
        <v>0</v>
      </c>
      <c r="W41" s="257">
        <f>SUM(V062A_20303133343635[[#This Row],[MPAL2]:[GI]])</f>
        <v>0</v>
      </c>
      <c r="X41" s="246"/>
      <c r="Y41" s="282">
        <f>(Y40-V062A_20303133343635[[#This Row],[TOTAL]])+V062A_20303133343635[[#This Row],[FAENA2]]</f>
        <v>15.280000000000001</v>
      </c>
      <c r="Z41" s="245">
        <v>0</v>
      </c>
      <c r="AA41" s="246">
        <v>0</v>
      </c>
      <c r="AB41" s="320">
        <f>(AB40-V062A_20303133343635[[#This Row],[CYLINDER MP]])+V062A_20303133343635[[#This Row],[FAENA EN LTS]]</f>
        <v>888.92000000000007</v>
      </c>
      <c r="AC41" s="246">
        <v>0</v>
      </c>
      <c r="AD41" s="246">
        <v>0</v>
      </c>
      <c r="AE41" s="320">
        <f>(AE40-V062A_20303133343635[[#This Row],[CARTER MP.]])+V062A_20303133343635[[#This Row],[FAENA EN LTS2]]</f>
        <v>3500</v>
      </c>
      <c r="AF41" s="246">
        <v>20</v>
      </c>
      <c r="AG41" s="246">
        <v>0</v>
      </c>
      <c r="AH41" s="320">
        <f>(AH40-V062A_20303133343635[[#This Row],[MOT AUX]])+V062A_20303133343635[[#This Row],[FAENA EN  LTS]]</f>
        <v>700</v>
      </c>
      <c r="AI41" s="246">
        <v>0</v>
      </c>
      <c r="AJ41" s="246">
        <v>0</v>
      </c>
      <c r="AK41" s="321">
        <f>(AK40-V062A_20303133343635[[#This Row],[HIDRAULICO]])+V062A_20303133343635[[#This Row],[FAENA EN LTS3]]</f>
        <v>1140</v>
      </c>
    </row>
    <row r="42" spans="1:37" x14ac:dyDescent="0.25">
      <c r="A42" s="431" t="s">
        <v>370</v>
      </c>
      <c r="B42" s="48">
        <v>44211</v>
      </c>
      <c r="C42" s="41">
        <v>0.33333333333333331</v>
      </c>
      <c r="D42" s="418">
        <f>IF(V062A_20303133343635[[#This Row],[FECHA]]-B41=1,((V062A_20303133343635[[#This Row],[HORA]]-C41)*24)+24,(V062A_20303133343635[[#This Row],[HORA]]-C41)*24)</f>
        <v>24</v>
      </c>
      <c r="E42" s="432" t="s">
        <v>45</v>
      </c>
      <c r="F42" s="378" t="s">
        <v>378</v>
      </c>
      <c r="G42" s="324"/>
      <c r="H42" s="306"/>
      <c r="I4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2" s="242"/>
      <c r="K42" s="325"/>
      <c r="L42" s="483">
        <v>0</v>
      </c>
      <c r="M42" s="246">
        <v>1.5</v>
      </c>
      <c r="N42" s="484">
        <v>1.2</v>
      </c>
      <c r="O42" s="257">
        <f>SUM(V062A_20303133343635[[#This Row],[MPAL]]+V062A_20303133343635[[#This Row],[AUX.]]+V062A_20303133343635[[#This Row],[CALDERA]])</f>
        <v>2.7</v>
      </c>
      <c r="P42" s="319"/>
      <c r="Q42" s="281">
        <f>(Q41-V062A_20303133343635[[#This Row],[TOTAL ]])+V062A_20303133343635[[#This Row],[FAENA]]</f>
        <v>239.59000000000015</v>
      </c>
      <c r="R42" s="245">
        <v>0</v>
      </c>
      <c r="S42" s="246">
        <v>0</v>
      </c>
      <c r="T42" s="246">
        <v>0</v>
      </c>
      <c r="U42" s="246">
        <v>0</v>
      </c>
      <c r="V42" s="246">
        <v>0</v>
      </c>
      <c r="W42" s="257">
        <f>SUM(V062A_20303133343635[[#This Row],[MPAL2]:[GI]])</f>
        <v>0</v>
      </c>
      <c r="X42" s="246"/>
      <c r="Y42" s="282">
        <f>(Y41-V062A_20303133343635[[#This Row],[TOTAL]])+V062A_20303133343635[[#This Row],[FAENA2]]</f>
        <v>15.280000000000001</v>
      </c>
      <c r="Z42" s="245">
        <v>0</v>
      </c>
      <c r="AA42" s="246">
        <v>0</v>
      </c>
      <c r="AB42" s="320">
        <f>(AB41-V062A_20303133343635[[#This Row],[CYLINDER MP]])+V062A_20303133343635[[#This Row],[FAENA EN LTS]]</f>
        <v>888.92000000000007</v>
      </c>
      <c r="AC42" s="246">
        <v>0</v>
      </c>
      <c r="AD42" s="246">
        <v>0</v>
      </c>
      <c r="AE42" s="320">
        <f>(AE41-V062A_20303133343635[[#This Row],[CARTER MP.]])+V062A_20303133343635[[#This Row],[FAENA EN LTS2]]</f>
        <v>3500</v>
      </c>
      <c r="AF42" s="246">
        <v>0</v>
      </c>
      <c r="AG42" s="246">
        <v>0</v>
      </c>
      <c r="AH42" s="320">
        <f>(AH41-V062A_20303133343635[[#This Row],[MOT AUX]])+V062A_20303133343635[[#This Row],[FAENA EN  LTS]]</f>
        <v>700</v>
      </c>
      <c r="AI42" s="246">
        <v>0</v>
      </c>
      <c r="AJ42" s="246">
        <v>0</v>
      </c>
      <c r="AK42" s="321">
        <f>(AK41-V062A_20303133343635[[#This Row],[HIDRAULICO]])+V062A_20303133343635[[#This Row],[FAENA EN LTS3]]</f>
        <v>1140</v>
      </c>
    </row>
    <row r="43" spans="1:37" x14ac:dyDescent="0.25">
      <c r="A43" s="431" t="s">
        <v>370</v>
      </c>
      <c r="B43" s="48">
        <v>44212</v>
      </c>
      <c r="C43" s="41">
        <v>0.33333333333333331</v>
      </c>
      <c r="D43" s="418">
        <f>IF(V062A_20303133343635[[#This Row],[FECHA]]-B42=1,((V062A_20303133343635[[#This Row],[HORA]]-C42)*24)+24,(V062A_20303133343635[[#This Row],[HORA]]-C42)*24)</f>
        <v>24</v>
      </c>
      <c r="E43" s="432" t="s">
        <v>45</v>
      </c>
      <c r="F43" s="378" t="s">
        <v>378</v>
      </c>
      <c r="G43" s="324"/>
      <c r="H43" s="306"/>
      <c r="I4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3" s="242"/>
      <c r="K43" s="325"/>
      <c r="L43" s="483">
        <v>0</v>
      </c>
      <c r="M43" s="246">
        <v>1.5</v>
      </c>
      <c r="N43" s="484">
        <v>1.2</v>
      </c>
      <c r="O43" s="257">
        <f>SUM(V062A_20303133343635[[#This Row],[MPAL]]+V062A_20303133343635[[#This Row],[AUX.]]+V062A_20303133343635[[#This Row],[CALDERA]])</f>
        <v>2.7</v>
      </c>
      <c r="P43" s="319"/>
      <c r="Q43" s="281">
        <f>(Q42-V062A_20303133343635[[#This Row],[TOTAL ]])+V062A_20303133343635[[#This Row],[FAENA]]</f>
        <v>236.89000000000016</v>
      </c>
      <c r="R43" s="245">
        <v>0</v>
      </c>
      <c r="S43" s="246">
        <v>0</v>
      </c>
      <c r="T43" s="246">
        <v>0</v>
      </c>
      <c r="U43" s="246">
        <v>0</v>
      </c>
      <c r="V43" s="246">
        <v>0</v>
      </c>
      <c r="W43" s="257">
        <f>SUM(V062A_20303133343635[[#This Row],[MPAL2]:[GI]])</f>
        <v>0</v>
      </c>
      <c r="X43" s="246"/>
      <c r="Y43" s="282">
        <f>(Y42-V062A_20303133343635[[#This Row],[TOTAL]])+V062A_20303133343635[[#This Row],[FAENA2]]</f>
        <v>15.280000000000001</v>
      </c>
      <c r="Z43" s="245">
        <v>0</v>
      </c>
      <c r="AA43" s="246">
        <v>0</v>
      </c>
      <c r="AB43" s="320">
        <f>(AB42-V062A_20303133343635[[#This Row],[CYLINDER MP]])+V062A_20303133343635[[#This Row],[FAENA EN LTS]]</f>
        <v>888.92000000000007</v>
      </c>
      <c r="AC43" s="246">
        <v>0</v>
      </c>
      <c r="AD43" s="246">
        <v>0</v>
      </c>
      <c r="AE43" s="320">
        <f>(AE42-V062A_20303133343635[[#This Row],[CARTER MP.]])+V062A_20303133343635[[#This Row],[FAENA EN LTS2]]</f>
        <v>3500</v>
      </c>
      <c r="AF43" s="246">
        <v>0</v>
      </c>
      <c r="AG43" s="246">
        <v>0</v>
      </c>
      <c r="AH43" s="320">
        <f>(AH42-V062A_20303133343635[[#This Row],[MOT AUX]])+V062A_20303133343635[[#This Row],[FAENA EN  LTS]]</f>
        <v>700</v>
      </c>
      <c r="AI43" s="246">
        <v>0</v>
      </c>
      <c r="AJ43" s="246">
        <v>0</v>
      </c>
      <c r="AK43" s="321">
        <f>(AK42-V062A_20303133343635[[#This Row],[HIDRAULICO]])+V062A_20303133343635[[#This Row],[FAENA EN LTS3]]</f>
        <v>1140</v>
      </c>
    </row>
    <row r="44" spans="1:37" x14ac:dyDescent="0.25">
      <c r="A44" s="431" t="s">
        <v>370</v>
      </c>
      <c r="B44" s="48">
        <v>44212</v>
      </c>
      <c r="C44" s="41">
        <v>0.5083333333333333</v>
      </c>
      <c r="D44" s="418">
        <f>IF(V062A_20303133343635[[#This Row],[FECHA]]-B43=1,((V062A_20303133343635[[#This Row],[HORA]]-C43)*24)+24,(V062A_20303133343635[[#This Row],[HORA]]-C43)*24)</f>
        <v>4.1999999999999993</v>
      </c>
      <c r="E44" s="432" t="s">
        <v>45</v>
      </c>
      <c r="F44" s="378" t="s">
        <v>46</v>
      </c>
      <c r="G44" s="324"/>
      <c r="H44" s="306"/>
      <c r="I4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4" s="242"/>
      <c r="K44" s="325"/>
      <c r="L44" s="483">
        <v>0</v>
      </c>
      <c r="M44" s="246">
        <v>0.35</v>
      </c>
      <c r="N44" s="484">
        <v>0.21</v>
      </c>
      <c r="O44" s="257">
        <f>SUM(V062A_20303133343635[[#This Row],[MPAL]]+V062A_20303133343635[[#This Row],[AUX.]]+V062A_20303133343635[[#This Row],[CALDERA]])</f>
        <v>0.55999999999999994</v>
      </c>
      <c r="P44" s="319"/>
      <c r="Q44" s="281">
        <f>(Q43-V062A_20303133343635[[#This Row],[TOTAL ]])+V062A_20303133343635[[#This Row],[FAENA]]</f>
        <v>236.33000000000015</v>
      </c>
      <c r="R44" s="245">
        <v>0</v>
      </c>
      <c r="S44" s="246">
        <v>0</v>
      </c>
      <c r="T44" s="246">
        <v>0</v>
      </c>
      <c r="U44" s="246">
        <v>0</v>
      </c>
      <c r="V44" s="246">
        <v>0</v>
      </c>
      <c r="W44" s="257">
        <f>SUM(V062A_20303133343635[[#This Row],[MPAL2]:[GI]])</f>
        <v>0</v>
      </c>
      <c r="X44" s="246"/>
      <c r="Y44" s="282">
        <f>(Y43-V062A_20303133343635[[#This Row],[TOTAL]])+V062A_20303133343635[[#This Row],[FAENA2]]</f>
        <v>15.280000000000001</v>
      </c>
      <c r="Z44" s="245">
        <v>0</v>
      </c>
      <c r="AA44" s="246">
        <v>0</v>
      </c>
      <c r="AB44" s="320">
        <f>(AB43-V062A_20303133343635[[#This Row],[CYLINDER MP]])+V062A_20303133343635[[#This Row],[FAENA EN LTS]]</f>
        <v>888.92000000000007</v>
      </c>
      <c r="AC44" s="246">
        <v>800</v>
      </c>
      <c r="AD44" s="246">
        <v>0</v>
      </c>
      <c r="AE44" s="320">
        <f>(AE43-V062A_20303133343635[[#This Row],[CARTER MP.]])+V062A_20303133343635[[#This Row],[FAENA EN LTS2]]</f>
        <v>2700</v>
      </c>
      <c r="AF44" s="246">
        <v>0</v>
      </c>
      <c r="AG44" s="246">
        <v>2000</v>
      </c>
      <c r="AH44" s="320">
        <f>(AH43-V062A_20303133343635[[#This Row],[MOT AUX]])+V062A_20303133343635[[#This Row],[FAENA EN  LTS]]</f>
        <v>2700</v>
      </c>
      <c r="AI44" s="246">
        <v>140</v>
      </c>
      <c r="AJ44" s="246">
        <v>1000</v>
      </c>
      <c r="AK44" s="321">
        <f>(AK43-V062A_20303133343635[[#This Row],[HIDRAULICO]])+V062A_20303133343635[[#This Row],[FAENA EN LTS3]]</f>
        <v>2000</v>
      </c>
    </row>
    <row r="45" spans="1:37" x14ac:dyDescent="0.25">
      <c r="A45" s="431" t="s">
        <v>370</v>
      </c>
      <c r="B45" s="48">
        <v>44212</v>
      </c>
      <c r="C45" s="41">
        <v>0.57916666666666672</v>
      </c>
      <c r="D45" s="418">
        <f>IF(V062A_20303133343635[[#This Row],[FECHA]]-B44=1,((V062A_20303133343635[[#This Row],[HORA]]-C44)*24)+24,(V062A_20303133343635[[#This Row],[HORA]]-C44)*24)</f>
        <v>1.700000000000002</v>
      </c>
      <c r="E45" s="432" t="s">
        <v>47</v>
      </c>
      <c r="F45" s="378" t="s">
        <v>362</v>
      </c>
      <c r="G45" s="324"/>
      <c r="H45" s="306"/>
      <c r="I4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5" s="380"/>
      <c r="K45" s="325"/>
      <c r="L45" s="483">
        <v>0.71</v>
      </c>
      <c r="M45" s="246">
        <v>0.14000000000000001</v>
      </c>
      <c r="N45" s="484">
        <v>0.09</v>
      </c>
      <c r="O45" s="257">
        <f>SUM(V062A_20303133343635[[#This Row],[MPAL]]+V062A_20303133343635[[#This Row],[AUX.]]+V062A_20303133343635[[#This Row],[CALDERA]])</f>
        <v>0.94</v>
      </c>
      <c r="P45" s="319"/>
      <c r="Q45" s="281">
        <f>(Q44-V062A_20303133343635[[#This Row],[TOTAL ]])+V062A_20303133343635[[#This Row],[FAENA]]</f>
        <v>235.39000000000016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57">
        <f>SUM(V062A_20303133343635[[#This Row],[MPAL2]:[GI]])</f>
        <v>0</v>
      </c>
      <c r="X45" s="246"/>
      <c r="Y45" s="282">
        <f>(Y44-V062A_20303133343635[[#This Row],[TOTAL]])+V062A_20303133343635[[#This Row],[FAENA2]]</f>
        <v>15.280000000000001</v>
      </c>
      <c r="Z45" s="245">
        <v>0</v>
      </c>
      <c r="AA45" s="246">
        <v>0</v>
      </c>
      <c r="AB45" s="320">
        <f>(AB44-V062A_20303133343635[[#This Row],[CYLINDER MP]])+V062A_20303133343635[[#This Row],[FAENA EN LTS]]</f>
        <v>888.92000000000007</v>
      </c>
      <c r="AC45" s="246">
        <v>0</v>
      </c>
      <c r="AD45" s="246">
        <v>0</v>
      </c>
      <c r="AE45" s="320">
        <f>(AE44-V062A_20303133343635[[#This Row],[CARTER MP.]])+V062A_20303133343635[[#This Row],[FAENA EN LTS2]]</f>
        <v>2700</v>
      </c>
      <c r="AF45" s="246">
        <v>0</v>
      </c>
      <c r="AG45" s="246">
        <v>0</v>
      </c>
      <c r="AH45" s="320">
        <f>(AH44-V062A_20303133343635[[#This Row],[MOT AUX]])+V062A_20303133343635[[#This Row],[FAENA EN  LTS]]</f>
        <v>2700</v>
      </c>
      <c r="AI45" s="246">
        <v>0</v>
      </c>
      <c r="AJ45" s="246">
        <v>0</v>
      </c>
      <c r="AK45" s="321">
        <f>(AK44-V062A_20303133343635[[#This Row],[HIDRAULICO]])+V062A_20303133343635[[#This Row],[FAENA EN LTS3]]</f>
        <v>2000</v>
      </c>
    </row>
    <row r="46" spans="1:37" x14ac:dyDescent="0.25">
      <c r="A46" s="431" t="s">
        <v>370</v>
      </c>
      <c r="B46" s="48">
        <v>44212</v>
      </c>
      <c r="C46" s="41">
        <v>0.95416666666666661</v>
      </c>
      <c r="D46" s="418">
        <f>IF(V062A_20303133343635[[#This Row],[FECHA]]-B45=1,((V062A_20303133343635[[#This Row],[HORA]]-C45)*24)+24,(V062A_20303133343635[[#This Row],[HORA]]-C45)*24)</f>
        <v>8.9999999999999964</v>
      </c>
      <c r="E46" s="432" t="s">
        <v>51</v>
      </c>
      <c r="F46" s="378" t="s">
        <v>52</v>
      </c>
      <c r="G46" s="324"/>
      <c r="H46" s="306"/>
      <c r="I4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6" s="380"/>
      <c r="K46" s="325"/>
      <c r="L46" s="483">
        <v>0</v>
      </c>
      <c r="M46" s="246">
        <v>0.75</v>
      </c>
      <c r="N46" s="484">
        <v>0.45</v>
      </c>
      <c r="O46" s="257">
        <f>SUM(V062A_20303133343635[[#This Row],[MPAL]]+V062A_20303133343635[[#This Row],[AUX.]]+V062A_20303133343635[[#This Row],[CALDERA]])</f>
        <v>1.2</v>
      </c>
      <c r="P46" s="319"/>
      <c r="Q46" s="281">
        <f>(Q45-V062A_20303133343635[[#This Row],[TOTAL ]])+V062A_20303133343635[[#This Row],[FAENA]]</f>
        <v>234.19000000000017</v>
      </c>
      <c r="R46" s="245">
        <v>0</v>
      </c>
      <c r="S46" s="246">
        <v>0</v>
      </c>
      <c r="T46" s="246">
        <v>0</v>
      </c>
      <c r="U46" s="246">
        <v>0</v>
      </c>
      <c r="V46" s="246">
        <v>0.4</v>
      </c>
      <c r="W46" s="257">
        <f>SUM(V062A_20303133343635[[#This Row],[MPAL2]:[GI]])</f>
        <v>0.4</v>
      </c>
      <c r="X46" s="246"/>
      <c r="Y46" s="282">
        <f>(Y45-V062A_20303133343635[[#This Row],[TOTAL]])+V062A_20303133343635[[#This Row],[FAENA2]]</f>
        <v>14.88</v>
      </c>
      <c r="Z46" s="245">
        <v>0</v>
      </c>
      <c r="AA46" s="246">
        <v>0</v>
      </c>
      <c r="AB46" s="320">
        <f>(AB45-V062A_20303133343635[[#This Row],[CYLINDER MP]])+V062A_20303133343635[[#This Row],[FAENA EN LTS]]</f>
        <v>888.92000000000007</v>
      </c>
      <c r="AC46" s="246">
        <v>0</v>
      </c>
      <c r="AD46" s="246">
        <v>0</v>
      </c>
      <c r="AE46" s="320">
        <f>(AE45-V062A_20303133343635[[#This Row],[CARTER MP.]])+V062A_20303133343635[[#This Row],[FAENA EN LTS2]]</f>
        <v>2700</v>
      </c>
      <c r="AF46" s="246">
        <v>0</v>
      </c>
      <c r="AG46" s="246">
        <v>0</v>
      </c>
      <c r="AH46" s="320">
        <f>(AH45-V062A_20303133343635[[#This Row],[MOT AUX]])+V062A_20303133343635[[#This Row],[FAENA EN  LTS]]</f>
        <v>2700</v>
      </c>
      <c r="AI46" s="246">
        <v>0</v>
      </c>
      <c r="AJ46" s="246">
        <v>0</v>
      </c>
      <c r="AK46" s="321">
        <f>(AK45-V062A_20303133343635[[#This Row],[HIDRAULICO]])+V062A_20303133343635[[#This Row],[FAENA EN LTS3]]</f>
        <v>2000</v>
      </c>
    </row>
    <row r="47" spans="1:37" x14ac:dyDescent="0.25">
      <c r="A47" s="431" t="s">
        <v>370</v>
      </c>
      <c r="B47" s="48">
        <v>44213</v>
      </c>
      <c r="C47" s="41">
        <v>9.5833333333333326E-2</v>
      </c>
      <c r="D47" s="418">
        <f>IF(V062A_20303133343635[[#This Row],[FECHA]]-B46=1,((V062A_20303133343635[[#This Row],[HORA]]-C46)*24)+24,(V062A_20303133343635[[#This Row],[HORA]]-C46)*24)</f>
        <v>3.4000000000000021</v>
      </c>
      <c r="E47" s="409" t="s">
        <v>45</v>
      </c>
      <c r="F47" s="378" t="s">
        <v>46</v>
      </c>
      <c r="G47" s="324"/>
      <c r="H47" s="306"/>
      <c r="I4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7" s="380"/>
      <c r="K47" s="325"/>
      <c r="L47" s="483">
        <v>0</v>
      </c>
      <c r="M47" s="246">
        <v>0.28000000000000003</v>
      </c>
      <c r="N47" s="484">
        <v>0.17</v>
      </c>
      <c r="O47" s="257">
        <f>SUM(V062A_20303133343635[[#This Row],[MPAL]]+V062A_20303133343635[[#This Row],[AUX.]]+V062A_20303133343635[[#This Row],[CALDERA]])</f>
        <v>0.45000000000000007</v>
      </c>
      <c r="P47" s="319"/>
      <c r="Q47" s="281">
        <f>(Q46-V062A_20303133343635[[#This Row],[TOTAL ]])+V062A_20303133343635[[#This Row],[FAENA]]</f>
        <v>233.74000000000018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57">
        <f>SUM(V062A_20303133343635[[#This Row],[MPAL2]:[GI]])</f>
        <v>0</v>
      </c>
      <c r="X47" s="246"/>
      <c r="Y47" s="282">
        <f>(Y46-V062A_20303133343635[[#This Row],[TOTAL]])+V062A_20303133343635[[#This Row],[FAENA2]]</f>
        <v>14.88</v>
      </c>
      <c r="Z47" s="245">
        <v>0</v>
      </c>
      <c r="AA47" s="246">
        <v>0</v>
      </c>
      <c r="AB47" s="320">
        <f>(AB46-V062A_20303133343635[[#This Row],[CYLINDER MP]])+V062A_20303133343635[[#This Row],[FAENA EN LTS]]</f>
        <v>888.92000000000007</v>
      </c>
      <c r="AC47" s="246">
        <v>0</v>
      </c>
      <c r="AD47" s="246">
        <v>0</v>
      </c>
      <c r="AE47" s="320">
        <f>(AE46-V062A_20303133343635[[#This Row],[CARTER MP.]])+V062A_20303133343635[[#This Row],[FAENA EN LTS2]]</f>
        <v>2700</v>
      </c>
      <c r="AF47" s="246">
        <v>0</v>
      </c>
      <c r="AG47" s="246">
        <v>0</v>
      </c>
      <c r="AH47" s="320">
        <f>(AH46-V062A_20303133343635[[#This Row],[MOT AUX]])+V062A_20303133343635[[#This Row],[FAENA EN  LTS]]</f>
        <v>2700</v>
      </c>
      <c r="AI47" s="246">
        <v>0</v>
      </c>
      <c r="AJ47" s="246">
        <v>0</v>
      </c>
      <c r="AK47" s="321">
        <f>(AK46-V062A_20303133343635[[#This Row],[HIDRAULICO]])+V062A_20303133343635[[#This Row],[FAENA EN LTS3]]</f>
        <v>2000</v>
      </c>
    </row>
    <row r="48" spans="1:37" x14ac:dyDescent="0.25">
      <c r="A48" s="431" t="s">
        <v>370</v>
      </c>
      <c r="B48" s="48">
        <v>44213</v>
      </c>
      <c r="C48" s="41">
        <v>0.11666666666666665</v>
      </c>
      <c r="D48" s="418">
        <f>IF(V062A_20303133343635[[#This Row],[FECHA]]-B47=1,((V062A_20303133343635[[#This Row],[HORA]]-C47)*24)+24,(V062A_20303133343635[[#This Row],[HORA]]-C47)*24)</f>
        <v>0.49999999999999989</v>
      </c>
      <c r="E48" s="409" t="s">
        <v>47</v>
      </c>
      <c r="F48" s="378" t="s">
        <v>273</v>
      </c>
      <c r="G48" s="324"/>
      <c r="H48" s="306"/>
      <c r="I4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8" s="380"/>
      <c r="K48" s="325"/>
      <c r="L48" s="483">
        <v>0.21</v>
      </c>
      <c r="M48" s="246">
        <v>0.03</v>
      </c>
      <c r="N48" s="484">
        <v>0.03</v>
      </c>
      <c r="O48" s="257">
        <f>SUM(V062A_20303133343635[[#This Row],[MPAL]]+V062A_20303133343635[[#This Row],[AUX.]]+V062A_20303133343635[[#This Row],[CALDERA]])</f>
        <v>0.27</v>
      </c>
      <c r="P48" s="319"/>
      <c r="Q48" s="281">
        <f>(Q47-V062A_20303133343635[[#This Row],[TOTAL ]])+V062A_20303133343635[[#This Row],[FAENA]]</f>
        <v>233.47000000000017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57">
        <f>SUM(V062A_20303133343635[[#This Row],[MPAL2]:[GI]])</f>
        <v>0</v>
      </c>
      <c r="X48" s="246"/>
      <c r="Y48" s="282">
        <f>(Y47-V062A_20303133343635[[#This Row],[TOTAL]])+V062A_20303133343635[[#This Row],[FAENA2]]</f>
        <v>14.88</v>
      </c>
      <c r="Z48" s="245">
        <v>0</v>
      </c>
      <c r="AA48" s="246">
        <v>0</v>
      </c>
      <c r="AB48" s="320">
        <f>(AB47-V062A_20303133343635[[#This Row],[CYLINDER MP]])+V062A_20303133343635[[#This Row],[FAENA EN LTS]]</f>
        <v>888.92000000000007</v>
      </c>
      <c r="AC48" s="246">
        <v>0</v>
      </c>
      <c r="AD48" s="246">
        <v>0</v>
      </c>
      <c r="AE48" s="320">
        <f>(AE47-V062A_20303133343635[[#This Row],[CARTER MP.]])+V062A_20303133343635[[#This Row],[FAENA EN LTS2]]</f>
        <v>2700</v>
      </c>
      <c r="AF48" s="246">
        <v>0</v>
      </c>
      <c r="AG48" s="246">
        <v>0</v>
      </c>
      <c r="AH48" s="320">
        <f>(AH47-V062A_20303133343635[[#This Row],[MOT AUX]])+V062A_20303133343635[[#This Row],[FAENA EN  LTS]]</f>
        <v>2700</v>
      </c>
      <c r="AI48" s="246">
        <v>0</v>
      </c>
      <c r="AJ48" s="246">
        <v>0</v>
      </c>
      <c r="AK48" s="321">
        <f>(AK47-V062A_20303133343635[[#This Row],[HIDRAULICO]])+V062A_20303133343635[[#This Row],[FAENA EN LTS3]]</f>
        <v>2000</v>
      </c>
    </row>
    <row r="49" spans="1:37" x14ac:dyDescent="0.25">
      <c r="A49" s="431" t="s">
        <v>370</v>
      </c>
      <c r="B49" s="48">
        <v>44213</v>
      </c>
      <c r="C49" s="41">
        <v>0.33333333333333331</v>
      </c>
      <c r="D49" s="418">
        <f>IF(V062A_20303133343635[[#This Row],[FECHA]]-B48=1,((V062A_20303133343635[[#This Row],[HORA]]-C48)*24)+24,(V062A_20303133343635[[#This Row],[HORA]]-C48)*24)</f>
        <v>5.2</v>
      </c>
      <c r="E49" s="409" t="s">
        <v>55</v>
      </c>
      <c r="F49" s="378" t="s">
        <v>56</v>
      </c>
      <c r="G49" s="324"/>
      <c r="H49" s="306"/>
      <c r="I4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49" s="242"/>
      <c r="K49" s="325"/>
      <c r="L49" s="483">
        <v>4.9800000000000004</v>
      </c>
      <c r="M49" s="246">
        <v>0.33</v>
      </c>
      <c r="N49" s="484">
        <v>0.26</v>
      </c>
      <c r="O49" s="257">
        <f>SUM(V062A_20303133343635[[#This Row],[MPAL]]+V062A_20303133343635[[#This Row],[AUX.]]+V062A_20303133343635[[#This Row],[CALDERA]])</f>
        <v>5.57</v>
      </c>
      <c r="P49" s="319"/>
      <c r="Q49" s="281">
        <f>(Q48-V062A_20303133343635[[#This Row],[TOTAL ]])+V062A_20303133343635[[#This Row],[FAENA]]</f>
        <v>227.90000000000018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57">
        <f>SUM(V062A_20303133343635[[#This Row],[MPAL2]:[GI]])</f>
        <v>0</v>
      </c>
      <c r="X49" s="246"/>
      <c r="Y49" s="282">
        <f>(Y48-V062A_20303133343635[[#This Row],[TOTAL]])+V062A_20303133343635[[#This Row],[FAENA2]]</f>
        <v>14.88</v>
      </c>
      <c r="Z49" s="245">
        <v>54.17</v>
      </c>
      <c r="AA49" s="246">
        <v>0</v>
      </c>
      <c r="AB49" s="320">
        <f>(AB48-V062A_20303133343635[[#This Row],[CYLINDER MP]])+V062A_20303133343635[[#This Row],[FAENA EN LTS]]</f>
        <v>834.75000000000011</v>
      </c>
      <c r="AC49" s="246">
        <v>0</v>
      </c>
      <c r="AD49" s="246">
        <v>0</v>
      </c>
      <c r="AE49" s="320">
        <f>(AE48-V062A_20303133343635[[#This Row],[CARTER MP.]])+V062A_20303133343635[[#This Row],[FAENA EN LTS2]]</f>
        <v>2700</v>
      </c>
      <c r="AF49" s="246">
        <v>20</v>
      </c>
      <c r="AG49" s="246">
        <v>0</v>
      </c>
      <c r="AH49" s="320">
        <f>(AH48-V062A_20303133343635[[#This Row],[MOT AUX]])+V062A_20303133343635[[#This Row],[FAENA EN  LTS]]</f>
        <v>2680</v>
      </c>
      <c r="AI49" s="246">
        <v>0</v>
      </c>
      <c r="AJ49" s="246">
        <v>0</v>
      </c>
      <c r="AK49" s="321">
        <f>(AK48-V062A_20303133343635[[#This Row],[HIDRAULICO]])+V062A_20303133343635[[#This Row],[FAENA EN LTS3]]</f>
        <v>2000</v>
      </c>
    </row>
    <row r="50" spans="1:37" x14ac:dyDescent="0.25">
      <c r="A50" s="431" t="s">
        <v>370</v>
      </c>
      <c r="B50" s="48">
        <v>44213</v>
      </c>
      <c r="C50" s="41">
        <v>0.39583333333333331</v>
      </c>
      <c r="D50" s="418">
        <f>IF(V062A_20303133343635[[#This Row],[FECHA]]-B49=1,((V062A_20303133343635[[#This Row],[HORA]]-C49)*24)+24,(V062A_20303133343635[[#This Row],[HORA]]-C49)*24)</f>
        <v>1.5</v>
      </c>
      <c r="E50" s="239" t="s">
        <v>55</v>
      </c>
      <c r="F50" s="378" t="s">
        <v>379</v>
      </c>
      <c r="G50" s="324">
        <v>97</v>
      </c>
      <c r="H50" s="306">
        <v>6.7</v>
      </c>
      <c r="I50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14.477611940298507</v>
      </c>
      <c r="J50" s="242">
        <v>4</v>
      </c>
      <c r="K50" s="325">
        <v>97</v>
      </c>
      <c r="L50" s="483">
        <v>1.44</v>
      </c>
      <c r="M50" s="246">
        <v>0.13</v>
      </c>
      <c r="N50" s="484">
        <v>0.08</v>
      </c>
      <c r="O50" s="257">
        <f>SUM(V062A_20303133343635[[#This Row],[MPAL]]+V062A_20303133343635[[#This Row],[AUX.]]+V062A_20303133343635[[#This Row],[CALDERA]])</f>
        <v>1.65</v>
      </c>
      <c r="P50" s="319"/>
      <c r="Q50" s="281">
        <f>(Q49-V062A_20303133343635[[#This Row],[TOTAL ]])+V062A_20303133343635[[#This Row],[FAENA]]</f>
        <v>226.25000000000017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57">
        <f>SUM(V062A_20303133343635[[#This Row],[MPAL2]:[GI]])</f>
        <v>0</v>
      </c>
      <c r="X50" s="246"/>
      <c r="Y50" s="282">
        <f>(Y49-V062A_20303133343635[[#This Row],[TOTAL]])+V062A_20303133343635[[#This Row],[FAENA2]]</f>
        <v>14.88</v>
      </c>
      <c r="Z50" s="245">
        <v>15.63</v>
      </c>
      <c r="AA50" s="246">
        <v>0</v>
      </c>
      <c r="AB50" s="320">
        <f>(AB49-V062A_20303133343635[[#This Row],[CYLINDER MP]])+V062A_20303133343635[[#This Row],[FAENA EN LTS]]</f>
        <v>819.12000000000012</v>
      </c>
      <c r="AC50" s="246">
        <v>0</v>
      </c>
      <c r="AD50" s="246">
        <v>0</v>
      </c>
      <c r="AE50" s="320">
        <f>(AE49-V062A_20303133343635[[#This Row],[CARTER MP.]])+V062A_20303133343635[[#This Row],[FAENA EN LTS2]]</f>
        <v>2700</v>
      </c>
      <c r="AF50" s="246">
        <v>0</v>
      </c>
      <c r="AG50" s="246">
        <v>0</v>
      </c>
      <c r="AH50" s="320">
        <f>(AH49-V062A_20303133343635[[#This Row],[MOT AUX]])+V062A_20303133343635[[#This Row],[FAENA EN  LTS]]</f>
        <v>2680</v>
      </c>
      <c r="AI50" s="246">
        <v>0</v>
      </c>
      <c r="AJ50" s="246">
        <v>0</v>
      </c>
      <c r="AK50" s="321">
        <f>(AK49-V062A_20303133343635[[#This Row],[HIDRAULICO]])+V062A_20303133343635[[#This Row],[FAENA EN LTS3]]</f>
        <v>2000</v>
      </c>
    </row>
    <row r="51" spans="1:37" x14ac:dyDescent="0.25">
      <c r="A51" s="431" t="s">
        <v>370</v>
      </c>
      <c r="B51" s="48">
        <v>44213</v>
      </c>
      <c r="C51" s="41">
        <v>0.41666666666666669</v>
      </c>
      <c r="D51" s="418">
        <f>IF(V062A_20303133343635[[#This Row],[FECHA]]-B50=1,((V062A_20303133343635[[#This Row],[HORA]]-C50)*24)+24,(V062A_20303133343635[[#This Row],[HORA]]-C50)*24)</f>
        <v>0.50000000000000089</v>
      </c>
      <c r="E51" s="409" t="s">
        <v>45</v>
      </c>
      <c r="F51" s="29" t="s">
        <v>380</v>
      </c>
      <c r="G51" s="324"/>
      <c r="H51" s="306"/>
      <c r="I5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1" s="242"/>
      <c r="K51" s="325"/>
      <c r="L51" s="483">
        <v>0</v>
      </c>
      <c r="M51" s="246">
        <v>0.03</v>
      </c>
      <c r="N51" s="484">
        <v>0.03</v>
      </c>
      <c r="O51" s="257">
        <f>SUM(V062A_20303133343635[[#This Row],[MPAL]]+V062A_20303133343635[[#This Row],[AUX.]]+V062A_20303133343635[[#This Row],[CALDERA]])</f>
        <v>0.06</v>
      </c>
      <c r="P51" s="319"/>
      <c r="Q51" s="281">
        <f>(Q50-V062A_20303133343635[[#This Row],[TOTAL ]])+V062A_20303133343635[[#This Row],[FAENA]]</f>
        <v>226.19000000000017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57">
        <f>SUM(V062A_20303133343635[[#This Row],[MPAL2]:[GI]])</f>
        <v>0</v>
      </c>
      <c r="X51" s="246"/>
      <c r="Y51" s="282">
        <f>(Y50-V062A_20303133343635[[#This Row],[TOTAL]])+V062A_20303133343635[[#This Row],[FAENA2]]</f>
        <v>14.88</v>
      </c>
      <c r="Z51" s="245">
        <v>0</v>
      </c>
      <c r="AA51" s="246">
        <v>0</v>
      </c>
      <c r="AB51" s="320">
        <f>(AB50-V062A_20303133343635[[#This Row],[CYLINDER MP]])+V062A_20303133343635[[#This Row],[FAENA EN LTS]]</f>
        <v>819.12000000000012</v>
      </c>
      <c r="AC51" s="246">
        <v>0</v>
      </c>
      <c r="AD51" s="246">
        <v>0</v>
      </c>
      <c r="AE51" s="320">
        <f>(AE50-V062A_20303133343635[[#This Row],[CARTER MP.]])+V062A_20303133343635[[#This Row],[FAENA EN LTS2]]</f>
        <v>2700</v>
      </c>
      <c r="AF51" s="246">
        <v>0</v>
      </c>
      <c r="AG51" s="246">
        <v>0</v>
      </c>
      <c r="AH51" s="320">
        <f>(AH50-V062A_20303133343635[[#This Row],[MOT AUX]])+V062A_20303133343635[[#This Row],[FAENA EN  LTS]]</f>
        <v>2680</v>
      </c>
      <c r="AI51" s="246">
        <v>0</v>
      </c>
      <c r="AJ51" s="246">
        <v>0</v>
      </c>
      <c r="AK51" s="321">
        <f>(AK50-V062A_20303133343635[[#This Row],[HIDRAULICO]])+V062A_20303133343635[[#This Row],[FAENA EN LTS3]]</f>
        <v>2000</v>
      </c>
    </row>
    <row r="52" spans="1:37" x14ac:dyDescent="0.25">
      <c r="A52" s="431" t="s">
        <v>370</v>
      </c>
      <c r="B52" s="48">
        <v>44214</v>
      </c>
      <c r="C52" s="41">
        <v>0.33333333333333331</v>
      </c>
      <c r="D52" s="418">
        <f>IF(V062A_20303133343635[[#This Row],[FECHA]]-B51=1,((V062A_20303133343635[[#This Row],[HORA]]-C51)*24)+24,(V062A_20303133343635[[#This Row],[HORA]]-C51)*24)</f>
        <v>22</v>
      </c>
      <c r="E52" s="409" t="s">
        <v>45</v>
      </c>
      <c r="F52" s="29" t="s">
        <v>380</v>
      </c>
      <c r="G52" s="324"/>
      <c r="H52" s="306"/>
      <c r="I5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2" s="242"/>
      <c r="K52" s="325"/>
      <c r="L52" s="483">
        <v>0</v>
      </c>
      <c r="M52" s="246">
        <v>1.38</v>
      </c>
      <c r="N52" s="484">
        <v>1.1000000000000001</v>
      </c>
      <c r="O52" s="257">
        <f>SUM(V062A_20303133343635[[#This Row],[MPAL]]+V062A_20303133343635[[#This Row],[AUX.]]+V062A_20303133343635[[#This Row],[CALDERA]])</f>
        <v>2.48</v>
      </c>
      <c r="P52" s="319"/>
      <c r="Q52" s="281">
        <f>(Q51-V062A_20303133343635[[#This Row],[TOTAL ]])+V062A_20303133343635[[#This Row],[FAENA]]</f>
        <v>223.71000000000018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57">
        <f>SUM(V062A_20303133343635[[#This Row],[MPAL2]:[GI]])</f>
        <v>0</v>
      </c>
      <c r="X52" s="246"/>
      <c r="Y52" s="282">
        <f>(Y51-V062A_20303133343635[[#This Row],[TOTAL]])+V062A_20303133343635[[#This Row],[FAENA2]]</f>
        <v>14.88</v>
      </c>
      <c r="Z52" s="245">
        <v>0</v>
      </c>
      <c r="AA52" s="246">
        <v>0</v>
      </c>
      <c r="AB52" s="320">
        <f>(AB51-V062A_20303133343635[[#This Row],[CYLINDER MP]])+V062A_20303133343635[[#This Row],[FAENA EN LTS]]</f>
        <v>819.12000000000012</v>
      </c>
      <c r="AC52" s="246">
        <v>0</v>
      </c>
      <c r="AD52" s="246">
        <v>0</v>
      </c>
      <c r="AE52" s="320">
        <f>(AE51-V062A_20303133343635[[#This Row],[CARTER MP.]])+V062A_20303133343635[[#This Row],[FAENA EN LTS2]]</f>
        <v>2700</v>
      </c>
      <c r="AF52" s="246">
        <v>0</v>
      </c>
      <c r="AG52" s="246">
        <v>0</v>
      </c>
      <c r="AH52" s="320">
        <f>(AH51-V062A_20303133343635[[#This Row],[MOT AUX]])+V062A_20303133343635[[#This Row],[FAENA EN  LTS]]</f>
        <v>2680</v>
      </c>
      <c r="AI52" s="246">
        <v>0</v>
      </c>
      <c r="AJ52" s="246">
        <v>0</v>
      </c>
      <c r="AK52" s="321">
        <f>(AK51-V062A_20303133343635[[#This Row],[HIDRAULICO]])+V062A_20303133343635[[#This Row],[FAENA EN LTS3]]</f>
        <v>2000</v>
      </c>
    </row>
    <row r="53" spans="1:37" x14ac:dyDescent="0.25">
      <c r="A53" s="431" t="s">
        <v>370</v>
      </c>
      <c r="B53" s="48">
        <v>44214</v>
      </c>
      <c r="C53" s="41">
        <v>0.52083333333333337</v>
      </c>
      <c r="D53" s="418">
        <f>IF(V062A_20303133343635[[#This Row],[FECHA]]-B52=1,((V062A_20303133343635[[#This Row],[HORA]]-C52)*24)+24,(V062A_20303133343635[[#This Row],[HORA]]-C52)*24)</f>
        <v>4.5000000000000018</v>
      </c>
      <c r="E53" s="409" t="s">
        <v>45</v>
      </c>
      <c r="F53" s="29" t="s">
        <v>46</v>
      </c>
      <c r="G53" s="324"/>
      <c r="H53" s="306"/>
      <c r="I5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3" s="242"/>
      <c r="K53" s="325"/>
      <c r="L53" s="483">
        <v>0</v>
      </c>
      <c r="M53" s="246">
        <v>0.38</v>
      </c>
      <c r="N53" s="484">
        <v>0.23</v>
      </c>
      <c r="O53" s="257">
        <f>SUM(V062A_20303133343635[[#This Row],[MPAL]]+V062A_20303133343635[[#This Row],[AUX.]]+V062A_20303133343635[[#This Row],[CALDERA]])</f>
        <v>0.61</v>
      </c>
      <c r="P53" s="319"/>
      <c r="Q53" s="281">
        <f>(Q52-V062A_20303133343635[[#This Row],[TOTAL ]])+V062A_20303133343635[[#This Row],[FAENA]]</f>
        <v>223.10000000000016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57">
        <f>SUM(V062A_20303133343635[[#This Row],[MPAL2]:[GI]])</f>
        <v>0</v>
      </c>
      <c r="X53" s="246"/>
      <c r="Y53" s="282">
        <f>(Y52-V062A_20303133343635[[#This Row],[TOTAL]])+V062A_20303133343635[[#This Row],[FAENA2]]</f>
        <v>14.88</v>
      </c>
      <c r="Z53" s="245">
        <v>0</v>
      </c>
      <c r="AA53" s="246">
        <v>0</v>
      </c>
      <c r="AB53" s="320">
        <f>(AB52-V062A_20303133343635[[#This Row],[CYLINDER MP]])+V062A_20303133343635[[#This Row],[FAENA EN LTS]]</f>
        <v>819.12000000000012</v>
      </c>
      <c r="AC53" s="246">
        <v>0</v>
      </c>
      <c r="AD53" s="246">
        <v>0</v>
      </c>
      <c r="AE53" s="320">
        <f>(AE52-V062A_20303133343635[[#This Row],[CARTER MP.]])+V062A_20303133343635[[#This Row],[FAENA EN LTS2]]</f>
        <v>2700</v>
      </c>
      <c r="AF53" s="246">
        <v>0</v>
      </c>
      <c r="AG53" s="246">
        <v>0</v>
      </c>
      <c r="AH53" s="320">
        <f>(AH52-V062A_20303133343635[[#This Row],[MOT AUX]])+V062A_20303133343635[[#This Row],[FAENA EN  LTS]]</f>
        <v>2680</v>
      </c>
      <c r="AI53" s="246">
        <v>0</v>
      </c>
      <c r="AJ53" s="246">
        <v>0</v>
      </c>
      <c r="AK53" s="321">
        <f>(AK52-V062A_20303133343635[[#This Row],[HIDRAULICO]])+V062A_20303133343635[[#This Row],[FAENA EN LTS3]]</f>
        <v>2000</v>
      </c>
    </row>
    <row r="54" spans="1:37" x14ac:dyDescent="0.25">
      <c r="A54" s="431" t="s">
        <v>370</v>
      </c>
      <c r="B54" s="48">
        <v>44214</v>
      </c>
      <c r="C54" s="41">
        <v>0.58750000000000002</v>
      </c>
      <c r="D54" s="418">
        <f>IF(V062A_20303133343635[[#This Row],[FECHA]]-B53=1,((V062A_20303133343635[[#This Row],[HORA]]-C53)*24)+24,(V062A_20303133343635[[#This Row],[HORA]]-C53)*24)</f>
        <v>1.5999999999999996</v>
      </c>
      <c r="E54" s="409" t="s">
        <v>47</v>
      </c>
      <c r="F54" s="29" t="s">
        <v>381</v>
      </c>
      <c r="G54" s="324"/>
      <c r="H54" s="306"/>
      <c r="I5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4" s="242"/>
      <c r="K54" s="325"/>
      <c r="L54" s="483">
        <v>0.67</v>
      </c>
      <c r="M54" s="246">
        <v>0.13</v>
      </c>
      <c r="N54" s="484">
        <v>0.08</v>
      </c>
      <c r="O54" s="257">
        <f>SUM(V062A_20303133343635[[#This Row],[MPAL]]+V062A_20303133343635[[#This Row],[AUX.]]+V062A_20303133343635[[#This Row],[CALDERA]])</f>
        <v>0.88</v>
      </c>
      <c r="P54" s="319"/>
      <c r="Q54" s="281">
        <f>(Q53-V062A_20303133343635[[#This Row],[TOTAL ]])+V062A_20303133343635[[#This Row],[FAENA]]</f>
        <v>222.22000000000017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57">
        <f>SUM(V062A_20303133343635[[#This Row],[MPAL2]:[GI]])</f>
        <v>0</v>
      </c>
      <c r="X54" s="246"/>
      <c r="Y54" s="282">
        <f>(Y53-V062A_20303133343635[[#This Row],[TOTAL]])+V062A_20303133343635[[#This Row],[FAENA2]]</f>
        <v>14.88</v>
      </c>
      <c r="Z54" s="245">
        <v>0</v>
      </c>
      <c r="AA54" s="246">
        <v>0</v>
      </c>
      <c r="AB54" s="320">
        <f>(AB53-V062A_20303133343635[[#This Row],[CYLINDER MP]])+V062A_20303133343635[[#This Row],[FAENA EN LTS]]</f>
        <v>819.12000000000012</v>
      </c>
      <c r="AC54" s="246">
        <v>0</v>
      </c>
      <c r="AD54" s="246">
        <v>0</v>
      </c>
      <c r="AE54" s="320">
        <f>(AE53-V062A_20303133343635[[#This Row],[CARTER MP.]])+V062A_20303133343635[[#This Row],[FAENA EN LTS2]]</f>
        <v>2700</v>
      </c>
      <c r="AF54" s="246">
        <v>0</v>
      </c>
      <c r="AG54" s="246">
        <v>0</v>
      </c>
      <c r="AH54" s="320">
        <f>(AH53-V062A_20303133343635[[#This Row],[MOT AUX]])+V062A_20303133343635[[#This Row],[FAENA EN  LTS]]</f>
        <v>2680</v>
      </c>
      <c r="AI54" s="246">
        <v>0</v>
      </c>
      <c r="AJ54" s="246">
        <v>0</v>
      </c>
      <c r="AK54" s="321">
        <f>(AK53-V062A_20303133343635[[#This Row],[HIDRAULICO]])+V062A_20303133343635[[#This Row],[FAENA EN LTS3]]</f>
        <v>2000</v>
      </c>
    </row>
    <row r="55" spans="1:37" x14ac:dyDescent="0.25">
      <c r="A55" s="431" t="s">
        <v>370</v>
      </c>
      <c r="B55" s="48">
        <v>44215</v>
      </c>
      <c r="C55" s="41">
        <v>9.9999999999999992E-2</v>
      </c>
      <c r="D55" s="418">
        <f>IF(V062A_20303133343635[[#This Row],[FECHA]]-B54=1,((V062A_20303133343635[[#This Row],[HORA]]-C54)*24)+24,(V062A_20303133343635[[#This Row],[HORA]]-C54)*24)</f>
        <v>12.299999999999999</v>
      </c>
      <c r="E55" s="409" t="s">
        <v>45</v>
      </c>
      <c r="F55" s="29" t="s">
        <v>46</v>
      </c>
      <c r="G55" s="324"/>
      <c r="H55" s="306"/>
      <c r="I5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5" s="242"/>
      <c r="K55" s="325"/>
      <c r="L55" s="483">
        <v>0</v>
      </c>
      <c r="M55" s="246">
        <v>1.03</v>
      </c>
      <c r="N55" s="484">
        <v>0.62</v>
      </c>
      <c r="O55" s="257">
        <f>SUM(V062A_20303133343635[[#This Row],[MPAL]]+V062A_20303133343635[[#This Row],[AUX.]]+V062A_20303133343635[[#This Row],[CALDERA]])</f>
        <v>1.65</v>
      </c>
      <c r="P55" s="319"/>
      <c r="Q55" s="281">
        <f>(Q54-V062A_20303133343635[[#This Row],[TOTAL ]])+V062A_20303133343635[[#This Row],[FAENA]]</f>
        <v>220.57000000000016</v>
      </c>
      <c r="R55" s="245">
        <v>0</v>
      </c>
      <c r="S55" s="246">
        <v>0</v>
      </c>
      <c r="T55" s="246">
        <v>0</v>
      </c>
      <c r="U55" s="246">
        <v>0</v>
      </c>
      <c r="V55" s="246">
        <v>0.27</v>
      </c>
      <c r="W55" s="257">
        <f>SUM(V062A_20303133343635[[#This Row],[MPAL2]:[GI]])</f>
        <v>0.27</v>
      </c>
      <c r="X55" s="246"/>
      <c r="Y55" s="282">
        <f>(Y54-V062A_20303133343635[[#This Row],[TOTAL]])+V062A_20303133343635[[#This Row],[FAENA2]]</f>
        <v>14.610000000000001</v>
      </c>
      <c r="Z55" s="245">
        <v>0</v>
      </c>
      <c r="AA55" s="246">
        <v>0</v>
      </c>
      <c r="AB55" s="320">
        <f>(AB54-V062A_20303133343635[[#This Row],[CYLINDER MP]])+V062A_20303133343635[[#This Row],[FAENA EN LTS]]</f>
        <v>819.12000000000012</v>
      </c>
      <c r="AC55" s="246">
        <v>0</v>
      </c>
      <c r="AD55" s="246">
        <v>0</v>
      </c>
      <c r="AE55" s="320">
        <f>(AE54-V062A_20303133343635[[#This Row],[CARTER MP.]])+V062A_20303133343635[[#This Row],[FAENA EN LTS2]]</f>
        <v>2700</v>
      </c>
      <c r="AF55" s="246">
        <v>0</v>
      </c>
      <c r="AG55" s="246">
        <v>0</v>
      </c>
      <c r="AH55" s="320">
        <f>(AH54-V062A_20303133343635[[#This Row],[MOT AUX]])+V062A_20303133343635[[#This Row],[FAENA EN  LTS]]</f>
        <v>2680</v>
      </c>
      <c r="AI55" s="246">
        <v>0</v>
      </c>
      <c r="AJ55" s="246">
        <v>0</v>
      </c>
      <c r="AK55" s="321">
        <f>(AK54-V062A_20303133343635[[#This Row],[HIDRAULICO]])+V062A_20303133343635[[#This Row],[FAENA EN LTS3]]</f>
        <v>2000</v>
      </c>
    </row>
    <row r="56" spans="1:37" x14ac:dyDescent="0.25">
      <c r="A56" s="431" t="s">
        <v>370</v>
      </c>
      <c r="B56" s="48">
        <v>44215</v>
      </c>
      <c r="C56" s="41">
        <v>0.11666666666666665</v>
      </c>
      <c r="D56" s="418">
        <f>IF(V062A_20303133343635[[#This Row],[FECHA]]-B55=1,((V062A_20303133343635[[#This Row],[HORA]]-C55)*24)+24,(V062A_20303133343635[[#This Row],[HORA]]-C55)*24)</f>
        <v>0.39999999999999991</v>
      </c>
      <c r="E56" s="409" t="s">
        <v>47</v>
      </c>
      <c r="F56" s="29" t="s">
        <v>283</v>
      </c>
      <c r="G56" s="324"/>
      <c r="H56" s="306"/>
      <c r="I56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6" s="242"/>
      <c r="K56" s="325"/>
      <c r="L56" s="483">
        <v>0.17</v>
      </c>
      <c r="M56" s="246">
        <v>0.03</v>
      </c>
      <c r="N56" s="484">
        <v>0.02</v>
      </c>
      <c r="O56" s="257">
        <f>SUM(V062A_20303133343635[[#This Row],[MPAL]]+V062A_20303133343635[[#This Row],[AUX.]]+V062A_20303133343635[[#This Row],[CALDERA]])</f>
        <v>0.22</v>
      </c>
      <c r="P56" s="319"/>
      <c r="Q56" s="281">
        <f>(Q55-V062A_20303133343635[[#This Row],[TOTAL ]])+V062A_20303133343635[[#This Row],[FAENA]]</f>
        <v>220.35000000000016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57">
        <f>SUM(V062A_20303133343635[[#This Row],[MPAL2]:[GI]])</f>
        <v>0</v>
      </c>
      <c r="X56" s="246"/>
      <c r="Y56" s="282">
        <f>(Y55-V062A_20303133343635[[#This Row],[TOTAL]])+V062A_20303133343635[[#This Row],[FAENA2]]</f>
        <v>14.610000000000001</v>
      </c>
      <c r="Z56" s="245">
        <v>0</v>
      </c>
      <c r="AA56" s="246">
        <v>0</v>
      </c>
      <c r="AB56" s="320">
        <f>(AB55-V062A_20303133343635[[#This Row],[CYLINDER MP]])+V062A_20303133343635[[#This Row],[FAENA EN LTS]]</f>
        <v>819.12000000000012</v>
      </c>
      <c r="AC56" s="246">
        <v>0</v>
      </c>
      <c r="AD56" s="246">
        <v>0</v>
      </c>
      <c r="AE56" s="320">
        <f>(AE55-V062A_20303133343635[[#This Row],[CARTER MP.]])+V062A_20303133343635[[#This Row],[FAENA EN LTS2]]</f>
        <v>2700</v>
      </c>
      <c r="AF56" s="246">
        <v>0</v>
      </c>
      <c r="AG56" s="246">
        <v>0</v>
      </c>
      <c r="AH56" s="320">
        <f>(AH55-V062A_20303133343635[[#This Row],[MOT AUX]])+V062A_20303133343635[[#This Row],[FAENA EN  LTS]]</f>
        <v>2680</v>
      </c>
      <c r="AI56" s="246">
        <v>0</v>
      </c>
      <c r="AJ56" s="246">
        <v>0</v>
      </c>
      <c r="AK56" s="321">
        <f>(AK55-V062A_20303133343635[[#This Row],[HIDRAULICO]])+V062A_20303133343635[[#This Row],[FAENA EN LTS3]]</f>
        <v>2000</v>
      </c>
    </row>
    <row r="57" spans="1:37" x14ac:dyDescent="0.25">
      <c r="A57" s="431" t="s">
        <v>370</v>
      </c>
      <c r="B57" s="48">
        <v>44215</v>
      </c>
      <c r="C57" s="41">
        <v>0.33333333333333331</v>
      </c>
      <c r="D57" s="418">
        <f>IF(V062A_20303133343635[[#This Row],[FECHA]]-B56=1,((V062A_20303133343635[[#This Row],[HORA]]-C56)*24)+24,(V062A_20303133343635[[#This Row],[HORA]]-C56)*24)</f>
        <v>5.2</v>
      </c>
      <c r="E57" s="409" t="s">
        <v>55</v>
      </c>
      <c r="F57" s="29" t="s">
        <v>56</v>
      </c>
      <c r="G57" s="324"/>
      <c r="H57" s="306"/>
      <c r="I5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7" s="242"/>
      <c r="K57" s="325"/>
      <c r="L57" s="483">
        <v>4.9800000000000004</v>
      </c>
      <c r="M57" s="246">
        <v>0.33</v>
      </c>
      <c r="N57" s="484">
        <v>0.26</v>
      </c>
      <c r="O57" s="257">
        <f>SUM(V062A_20303133343635[[#This Row],[MPAL]]+V062A_20303133343635[[#This Row],[AUX.]]+V062A_20303133343635[[#This Row],[CALDERA]])</f>
        <v>5.57</v>
      </c>
      <c r="P57" s="319"/>
      <c r="Q57" s="281">
        <f>(Q56-V062A_20303133343635[[#This Row],[TOTAL ]])+V062A_20303133343635[[#This Row],[FAENA]]</f>
        <v>214.78000000000017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57">
        <f>SUM(V062A_20303133343635[[#This Row],[MPAL2]:[GI]])</f>
        <v>0</v>
      </c>
      <c r="X57" s="246"/>
      <c r="Y57" s="282">
        <f>(Y56-V062A_20303133343635[[#This Row],[TOTAL]])+V062A_20303133343635[[#This Row],[FAENA2]]</f>
        <v>14.610000000000001</v>
      </c>
      <c r="Z57" s="245">
        <v>54.17</v>
      </c>
      <c r="AA57" s="246">
        <v>0</v>
      </c>
      <c r="AB57" s="320">
        <f>(AB56-V062A_20303133343635[[#This Row],[CYLINDER MP]])+V062A_20303133343635[[#This Row],[FAENA EN LTS]]</f>
        <v>764.95000000000016</v>
      </c>
      <c r="AC57" s="246">
        <v>0</v>
      </c>
      <c r="AD57" s="246">
        <v>0</v>
      </c>
      <c r="AE57" s="320">
        <f>(AE56-V062A_20303133343635[[#This Row],[CARTER MP.]])+V062A_20303133343635[[#This Row],[FAENA EN LTS2]]</f>
        <v>2700</v>
      </c>
      <c r="AF57" s="246">
        <v>20</v>
      </c>
      <c r="AG57" s="246">
        <v>0</v>
      </c>
      <c r="AH57" s="320">
        <f>(AH56-V062A_20303133343635[[#This Row],[MOT AUX]])+V062A_20303133343635[[#This Row],[FAENA EN  LTS]]</f>
        <v>2660</v>
      </c>
      <c r="AI57" s="246">
        <v>0</v>
      </c>
      <c r="AJ57" s="246">
        <v>0</v>
      </c>
      <c r="AK57" s="321">
        <f>(AK56-V062A_20303133343635[[#This Row],[HIDRAULICO]])+V062A_20303133343635[[#This Row],[FAENA EN LTS3]]</f>
        <v>2000</v>
      </c>
    </row>
    <row r="58" spans="1:37" x14ac:dyDescent="0.25">
      <c r="A58" s="431" t="s">
        <v>385</v>
      </c>
      <c r="B58" s="48">
        <v>44215</v>
      </c>
      <c r="C58" s="41">
        <v>0.70833333333333337</v>
      </c>
      <c r="D58" s="418">
        <f>IF(V062A_20303133343635[[#This Row],[FECHA]]-B57=1,((V062A_20303133343635[[#This Row],[HORA]]-C57)*24)+24,(V062A_20303133343635[[#This Row],[HORA]]-C57)*24)</f>
        <v>9.0000000000000018</v>
      </c>
      <c r="E58" s="409" t="s">
        <v>55</v>
      </c>
      <c r="F58" s="29" t="s">
        <v>382</v>
      </c>
      <c r="G58" s="324">
        <v>199</v>
      </c>
      <c r="H58" s="306">
        <v>14.2</v>
      </c>
      <c r="I58" s="259">
        <f>IF(ISERROR(V062A_20303133343635[[#This Row],[DISTANCIA POR CARTA]]/V062A_20303133343635[[#This Row],[TIEMPO DE NAVEGACION]]),0,V062A_20303133343635[[#This Row],[DISTANCIA POR CARTA]]/V062A_20303133343635[[#This Row],[TIEMPO DE NAVEGACION]])</f>
        <v>14.014084507042254</v>
      </c>
      <c r="J58" s="242">
        <v>4</v>
      </c>
      <c r="K58" s="325">
        <v>97</v>
      </c>
      <c r="L58" s="483">
        <v>8.43</v>
      </c>
      <c r="M58" s="246">
        <v>0.73</v>
      </c>
      <c r="N58" s="484">
        <v>0.44</v>
      </c>
      <c r="O58" s="257">
        <f>SUM(V062A_20303133343635[[#This Row],[MPAL]]+V062A_20303133343635[[#This Row],[AUX.]]+V062A_20303133343635[[#This Row],[CALDERA]])</f>
        <v>9.6</v>
      </c>
      <c r="P58" s="319"/>
      <c r="Q58" s="281">
        <f>(Q57-V062A_20303133343635[[#This Row],[TOTAL ]])+V062A_20303133343635[[#This Row],[FAENA]]</f>
        <v>205.18000000000018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57">
        <f>SUM(V062A_20303133343635[[#This Row],[MPAL2]:[GI]])</f>
        <v>0</v>
      </c>
      <c r="X58" s="246"/>
      <c r="Y58" s="282">
        <f>(Y57-V062A_20303133343635[[#This Row],[TOTAL]])+V062A_20303133343635[[#This Row],[FAENA2]]</f>
        <v>14.610000000000001</v>
      </c>
      <c r="Z58" s="245">
        <v>91.7</v>
      </c>
      <c r="AA58" s="246">
        <v>0</v>
      </c>
      <c r="AB58" s="320">
        <f>(AB57-V062A_20303133343635[[#This Row],[CYLINDER MP]])+V062A_20303133343635[[#This Row],[FAENA EN LTS]]</f>
        <v>673.25000000000011</v>
      </c>
      <c r="AC58" s="246">
        <v>0</v>
      </c>
      <c r="AD58" s="246">
        <v>0</v>
      </c>
      <c r="AE58" s="320">
        <f>(AE57-V062A_20303133343635[[#This Row],[CARTER MP.]])+V062A_20303133343635[[#This Row],[FAENA EN LTS2]]</f>
        <v>2700</v>
      </c>
      <c r="AF58" s="246">
        <v>0</v>
      </c>
      <c r="AG58" s="246">
        <v>0</v>
      </c>
      <c r="AH58" s="320">
        <f>(AH57-V062A_20303133343635[[#This Row],[MOT AUX]])+V062A_20303133343635[[#This Row],[FAENA EN  LTS]]</f>
        <v>2660</v>
      </c>
      <c r="AI58" s="246">
        <v>0</v>
      </c>
      <c r="AJ58" s="246">
        <v>0</v>
      </c>
      <c r="AK58" s="321">
        <f>(AK57-V062A_20303133343635[[#This Row],[HIDRAULICO]])+V062A_20303133343635[[#This Row],[FAENA EN LTS3]]</f>
        <v>2000</v>
      </c>
    </row>
    <row r="59" spans="1:37" x14ac:dyDescent="0.25">
      <c r="A59" s="431" t="s">
        <v>385</v>
      </c>
      <c r="B59" s="48">
        <v>44215</v>
      </c>
      <c r="C59" s="237">
        <v>0.73333333333333339</v>
      </c>
      <c r="D59" s="418">
        <f>IF(V062A_20303133343635[[#This Row],[FECHA]]-B58=1,((V062A_20303133343635[[#This Row],[HORA]]-C58)*24)+24,(V062A_20303133343635[[#This Row],[HORA]]-C58)*24)</f>
        <v>0.60000000000000053</v>
      </c>
      <c r="E59" s="499" t="s">
        <v>47</v>
      </c>
      <c r="F59" s="505" t="s">
        <v>386</v>
      </c>
      <c r="G59" s="500"/>
      <c r="H59" s="501"/>
      <c r="I59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59" s="503"/>
      <c r="K59" s="504"/>
      <c r="L59" s="245">
        <v>0.25</v>
      </c>
      <c r="M59" s="246">
        <v>0.04</v>
      </c>
      <c r="N59" s="246">
        <v>0.03</v>
      </c>
      <c r="O59" s="246">
        <f>SUM(V062A_20303133343635[[#This Row],[MPAL]]+V062A_20303133343635[[#This Row],[AUX.]]+V062A_20303133343635[[#This Row],[CALDERA]])</f>
        <v>0.31999999999999995</v>
      </c>
      <c r="P59" s="319"/>
      <c r="Q59" s="281">
        <f>(Q58-V062A_20303133343635[[#This Row],[TOTAL ]])+V062A_20303133343635[[#This Row],[FAENA]]</f>
        <v>204.86000000000018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SUM(V062A_20303133343635[[#This Row],[MPAL2]:[GI]])</f>
        <v>0</v>
      </c>
      <c r="X59" s="246"/>
      <c r="Y59" s="282">
        <f>(Y58-V062A_20303133343635[[#This Row],[TOTAL]])+V062A_20303133343635[[#This Row],[FAENA2]]</f>
        <v>14.610000000000001</v>
      </c>
      <c r="Z59" s="245">
        <v>0</v>
      </c>
      <c r="AA59" s="246">
        <v>0</v>
      </c>
      <c r="AB59" s="320">
        <f>(AB58-V062A_20303133343635[[#This Row],[CYLINDER MP]])+V062A_20303133343635[[#This Row],[FAENA EN LTS]]</f>
        <v>673.25000000000011</v>
      </c>
      <c r="AC59" s="246">
        <v>0</v>
      </c>
      <c r="AD59" s="246">
        <v>0</v>
      </c>
      <c r="AE59" s="320">
        <f>(AE58-V062A_20303133343635[[#This Row],[CARTER MP.]])+V062A_20303133343635[[#This Row],[FAENA EN LTS2]]</f>
        <v>2700</v>
      </c>
      <c r="AF59" s="246">
        <v>0</v>
      </c>
      <c r="AG59" s="246">
        <v>0</v>
      </c>
      <c r="AH59" s="320">
        <f>(AH58-V062A_20303133343635[[#This Row],[MOT AUX]])+V062A_20303133343635[[#This Row],[FAENA EN  LTS]]</f>
        <v>2660</v>
      </c>
      <c r="AI59" s="246">
        <v>0</v>
      </c>
      <c r="AJ59" s="246">
        <v>0</v>
      </c>
      <c r="AK59" s="321">
        <f>(AK58-V062A_20303133343635[[#This Row],[HIDRAULICO]])+V062A_20303133343635[[#This Row],[FAENA EN LTS3]]</f>
        <v>2000</v>
      </c>
    </row>
    <row r="60" spans="1:37" x14ac:dyDescent="0.25">
      <c r="A60" s="431" t="s">
        <v>385</v>
      </c>
      <c r="B60" s="48">
        <v>44216</v>
      </c>
      <c r="C60" s="41">
        <v>0.33333333333333331</v>
      </c>
      <c r="D60" s="418">
        <f>IF(V062A_20303133343635[[#This Row],[FECHA]]-B58=1,((V062A_20303133343635[[#This Row],[HORA]]-C58)*24)+24,(V062A_20303133343635[[#This Row],[HORA]]-C58)*24)</f>
        <v>14.999999999999998</v>
      </c>
      <c r="E60" s="409" t="s">
        <v>45</v>
      </c>
      <c r="F60" s="29" t="s">
        <v>383</v>
      </c>
      <c r="G60" s="324"/>
      <c r="H60" s="306"/>
      <c r="I6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0" s="242"/>
      <c r="K60" s="325"/>
      <c r="L60" s="483">
        <v>0</v>
      </c>
      <c r="M60" s="246">
        <v>0.95</v>
      </c>
      <c r="N60" s="484">
        <v>0.76</v>
      </c>
      <c r="O60" s="257">
        <f>SUM(V062A_20303133343635[[#This Row],[MPAL]]+V062A_20303133343635[[#This Row],[AUX.]]+V062A_20303133343635[[#This Row],[CALDERA]])</f>
        <v>1.71</v>
      </c>
      <c r="P60" s="319"/>
      <c r="Q60" s="281">
        <f>(Q58-V062A_20303133343635[[#This Row],[TOTAL ]])+V062A_20303133343635[[#This Row],[FAENA]]</f>
        <v>203.47000000000017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57">
        <f>SUM(V062A_20303133343635[[#This Row],[MPAL2]:[GI]])</f>
        <v>0</v>
      </c>
      <c r="X60" s="246"/>
      <c r="Y60" s="282">
        <f>(Y58-V062A_20303133343635[[#This Row],[TOTAL]])+V062A_20303133343635[[#This Row],[FAENA2]]</f>
        <v>14.610000000000001</v>
      </c>
      <c r="Z60" s="245">
        <v>0</v>
      </c>
      <c r="AA60" s="246">
        <v>0</v>
      </c>
      <c r="AB60" s="320">
        <f>(AB58-V062A_20303133343635[[#This Row],[CYLINDER MP]])+V062A_20303133343635[[#This Row],[FAENA EN LTS]]</f>
        <v>673.25000000000011</v>
      </c>
      <c r="AC60" s="246">
        <v>0</v>
      </c>
      <c r="AD60" s="246">
        <v>0</v>
      </c>
      <c r="AE60" s="320">
        <f>(AE58-V062A_20303133343635[[#This Row],[CARTER MP.]])+V062A_20303133343635[[#This Row],[FAENA EN LTS2]]</f>
        <v>2700</v>
      </c>
      <c r="AF60" s="246">
        <v>0</v>
      </c>
      <c r="AG60" s="246">
        <v>0</v>
      </c>
      <c r="AH60" s="320">
        <f>(AH58-V062A_20303133343635[[#This Row],[MOT AUX]])+V062A_20303133343635[[#This Row],[FAENA EN  LTS]]</f>
        <v>2660</v>
      </c>
      <c r="AI60" s="246">
        <v>0</v>
      </c>
      <c r="AJ60" s="246">
        <v>0</v>
      </c>
      <c r="AK60" s="321">
        <f>(AK58-V062A_20303133343635[[#This Row],[HIDRAULICO]])+V062A_20303133343635[[#This Row],[FAENA EN LTS3]]</f>
        <v>2000</v>
      </c>
    </row>
    <row r="61" spans="1:37" x14ac:dyDescent="0.25">
      <c r="A61" s="431" t="s">
        <v>385</v>
      </c>
      <c r="B61" s="48">
        <v>44217</v>
      </c>
      <c r="C61" s="41">
        <v>0.33333333333333331</v>
      </c>
      <c r="D61" s="418">
        <f>IF(V062A_20303133343635[[#This Row],[FECHA]]-B60=1,((V062A_20303133343635[[#This Row],[HORA]]-C60)*24)+24,(V062A_20303133343635[[#This Row],[HORA]]-C60)*24)</f>
        <v>24</v>
      </c>
      <c r="E61" s="409" t="s">
        <v>45</v>
      </c>
      <c r="F61" s="29" t="s">
        <v>383</v>
      </c>
      <c r="G61" s="324"/>
      <c r="H61" s="306"/>
      <c r="I6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1" s="242"/>
      <c r="K61" s="325"/>
      <c r="L61" s="483">
        <v>0</v>
      </c>
      <c r="M61" s="246">
        <v>2.5</v>
      </c>
      <c r="N61" s="484">
        <v>1.9</v>
      </c>
      <c r="O61" s="257">
        <f>SUM(V062A_20303133343635[[#This Row],[MPAL]]+V062A_20303133343635[[#This Row],[AUX.]]+V062A_20303133343635[[#This Row],[CALDERA]])</f>
        <v>4.4000000000000004</v>
      </c>
      <c r="P61" s="319"/>
      <c r="Q61" s="281">
        <f>(Q60-V062A_20303133343635[[#This Row],[TOTAL ]])+V062A_20303133343635[[#This Row],[FAENA]]</f>
        <v>199.07000000000016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57">
        <f>SUM(V062A_20303133343635[[#This Row],[MPAL2]:[GI]])</f>
        <v>0</v>
      </c>
      <c r="X61" s="246"/>
      <c r="Y61" s="282">
        <f>(Y60-V062A_20303133343635[[#This Row],[TOTAL]])+V062A_20303133343635[[#This Row],[FAENA2]]</f>
        <v>14.610000000000001</v>
      </c>
      <c r="Z61" s="245">
        <v>0</v>
      </c>
      <c r="AA61" s="246">
        <v>0</v>
      </c>
      <c r="AB61" s="320">
        <f>(AB60-V062A_20303133343635[[#This Row],[CYLINDER MP]])+V062A_20303133343635[[#This Row],[FAENA EN LTS]]</f>
        <v>673.25000000000011</v>
      </c>
      <c r="AC61" s="246">
        <v>0</v>
      </c>
      <c r="AD61" s="246">
        <v>0</v>
      </c>
      <c r="AE61" s="320">
        <f>(AE60-V062A_20303133343635[[#This Row],[CARTER MP.]])+V062A_20303133343635[[#This Row],[FAENA EN LTS2]]</f>
        <v>2700</v>
      </c>
      <c r="AF61" s="246">
        <v>0</v>
      </c>
      <c r="AG61" s="246">
        <v>0</v>
      </c>
      <c r="AH61" s="320">
        <f>(AH60-V062A_20303133343635[[#This Row],[MOT AUX]])+V062A_20303133343635[[#This Row],[FAENA EN  LTS]]</f>
        <v>2660</v>
      </c>
      <c r="AI61" s="246">
        <v>0</v>
      </c>
      <c r="AJ61" s="246">
        <v>0</v>
      </c>
      <c r="AK61" s="321">
        <f>(AK60-V062A_20303133343635[[#This Row],[HIDRAULICO]])+V062A_20303133343635[[#This Row],[FAENA EN LTS3]]</f>
        <v>2000</v>
      </c>
    </row>
    <row r="62" spans="1:37" x14ac:dyDescent="0.25">
      <c r="A62" s="431" t="s">
        <v>385</v>
      </c>
      <c r="B62" s="48">
        <v>44218</v>
      </c>
      <c r="C62" s="41">
        <v>0.33333333333333331</v>
      </c>
      <c r="D62" s="418">
        <f>IF(V062A_20303133343635[[#This Row],[FECHA]]-B61=1,((V062A_20303133343635[[#This Row],[HORA]]-C61)*24)+24,(V062A_20303133343635[[#This Row],[HORA]]-C61)*24)</f>
        <v>24</v>
      </c>
      <c r="E62" s="409" t="s">
        <v>45</v>
      </c>
      <c r="F62" s="29" t="s">
        <v>383</v>
      </c>
      <c r="G62" s="324"/>
      <c r="H62" s="306"/>
      <c r="I6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2" s="242"/>
      <c r="K62" s="325"/>
      <c r="L62" s="483">
        <v>0</v>
      </c>
      <c r="M62" s="246">
        <v>1.5</v>
      </c>
      <c r="N62" s="484">
        <v>1.2</v>
      </c>
      <c r="O62" s="257">
        <f>SUM(V062A_20303133343635[[#This Row],[MPAL]]+V062A_20303133343635[[#This Row],[AUX.]]+V062A_20303133343635[[#This Row],[CALDERA]])</f>
        <v>2.7</v>
      </c>
      <c r="P62" s="319"/>
      <c r="Q62" s="281">
        <f>(Q61-V062A_20303133343635[[#This Row],[TOTAL ]])+V062A_20303133343635[[#This Row],[FAENA]]</f>
        <v>196.37000000000018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57">
        <f>SUM(V062A_20303133343635[[#This Row],[MPAL2]:[GI]])</f>
        <v>0</v>
      </c>
      <c r="X62" s="246"/>
      <c r="Y62" s="282">
        <f>(Y61-V062A_20303133343635[[#This Row],[TOTAL]])+V062A_20303133343635[[#This Row],[FAENA2]]</f>
        <v>14.610000000000001</v>
      </c>
      <c r="Z62" s="245">
        <v>0</v>
      </c>
      <c r="AA62" s="246">
        <v>0</v>
      </c>
      <c r="AB62" s="320">
        <f>(AB61-V062A_20303133343635[[#This Row],[CYLINDER MP]])+V062A_20303133343635[[#This Row],[FAENA EN LTS]]</f>
        <v>673.25000000000011</v>
      </c>
      <c r="AC62" s="246">
        <v>0</v>
      </c>
      <c r="AD62" s="246">
        <v>0</v>
      </c>
      <c r="AE62" s="320">
        <f>(AE61-V062A_20303133343635[[#This Row],[CARTER MP.]])+V062A_20303133343635[[#This Row],[FAENA EN LTS2]]</f>
        <v>2700</v>
      </c>
      <c r="AF62" s="246">
        <v>0</v>
      </c>
      <c r="AG62" s="246">
        <v>0</v>
      </c>
      <c r="AH62" s="320">
        <f>(AH61-V062A_20303133343635[[#This Row],[MOT AUX]])+V062A_20303133343635[[#This Row],[FAENA EN  LTS]]</f>
        <v>2660</v>
      </c>
      <c r="AI62" s="246">
        <v>0</v>
      </c>
      <c r="AJ62" s="246">
        <v>0</v>
      </c>
      <c r="AK62" s="321">
        <f>(AK61-V062A_20303133343635[[#This Row],[HIDRAULICO]])+V062A_20303133343635[[#This Row],[FAENA EN LTS3]]</f>
        <v>2000</v>
      </c>
    </row>
    <row r="63" spans="1:37" x14ac:dyDescent="0.25">
      <c r="A63" s="431" t="s">
        <v>385</v>
      </c>
      <c r="B63" s="48">
        <v>44219</v>
      </c>
      <c r="C63" s="41">
        <v>0.33333333333333331</v>
      </c>
      <c r="D63" s="418">
        <f>IF(V062A_20303133343635[[#This Row],[FECHA]]-B62=1,((V062A_20303133343635[[#This Row],[HORA]]-C62)*24)+24,(V062A_20303133343635[[#This Row],[HORA]]-C62)*24)</f>
        <v>24</v>
      </c>
      <c r="E63" s="239" t="s">
        <v>45</v>
      </c>
      <c r="F63" s="29" t="s">
        <v>383</v>
      </c>
      <c r="G63" s="324"/>
      <c r="H63" s="306"/>
      <c r="I6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3" s="380"/>
      <c r="K63" s="325"/>
      <c r="L63" s="483">
        <v>0</v>
      </c>
      <c r="M63" s="246">
        <v>4.2</v>
      </c>
      <c r="N63" s="484">
        <v>1.2</v>
      </c>
      <c r="O63" s="257">
        <f>SUM(V062A_20303133343635[[#This Row],[MPAL]]+V062A_20303133343635[[#This Row],[AUX.]]+V062A_20303133343635[[#This Row],[CALDERA]])</f>
        <v>5.4</v>
      </c>
      <c r="P63" s="319"/>
      <c r="Q63" s="281">
        <f>(Q62-V062A_20303133343635[[#This Row],[TOTAL ]])+V062A_20303133343635[[#This Row],[FAENA]]</f>
        <v>190.97000000000017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57">
        <f>SUM(V062A_20303133343635[[#This Row],[MPAL2]:[GI]])</f>
        <v>0</v>
      </c>
      <c r="X63" s="246"/>
      <c r="Y63" s="282">
        <f>(Y62-V062A_20303133343635[[#This Row],[TOTAL]])+V062A_20303133343635[[#This Row],[FAENA2]]</f>
        <v>14.610000000000001</v>
      </c>
      <c r="Z63" s="245">
        <v>0</v>
      </c>
      <c r="AA63" s="246">
        <v>0</v>
      </c>
      <c r="AB63" s="320">
        <f>(AB62-V062A_20303133343635[[#This Row],[CYLINDER MP]])+V062A_20303133343635[[#This Row],[FAENA EN LTS]]</f>
        <v>673.25000000000011</v>
      </c>
      <c r="AC63" s="246">
        <v>0</v>
      </c>
      <c r="AD63" s="246">
        <v>0</v>
      </c>
      <c r="AE63" s="320">
        <f>(AE62-V062A_20303133343635[[#This Row],[CARTER MP.]])+V062A_20303133343635[[#This Row],[FAENA EN LTS2]]</f>
        <v>2700</v>
      </c>
      <c r="AF63" s="246">
        <v>20</v>
      </c>
      <c r="AG63" s="246">
        <v>0</v>
      </c>
      <c r="AH63" s="320">
        <f>(AH62-V062A_20303133343635[[#This Row],[MOT AUX]])+V062A_20303133343635[[#This Row],[FAENA EN  LTS]]</f>
        <v>2640</v>
      </c>
      <c r="AI63" s="246">
        <v>0</v>
      </c>
      <c r="AJ63" s="246">
        <v>0</v>
      </c>
      <c r="AK63" s="321">
        <f>(AK62-V062A_20303133343635[[#This Row],[HIDRAULICO]])+V062A_20303133343635[[#This Row],[FAENA EN LTS3]]</f>
        <v>2000</v>
      </c>
    </row>
    <row r="64" spans="1:37" x14ac:dyDescent="0.25">
      <c r="A64" s="431" t="s">
        <v>385</v>
      </c>
      <c r="B64" s="48">
        <v>44220</v>
      </c>
      <c r="C64" s="41">
        <v>0.33333333333333331</v>
      </c>
      <c r="D64" s="418">
        <f>IF(V062A_20303133343635[[#This Row],[FECHA]]-B63=1,((V062A_20303133343635[[#This Row],[HORA]]-C63)*24)+24,(V062A_20303133343635[[#This Row],[HORA]]-C63)*24)</f>
        <v>24</v>
      </c>
      <c r="E64" s="239" t="s">
        <v>45</v>
      </c>
      <c r="F64" s="29" t="s">
        <v>383</v>
      </c>
      <c r="G64" s="324"/>
      <c r="H64" s="306"/>
      <c r="I6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4" s="242"/>
      <c r="K64" s="325"/>
      <c r="L64" s="483">
        <v>0</v>
      </c>
      <c r="M64" s="246">
        <v>1.5</v>
      </c>
      <c r="N64" s="484">
        <v>1.2</v>
      </c>
      <c r="O64" s="257">
        <f>SUM(V062A_20303133343635[[#This Row],[MPAL]]+V062A_20303133343635[[#This Row],[AUX.]]+V062A_20303133343635[[#This Row],[CALDERA]])</f>
        <v>2.7</v>
      </c>
      <c r="P64" s="319"/>
      <c r="Q64" s="281">
        <f>(Q63-V062A_20303133343635[[#This Row],[TOTAL ]])+V062A_20303133343635[[#This Row],[FAENA]]</f>
        <v>188.27000000000018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57">
        <f>SUM(V062A_20303133343635[[#This Row],[MPAL2]:[GI]])</f>
        <v>0</v>
      </c>
      <c r="X64" s="246"/>
      <c r="Y64" s="282">
        <f>(Y63-V062A_20303133343635[[#This Row],[TOTAL]])+V062A_20303133343635[[#This Row],[FAENA2]]</f>
        <v>14.610000000000001</v>
      </c>
      <c r="Z64" s="245">
        <v>0</v>
      </c>
      <c r="AA64" s="246">
        <v>0</v>
      </c>
      <c r="AB64" s="320">
        <f>(AB63-V062A_20303133343635[[#This Row],[CYLINDER MP]])+V062A_20303133343635[[#This Row],[FAENA EN LTS]]</f>
        <v>673.25000000000011</v>
      </c>
      <c r="AC64" s="246">
        <v>0</v>
      </c>
      <c r="AD64" s="246">
        <v>0</v>
      </c>
      <c r="AE64" s="320">
        <f>(AE63-V062A_20303133343635[[#This Row],[CARTER MP.]])+V062A_20303133343635[[#This Row],[FAENA EN LTS2]]</f>
        <v>2700</v>
      </c>
      <c r="AF64" s="246">
        <v>0</v>
      </c>
      <c r="AG64" s="246">
        <v>0</v>
      </c>
      <c r="AH64" s="320">
        <f>(AH63-V062A_20303133343635[[#This Row],[MOT AUX]])+V062A_20303133343635[[#This Row],[FAENA EN  LTS]]</f>
        <v>2640</v>
      </c>
      <c r="AI64" s="246">
        <v>0</v>
      </c>
      <c r="AJ64" s="246">
        <v>0</v>
      </c>
      <c r="AK64" s="321">
        <f>(AK63-V062A_20303133343635[[#This Row],[HIDRAULICO]])+V062A_20303133343635[[#This Row],[FAENA EN LTS3]]</f>
        <v>2000</v>
      </c>
    </row>
    <row r="65" spans="1:37" x14ac:dyDescent="0.25">
      <c r="A65" s="431" t="s">
        <v>385</v>
      </c>
      <c r="B65" s="48">
        <v>44221</v>
      </c>
      <c r="C65" s="41">
        <v>0.33333333333333331</v>
      </c>
      <c r="D65" s="418">
        <f>IF(V062A_20303133343635[[#This Row],[FECHA]]-B64=1,((V062A_20303133343635[[#This Row],[HORA]]-C64)*24)+24,(V062A_20303133343635[[#This Row],[HORA]]-C64)*24)</f>
        <v>24</v>
      </c>
      <c r="E65" s="409" t="s">
        <v>45</v>
      </c>
      <c r="F65" s="29" t="s">
        <v>383</v>
      </c>
      <c r="G65" s="324"/>
      <c r="H65" s="306"/>
      <c r="I65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5" s="242"/>
      <c r="K65" s="325"/>
      <c r="L65" s="483">
        <v>0</v>
      </c>
      <c r="M65" s="246">
        <v>2</v>
      </c>
      <c r="N65" s="484">
        <v>1.5</v>
      </c>
      <c r="O65" s="257">
        <f>SUM(V062A_20303133343635[[#This Row],[MPAL]]+V062A_20303133343635[[#This Row],[AUX.]]+V062A_20303133343635[[#This Row],[CALDERA]])</f>
        <v>3.5</v>
      </c>
      <c r="P65" s="319"/>
      <c r="Q65" s="281">
        <f>(Q64-V062A_20303133343635[[#This Row],[TOTAL ]])+V062A_20303133343635[[#This Row],[FAENA]]</f>
        <v>184.77000000000018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257">
        <f>SUM(V062A_20303133343635[[#This Row],[MPAL2]:[GI]])</f>
        <v>0</v>
      </c>
      <c r="X65" s="246"/>
      <c r="Y65" s="282">
        <f>(Y64-V062A_20303133343635[[#This Row],[TOTAL]])+V062A_20303133343635[[#This Row],[FAENA2]]</f>
        <v>14.610000000000001</v>
      </c>
      <c r="Z65" s="245">
        <v>0</v>
      </c>
      <c r="AA65" s="246">
        <v>0</v>
      </c>
      <c r="AB65" s="320">
        <f>(AB64-V062A_20303133343635[[#This Row],[CYLINDER MP]])+V062A_20303133343635[[#This Row],[FAENA EN LTS]]</f>
        <v>673.25000000000011</v>
      </c>
      <c r="AC65" s="246">
        <v>0</v>
      </c>
      <c r="AD65" s="246">
        <v>0</v>
      </c>
      <c r="AE65" s="320">
        <f>(AE64-V062A_20303133343635[[#This Row],[CARTER MP.]])+V062A_20303133343635[[#This Row],[FAENA EN LTS2]]</f>
        <v>2700</v>
      </c>
      <c r="AF65" s="246">
        <v>0</v>
      </c>
      <c r="AG65" s="246">
        <v>0</v>
      </c>
      <c r="AH65" s="320">
        <f>(AH64-V062A_20303133343635[[#This Row],[MOT AUX]])+V062A_20303133343635[[#This Row],[FAENA EN  LTS]]</f>
        <v>2640</v>
      </c>
      <c r="AI65" s="246">
        <v>0</v>
      </c>
      <c r="AJ65" s="246">
        <v>0</v>
      </c>
      <c r="AK65" s="321">
        <f>(AK64-V062A_20303133343635[[#This Row],[HIDRAULICO]])+V062A_20303133343635[[#This Row],[FAENA EN LTS3]]</f>
        <v>2000</v>
      </c>
    </row>
    <row r="66" spans="1:37" x14ac:dyDescent="0.25">
      <c r="A66" s="431" t="s">
        <v>385</v>
      </c>
      <c r="B66" s="48">
        <v>44222</v>
      </c>
      <c r="C66" s="237">
        <v>0</v>
      </c>
      <c r="D66" s="418">
        <f>IF(V062A_20303133343635[[#This Row],[FECHA]]-B65=1,((V062A_20303133343635[[#This Row],[HORA]]-C65)*24)+24,(V062A_20303133343635[[#This Row],[HORA]]-C65)*24)</f>
        <v>16</v>
      </c>
      <c r="E66" s="499" t="s">
        <v>45</v>
      </c>
      <c r="F66" s="29" t="s">
        <v>383</v>
      </c>
      <c r="G66" s="500"/>
      <c r="H66" s="501"/>
      <c r="I6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6" s="503"/>
      <c r="K66" s="504"/>
      <c r="L66" s="245">
        <v>0</v>
      </c>
      <c r="M66" s="246">
        <v>0.67</v>
      </c>
      <c r="N66" s="246">
        <v>0.33</v>
      </c>
      <c r="O66" s="246">
        <f>SUM(V062A_20303133343635[[#This Row],[MPAL]]+V062A_20303133343635[[#This Row],[AUX.]]+V062A_20303133343635[[#This Row],[CALDERA]])</f>
        <v>1</v>
      </c>
      <c r="P66" s="319"/>
      <c r="Q66" s="281">
        <f>(Q65-V062A_20303133343635[[#This Row],[TOTAL ]])+V062A_20303133343635[[#This Row],[FAENA]]</f>
        <v>183.77000000000018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SUM(V062A_20303133343635[[#This Row],[MPAL2]:[GI]])</f>
        <v>0</v>
      </c>
      <c r="X66" s="246"/>
      <c r="Y66" s="282">
        <f>(Y65-V062A_20303133343635[[#This Row],[TOTAL]])+V062A_20303133343635[[#This Row],[FAENA2]]</f>
        <v>14.610000000000001</v>
      </c>
      <c r="Z66" s="245">
        <v>0</v>
      </c>
      <c r="AA66" s="246">
        <v>0</v>
      </c>
      <c r="AB66" s="320">
        <f>(AB65-V062A_20303133343635[[#This Row],[CYLINDER MP]])+V062A_20303133343635[[#This Row],[FAENA EN LTS]]</f>
        <v>673.25000000000011</v>
      </c>
      <c r="AC66" s="246">
        <v>0</v>
      </c>
      <c r="AD66" s="246">
        <v>0</v>
      </c>
      <c r="AE66" s="320">
        <f>(AE65-V062A_20303133343635[[#This Row],[CARTER MP.]])+V062A_20303133343635[[#This Row],[FAENA EN LTS2]]</f>
        <v>2700</v>
      </c>
      <c r="AF66" s="246">
        <v>0</v>
      </c>
      <c r="AG66" s="246">
        <v>0</v>
      </c>
      <c r="AH66" s="320">
        <f>(AH65-V062A_20303133343635[[#This Row],[MOT AUX]])+V062A_20303133343635[[#This Row],[FAENA EN  LTS]]</f>
        <v>2640</v>
      </c>
      <c r="AI66" s="246">
        <v>0</v>
      </c>
      <c r="AJ66" s="246">
        <v>0</v>
      </c>
      <c r="AK66" s="321">
        <f>(AK65-V062A_20303133343635[[#This Row],[HIDRAULICO]])+V062A_20303133343635[[#This Row],[FAENA EN LTS3]]</f>
        <v>2000</v>
      </c>
    </row>
    <row r="67" spans="1:37" x14ac:dyDescent="0.25">
      <c r="A67" s="431" t="s">
        <v>385</v>
      </c>
      <c r="B67" s="48">
        <v>44222</v>
      </c>
      <c r="C67" s="41">
        <v>0.33333333333333331</v>
      </c>
      <c r="D67" s="418">
        <f>IF(V062A_20303133343635[[#This Row],[FECHA]]-B66=1,((V062A_20303133343635[[#This Row],[HORA]]-C66)*24)+24,(V062A_20303133343635[[#This Row],[HORA]]-C66)*24)</f>
        <v>8</v>
      </c>
      <c r="E67" s="409" t="s">
        <v>45</v>
      </c>
      <c r="F67" s="29" t="s">
        <v>383</v>
      </c>
      <c r="G67" s="324"/>
      <c r="H67" s="306"/>
      <c r="I67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7" s="242"/>
      <c r="K67" s="325"/>
      <c r="L67" s="483">
        <v>0</v>
      </c>
      <c r="M67" s="246">
        <v>4</v>
      </c>
      <c r="N67" s="484">
        <v>2</v>
      </c>
      <c r="O67" s="257">
        <f>SUM(V062A_20303133343635[[#This Row],[MPAL]]+V062A_20303133343635[[#This Row],[AUX.]]+V062A_20303133343635[[#This Row],[CALDERA]])</f>
        <v>6</v>
      </c>
      <c r="P67" s="319"/>
      <c r="Q67" s="281">
        <f>(Q65-V062A_20303133343635[[#This Row],[TOTAL ]])+V062A_20303133343635[[#This Row],[FAENA]]</f>
        <v>178.77000000000018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57">
        <f>SUM(V062A_20303133343635[[#This Row],[MPAL2]:[GI]])</f>
        <v>0</v>
      </c>
      <c r="X67" s="246"/>
      <c r="Y67" s="282">
        <f>(Y65-V062A_20303133343635[[#This Row],[TOTAL]])+V062A_20303133343635[[#This Row],[FAENA2]]</f>
        <v>14.610000000000001</v>
      </c>
      <c r="Z67" s="245">
        <v>0</v>
      </c>
      <c r="AA67" s="246">
        <v>0</v>
      </c>
      <c r="AB67" s="320">
        <f>(AB65-V062A_20303133343635[[#This Row],[CYLINDER MP]])+V062A_20303133343635[[#This Row],[FAENA EN LTS]]</f>
        <v>673.25000000000011</v>
      </c>
      <c r="AC67" s="246">
        <v>0</v>
      </c>
      <c r="AD67" s="246">
        <v>0</v>
      </c>
      <c r="AE67" s="320">
        <f>(AE65-V062A_20303133343635[[#This Row],[CARTER MP.]])+V062A_20303133343635[[#This Row],[FAENA EN LTS2]]</f>
        <v>2700</v>
      </c>
      <c r="AF67" s="246">
        <v>20</v>
      </c>
      <c r="AG67" s="246">
        <v>0</v>
      </c>
      <c r="AH67" s="320">
        <f>(AH65-V062A_20303133343635[[#This Row],[MOT AUX]])+V062A_20303133343635[[#This Row],[FAENA EN  LTS]]</f>
        <v>2620</v>
      </c>
      <c r="AI67" s="246">
        <v>0</v>
      </c>
      <c r="AJ67" s="246">
        <v>0</v>
      </c>
      <c r="AK67" s="321">
        <f>(AK65-V062A_20303133343635[[#This Row],[HIDRAULICO]])+V062A_20303133343635[[#This Row],[FAENA EN LTS3]]</f>
        <v>2000</v>
      </c>
    </row>
    <row r="68" spans="1:37" x14ac:dyDescent="0.25">
      <c r="A68" s="431" t="s">
        <v>385</v>
      </c>
      <c r="B68" s="48">
        <v>44223</v>
      </c>
      <c r="C68" s="41">
        <v>0.33333333333333331</v>
      </c>
      <c r="D68" s="418">
        <f>IF(V062A_20303133343635[[#This Row],[FECHA]]-B67=1,((V062A_20303133343635[[#This Row],[HORA]]-C67)*24)+24,(V062A_20303133343635[[#This Row],[HORA]]-C67)*24)</f>
        <v>24</v>
      </c>
      <c r="E68" s="409" t="s">
        <v>45</v>
      </c>
      <c r="F68" s="29" t="s">
        <v>383</v>
      </c>
      <c r="G68" s="324"/>
      <c r="H68" s="306"/>
      <c r="I68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8" s="242"/>
      <c r="K68" s="325"/>
      <c r="L68" s="483">
        <v>0</v>
      </c>
      <c r="M68" s="246">
        <v>1.5</v>
      </c>
      <c r="N68" s="484">
        <v>1.2</v>
      </c>
      <c r="O68" s="257">
        <f>SUM(V062A_20303133343635[[#This Row],[MPAL]]+V062A_20303133343635[[#This Row],[AUX.]]+V062A_20303133343635[[#This Row],[CALDERA]])</f>
        <v>2.7</v>
      </c>
      <c r="P68" s="319"/>
      <c r="Q68" s="281">
        <f>(Q67-V062A_20303133343635[[#This Row],[TOTAL ]])+V062A_20303133343635[[#This Row],[FAENA]]</f>
        <v>176.07000000000019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57">
        <f>SUM(V062A_20303133343635[[#This Row],[MPAL2]:[GI]])</f>
        <v>0</v>
      </c>
      <c r="X68" s="246"/>
      <c r="Y68" s="282">
        <f>(Y67-V062A_20303133343635[[#This Row],[TOTAL]])+V062A_20303133343635[[#This Row],[FAENA2]]</f>
        <v>14.610000000000001</v>
      </c>
      <c r="Z68" s="245">
        <v>0</v>
      </c>
      <c r="AA68" s="246">
        <v>0</v>
      </c>
      <c r="AB68" s="320">
        <f>(AB67-V062A_20303133343635[[#This Row],[CYLINDER MP]])+V062A_20303133343635[[#This Row],[FAENA EN LTS]]</f>
        <v>673.25000000000011</v>
      </c>
      <c r="AC68" s="246">
        <v>0</v>
      </c>
      <c r="AD68" s="246">
        <v>0</v>
      </c>
      <c r="AE68" s="320">
        <f>(AE67-V062A_20303133343635[[#This Row],[CARTER MP.]])+V062A_20303133343635[[#This Row],[FAENA EN LTS2]]</f>
        <v>2700</v>
      </c>
      <c r="AF68" s="246">
        <v>0</v>
      </c>
      <c r="AG68" s="246">
        <v>0</v>
      </c>
      <c r="AH68" s="320">
        <f>(AH67-V062A_20303133343635[[#This Row],[MOT AUX]])+V062A_20303133343635[[#This Row],[FAENA EN  LTS]]</f>
        <v>2620</v>
      </c>
      <c r="AI68" s="246">
        <v>0</v>
      </c>
      <c r="AJ68" s="246">
        <v>0</v>
      </c>
      <c r="AK68" s="321">
        <f>(AK67-V062A_20303133343635[[#This Row],[HIDRAULICO]])+V062A_20303133343635[[#This Row],[FAENA EN LTS3]]</f>
        <v>2000</v>
      </c>
    </row>
    <row r="69" spans="1:37" x14ac:dyDescent="0.25">
      <c r="A69" s="431" t="s">
        <v>385</v>
      </c>
      <c r="B69" s="48">
        <v>44223</v>
      </c>
      <c r="C69" s="41">
        <v>0.34166666666666662</v>
      </c>
      <c r="D69" s="418">
        <f>IF(V062A_20303133343635[[#This Row],[FECHA]]-B68=1,((V062A_20303133343635[[#This Row],[HORA]]-C68)*24)+24,(V062A_20303133343635[[#This Row],[HORA]]-C68)*24)</f>
        <v>0.19999999999999929</v>
      </c>
      <c r="E69" s="409" t="s">
        <v>45</v>
      </c>
      <c r="F69" s="29" t="s">
        <v>46</v>
      </c>
      <c r="G69" s="324"/>
      <c r="H69" s="306"/>
      <c r="I69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69" s="242"/>
      <c r="K69" s="325"/>
      <c r="L69" s="483">
        <v>0</v>
      </c>
      <c r="M69" s="246">
        <v>0.02</v>
      </c>
      <c r="N69" s="484">
        <v>0.01</v>
      </c>
      <c r="O69" s="257">
        <f>SUM(V062A_20303133343635[[#This Row],[MPAL]]+V062A_20303133343635[[#This Row],[AUX.]]+V062A_20303133343635[[#This Row],[CALDERA]])</f>
        <v>0.03</v>
      </c>
      <c r="P69" s="319"/>
      <c r="Q69" s="281">
        <f>(Q68-V062A_20303133343635[[#This Row],[TOTAL ]])+V062A_20303133343635[[#This Row],[FAENA]]</f>
        <v>176.04000000000019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57">
        <f>SUM(V062A_20303133343635[[#This Row],[MPAL2]:[GI]])</f>
        <v>0</v>
      </c>
      <c r="X69" s="246"/>
      <c r="Y69" s="282">
        <f>(Y68-V062A_20303133343635[[#This Row],[TOTAL]])+V062A_20303133343635[[#This Row],[FAENA2]]</f>
        <v>14.610000000000001</v>
      </c>
      <c r="Z69" s="245">
        <v>0</v>
      </c>
      <c r="AA69" s="246">
        <v>0</v>
      </c>
      <c r="AB69" s="320">
        <f>(AB68-V062A_20303133343635[[#This Row],[CYLINDER MP]])+V062A_20303133343635[[#This Row],[FAENA EN LTS]]</f>
        <v>673.25000000000011</v>
      </c>
      <c r="AC69" s="246">
        <v>0</v>
      </c>
      <c r="AD69" s="246">
        <v>0</v>
      </c>
      <c r="AE69" s="320">
        <f>(AE68-V062A_20303133343635[[#This Row],[CARTER MP.]])+V062A_20303133343635[[#This Row],[FAENA EN LTS2]]</f>
        <v>2700</v>
      </c>
      <c r="AF69" s="246">
        <v>0</v>
      </c>
      <c r="AG69" s="246">
        <v>0</v>
      </c>
      <c r="AH69" s="320">
        <f>(AH68-V062A_20303133343635[[#This Row],[MOT AUX]])+V062A_20303133343635[[#This Row],[FAENA EN  LTS]]</f>
        <v>2620</v>
      </c>
      <c r="AI69" s="246">
        <v>0</v>
      </c>
      <c r="AJ69" s="246">
        <v>0</v>
      </c>
      <c r="AK69" s="321">
        <f>(AK68-V062A_20303133343635[[#This Row],[HIDRAULICO]])+V062A_20303133343635[[#This Row],[FAENA EN LTS3]]</f>
        <v>2000</v>
      </c>
    </row>
    <row r="70" spans="1:37" x14ac:dyDescent="0.25">
      <c r="A70" s="431" t="s">
        <v>385</v>
      </c>
      <c r="B70" s="48">
        <v>44223</v>
      </c>
      <c r="C70" s="41">
        <v>0.45833333333333331</v>
      </c>
      <c r="D70" s="418">
        <f>IF(V062A_20303133343635[[#This Row],[FECHA]]-B69=1,((V062A_20303133343635[[#This Row],[HORA]]-C69)*24)+24,(V062A_20303133343635[[#This Row],[HORA]]-C69)*24)</f>
        <v>2.8000000000000007</v>
      </c>
      <c r="E70" s="409" t="s">
        <v>47</v>
      </c>
      <c r="F70" s="29" t="s">
        <v>384</v>
      </c>
      <c r="G70" s="324"/>
      <c r="H70" s="306"/>
      <c r="I70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0" s="242"/>
      <c r="K70" s="325"/>
      <c r="L70" s="483">
        <v>1.17</v>
      </c>
      <c r="M70" s="246">
        <v>0.23</v>
      </c>
      <c r="N70" s="484">
        <v>0.14000000000000001</v>
      </c>
      <c r="O70" s="257">
        <f>SUM(V062A_20303133343635[[#This Row],[MPAL]]+V062A_20303133343635[[#This Row],[AUX.]]+V062A_20303133343635[[#This Row],[CALDERA]])</f>
        <v>1.54</v>
      </c>
      <c r="P70" s="319"/>
      <c r="Q70" s="281">
        <f>(Q69-V062A_20303133343635[[#This Row],[TOTAL ]])+V062A_20303133343635[[#This Row],[FAENA]]</f>
        <v>174.5000000000002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57">
        <f>SUM(V062A_20303133343635[[#This Row],[MPAL2]:[GI]])</f>
        <v>0</v>
      </c>
      <c r="X70" s="246"/>
      <c r="Y70" s="282">
        <f>(Y69-V062A_20303133343635[[#This Row],[TOTAL]])+V062A_20303133343635[[#This Row],[FAENA2]]</f>
        <v>14.610000000000001</v>
      </c>
      <c r="Z70" s="245">
        <v>0</v>
      </c>
      <c r="AA70" s="246">
        <v>0</v>
      </c>
      <c r="AB70" s="320">
        <f>(AB69-V062A_20303133343635[[#This Row],[CYLINDER MP]])+V062A_20303133343635[[#This Row],[FAENA EN LTS]]</f>
        <v>673.25000000000011</v>
      </c>
      <c r="AC70" s="246">
        <v>0</v>
      </c>
      <c r="AD70" s="246">
        <v>0</v>
      </c>
      <c r="AE70" s="320">
        <f>(AE69-V062A_20303133343635[[#This Row],[CARTER MP.]])+V062A_20303133343635[[#This Row],[FAENA EN LTS2]]</f>
        <v>2700</v>
      </c>
      <c r="AF70" s="246">
        <v>0</v>
      </c>
      <c r="AG70" s="246">
        <v>0</v>
      </c>
      <c r="AH70" s="320">
        <f>(AH69-V062A_20303133343635[[#This Row],[MOT AUX]])+V062A_20303133343635[[#This Row],[FAENA EN  LTS]]</f>
        <v>2620</v>
      </c>
      <c r="AI70" s="246">
        <v>0</v>
      </c>
      <c r="AJ70" s="246">
        <v>0</v>
      </c>
      <c r="AK70" s="321">
        <f>(AK69-V062A_20303133343635[[#This Row],[HIDRAULICO]])+V062A_20303133343635[[#This Row],[FAENA EN LTS3]]</f>
        <v>2000</v>
      </c>
    </row>
    <row r="71" spans="1:37" x14ac:dyDescent="0.25">
      <c r="A71" s="431" t="s">
        <v>385</v>
      </c>
      <c r="B71" s="48">
        <v>44223</v>
      </c>
      <c r="C71" s="41">
        <v>0.625</v>
      </c>
      <c r="D71" s="418">
        <f>IF(V062A_20303133343635[[#This Row],[FECHA]]-B70=1,((V062A_20303133343635[[#This Row],[HORA]]-C70)*24)+24,(V062A_20303133343635[[#This Row],[HORA]]-C70)*24)</f>
        <v>4</v>
      </c>
      <c r="E71" s="239" t="s">
        <v>71</v>
      </c>
      <c r="F71" s="29" t="s">
        <v>387</v>
      </c>
      <c r="G71" s="324"/>
      <c r="H71" s="306"/>
      <c r="I71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1" s="242"/>
      <c r="K71" s="325"/>
      <c r="L71" s="483">
        <v>0</v>
      </c>
      <c r="M71" s="246">
        <v>0.25</v>
      </c>
      <c r="N71" s="484">
        <v>0.2</v>
      </c>
      <c r="O71" s="257">
        <f>SUM(V062A_20303133343635[[#This Row],[MPAL]]+V062A_20303133343635[[#This Row],[AUX.]]+V062A_20303133343635[[#This Row],[CALDERA]])</f>
        <v>0.45</v>
      </c>
      <c r="P71" s="319"/>
      <c r="Q71" s="281">
        <f>(Q70-V062A_20303133343635[[#This Row],[TOTAL ]])+V062A_20303133343635[[#This Row],[FAENA]]</f>
        <v>174.05000000000021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57">
        <f>SUM(V062A_20303133343635[[#This Row],[MPAL2]:[GI]])</f>
        <v>0</v>
      </c>
      <c r="X71" s="246"/>
      <c r="Y71" s="282">
        <f>(Y70-V062A_20303133343635[[#This Row],[TOTAL]])+V062A_20303133343635[[#This Row],[FAENA2]]</f>
        <v>14.610000000000001</v>
      </c>
      <c r="Z71" s="245">
        <v>0</v>
      </c>
      <c r="AA71" s="246">
        <v>0</v>
      </c>
      <c r="AB71" s="320">
        <f>(AB70-V062A_20303133343635[[#This Row],[CYLINDER MP]])+V062A_20303133343635[[#This Row],[FAENA EN LTS]]</f>
        <v>673.25000000000011</v>
      </c>
      <c r="AC71" s="246">
        <v>0</v>
      </c>
      <c r="AD71" s="246">
        <v>0</v>
      </c>
      <c r="AE71" s="320">
        <f>(AE70-V062A_20303133343635[[#This Row],[CARTER MP.]])+V062A_20303133343635[[#This Row],[FAENA EN LTS2]]</f>
        <v>2700</v>
      </c>
      <c r="AF71" s="246">
        <v>0</v>
      </c>
      <c r="AG71" s="246">
        <v>0</v>
      </c>
      <c r="AH71" s="320">
        <f>(AH70-V062A_20303133343635[[#This Row],[MOT AUX]])+V062A_20303133343635[[#This Row],[FAENA EN  LTS]]</f>
        <v>2620</v>
      </c>
      <c r="AI71" s="246">
        <v>0</v>
      </c>
      <c r="AJ71" s="246">
        <v>0</v>
      </c>
      <c r="AK71" s="321">
        <f>(AK70-V062A_20303133343635[[#This Row],[HIDRAULICO]])+V062A_20303133343635[[#This Row],[FAENA EN LTS3]]</f>
        <v>2000</v>
      </c>
    </row>
    <row r="72" spans="1:37" x14ac:dyDescent="0.25">
      <c r="A72" s="431" t="s">
        <v>385</v>
      </c>
      <c r="B72" s="48">
        <v>44224</v>
      </c>
      <c r="C72" s="41">
        <v>0.33333333333333331</v>
      </c>
      <c r="D72" s="418">
        <f>IF(V062A_20303133343635[[#This Row],[FECHA]]-B71=1,((V062A_20303133343635[[#This Row],[HORA]]-C71)*24)+24,(V062A_20303133343635[[#This Row],[HORA]]-C71)*24)</f>
        <v>17</v>
      </c>
      <c r="E72" s="239" t="s">
        <v>71</v>
      </c>
      <c r="F72" s="378" t="s">
        <v>388</v>
      </c>
      <c r="G72" s="324"/>
      <c r="H72" s="306"/>
      <c r="I72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2" s="242"/>
      <c r="K72" s="325"/>
      <c r="L72" s="483">
        <v>0</v>
      </c>
      <c r="M72" s="246">
        <v>1.06</v>
      </c>
      <c r="N72" s="484">
        <v>0.85</v>
      </c>
      <c r="O72" s="257">
        <f>SUM(V062A_20303133343635[[#This Row],[MPAL]]+V062A_20303133343635[[#This Row],[AUX.]]+V062A_20303133343635[[#This Row],[CALDERA]])</f>
        <v>1.9100000000000001</v>
      </c>
      <c r="P72" s="319"/>
      <c r="Q72" s="281">
        <f>(Q71-V062A_20303133343635[[#This Row],[TOTAL ]])+V062A_20303133343635[[#This Row],[FAENA]]</f>
        <v>172.14000000000021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57">
        <f>SUM(V062A_20303133343635[[#This Row],[MPAL2]:[GI]])</f>
        <v>0</v>
      </c>
      <c r="X72" s="246"/>
      <c r="Y72" s="282">
        <f>(Y71-V062A_20303133343635[[#This Row],[TOTAL]])+V062A_20303133343635[[#This Row],[FAENA2]]</f>
        <v>14.610000000000001</v>
      </c>
      <c r="Z72" s="245">
        <v>0</v>
      </c>
      <c r="AA72" s="246">
        <v>0</v>
      </c>
      <c r="AB72" s="320">
        <f>(AB71-V062A_20303133343635[[#This Row],[CYLINDER MP]])+V062A_20303133343635[[#This Row],[FAENA EN LTS]]</f>
        <v>673.25000000000011</v>
      </c>
      <c r="AC72" s="246">
        <v>0</v>
      </c>
      <c r="AD72" s="246">
        <v>0</v>
      </c>
      <c r="AE72" s="320">
        <f>(AE71-V062A_20303133343635[[#This Row],[CARTER MP.]])+V062A_20303133343635[[#This Row],[FAENA EN LTS2]]</f>
        <v>2700</v>
      </c>
      <c r="AF72" s="246">
        <v>0</v>
      </c>
      <c r="AG72" s="246">
        <v>0</v>
      </c>
      <c r="AH72" s="320">
        <f>(AH71-V062A_20303133343635[[#This Row],[MOT AUX]])+V062A_20303133343635[[#This Row],[FAENA EN  LTS]]</f>
        <v>2620</v>
      </c>
      <c r="AI72" s="246">
        <v>0</v>
      </c>
      <c r="AJ72" s="246">
        <v>0</v>
      </c>
      <c r="AK72" s="321">
        <f>(AK71-V062A_20303133343635[[#This Row],[HIDRAULICO]])+V062A_20303133343635[[#This Row],[FAENA EN LTS3]]</f>
        <v>2000</v>
      </c>
    </row>
    <row r="73" spans="1:37" x14ac:dyDescent="0.25">
      <c r="A73" s="431" t="s">
        <v>385</v>
      </c>
      <c r="B73" s="48">
        <v>44224</v>
      </c>
      <c r="C73" s="41">
        <v>0.58333333333333337</v>
      </c>
      <c r="D73" s="418">
        <f>IF(V062A_20303133343635[[#This Row],[FECHA]]-B72=1,((V062A_20303133343635[[#This Row],[HORA]]-C72)*24)+24,(V062A_20303133343635[[#This Row],[HORA]]-C72)*24)</f>
        <v>6.0000000000000018</v>
      </c>
      <c r="E73" s="239" t="s">
        <v>49</v>
      </c>
      <c r="F73" s="378" t="s">
        <v>389</v>
      </c>
      <c r="G73" s="324"/>
      <c r="H73" s="306"/>
      <c r="I73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3" s="242"/>
      <c r="K73" s="325"/>
      <c r="L73" s="483">
        <v>0</v>
      </c>
      <c r="M73" s="246">
        <v>0.63</v>
      </c>
      <c r="N73" s="484">
        <v>0.3</v>
      </c>
      <c r="O73" s="257">
        <f>SUM(V062A_20303133343635[[#This Row],[MPAL]]+V062A_20303133343635[[#This Row],[AUX.]]+V062A_20303133343635[[#This Row],[CALDERA]])</f>
        <v>0.92999999999999994</v>
      </c>
      <c r="P73" s="319"/>
      <c r="Q73" s="281">
        <f>(Q72-V062A_20303133343635[[#This Row],[TOTAL ]])+V062A_20303133343635[[#This Row],[FAENA]]</f>
        <v>171.21000000000021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57">
        <f>SUM(V062A_20303133343635[[#This Row],[MPAL2]:[GI]])</f>
        <v>0</v>
      </c>
      <c r="X73" s="246"/>
      <c r="Y73" s="282">
        <f>(Y72-V062A_20303133343635[[#This Row],[TOTAL]])+V062A_20303133343635[[#This Row],[FAENA2]]</f>
        <v>14.610000000000001</v>
      </c>
      <c r="Z73" s="245">
        <v>0</v>
      </c>
      <c r="AA73" s="246">
        <v>0</v>
      </c>
      <c r="AB73" s="320">
        <f>(AB72-V062A_20303133343635[[#This Row],[CYLINDER MP]])+V062A_20303133343635[[#This Row],[FAENA EN LTS]]</f>
        <v>673.25000000000011</v>
      </c>
      <c r="AC73" s="246">
        <v>0</v>
      </c>
      <c r="AD73" s="246">
        <v>0</v>
      </c>
      <c r="AE73" s="320">
        <f>(AE72-V062A_20303133343635[[#This Row],[CARTER MP.]])+V062A_20303133343635[[#This Row],[FAENA EN LTS2]]</f>
        <v>2700</v>
      </c>
      <c r="AF73" s="246">
        <v>0</v>
      </c>
      <c r="AG73" s="246">
        <v>0</v>
      </c>
      <c r="AH73" s="320">
        <f>(AH72-V062A_20303133343635[[#This Row],[MOT AUX]])+V062A_20303133343635[[#This Row],[FAENA EN  LTS]]</f>
        <v>2620</v>
      </c>
      <c r="AI73" s="246">
        <v>0</v>
      </c>
      <c r="AJ73" s="246">
        <v>0</v>
      </c>
      <c r="AK73" s="321">
        <f>(AK72-V062A_20303133343635[[#This Row],[HIDRAULICO]])+V062A_20303133343635[[#This Row],[FAENA EN LTS3]]</f>
        <v>2000</v>
      </c>
    </row>
    <row r="74" spans="1:37" x14ac:dyDescent="0.25">
      <c r="A74" s="431" t="s">
        <v>385</v>
      </c>
      <c r="B74" s="48">
        <v>44224</v>
      </c>
      <c r="C74" s="41">
        <v>0.63194444444444442</v>
      </c>
      <c r="D74" s="418">
        <f>IF(V062A_20303133343635[[#This Row],[FECHA]]-B73=1,((V062A_20303133343635[[#This Row],[HORA]]-C73)*24)+24,(V062A_20303133343635[[#This Row],[HORA]]-C73)*24)</f>
        <v>1.1666666666666652</v>
      </c>
      <c r="E74" s="239" t="s">
        <v>49</v>
      </c>
      <c r="F74" s="378" t="s">
        <v>390</v>
      </c>
      <c r="G74" s="324"/>
      <c r="H74" s="306"/>
      <c r="I74" s="259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4" s="380"/>
      <c r="K74" s="325"/>
      <c r="L74" s="483">
        <v>0</v>
      </c>
      <c r="M74" s="246">
        <v>0.12</v>
      </c>
      <c r="N74" s="484">
        <v>0.06</v>
      </c>
      <c r="O74" s="257">
        <f>SUM(V062A_20303133343635[[#This Row],[MPAL]]+V062A_20303133343635[[#This Row],[AUX.]]+V062A_20303133343635[[#This Row],[CALDERA]])</f>
        <v>0.18</v>
      </c>
      <c r="P74" s="319"/>
      <c r="Q74" s="281">
        <f>(Q73-V062A_20303133343635[[#This Row],[TOTAL ]])+V062A_20303133343635[[#This Row],[FAENA]]</f>
        <v>171.0300000000002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57">
        <f>SUM(V062A_20303133343635[[#This Row],[MPAL2]:[GI]])</f>
        <v>0</v>
      </c>
      <c r="X74" s="246">
        <v>66.13</v>
      </c>
      <c r="Y74" s="282">
        <f>(Y73-V062A_20303133343635[[#This Row],[TOTAL]])+V062A_20303133343635[[#This Row],[FAENA2]]</f>
        <v>80.739999999999995</v>
      </c>
      <c r="Z74" s="245">
        <v>0</v>
      </c>
      <c r="AA74" s="246">
        <v>0</v>
      </c>
      <c r="AB74" s="320">
        <f>(AB73-V062A_20303133343635[[#This Row],[CYLINDER MP]])+V062A_20303133343635[[#This Row],[FAENA EN LTS]]</f>
        <v>673.25000000000011</v>
      </c>
      <c r="AC74" s="246">
        <v>0</v>
      </c>
      <c r="AD74" s="246">
        <v>0</v>
      </c>
      <c r="AE74" s="320">
        <f>(AE73-V062A_20303133343635[[#This Row],[CARTER MP.]])+V062A_20303133343635[[#This Row],[FAENA EN LTS2]]</f>
        <v>2700</v>
      </c>
      <c r="AF74" s="246">
        <v>0</v>
      </c>
      <c r="AG74" s="246">
        <v>0</v>
      </c>
      <c r="AH74" s="320">
        <f>(AH73-V062A_20303133343635[[#This Row],[MOT AUX]])+V062A_20303133343635[[#This Row],[FAENA EN  LTS]]</f>
        <v>2620</v>
      </c>
      <c r="AI74" s="246">
        <v>0</v>
      </c>
      <c r="AJ74" s="246">
        <v>0</v>
      </c>
      <c r="AK74" s="321">
        <f>(AK73-V062A_20303133343635[[#This Row],[HIDRAULICO]])+V062A_20303133343635[[#This Row],[FAENA EN LTS3]]</f>
        <v>2000</v>
      </c>
    </row>
    <row r="75" spans="1:37" x14ac:dyDescent="0.25">
      <c r="A75" s="431" t="s">
        <v>385</v>
      </c>
      <c r="B75" s="48">
        <v>44224</v>
      </c>
      <c r="C75" s="237">
        <v>0.875</v>
      </c>
      <c r="D75" s="418">
        <f>IF(V062A_20303133343635[[#This Row],[FECHA]]-B74=1,((V062A_20303133343635[[#This Row],[HORA]]-C74)*24)+24,(V062A_20303133343635[[#This Row],[HORA]]-C74)*24)</f>
        <v>5.8333333333333339</v>
      </c>
      <c r="E75" s="499" t="s">
        <v>49</v>
      </c>
      <c r="F75" s="505" t="s">
        <v>391</v>
      </c>
      <c r="G75" s="500"/>
      <c r="H75" s="501"/>
      <c r="I75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5" s="503"/>
      <c r="K75" s="504"/>
      <c r="L75" s="245">
        <v>0</v>
      </c>
      <c r="M75" s="246">
        <v>0.36</v>
      </c>
      <c r="N75" s="246">
        <v>0.28999999999999998</v>
      </c>
      <c r="O75" s="246">
        <f>SUM(V062A_20303133343635[[#This Row],[MPAL]]+V062A_20303133343635[[#This Row],[AUX.]]+V062A_20303133343635[[#This Row],[CALDERA]])</f>
        <v>0.64999999999999991</v>
      </c>
      <c r="P75" s="319"/>
      <c r="Q75" s="281">
        <f>(Q74-V062A_20303133343635[[#This Row],[TOTAL ]])+V062A_20303133343635[[#This Row],[FAENA]]</f>
        <v>170.38000000000019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SUM(V062A_20303133343635[[#This Row],[MPAL2]:[GI]])</f>
        <v>0</v>
      </c>
      <c r="X75" s="246"/>
      <c r="Y75" s="282">
        <f>(Y74-V062A_20303133343635[[#This Row],[TOTAL]])+V062A_20303133343635[[#This Row],[FAENA2]]</f>
        <v>80.739999999999995</v>
      </c>
      <c r="Z75" s="245">
        <v>0</v>
      </c>
      <c r="AA75" s="246">
        <v>0</v>
      </c>
      <c r="AB75" s="320">
        <f>(AB74-V062A_20303133343635[[#This Row],[CYLINDER MP]])+V062A_20303133343635[[#This Row],[FAENA EN LTS]]</f>
        <v>673.25000000000011</v>
      </c>
      <c r="AC75" s="246">
        <v>0</v>
      </c>
      <c r="AD75" s="246">
        <v>0</v>
      </c>
      <c r="AE75" s="320">
        <f>(AE74-V062A_20303133343635[[#This Row],[CARTER MP.]])+V062A_20303133343635[[#This Row],[FAENA EN LTS2]]</f>
        <v>2700</v>
      </c>
      <c r="AF75" s="246">
        <v>0</v>
      </c>
      <c r="AG75" s="246">
        <v>0</v>
      </c>
      <c r="AH75" s="320">
        <f>(AH74-V062A_20303133343635[[#This Row],[MOT AUX]])+V062A_20303133343635[[#This Row],[FAENA EN  LTS]]</f>
        <v>2620</v>
      </c>
      <c r="AI75" s="246">
        <v>0</v>
      </c>
      <c r="AJ75" s="246">
        <v>0</v>
      </c>
      <c r="AK75" s="321">
        <f>(AK74-V062A_20303133343635[[#This Row],[HIDRAULICO]])+V062A_20303133343635[[#This Row],[FAENA EN LTS3]]</f>
        <v>2000</v>
      </c>
    </row>
    <row r="76" spans="1:37" x14ac:dyDescent="0.25">
      <c r="A76" s="431" t="s">
        <v>385</v>
      </c>
      <c r="B76" s="48">
        <v>44224</v>
      </c>
      <c r="C76" s="237">
        <v>0.90416666666666667</v>
      </c>
      <c r="D76" s="418">
        <f>IF(V062A_20303133343635[[#This Row],[FECHA]]-B75=1,((V062A_20303133343635[[#This Row],[HORA]]-C75)*24)+24,(V062A_20303133343635[[#This Row],[HORA]]-C75)*24)</f>
        <v>0.70000000000000018</v>
      </c>
      <c r="E76" s="499" t="s">
        <v>45</v>
      </c>
      <c r="F76" s="505" t="s">
        <v>383</v>
      </c>
      <c r="G76" s="500"/>
      <c r="H76" s="501"/>
      <c r="I76" s="502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6" s="503"/>
      <c r="K76" s="504"/>
      <c r="L76" s="245">
        <v>0</v>
      </c>
      <c r="M76" s="246">
        <v>0.04</v>
      </c>
      <c r="N76" s="246">
        <v>0.04</v>
      </c>
      <c r="O76" s="246">
        <f>SUM(V062A_20303133343635[[#This Row],[MPAL]]+V062A_20303133343635[[#This Row],[AUX.]]+V062A_20303133343635[[#This Row],[CALDERA]])</f>
        <v>0.08</v>
      </c>
      <c r="P76" s="319"/>
      <c r="Q76" s="281">
        <f>(Q75-V062A_20303133343635[[#This Row],[TOTAL ]])+V062A_20303133343635[[#This Row],[FAENA]]</f>
        <v>170.30000000000018</v>
      </c>
      <c r="R76" s="245">
        <v>0</v>
      </c>
      <c r="S76" s="246">
        <v>0</v>
      </c>
      <c r="T76" s="246">
        <v>0</v>
      </c>
      <c r="U76" s="246">
        <v>0</v>
      </c>
      <c r="V76" s="246">
        <v>0</v>
      </c>
      <c r="W76" s="246">
        <f>SUM(V062A_20303133343635[[#This Row],[MPAL2]:[GI]])</f>
        <v>0</v>
      </c>
      <c r="X76" s="246"/>
      <c r="Y76" s="282">
        <f>(Y75-V062A_20303133343635[[#This Row],[TOTAL]])+V062A_20303133343635[[#This Row],[FAENA2]]</f>
        <v>80.739999999999995</v>
      </c>
      <c r="Z76" s="245">
        <v>0</v>
      </c>
      <c r="AA76" s="246">
        <v>0</v>
      </c>
      <c r="AB76" s="320">
        <f>(AB75-V062A_20303133343635[[#This Row],[CYLINDER MP]])+V062A_20303133343635[[#This Row],[FAENA EN LTS]]</f>
        <v>673.25000000000011</v>
      </c>
      <c r="AC76" s="246">
        <v>0</v>
      </c>
      <c r="AD76" s="246">
        <v>0</v>
      </c>
      <c r="AE76" s="320">
        <f>(AE75-V062A_20303133343635[[#This Row],[CARTER MP.]])+V062A_20303133343635[[#This Row],[FAENA EN LTS2]]</f>
        <v>2700</v>
      </c>
      <c r="AF76" s="246">
        <v>0</v>
      </c>
      <c r="AG76" s="246">
        <v>0</v>
      </c>
      <c r="AH76" s="320">
        <f>(AH75-V062A_20303133343635[[#This Row],[MOT AUX]])+V062A_20303133343635[[#This Row],[FAENA EN  LTS]]</f>
        <v>2620</v>
      </c>
      <c r="AI76" s="246">
        <v>0</v>
      </c>
      <c r="AJ76" s="246">
        <v>0</v>
      </c>
      <c r="AK76" s="321">
        <f>(AK75-V062A_20303133343635[[#This Row],[HIDRAULICO]])+V062A_20303133343635[[#This Row],[FAENA EN LTS3]]</f>
        <v>2000</v>
      </c>
    </row>
    <row r="77" spans="1:37" x14ac:dyDescent="0.25">
      <c r="A77" s="431" t="s">
        <v>385</v>
      </c>
      <c r="B77" s="48">
        <v>44225</v>
      </c>
      <c r="C77" s="41">
        <v>4.1666666666666664E-2</v>
      </c>
      <c r="D77" s="418">
        <f>IF(V062A_20303133343635[[#This Row],[FECHA]]-B74=1,((V062A_20303133343635[[#This Row],[HORA]]-C74)*24)+24,(V062A_20303133343635[[#This Row],[HORA]]-C74)*24)</f>
        <v>9.8333333333333321</v>
      </c>
      <c r="E77" s="432" t="s">
        <v>47</v>
      </c>
      <c r="F77" s="378" t="s">
        <v>277</v>
      </c>
      <c r="G77" s="433"/>
      <c r="H77" s="434"/>
      <c r="I7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77" s="436"/>
      <c r="K77" s="437"/>
      <c r="L77" s="483">
        <v>1.38</v>
      </c>
      <c r="M77" s="246">
        <v>0.21</v>
      </c>
      <c r="N77" s="484">
        <v>0.17</v>
      </c>
      <c r="O77" s="246">
        <f>SUM(V062A_20303133343635[[#This Row],[MPAL]]+V062A_20303133343635[[#This Row],[AUX.]]+V062A_20303133343635[[#This Row],[CALDERA]])</f>
        <v>1.7599999999999998</v>
      </c>
      <c r="P77" s="319"/>
      <c r="Q77" s="270">
        <f>(Q74-V062A_20303133343635[[#This Row],[TOTAL ]])+V062A_20303133343635[[#This Row],[FAENA]]</f>
        <v>169.27000000000021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SUM(V062A_20303133343635[[#This Row],[MPAL2]:[GI]])</f>
        <v>0</v>
      </c>
      <c r="X77" s="246"/>
      <c r="Y77" s="300">
        <f>(Y74-V062A_20303133343635[[#This Row],[TOTAL]])+V062A_20303133343635[[#This Row],[FAENA2]]</f>
        <v>80.739999999999995</v>
      </c>
      <c r="Z77" s="245">
        <v>0</v>
      </c>
      <c r="AA77" s="246">
        <v>0</v>
      </c>
      <c r="AB77" s="438">
        <f>(AB74-V062A_20303133343635[[#This Row],[CYLINDER MP]])+V062A_20303133343635[[#This Row],[FAENA EN LTS]]</f>
        <v>673.25000000000011</v>
      </c>
      <c r="AC77" s="246">
        <v>0</v>
      </c>
      <c r="AD77" s="246">
        <v>0</v>
      </c>
      <c r="AE77" s="438">
        <f>(AE74-V062A_20303133343635[[#This Row],[CARTER MP.]])+V062A_20303133343635[[#This Row],[FAENA EN LTS2]]</f>
        <v>2700</v>
      </c>
      <c r="AF77" s="246">
        <v>20</v>
      </c>
      <c r="AG77" s="246">
        <v>0</v>
      </c>
      <c r="AH77" s="438">
        <f>(AH74-V062A_20303133343635[[#This Row],[MOT AUX]])+V062A_20303133343635[[#This Row],[FAENA EN  LTS]]</f>
        <v>2600</v>
      </c>
      <c r="AI77" s="246">
        <v>0</v>
      </c>
      <c r="AJ77" s="246">
        <v>0</v>
      </c>
      <c r="AK77" s="439">
        <f>(AK74-V062A_20303133343635[[#This Row],[HIDRAULICO]])+V062A_20303133343635[[#This Row],[FAENA EN LTS3]]</f>
        <v>2000</v>
      </c>
    </row>
    <row r="78" spans="1:37" x14ac:dyDescent="0.25">
      <c r="A78" s="431" t="s">
        <v>385</v>
      </c>
      <c r="B78" s="48">
        <v>44225</v>
      </c>
      <c r="C78" s="41">
        <v>0.33333333333333331</v>
      </c>
      <c r="D78" s="418">
        <f>IF(V062A_20303133343635[[#This Row],[FECHA]]-B77=1,((V062A_20303133343635[[#This Row],[HORA]]-C77)*24)+24,(V062A_20303133343635[[#This Row],[HORA]]-C77)*24)</f>
        <v>6.9999999999999991</v>
      </c>
      <c r="E78" s="432" t="s">
        <v>55</v>
      </c>
      <c r="F78" s="378" t="s">
        <v>56</v>
      </c>
      <c r="G78" s="433">
        <v>84</v>
      </c>
      <c r="H78" s="434">
        <v>7</v>
      </c>
      <c r="I78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</v>
      </c>
      <c r="J78" s="436">
        <v>5</v>
      </c>
      <c r="K78" s="437">
        <v>97</v>
      </c>
      <c r="L78" s="483">
        <v>6.71</v>
      </c>
      <c r="M78" s="246">
        <v>0.73</v>
      </c>
      <c r="N78" s="484">
        <v>0</v>
      </c>
      <c r="O78" s="246">
        <f>SUM(V062A_20303133343635[[#This Row],[MPAL]]+V062A_20303133343635[[#This Row],[AUX.]]+V062A_20303133343635[[#This Row],[CALDERA]])</f>
        <v>7.4399999999999995</v>
      </c>
      <c r="P78" s="319"/>
      <c r="Q78" s="270">
        <f>(Q77-V062A_20303133343635[[#This Row],[TOTAL ]])+V062A_20303133343635[[#This Row],[FAENA]]</f>
        <v>161.83000000000021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SUM(V062A_20303133343635[[#This Row],[MPAL2]:[GI]])</f>
        <v>0</v>
      </c>
      <c r="X78" s="246"/>
      <c r="Y78" s="300">
        <f>(Y77-V062A_20303133343635[[#This Row],[TOTAL]])+V062A_20303133343635[[#This Row],[FAENA2]]</f>
        <v>80.739999999999995</v>
      </c>
      <c r="Z78" s="245">
        <v>72.92</v>
      </c>
      <c r="AA78" s="246">
        <v>0</v>
      </c>
      <c r="AB78" s="438">
        <f>(AB77-V062A_20303133343635[[#This Row],[CYLINDER MP]])+V062A_20303133343635[[#This Row],[FAENA EN LTS]]</f>
        <v>600.33000000000015</v>
      </c>
      <c r="AC78" s="246">
        <v>0</v>
      </c>
      <c r="AD78" s="246">
        <v>0</v>
      </c>
      <c r="AE78" s="438">
        <f>(AE77-V062A_20303133343635[[#This Row],[CARTER MP.]])+V062A_20303133343635[[#This Row],[FAENA EN LTS2]]</f>
        <v>2700</v>
      </c>
      <c r="AF78" s="246">
        <v>0</v>
      </c>
      <c r="AG78" s="246">
        <v>0</v>
      </c>
      <c r="AH78" s="438">
        <f>(AH77-V062A_20303133343635[[#This Row],[MOT AUX]])+V062A_20303133343635[[#This Row],[FAENA EN  LTS]]</f>
        <v>2600</v>
      </c>
      <c r="AI78" s="246">
        <v>0</v>
      </c>
      <c r="AJ78" s="246">
        <v>0</v>
      </c>
      <c r="AK78" s="439">
        <f>(AK77-V062A_20303133343635[[#This Row],[HIDRAULICO]])+V062A_20303133343635[[#This Row],[FAENA EN LTS3]]</f>
        <v>2000</v>
      </c>
    </row>
    <row r="79" spans="1:37" x14ac:dyDescent="0.25">
      <c r="A79" s="431" t="s">
        <v>385</v>
      </c>
      <c r="B79" s="48">
        <v>44226</v>
      </c>
      <c r="C79" s="41">
        <v>0.33333333333333331</v>
      </c>
      <c r="D79" s="418">
        <f>IF(V062A_20303133343635[[#This Row],[FECHA]]-B78=1,((V062A_20303133343635[[#This Row],[HORA]]-C78)*24)+24,(V062A_20303133343635[[#This Row],[HORA]]-C78)*24)</f>
        <v>24</v>
      </c>
      <c r="E79" s="432" t="s">
        <v>55</v>
      </c>
      <c r="F79" s="378" t="s">
        <v>56</v>
      </c>
      <c r="G79" s="433">
        <v>287</v>
      </c>
      <c r="H79" s="434">
        <v>24</v>
      </c>
      <c r="I79" s="435">
        <f>IF(ISERROR(V062A_20303133343635[[#This Row],[DISTANCIA POR CARTA]]/V062A_20303133343635[[#This Row],[TIEMPO DE NAVEGACION]]),0,V062A_20303133343635[[#This Row],[DISTANCIA POR CARTA]]/V062A_20303133343635[[#This Row],[TIEMPO DE NAVEGACION]])</f>
        <v>11.958333333333334</v>
      </c>
      <c r="J79" s="436">
        <v>6</v>
      </c>
      <c r="K79" s="437">
        <v>97</v>
      </c>
      <c r="L79" s="483">
        <v>25</v>
      </c>
      <c r="M79" s="246">
        <v>1.5</v>
      </c>
      <c r="N79" s="484">
        <v>0</v>
      </c>
      <c r="O79" s="246">
        <f>SUM(V062A_20303133343635[[#This Row],[MPAL]]+V062A_20303133343635[[#This Row],[AUX.]]+V062A_20303133343635[[#This Row],[CALDERA]])</f>
        <v>26.5</v>
      </c>
      <c r="P79" s="319"/>
      <c r="Q79" s="270">
        <f>(Q78-V062A_20303133343635[[#This Row],[TOTAL ]])+V062A_20303133343635[[#This Row],[FAENA]]</f>
        <v>135.33000000000021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SUM(V062A_20303133343635[[#This Row],[MPAL2]:[GI]])</f>
        <v>0</v>
      </c>
      <c r="X79" s="246"/>
      <c r="Y79" s="300">
        <f>(Y78-V062A_20303133343635[[#This Row],[TOTAL]])+V062A_20303133343635[[#This Row],[FAENA2]]</f>
        <v>80.739999999999995</v>
      </c>
      <c r="Z79" s="245">
        <v>250</v>
      </c>
      <c r="AA79" s="246">
        <v>0</v>
      </c>
      <c r="AB79" s="438">
        <f>(AB78-V062A_20303133343635[[#This Row],[CYLINDER MP]])+V062A_20303133343635[[#This Row],[FAENA EN LTS]]</f>
        <v>350.33000000000015</v>
      </c>
      <c r="AC79" s="246">
        <v>0</v>
      </c>
      <c r="AD79" s="246">
        <v>0</v>
      </c>
      <c r="AE79" s="438">
        <f>(AE78-V062A_20303133343635[[#This Row],[CARTER MP.]])+V062A_20303133343635[[#This Row],[FAENA EN LTS2]]</f>
        <v>2700</v>
      </c>
      <c r="AF79" s="246">
        <v>20</v>
      </c>
      <c r="AG79" s="246">
        <v>0</v>
      </c>
      <c r="AH79" s="438">
        <f>(AH78-V062A_20303133343635[[#This Row],[MOT AUX]])+V062A_20303133343635[[#This Row],[FAENA EN  LTS]]</f>
        <v>2580</v>
      </c>
      <c r="AI79" s="246">
        <v>0</v>
      </c>
      <c r="AJ79" s="246">
        <v>0</v>
      </c>
      <c r="AK79" s="439">
        <f>(AK78-V062A_20303133343635[[#This Row],[HIDRAULICO]])+V062A_20303133343635[[#This Row],[FAENA EN LTS3]]</f>
        <v>2000</v>
      </c>
    </row>
    <row r="80" spans="1:37" x14ac:dyDescent="0.25">
      <c r="A80" s="431" t="s">
        <v>385</v>
      </c>
      <c r="B80" s="48">
        <v>44226</v>
      </c>
      <c r="C80" s="41">
        <v>0.85</v>
      </c>
      <c r="D80" s="418">
        <f>IF(V062A_20303133343635[[#This Row],[FECHA]]-B79=1,((V062A_20303133343635[[#This Row],[HORA]]-C79)*24)+24,(V062A_20303133343635[[#This Row],[HORA]]-C79)*24)</f>
        <v>12.399999999999999</v>
      </c>
      <c r="E80" s="432" t="s">
        <v>55</v>
      </c>
      <c r="F80" s="378" t="s">
        <v>392</v>
      </c>
      <c r="G80" s="433">
        <v>159</v>
      </c>
      <c r="H80" s="434">
        <v>12.4</v>
      </c>
      <c r="I80" s="435">
        <f>IF(ISERROR(V062A_20303133343635[[#This Row],[DISTANCIA POR CARTA]]/V062A_20303133343635[[#This Row],[TIEMPO DE NAVEGACION]]),0,V062A_20303133343635[[#This Row],[DISTANCIA POR CARTA]]/V062A_20303133343635[[#This Row],[TIEMPO DE NAVEGACION]])</f>
        <v>12.82258064516129</v>
      </c>
      <c r="J80" s="436">
        <v>4</v>
      </c>
      <c r="K80" s="437">
        <v>97</v>
      </c>
      <c r="L80" s="483">
        <v>12.92</v>
      </c>
      <c r="M80" s="246">
        <v>1.03</v>
      </c>
      <c r="N80" s="484">
        <v>0</v>
      </c>
      <c r="O80" s="246">
        <f>SUM(V062A_20303133343635[[#This Row],[MPAL]]+V062A_20303133343635[[#This Row],[AUX.]]+V062A_20303133343635[[#This Row],[CALDERA]])</f>
        <v>13.95</v>
      </c>
      <c r="P80" s="319"/>
      <c r="Q80" s="270">
        <f>(Q79-V062A_20303133343635[[#This Row],[TOTAL ]])+V062A_20303133343635[[#This Row],[FAENA]]</f>
        <v>121.38000000000021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SUM(V062A_20303133343635[[#This Row],[MPAL2]:[GI]])</f>
        <v>0</v>
      </c>
      <c r="X80" s="246"/>
      <c r="Y80" s="300">
        <f>(Y79-V062A_20303133343635[[#This Row],[TOTAL]])+V062A_20303133343635[[#This Row],[FAENA2]]</f>
        <v>80.739999999999995</v>
      </c>
      <c r="Z80" s="245">
        <v>129.16999999999999</v>
      </c>
      <c r="AA80" s="246">
        <v>0</v>
      </c>
      <c r="AB80" s="438">
        <f>(AB79-V062A_20303133343635[[#This Row],[CYLINDER MP]])+V062A_20303133343635[[#This Row],[FAENA EN LTS]]</f>
        <v>221.16000000000017</v>
      </c>
      <c r="AC80" s="246">
        <v>0</v>
      </c>
      <c r="AD80" s="246">
        <v>0</v>
      </c>
      <c r="AE80" s="438">
        <f>(AE79-V062A_20303133343635[[#This Row],[CARTER MP.]])+V062A_20303133343635[[#This Row],[FAENA EN LTS2]]</f>
        <v>2700</v>
      </c>
      <c r="AF80" s="246">
        <v>0</v>
      </c>
      <c r="AG80" s="246">
        <v>0</v>
      </c>
      <c r="AH80" s="438">
        <f>(AH79-V062A_20303133343635[[#This Row],[MOT AUX]])+V062A_20303133343635[[#This Row],[FAENA EN  LTS]]</f>
        <v>2580</v>
      </c>
      <c r="AI80" s="246">
        <v>0</v>
      </c>
      <c r="AJ80" s="246">
        <v>0</v>
      </c>
      <c r="AK80" s="439">
        <f>(AK79-V062A_20303133343635[[#This Row],[HIDRAULICO]])+V062A_20303133343635[[#This Row],[FAENA EN LTS3]]</f>
        <v>2000</v>
      </c>
    </row>
    <row r="81" spans="1:37" x14ac:dyDescent="0.25">
      <c r="A81" s="431" t="s">
        <v>385</v>
      </c>
      <c r="B81" s="48">
        <v>44226</v>
      </c>
      <c r="C81" s="41">
        <v>0.87916666666666676</v>
      </c>
      <c r="D81" s="418">
        <f>IF(V062A_20303133343635[[#This Row],[FECHA]]-B80=1,((V062A_20303133343635[[#This Row],[HORA]]-C80)*24)+24,(V062A_20303133343635[[#This Row],[HORA]]-C80)*24)</f>
        <v>0.70000000000000284</v>
      </c>
      <c r="E81" s="432" t="s">
        <v>47</v>
      </c>
      <c r="F81" s="378" t="s">
        <v>393</v>
      </c>
      <c r="G81" s="433"/>
      <c r="H81" s="434"/>
      <c r="I81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1" s="436"/>
      <c r="K81" s="437"/>
      <c r="L81" s="483">
        <v>0</v>
      </c>
      <c r="M81" s="246">
        <v>0.06</v>
      </c>
      <c r="N81" s="484">
        <v>0</v>
      </c>
      <c r="O81" s="246">
        <f>SUM(V062A_20303133343635[[#This Row],[MPAL]]+V062A_20303133343635[[#This Row],[AUX.]]+V062A_20303133343635[[#This Row],[CALDERA]])</f>
        <v>0.06</v>
      </c>
      <c r="P81" s="319"/>
      <c r="Q81" s="270">
        <f>(Q80-V062A_20303133343635[[#This Row],[TOTAL ]])+V062A_20303133343635[[#This Row],[FAENA]]</f>
        <v>121.32000000000021</v>
      </c>
      <c r="R81" s="245">
        <v>1.5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SUM(V062A_20303133343635[[#This Row],[MPAL2]:[GI]])</f>
        <v>1.5</v>
      </c>
      <c r="X81" s="246"/>
      <c r="Y81" s="300">
        <f>(Y80-V062A_20303133343635[[#This Row],[TOTAL]])+V062A_20303133343635[[#This Row],[FAENA2]]</f>
        <v>79.239999999999995</v>
      </c>
      <c r="Z81" s="245">
        <v>0</v>
      </c>
      <c r="AA81" s="246">
        <v>0</v>
      </c>
      <c r="AB81" s="438">
        <f>(AB80-V062A_20303133343635[[#This Row],[CYLINDER MP]])+V062A_20303133343635[[#This Row],[FAENA EN LTS]]</f>
        <v>221.16000000000017</v>
      </c>
      <c r="AC81" s="246">
        <v>0</v>
      </c>
      <c r="AD81" s="246">
        <v>0</v>
      </c>
      <c r="AE81" s="438">
        <f>(AE80-V062A_20303133343635[[#This Row],[CARTER MP.]])+V062A_20303133343635[[#This Row],[FAENA EN LTS2]]</f>
        <v>2700</v>
      </c>
      <c r="AF81" s="246">
        <v>0</v>
      </c>
      <c r="AG81" s="246">
        <v>0</v>
      </c>
      <c r="AH81" s="438">
        <f>(AH80-V062A_20303133343635[[#This Row],[MOT AUX]])+V062A_20303133343635[[#This Row],[FAENA EN  LTS]]</f>
        <v>2580</v>
      </c>
      <c r="AI81" s="246">
        <v>0</v>
      </c>
      <c r="AJ81" s="246">
        <v>0</v>
      </c>
      <c r="AK81" s="439">
        <f>(AK80-V062A_20303133343635[[#This Row],[HIDRAULICO]])+V062A_20303133343635[[#This Row],[FAENA EN LTS3]]</f>
        <v>2000</v>
      </c>
    </row>
    <row r="82" spans="1:37" x14ac:dyDescent="0.25">
      <c r="A82" s="431" t="s">
        <v>385</v>
      </c>
      <c r="B82" s="48">
        <v>44227</v>
      </c>
      <c r="C82" s="41">
        <v>0.33333333333333331</v>
      </c>
      <c r="D82" s="418">
        <f>IF(V062A_20303133343635[[#This Row],[FECHA]]-B81=1,((V062A_20303133343635[[#This Row],[HORA]]-C81)*24)+24,(V062A_20303133343635[[#This Row],[HORA]]-C81)*24)</f>
        <v>10.899999999999999</v>
      </c>
      <c r="E82" s="432" t="s">
        <v>45</v>
      </c>
      <c r="F82" s="378" t="s">
        <v>394</v>
      </c>
      <c r="G82" s="433"/>
      <c r="H82" s="434"/>
      <c r="I82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2" s="436"/>
      <c r="K82" s="437"/>
      <c r="L82" s="483">
        <v>0</v>
      </c>
      <c r="M82" s="246">
        <v>1.5</v>
      </c>
      <c r="N82" s="484">
        <v>0</v>
      </c>
      <c r="O82" s="246">
        <f>SUM(V062A_20303133343635[[#This Row],[MPAL]]+V062A_20303133343635[[#This Row],[AUX.]]+V062A_20303133343635[[#This Row],[CALDERA]])</f>
        <v>1.5</v>
      </c>
      <c r="P82" s="319"/>
      <c r="Q82" s="270">
        <f>(Q81-V062A_20303133343635[[#This Row],[TOTAL ]])+V062A_20303133343635[[#This Row],[FAENA]]</f>
        <v>119.82000000000021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SUM(V062A_20303133343635[[#This Row],[MPAL2]:[GI]])</f>
        <v>0</v>
      </c>
      <c r="X82" s="246"/>
      <c r="Y82" s="300">
        <f>(Y81-V062A_20303133343635[[#This Row],[TOTAL]])+V062A_20303133343635[[#This Row],[FAENA2]]</f>
        <v>79.239999999999995</v>
      </c>
      <c r="Z82" s="245">
        <v>0</v>
      </c>
      <c r="AA82" s="246">
        <v>0</v>
      </c>
      <c r="AB82" s="438">
        <f>(AB81-V062A_20303133343635[[#This Row],[CYLINDER MP]])+V062A_20303133343635[[#This Row],[FAENA EN LTS]]</f>
        <v>221.16000000000017</v>
      </c>
      <c r="AC82" s="246">
        <v>0</v>
      </c>
      <c r="AD82" s="246">
        <v>0</v>
      </c>
      <c r="AE82" s="438">
        <f>(AE81-V062A_20303133343635[[#This Row],[CARTER MP.]])+V062A_20303133343635[[#This Row],[FAENA EN LTS2]]</f>
        <v>2700</v>
      </c>
      <c r="AF82" s="246">
        <v>20</v>
      </c>
      <c r="AG82" s="246">
        <v>0</v>
      </c>
      <c r="AH82" s="438">
        <f>(AH81-V062A_20303133343635[[#This Row],[MOT AUX]])+V062A_20303133343635[[#This Row],[FAENA EN  LTS]]</f>
        <v>2560</v>
      </c>
      <c r="AI82" s="246">
        <v>0</v>
      </c>
      <c r="AJ82" s="246">
        <v>0</v>
      </c>
      <c r="AK82" s="439">
        <f>(AK81-V062A_20303133343635[[#This Row],[HIDRAULICO]])+V062A_20303133343635[[#This Row],[FAENA EN LTS3]]</f>
        <v>2000</v>
      </c>
    </row>
    <row r="83" spans="1:37" x14ac:dyDescent="0.25">
      <c r="A83" s="431"/>
      <c r="B83" s="48"/>
      <c r="C83" s="41"/>
      <c r="D83" s="418">
        <f>IF(V062A_20303133343635[[#This Row],[FECHA]]-B82=1,((V062A_20303133343635[[#This Row],[HORA]]-C82)*24)+24,(V062A_20303133343635[[#This Row],[HORA]]-C82)*24)</f>
        <v>-8</v>
      </c>
      <c r="E83" s="432"/>
      <c r="F83" s="378"/>
      <c r="G83" s="433"/>
      <c r="H83" s="434"/>
      <c r="I83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3" s="436"/>
      <c r="K83" s="437"/>
      <c r="L83" s="483">
        <v>0</v>
      </c>
      <c r="M83" s="246">
        <v>0</v>
      </c>
      <c r="N83" s="484">
        <v>0</v>
      </c>
      <c r="O83" s="246">
        <f>SUM(V062A_20303133343635[[#This Row],[MPAL]]+V062A_20303133343635[[#This Row],[AUX.]]+V062A_20303133343635[[#This Row],[CALDERA]])</f>
        <v>0</v>
      </c>
      <c r="P83" s="319"/>
      <c r="Q83" s="270">
        <f>(Q82-V062A_20303133343635[[#This Row],[TOTAL ]])+V062A_20303133343635[[#This Row],[FAENA]]</f>
        <v>119.82000000000021</v>
      </c>
      <c r="R83" s="245"/>
      <c r="S83" s="246"/>
      <c r="T83" s="246"/>
      <c r="U83" s="246"/>
      <c r="V83" s="246"/>
      <c r="W83" s="246">
        <f>SUM(V062A_20303133343635[[#This Row],[MPAL2]:[GI]])</f>
        <v>0</v>
      </c>
      <c r="X83" s="246"/>
      <c r="Y83" s="300">
        <f>(Y82-V062A_20303133343635[[#This Row],[TOTAL]])+V062A_20303133343635[[#This Row],[FAENA2]]</f>
        <v>79.239999999999995</v>
      </c>
      <c r="Z83" s="245">
        <v>0</v>
      </c>
      <c r="AA83" s="246">
        <v>0</v>
      </c>
      <c r="AB83" s="438">
        <f>(AB82-V062A_20303133343635[[#This Row],[CYLINDER MP]])+V062A_20303133343635[[#This Row],[FAENA EN LTS]]</f>
        <v>221.16000000000017</v>
      </c>
      <c r="AC83" s="246">
        <v>0</v>
      </c>
      <c r="AD83" s="246">
        <v>0</v>
      </c>
      <c r="AE83" s="438">
        <f>(AE82-V062A_20303133343635[[#This Row],[CARTER MP.]])+V062A_20303133343635[[#This Row],[FAENA EN LTS2]]</f>
        <v>2700</v>
      </c>
      <c r="AF83" s="246">
        <v>0</v>
      </c>
      <c r="AG83" s="246">
        <v>0</v>
      </c>
      <c r="AH83" s="438">
        <f>(AH82-V062A_20303133343635[[#This Row],[MOT AUX]])+V062A_20303133343635[[#This Row],[FAENA EN  LTS]]</f>
        <v>2560</v>
      </c>
      <c r="AI83" s="246">
        <v>0</v>
      </c>
      <c r="AJ83" s="246">
        <v>0</v>
      </c>
      <c r="AK83" s="439">
        <f>(AK82-V062A_20303133343635[[#This Row],[HIDRAULICO]])+V062A_20303133343635[[#This Row],[FAENA EN LTS3]]</f>
        <v>2000</v>
      </c>
    </row>
    <row r="84" spans="1:37" x14ac:dyDescent="0.25">
      <c r="A84" s="431"/>
      <c r="B84" s="48"/>
      <c r="C84" s="41"/>
      <c r="D84" s="418">
        <f>IF(V062A_20303133343635[[#This Row],[FECHA]]-B83=1,((V062A_20303133343635[[#This Row],[HORA]]-C83)*24)+24,(V062A_20303133343635[[#This Row],[HORA]]-C83)*24)</f>
        <v>0</v>
      </c>
      <c r="E84" s="432"/>
      <c r="F84" s="378"/>
      <c r="G84" s="433"/>
      <c r="H84" s="434"/>
      <c r="I84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4" s="436"/>
      <c r="K84" s="437"/>
      <c r="L84" s="483">
        <v>0</v>
      </c>
      <c r="M84" s="246">
        <v>0</v>
      </c>
      <c r="N84" s="484">
        <v>0</v>
      </c>
      <c r="O84" s="246">
        <f>SUM(V062A_20303133343635[[#This Row],[MPAL]]+V062A_20303133343635[[#This Row],[AUX.]]+V062A_20303133343635[[#This Row],[CALDERA]])</f>
        <v>0</v>
      </c>
      <c r="P84" s="319"/>
      <c r="Q84" s="270">
        <f>(Q83-V062A_20303133343635[[#This Row],[TOTAL ]])+V062A_20303133343635[[#This Row],[FAENA]]</f>
        <v>119.82000000000021</v>
      </c>
      <c r="R84" s="245"/>
      <c r="S84" s="246"/>
      <c r="T84" s="246"/>
      <c r="U84" s="246"/>
      <c r="V84" s="246"/>
      <c r="W84" s="246">
        <f>SUM(V062A_20303133343635[[#This Row],[MPAL2]:[GI]])</f>
        <v>0</v>
      </c>
      <c r="X84" s="246"/>
      <c r="Y84" s="300">
        <f>(Y83-V062A_20303133343635[[#This Row],[TOTAL]])+V062A_20303133343635[[#This Row],[FAENA2]]</f>
        <v>79.239999999999995</v>
      </c>
      <c r="Z84" s="245">
        <v>0</v>
      </c>
      <c r="AA84" s="246">
        <v>0</v>
      </c>
      <c r="AB84" s="438">
        <f>(AB83-V062A_20303133343635[[#This Row],[CYLINDER MP]])+V062A_20303133343635[[#This Row],[FAENA EN LTS]]</f>
        <v>221.16000000000017</v>
      </c>
      <c r="AC84" s="246">
        <v>0</v>
      </c>
      <c r="AD84" s="246">
        <v>0</v>
      </c>
      <c r="AE84" s="438">
        <f>(AE83-V062A_20303133343635[[#This Row],[CARTER MP.]])+V062A_20303133343635[[#This Row],[FAENA EN LTS2]]</f>
        <v>2700</v>
      </c>
      <c r="AF84" s="246">
        <v>0</v>
      </c>
      <c r="AG84" s="246">
        <v>0</v>
      </c>
      <c r="AH84" s="438">
        <f>(AH83-V062A_20303133343635[[#This Row],[MOT AUX]])+V062A_20303133343635[[#This Row],[FAENA EN  LTS]]</f>
        <v>2560</v>
      </c>
      <c r="AI84" s="246">
        <v>0</v>
      </c>
      <c r="AJ84" s="246">
        <v>0</v>
      </c>
      <c r="AK84" s="439">
        <f>(AK83-V062A_20303133343635[[#This Row],[HIDRAULICO]])+V062A_20303133343635[[#This Row],[FAENA EN LTS3]]</f>
        <v>2000</v>
      </c>
    </row>
    <row r="85" spans="1:37" x14ac:dyDescent="0.25">
      <c r="A85" s="431"/>
      <c r="B85" s="48"/>
      <c r="C85" s="41"/>
      <c r="D85" s="418">
        <f>IF(V062A_20303133343635[[#This Row],[FECHA]]-B84=1,((V062A_20303133343635[[#This Row],[HORA]]-C84)*24)+24,(V062A_20303133343635[[#This Row],[HORA]]-C84)*24)</f>
        <v>0</v>
      </c>
      <c r="E85" s="409"/>
      <c r="F85" s="378"/>
      <c r="G85" s="433"/>
      <c r="H85" s="434"/>
      <c r="I85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5" s="436"/>
      <c r="K85" s="437"/>
      <c r="L85" s="483">
        <v>0</v>
      </c>
      <c r="M85" s="246">
        <v>0</v>
      </c>
      <c r="N85" s="484">
        <v>0</v>
      </c>
      <c r="O85" s="246">
        <f>SUM(V062A_20303133343635[[#This Row],[MPAL]]+V062A_20303133343635[[#This Row],[AUX.]]+V062A_20303133343635[[#This Row],[CALDERA]])</f>
        <v>0</v>
      </c>
      <c r="P85" s="319"/>
      <c r="Q85" s="270">
        <f>(Q84-V062A_20303133343635[[#This Row],[TOTAL ]])+V062A_20303133343635[[#This Row],[FAENA]]</f>
        <v>119.82000000000021</v>
      </c>
      <c r="R85" s="245"/>
      <c r="S85" s="246"/>
      <c r="T85" s="246"/>
      <c r="U85" s="246"/>
      <c r="V85" s="246"/>
      <c r="W85" s="246">
        <f>SUM(V062A_20303133343635[[#This Row],[MPAL2]:[GI]])</f>
        <v>0</v>
      </c>
      <c r="X85" s="246"/>
      <c r="Y85" s="300">
        <f>(Y84-V062A_20303133343635[[#This Row],[TOTAL]])+V062A_20303133343635[[#This Row],[FAENA2]]</f>
        <v>79.239999999999995</v>
      </c>
      <c r="Z85" s="245">
        <v>0</v>
      </c>
      <c r="AA85" s="246">
        <v>0</v>
      </c>
      <c r="AB85" s="438">
        <f>(AB84-V062A_20303133343635[[#This Row],[CYLINDER MP]])+V062A_20303133343635[[#This Row],[FAENA EN LTS]]</f>
        <v>221.16000000000017</v>
      </c>
      <c r="AC85" s="246">
        <v>0</v>
      </c>
      <c r="AD85" s="246">
        <v>0</v>
      </c>
      <c r="AE85" s="438">
        <f>(AE84-V062A_20303133343635[[#This Row],[CARTER MP.]])+V062A_20303133343635[[#This Row],[FAENA EN LTS2]]</f>
        <v>2700</v>
      </c>
      <c r="AF85" s="246">
        <v>0</v>
      </c>
      <c r="AG85" s="246">
        <v>0</v>
      </c>
      <c r="AH85" s="438">
        <f>(AH84-V062A_20303133343635[[#This Row],[MOT AUX]])+V062A_20303133343635[[#This Row],[FAENA EN  LTS]]</f>
        <v>2560</v>
      </c>
      <c r="AI85" s="246">
        <v>0</v>
      </c>
      <c r="AJ85" s="246">
        <v>0</v>
      </c>
      <c r="AK85" s="439">
        <f>(AK84-V062A_20303133343635[[#This Row],[HIDRAULICO]])+V062A_20303133343635[[#This Row],[FAENA EN LTS3]]</f>
        <v>2000</v>
      </c>
    </row>
    <row r="86" spans="1:37" x14ac:dyDescent="0.25">
      <c r="A86" s="431"/>
      <c r="B86" s="48"/>
      <c r="C86" s="41"/>
      <c r="D86" s="418">
        <f>IF(V062A_20303133343635[[#This Row],[FECHA]]-B85=1,((V062A_20303133343635[[#This Row],[HORA]]-C85)*24)+24,(V062A_20303133343635[[#This Row],[HORA]]-C85)*24)</f>
        <v>0</v>
      </c>
      <c r="E86" s="409"/>
      <c r="F86" s="378"/>
      <c r="G86" s="433"/>
      <c r="H86" s="434"/>
      <c r="I86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6" s="436"/>
      <c r="K86" s="437"/>
      <c r="L86" s="483">
        <v>0</v>
      </c>
      <c r="M86" s="246">
        <v>0</v>
      </c>
      <c r="N86" s="484">
        <v>0</v>
      </c>
      <c r="O86" s="246">
        <f>SUM(V062A_20303133343635[[#This Row],[MPAL]]+V062A_20303133343635[[#This Row],[AUX.]]+V062A_20303133343635[[#This Row],[CALDERA]])</f>
        <v>0</v>
      </c>
      <c r="P86" s="319"/>
      <c r="Q86" s="270">
        <f>(Q85-V062A_20303133343635[[#This Row],[TOTAL ]])+V062A_20303133343635[[#This Row],[FAENA]]</f>
        <v>119.82000000000021</v>
      </c>
      <c r="R86" s="245"/>
      <c r="S86" s="246"/>
      <c r="T86" s="246"/>
      <c r="U86" s="246"/>
      <c r="V86" s="246"/>
      <c r="W86" s="246">
        <f>SUM(V062A_20303133343635[[#This Row],[MPAL2]:[GI]])</f>
        <v>0</v>
      </c>
      <c r="X86" s="246"/>
      <c r="Y86" s="300">
        <f>(Y85-V062A_20303133343635[[#This Row],[TOTAL]])+V062A_20303133343635[[#This Row],[FAENA2]]</f>
        <v>79.239999999999995</v>
      </c>
      <c r="Z86" s="245">
        <v>0</v>
      </c>
      <c r="AA86" s="246">
        <v>0</v>
      </c>
      <c r="AB86" s="438">
        <f>(AB85-V062A_20303133343635[[#This Row],[CYLINDER MP]])+V062A_20303133343635[[#This Row],[FAENA EN LTS]]</f>
        <v>221.16000000000017</v>
      </c>
      <c r="AC86" s="246">
        <v>0</v>
      </c>
      <c r="AD86" s="246">
        <v>0</v>
      </c>
      <c r="AE86" s="438">
        <f>(AE85-V062A_20303133343635[[#This Row],[CARTER MP.]])+V062A_20303133343635[[#This Row],[FAENA EN LTS2]]</f>
        <v>2700</v>
      </c>
      <c r="AF86" s="246">
        <v>0</v>
      </c>
      <c r="AG86" s="246">
        <v>0</v>
      </c>
      <c r="AH86" s="438">
        <f>(AH85-V062A_20303133343635[[#This Row],[MOT AUX]])+V062A_20303133343635[[#This Row],[FAENA EN  LTS]]</f>
        <v>2560</v>
      </c>
      <c r="AI86" s="246">
        <v>0</v>
      </c>
      <c r="AJ86" s="246">
        <v>0</v>
      </c>
      <c r="AK86" s="439">
        <f>(AK85-V062A_20303133343635[[#This Row],[HIDRAULICO]])+V062A_20303133343635[[#This Row],[FAENA EN LTS3]]</f>
        <v>2000</v>
      </c>
    </row>
    <row r="87" spans="1:37" x14ac:dyDescent="0.25">
      <c r="A87" s="431"/>
      <c r="B87" s="48"/>
      <c r="C87" s="41"/>
      <c r="D87" s="418">
        <f>IF(V062A_20303133343635[[#This Row],[FECHA]]-B86=1,((V062A_20303133343635[[#This Row],[HORA]]-C86)*24)+24,(V062A_20303133343635[[#This Row],[HORA]]-C86)*24)</f>
        <v>0</v>
      </c>
      <c r="E87" s="409"/>
      <c r="F87" s="378"/>
      <c r="G87" s="433"/>
      <c r="H87" s="434"/>
      <c r="I8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7" s="436"/>
      <c r="K87" s="437"/>
      <c r="L87" s="483">
        <v>0</v>
      </c>
      <c r="M87" s="246">
        <v>0</v>
      </c>
      <c r="N87" s="484">
        <v>0</v>
      </c>
      <c r="O87" s="246">
        <f>SUM(V062A_20303133343635[[#This Row],[MPAL]]+V062A_20303133343635[[#This Row],[AUX.]]+V062A_20303133343635[[#This Row],[CALDERA]])</f>
        <v>0</v>
      </c>
      <c r="P87" s="319"/>
      <c r="Q87" s="270">
        <f>(Q86-V062A_20303133343635[[#This Row],[TOTAL ]])+V062A_20303133343635[[#This Row],[FAENA]]</f>
        <v>119.82000000000021</v>
      </c>
      <c r="R87" s="245"/>
      <c r="S87" s="246"/>
      <c r="T87" s="246"/>
      <c r="U87" s="246"/>
      <c r="V87" s="246"/>
      <c r="W87" s="246">
        <f>SUM(V062A_20303133343635[[#This Row],[MPAL2]:[GI]])</f>
        <v>0</v>
      </c>
      <c r="X87" s="246"/>
      <c r="Y87" s="300">
        <f>(Y86-V062A_20303133343635[[#This Row],[TOTAL]])+V062A_20303133343635[[#This Row],[FAENA2]]</f>
        <v>79.239999999999995</v>
      </c>
      <c r="Z87" s="245">
        <v>0</v>
      </c>
      <c r="AA87" s="246">
        <v>0</v>
      </c>
      <c r="AB87" s="438">
        <f>(AB86-V062A_20303133343635[[#This Row],[CYLINDER MP]])+V062A_20303133343635[[#This Row],[FAENA EN LTS]]</f>
        <v>221.16000000000017</v>
      </c>
      <c r="AC87" s="246">
        <v>0</v>
      </c>
      <c r="AD87" s="246">
        <v>0</v>
      </c>
      <c r="AE87" s="438">
        <f>(AE86-V062A_20303133343635[[#This Row],[CARTER MP.]])+V062A_20303133343635[[#This Row],[FAENA EN LTS2]]</f>
        <v>2700</v>
      </c>
      <c r="AF87" s="246">
        <v>0</v>
      </c>
      <c r="AG87" s="246">
        <v>0</v>
      </c>
      <c r="AH87" s="438">
        <f>(AH86-V062A_20303133343635[[#This Row],[MOT AUX]])+V062A_20303133343635[[#This Row],[FAENA EN  LTS]]</f>
        <v>2560</v>
      </c>
      <c r="AI87" s="246">
        <v>0</v>
      </c>
      <c r="AJ87" s="246">
        <v>0</v>
      </c>
      <c r="AK87" s="439">
        <f>(AK86-V062A_20303133343635[[#This Row],[HIDRAULICO]])+V062A_20303133343635[[#This Row],[FAENA EN LTS3]]</f>
        <v>2000</v>
      </c>
    </row>
    <row r="88" spans="1:37" x14ac:dyDescent="0.25">
      <c r="A88" s="431"/>
      <c r="B88" s="48"/>
      <c r="C88" s="41"/>
      <c r="D88" s="418">
        <f>IF(V062A_20303133343635[[#This Row],[FECHA]]-B87=1,((V062A_20303133343635[[#This Row],[HORA]]-C87)*24)+24,(V062A_20303133343635[[#This Row],[HORA]]-C87)*24)</f>
        <v>0</v>
      </c>
      <c r="E88" s="409"/>
      <c r="F88" s="378"/>
      <c r="G88" s="433"/>
      <c r="H88" s="434"/>
      <c r="I88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8" s="436"/>
      <c r="K88" s="437"/>
      <c r="L88" s="483">
        <v>0</v>
      </c>
      <c r="M88" s="246">
        <v>0</v>
      </c>
      <c r="N88" s="484">
        <v>0</v>
      </c>
      <c r="O88" s="246">
        <f>SUM(V062A_20303133343635[[#This Row],[MPAL]]+V062A_20303133343635[[#This Row],[AUX.]]+V062A_20303133343635[[#This Row],[CALDERA]])</f>
        <v>0</v>
      </c>
      <c r="P88" s="319"/>
      <c r="Q88" s="270">
        <f>(Q87-V062A_20303133343635[[#This Row],[TOTAL ]])+V062A_20303133343635[[#This Row],[FAENA]]</f>
        <v>119.82000000000021</v>
      </c>
      <c r="R88" s="245"/>
      <c r="S88" s="246"/>
      <c r="T88" s="246"/>
      <c r="U88" s="246"/>
      <c r="V88" s="246"/>
      <c r="W88" s="246">
        <f>SUM(V062A_20303133343635[[#This Row],[MPAL2]:[GI]])</f>
        <v>0</v>
      </c>
      <c r="X88" s="246"/>
      <c r="Y88" s="300">
        <f>(Y87-V062A_20303133343635[[#This Row],[TOTAL]])+V062A_20303133343635[[#This Row],[FAENA2]]</f>
        <v>79.239999999999995</v>
      </c>
      <c r="Z88" s="245">
        <v>0</v>
      </c>
      <c r="AA88" s="246">
        <v>0</v>
      </c>
      <c r="AB88" s="438">
        <f>(AB87-V062A_20303133343635[[#This Row],[CYLINDER MP]])+V062A_20303133343635[[#This Row],[FAENA EN LTS]]</f>
        <v>221.16000000000017</v>
      </c>
      <c r="AC88" s="246">
        <v>0</v>
      </c>
      <c r="AD88" s="246">
        <v>0</v>
      </c>
      <c r="AE88" s="438">
        <f>(AE87-V062A_20303133343635[[#This Row],[CARTER MP.]])+V062A_20303133343635[[#This Row],[FAENA EN LTS2]]</f>
        <v>2700</v>
      </c>
      <c r="AF88" s="246">
        <v>0</v>
      </c>
      <c r="AG88" s="246">
        <v>0</v>
      </c>
      <c r="AH88" s="438">
        <f>(AH87-V062A_20303133343635[[#This Row],[MOT AUX]])+V062A_20303133343635[[#This Row],[FAENA EN  LTS]]</f>
        <v>2560</v>
      </c>
      <c r="AI88" s="246">
        <v>0</v>
      </c>
      <c r="AJ88" s="246">
        <v>0</v>
      </c>
      <c r="AK88" s="439">
        <f>(AK87-V062A_20303133343635[[#This Row],[HIDRAULICO]])+V062A_20303133343635[[#This Row],[FAENA EN LTS3]]</f>
        <v>2000</v>
      </c>
    </row>
    <row r="89" spans="1:37" x14ac:dyDescent="0.25">
      <c r="A89" s="431"/>
      <c r="B89" s="48"/>
      <c r="C89" s="41"/>
      <c r="D89" s="418">
        <f>IF(V062A_20303133343635[[#This Row],[FECHA]]-B88=1,((V062A_20303133343635[[#This Row],[HORA]]-C88)*24)+24,(V062A_20303133343635[[#This Row],[HORA]]-C88)*24)</f>
        <v>0</v>
      </c>
      <c r="E89" s="409"/>
      <c r="F89" s="378"/>
      <c r="G89" s="433"/>
      <c r="H89" s="434"/>
      <c r="I89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89" s="436"/>
      <c r="K89" s="437"/>
      <c r="L89" s="483">
        <v>0</v>
      </c>
      <c r="M89" s="246">
        <v>0</v>
      </c>
      <c r="N89" s="484">
        <v>0</v>
      </c>
      <c r="O89" s="246">
        <f>SUM(V062A_20303133343635[[#This Row],[MPAL]]+V062A_20303133343635[[#This Row],[AUX.]]+V062A_20303133343635[[#This Row],[CALDERA]])</f>
        <v>0</v>
      </c>
      <c r="P89" s="319"/>
      <c r="Q89" s="270">
        <f>(Q88-V062A_20303133343635[[#This Row],[TOTAL ]])+V062A_20303133343635[[#This Row],[FAENA]]</f>
        <v>119.82000000000021</v>
      </c>
      <c r="R89" s="245"/>
      <c r="S89" s="246"/>
      <c r="T89" s="246"/>
      <c r="U89" s="246"/>
      <c r="V89" s="246"/>
      <c r="W89" s="246">
        <f>SUM(V062A_20303133343635[[#This Row],[MPAL2]:[GI]])</f>
        <v>0</v>
      </c>
      <c r="X89" s="246"/>
      <c r="Y89" s="300">
        <f>(Y88-V062A_20303133343635[[#This Row],[TOTAL]])+V062A_20303133343635[[#This Row],[FAENA2]]</f>
        <v>79.239999999999995</v>
      </c>
      <c r="Z89" s="245">
        <v>0</v>
      </c>
      <c r="AA89" s="246">
        <v>0</v>
      </c>
      <c r="AB89" s="438">
        <f>(AB88-V062A_20303133343635[[#This Row],[CYLINDER MP]])+V062A_20303133343635[[#This Row],[FAENA EN LTS]]</f>
        <v>221.16000000000017</v>
      </c>
      <c r="AC89" s="246">
        <v>0</v>
      </c>
      <c r="AD89" s="246">
        <v>0</v>
      </c>
      <c r="AE89" s="438">
        <f>(AE88-V062A_20303133343635[[#This Row],[CARTER MP.]])+V062A_20303133343635[[#This Row],[FAENA EN LTS2]]</f>
        <v>2700</v>
      </c>
      <c r="AF89" s="246">
        <v>0</v>
      </c>
      <c r="AG89" s="246">
        <v>0</v>
      </c>
      <c r="AH89" s="438">
        <f>(AH88-V062A_20303133343635[[#This Row],[MOT AUX]])+V062A_20303133343635[[#This Row],[FAENA EN  LTS]]</f>
        <v>2560</v>
      </c>
      <c r="AI89" s="246">
        <v>0</v>
      </c>
      <c r="AJ89" s="246">
        <v>0</v>
      </c>
      <c r="AK89" s="439">
        <f>(AK88-V062A_20303133343635[[#This Row],[HIDRAULICO]])+V062A_20303133343635[[#This Row],[FAENA EN LTS3]]</f>
        <v>2000</v>
      </c>
    </row>
    <row r="90" spans="1:37" x14ac:dyDescent="0.25">
      <c r="A90" s="431"/>
      <c r="B90" s="48"/>
      <c r="C90" s="41"/>
      <c r="D90" s="418">
        <f>IF(V062A_20303133343635[[#This Row],[FECHA]]-B89=1,((V062A_20303133343635[[#This Row],[HORA]]-C89)*24)+24,(V062A_20303133343635[[#This Row],[HORA]]-C89)*24)</f>
        <v>0</v>
      </c>
      <c r="E90" s="409"/>
      <c r="F90" s="378"/>
      <c r="G90" s="433"/>
      <c r="H90" s="434"/>
      <c r="I90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0" s="436"/>
      <c r="K90" s="437"/>
      <c r="L90" s="483">
        <v>0</v>
      </c>
      <c r="M90" s="246">
        <v>0</v>
      </c>
      <c r="N90" s="484">
        <v>0</v>
      </c>
      <c r="O90" s="246">
        <f>SUM(V062A_20303133343635[[#This Row],[MPAL]]+V062A_20303133343635[[#This Row],[AUX.]]+V062A_20303133343635[[#This Row],[CALDERA]])</f>
        <v>0</v>
      </c>
      <c r="P90" s="319"/>
      <c r="Q90" s="270">
        <f>(Q89-V062A_20303133343635[[#This Row],[TOTAL ]])+V062A_20303133343635[[#This Row],[FAENA]]</f>
        <v>119.82000000000021</v>
      </c>
      <c r="R90" s="245"/>
      <c r="S90" s="246"/>
      <c r="T90" s="246"/>
      <c r="U90" s="246"/>
      <c r="V90" s="246"/>
      <c r="W90" s="246">
        <f>SUM(V062A_20303133343635[[#This Row],[MPAL2]:[GI]])</f>
        <v>0</v>
      </c>
      <c r="X90" s="246"/>
      <c r="Y90" s="300">
        <f>(Y89-V062A_20303133343635[[#This Row],[TOTAL]])+V062A_20303133343635[[#This Row],[FAENA2]]</f>
        <v>79.239999999999995</v>
      </c>
      <c r="Z90" s="245">
        <v>0</v>
      </c>
      <c r="AA90" s="246">
        <v>0</v>
      </c>
      <c r="AB90" s="438">
        <f>(AB89-V062A_20303133343635[[#This Row],[CYLINDER MP]])+V062A_20303133343635[[#This Row],[FAENA EN LTS]]</f>
        <v>221.16000000000017</v>
      </c>
      <c r="AC90" s="246">
        <v>0</v>
      </c>
      <c r="AD90" s="246">
        <v>0</v>
      </c>
      <c r="AE90" s="438">
        <f>(AE89-V062A_20303133343635[[#This Row],[CARTER MP.]])+V062A_20303133343635[[#This Row],[FAENA EN LTS2]]</f>
        <v>2700</v>
      </c>
      <c r="AF90" s="246">
        <v>0</v>
      </c>
      <c r="AG90" s="246">
        <v>0</v>
      </c>
      <c r="AH90" s="438">
        <f>(AH89-V062A_20303133343635[[#This Row],[MOT AUX]])+V062A_20303133343635[[#This Row],[FAENA EN  LTS]]</f>
        <v>2560</v>
      </c>
      <c r="AI90" s="246">
        <v>0</v>
      </c>
      <c r="AJ90" s="246">
        <v>0</v>
      </c>
      <c r="AK90" s="439">
        <f>(AK89-V062A_20303133343635[[#This Row],[HIDRAULICO]])+V062A_20303133343635[[#This Row],[FAENA EN LTS3]]</f>
        <v>2000</v>
      </c>
    </row>
    <row r="91" spans="1:37" x14ac:dyDescent="0.25">
      <c r="A91" s="431"/>
      <c r="B91" s="48"/>
      <c r="C91" s="41"/>
      <c r="D91" s="418">
        <f>IF(V062A_20303133343635[[#This Row],[FECHA]]-B90=1,((V062A_20303133343635[[#This Row],[HORA]]-C90)*24)+24,(V062A_20303133343635[[#This Row],[HORA]]-C90)*24)</f>
        <v>0</v>
      </c>
      <c r="E91" s="473"/>
      <c r="F91" s="474"/>
      <c r="G91" s="475"/>
      <c r="H91" s="476"/>
      <c r="I91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1" s="478"/>
      <c r="K91" s="479"/>
      <c r="L91" s="483">
        <v>0</v>
      </c>
      <c r="M91" s="246">
        <v>0</v>
      </c>
      <c r="N91" s="484">
        <v>0</v>
      </c>
      <c r="O91" s="246">
        <f>SUM(V062A_20303133343635[[#This Row],[MPAL]]+V062A_20303133343635[[#This Row],[AUX.]]+V062A_20303133343635[[#This Row],[CALDERA]])</f>
        <v>0</v>
      </c>
      <c r="P91" s="319"/>
      <c r="Q91" s="270">
        <f>(Q90-V062A_20303133343635[[#This Row],[TOTAL ]])+V062A_20303133343635[[#This Row],[FAENA]]</f>
        <v>119.82000000000021</v>
      </c>
      <c r="R91" s="245"/>
      <c r="S91" s="246"/>
      <c r="T91" s="246"/>
      <c r="U91" s="246"/>
      <c r="V91" s="246"/>
      <c r="W91" s="246">
        <f>SUM(V062A_20303133343635[[#This Row],[MPAL2]:[GI]])</f>
        <v>0</v>
      </c>
      <c r="X91" s="246"/>
      <c r="Y91" s="300">
        <f>(Y90-V062A_20303133343635[[#This Row],[TOTAL]])+V062A_20303133343635[[#This Row],[FAENA2]]</f>
        <v>79.239999999999995</v>
      </c>
      <c r="Z91" s="245">
        <v>0</v>
      </c>
      <c r="AA91" s="246">
        <v>0</v>
      </c>
      <c r="AB91" s="438">
        <f>(AB90-V062A_20303133343635[[#This Row],[CYLINDER MP]])+V062A_20303133343635[[#This Row],[FAENA EN LTS]]</f>
        <v>221.16000000000017</v>
      </c>
      <c r="AC91" s="246">
        <v>0</v>
      </c>
      <c r="AD91" s="246">
        <v>0</v>
      </c>
      <c r="AE91" s="438">
        <f>(AE90-V062A_20303133343635[[#This Row],[CARTER MP.]])+V062A_20303133343635[[#This Row],[FAENA EN LTS2]]</f>
        <v>2700</v>
      </c>
      <c r="AF91" s="246">
        <v>0</v>
      </c>
      <c r="AG91" s="246">
        <v>0</v>
      </c>
      <c r="AH91" s="438">
        <f>(AH90-V062A_20303133343635[[#This Row],[MOT AUX]])+V062A_20303133343635[[#This Row],[FAENA EN  LTS]]</f>
        <v>2560</v>
      </c>
      <c r="AI91" s="246">
        <v>0</v>
      </c>
      <c r="AJ91" s="246">
        <v>0</v>
      </c>
      <c r="AK91" s="439">
        <f>(AK90-V062A_20303133343635[[#This Row],[HIDRAULICO]])+V062A_20303133343635[[#This Row],[FAENA EN LTS3]]</f>
        <v>2000</v>
      </c>
    </row>
    <row r="92" spans="1:37" x14ac:dyDescent="0.25">
      <c r="A92" s="431"/>
      <c r="B92" s="48"/>
      <c r="C92" s="41"/>
      <c r="D92" s="418">
        <f>IF(V062A_20303133343635[[#This Row],[FECHA]]-B91=1,((V062A_20303133343635[[#This Row],[HORA]]-C91)*24)+24,(V062A_20303133343635[[#This Row],[HORA]]-C91)*24)</f>
        <v>0</v>
      </c>
      <c r="E92" s="473"/>
      <c r="F92" s="474"/>
      <c r="G92" s="475"/>
      <c r="H92" s="476"/>
      <c r="I92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2" s="478"/>
      <c r="K92" s="479"/>
      <c r="L92" s="483">
        <v>0</v>
      </c>
      <c r="M92" s="246">
        <v>0</v>
      </c>
      <c r="N92" s="484">
        <v>0</v>
      </c>
      <c r="O92" s="246">
        <f>SUM(V062A_20303133343635[[#This Row],[MPAL]]+V062A_20303133343635[[#This Row],[AUX.]]+V062A_20303133343635[[#This Row],[CALDERA]])</f>
        <v>0</v>
      </c>
      <c r="P92" s="319"/>
      <c r="Q92" s="270">
        <f>(Q91-V062A_20303133343635[[#This Row],[TOTAL ]])+V062A_20303133343635[[#This Row],[FAENA]]</f>
        <v>119.82000000000021</v>
      </c>
      <c r="R92" s="245"/>
      <c r="S92" s="246"/>
      <c r="T92" s="246"/>
      <c r="U92" s="246"/>
      <c r="V92" s="246"/>
      <c r="W92" s="246">
        <f>SUM(V062A_20303133343635[[#This Row],[MPAL2]:[GI]])</f>
        <v>0</v>
      </c>
      <c r="X92" s="246"/>
      <c r="Y92" s="300">
        <f>(Y91-V062A_20303133343635[[#This Row],[TOTAL]])+V062A_20303133343635[[#This Row],[FAENA2]]</f>
        <v>79.239999999999995</v>
      </c>
      <c r="Z92" s="245">
        <v>0</v>
      </c>
      <c r="AA92" s="246">
        <v>0</v>
      </c>
      <c r="AB92" s="438">
        <f>(AB91-V062A_20303133343635[[#This Row],[CYLINDER MP]])+V062A_20303133343635[[#This Row],[FAENA EN LTS]]</f>
        <v>221.16000000000017</v>
      </c>
      <c r="AC92" s="246">
        <v>0</v>
      </c>
      <c r="AD92" s="246">
        <v>0</v>
      </c>
      <c r="AE92" s="438">
        <f>(AE91-V062A_20303133343635[[#This Row],[CARTER MP.]])+V062A_20303133343635[[#This Row],[FAENA EN LTS2]]</f>
        <v>2700</v>
      </c>
      <c r="AF92" s="246">
        <v>0</v>
      </c>
      <c r="AG92" s="246">
        <v>0</v>
      </c>
      <c r="AH92" s="438">
        <f>(AH91-V062A_20303133343635[[#This Row],[MOT AUX]])+V062A_20303133343635[[#This Row],[FAENA EN  LTS]]</f>
        <v>2560</v>
      </c>
      <c r="AI92" s="246">
        <v>0</v>
      </c>
      <c r="AJ92" s="246">
        <v>0</v>
      </c>
      <c r="AK92" s="439">
        <f>(AK91-V062A_20303133343635[[#This Row],[HIDRAULICO]])+V062A_20303133343635[[#This Row],[FAENA EN LTS3]]</f>
        <v>2000</v>
      </c>
    </row>
    <row r="93" spans="1:37" x14ac:dyDescent="0.25">
      <c r="A93" s="431"/>
      <c r="B93" s="48"/>
      <c r="C93" s="41"/>
      <c r="D93" s="418">
        <f>IF(V062A_20303133343635[[#This Row],[FECHA]]-B92=1,((V062A_20303133343635[[#This Row],[HORA]]-C92)*24)+24,(V062A_20303133343635[[#This Row],[HORA]]-C92)*24)</f>
        <v>0</v>
      </c>
      <c r="E93" s="473"/>
      <c r="F93" s="474"/>
      <c r="G93" s="475"/>
      <c r="H93" s="476"/>
      <c r="I93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3" s="478"/>
      <c r="K93" s="479"/>
      <c r="L93" s="483">
        <v>0</v>
      </c>
      <c r="M93" s="246">
        <v>0</v>
      </c>
      <c r="N93" s="484">
        <v>0</v>
      </c>
      <c r="O93" s="246">
        <f>SUM(V062A_20303133343635[[#This Row],[MPAL]]+V062A_20303133343635[[#This Row],[AUX.]]+V062A_20303133343635[[#This Row],[CALDERA]])</f>
        <v>0</v>
      </c>
      <c r="P93" s="319"/>
      <c r="Q93" s="270">
        <f>(Q92-V062A_20303133343635[[#This Row],[TOTAL ]])+V062A_20303133343635[[#This Row],[FAENA]]</f>
        <v>119.82000000000021</v>
      </c>
      <c r="R93" s="245"/>
      <c r="S93" s="246"/>
      <c r="T93" s="246"/>
      <c r="U93" s="246"/>
      <c r="V93" s="246"/>
      <c r="W93" s="246">
        <f>SUM(V062A_20303133343635[[#This Row],[MPAL2]:[GI]])</f>
        <v>0</v>
      </c>
      <c r="X93" s="246"/>
      <c r="Y93" s="300">
        <f>(Y92-V062A_20303133343635[[#This Row],[TOTAL]])+V062A_20303133343635[[#This Row],[FAENA2]]</f>
        <v>79.239999999999995</v>
      </c>
      <c r="Z93" s="245">
        <v>0</v>
      </c>
      <c r="AA93" s="246">
        <v>0</v>
      </c>
      <c r="AB93" s="438">
        <f>(AB92-V062A_20303133343635[[#This Row],[CYLINDER MP]])+V062A_20303133343635[[#This Row],[FAENA EN LTS]]</f>
        <v>221.16000000000017</v>
      </c>
      <c r="AC93" s="246">
        <v>0</v>
      </c>
      <c r="AD93" s="246">
        <v>0</v>
      </c>
      <c r="AE93" s="438">
        <f>(AE92-V062A_20303133343635[[#This Row],[CARTER MP.]])+V062A_20303133343635[[#This Row],[FAENA EN LTS2]]</f>
        <v>2700</v>
      </c>
      <c r="AF93" s="246">
        <v>0</v>
      </c>
      <c r="AG93" s="246">
        <v>0</v>
      </c>
      <c r="AH93" s="438">
        <f>(AH92-V062A_20303133343635[[#This Row],[MOT AUX]])+V062A_20303133343635[[#This Row],[FAENA EN  LTS]]</f>
        <v>2560</v>
      </c>
      <c r="AI93" s="246">
        <v>0</v>
      </c>
      <c r="AJ93" s="246">
        <v>0</v>
      </c>
      <c r="AK93" s="439">
        <f>(AK92-V062A_20303133343635[[#This Row],[HIDRAULICO]])+V062A_20303133343635[[#This Row],[FAENA EN LTS3]]</f>
        <v>2000</v>
      </c>
    </row>
    <row r="94" spans="1:37" x14ac:dyDescent="0.25">
      <c r="A94" s="431"/>
      <c r="B94" s="48"/>
      <c r="C94" s="41"/>
      <c r="D94" s="418">
        <f>IF(V062A_20303133343635[[#This Row],[FECHA]]-B93=1,((V062A_20303133343635[[#This Row],[HORA]]-C93)*24)+24,(V062A_20303133343635[[#This Row],[HORA]]-C93)*24)</f>
        <v>0</v>
      </c>
      <c r="E94" s="473"/>
      <c r="F94" s="474"/>
      <c r="G94" s="475"/>
      <c r="H94" s="476"/>
      <c r="I94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4" s="478"/>
      <c r="K94" s="479"/>
      <c r="L94" s="483">
        <v>0</v>
      </c>
      <c r="M94" s="246">
        <v>0</v>
      </c>
      <c r="N94" s="484">
        <v>0</v>
      </c>
      <c r="O94" s="246">
        <f>SUM(V062A_20303133343635[[#This Row],[MPAL]]+V062A_20303133343635[[#This Row],[AUX.]]+V062A_20303133343635[[#This Row],[CALDERA]])</f>
        <v>0</v>
      </c>
      <c r="P94" s="319"/>
      <c r="Q94" s="270">
        <f>(Q93-V062A_20303133343635[[#This Row],[TOTAL ]])+V062A_20303133343635[[#This Row],[FAENA]]</f>
        <v>119.82000000000021</v>
      </c>
      <c r="R94" s="245"/>
      <c r="S94" s="246"/>
      <c r="T94" s="246"/>
      <c r="U94" s="246"/>
      <c r="V94" s="246"/>
      <c r="W94" s="246">
        <f>SUM(V062A_20303133343635[[#This Row],[MPAL2]:[GI]])</f>
        <v>0</v>
      </c>
      <c r="X94" s="246"/>
      <c r="Y94" s="300">
        <f>(Y93-V062A_20303133343635[[#This Row],[TOTAL]])+V062A_20303133343635[[#This Row],[FAENA2]]</f>
        <v>79.239999999999995</v>
      </c>
      <c r="Z94" s="245">
        <v>0</v>
      </c>
      <c r="AA94" s="246">
        <v>0</v>
      </c>
      <c r="AB94" s="438">
        <f>(AB93-V062A_20303133343635[[#This Row],[CYLINDER MP]])+V062A_20303133343635[[#This Row],[FAENA EN LTS]]</f>
        <v>221.16000000000017</v>
      </c>
      <c r="AC94" s="246">
        <v>0</v>
      </c>
      <c r="AD94" s="246">
        <v>0</v>
      </c>
      <c r="AE94" s="438">
        <f>(AE93-V062A_20303133343635[[#This Row],[CARTER MP.]])+V062A_20303133343635[[#This Row],[FAENA EN LTS2]]</f>
        <v>2700</v>
      </c>
      <c r="AF94" s="246">
        <v>0</v>
      </c>
      <c r="AG94" s="246">
        <v>0</v>
      </c>
      <c r="AH94" s="438">
        <f>(AH93-V062A_20303133343635[[#This Row],[MOT AUX]])+V062A_20303133343635[[#This Row],[FAENA EN  LTS]]</f>
        <v>2560</v>
      </c>
      <c r="AI94" s="246">
        <v>0</v>
      </c>
      <c r="AJ94" s="246">
        <v>0</v>
      </c>
      <c r="AK94" s="439">
        <f>(AK93-V062A_20303133343635[[#This Row],[HIDRAULICO]])+V062A_20303133343635[[#This Row],[FAENA EN LTS3]]</f>
        <v>2000</v>
      </c>
    </row>
    <row r="95" spans="1:37" x14ac:dyDescent="0.25">
      <c r="A95" s="431"/>
      <c r="B95" s="48"/>
      <c r="C95" s="41"/>
      <c r="D95" s="418">
        <f>IF(V062A_20303133343635[[#This Row],[FECHA]]-B94=1,((V062A_20303133343635[[#This Row],[HORA]]-C94)*24)+24,(V062A_20303133343635[[#This Row],[HORA]]-C94)*24)</f>
        <v>0</v>
      </c>
      <c r="E95" s="473"/>
      <c r="F95" s="474"/>
      <c r="G95" s="475"/>
      <c r="H95" s="476"/>
      <c r="I95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5" s="478"/>
      <c r="K95" s="479"/>
      <c r="L95" s="483">
        <v>0</v>
      </c>
      <c r="M95" s="246">
        <v>0</v>
      </c>
      <c r="N95" s="484">
        <v>0</v>
      </c>
      <c r="O95" s="246">
        <f>SUM(V062A_20303133343635[[#This Row],[MPAL]]+V062A_20303133343635[[#This Row],[AUX.]]+V062A_20303133343635[[#This Row],[CALDERA]])</f>
        <v>0</v>
      </c>
      <c r="P95" s="319"/>
      <c r="Q95" s="270">
        <f>(Q94-V062A_20303133343635[[#This Row],[TOTAL ]])+V062A_20303133343635[[#This Row],[FAENA]]</f>
        <v>119.82000000000021</v>
      </c>
      <c r="R95" s="245"/>
      <c r="S95" s="246"/>
      <c r="T95" s="246"/>
      <c r="U95" s="246"/>
      <c r="V95" s="246"/>
      <c r="W95" s="246">
        <f>SUM(V062A_20303133343635[[#This Row],[MPAL2]:[GI]])</f>
        <v>0</v>
      </c>
      <c r="X95" s="246"/>
      <c r="Y95" s="300">
        <f>(Y94-V062A_20303133343635[[#This Row],[TOTAL]])+V062A_20303133343635[[#This Row],[FAENA2]]</f>
        <v>79.239999999999995</v>
      </c>
      <c r="Z95" s="245">
        <v>0</v>
      </c>
      <c r="AA95" s="246">
        <v>0</v>
      </c>
      <c r="AB95" s="438">
        <f>(AB94-V062A_20303133343635[[#This Row],[CYLINDER MP]])+V062A_20303133343635[[#This Row],[FAENA EN LTS]]</f>
        <v>221.16000000000017</v>
      </c>
      <c r="AC95" s="246">
        <v>0</v>
      </c>
      <c r="AD95" s="246">
        <v>0</v>
      </c>
      <c r="AE95" s="438">
        <f>(AE94-V062A_20303133343635[[#This Row],[CARTER MP.]])+V062A_20303133343635[[#This Row],[FAENA EN LTS2]]</f>
        <v>2700</v>
      </c>
      <c r="AF95" s="246">
        <v>0</v>
      </c>
      <c r="AG95" s="246">
        <v>0</v>
      </c>
      <c r="AH95" s="438">
        <f>(AH94-V062A_20303133343635[[#This Row],[MOT AUX]])+V062A_20303133343635[[#This Row],[FAENA EN  LTS]]</f>
        <v>2560</v>
      </c>
      <c r="AI95" s="246">
        <v>0</v>
      </c>
      <c r="AJ95" s="246">
        <v>0</v>
      </c>
      <c r="AK95" s="439">
        <f>(AK94-V062A_20303133343635[[#This Row],[HIDRAULICO]])+V062A_20303133343635[[#This Row],[FAENA EN LTS3]]</f>
        <v>2000</v>
      </c>
    </row>
    <row r="96" spans="1:37" x14ac:dyDescent="0.25">
      <c r="A96" s="431"/>
      <c r="B96" s="48"/>
      <c r="C96" s="41"/>
      <c r="D96" s="418">
        <f>IF(V062A_20303133343635[[#This Row],[FECHA]]-B95=1,((V062A_20303133343635[[#This Row],[HORA]]-C95)*24)+24,(V062A_20303133343635[[#This Row],[HORA]]-C95)*24)</f>
        <v>0</v>
      </c>
      <c r="E96" s="473"/>
      <c r="F96" s="474"/>
      <c r="G96" s="475"/>
      <c r="H96" s="476"/>
      <c r="I96" s="477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6" s="478"/>
      <c r="K96" s="479"/>
      <c r="L96" s="483">
        <v>0</v>
      </c>
      <c r="M96" s="246">
        <v>0</v>
      </c>
      <c r="N96" s="484">
        <v>0</v>
      </c>
      <c r="O96" s="246">
        <f>SUM(V062A_20303133343635[[#This Row],[MPAL]]+V062A_20303133343635[[#This Row],[AUX.]]+V062A_20303133343635[[#This Row],[CALDERA]])</f>
        <v>0</v>
      </c>
      <c r="P96" s="319"/>
      <c r="Q96" s="270">
        <f>(Q95-V062A_20303133343635[[#This Row],[TOTAL ]])+V062A_20303133343635[[#This Row],[FAENA]]</f>
        <v>119.82000000000021</v>
      </c>
      <c r="R96" s="245"/>
      <c r="S96" s="246"/>
      <c r="T96" s="246"/>
      <c r="U96" s="246"/>
      <c r="V96" s="246"/>
      <c r="W96" s="246">
        <f>SUM(V062A_20303133343635[[#This Row],[MPAL2]:[GI]])</f>
        <v>0</v>
      </c>
      <c r="X96" s="246"/>
      <c r="Y96" s="300">
        <f>(Y95-V062A_20303133343635[[#This Row],[TOTAL]])+V062A_20303133343635[[#This Row],[FAENA2]]</f>
        <v>79.239999999999995</v>
      </c>
      <c r="Z96" s="245">
        <v>0</v>
      </c>
      <c r="AA96" s="246">
        <v>0</v>
      </c>
      <c r="AB96" s="438">
        <f>(AB95-V062A_20303133343635[[#This Row],[CYLINDER MP]])+V062A_20303133343635[[#This Row],[FAENA EN LTS]]</f>
        <v>221.16000000000017</v>
      </c>
      <c r="AC96" s="246">
        <v>0</v>
      </c>
      <c r="AD96" s="246">
        <v>0</v>
      </c>
      <c r="AE96" s="438">
        <f>(AE95-V062A_20303133343635[[#This Row],[CARTER MP.]])+V062A_20303133343635[[#This Row],[FAENA EN LTS2]]</f>
        <v>2700</v>
      </c>
      <c r="AF96" s="246">
        <v>0</v>
      </c>
      <c r="AG96" s="246">
        <v>0</v>
      </c>
      <c r="AH96" s="438">
        <f>(AH95-V062A_20303133343635[[#This Row],[MOT AUX]])+V062A_20303133343635[[#This Row],[FAENA EN  LTS]]</f>
        <v>2560</v>
      </c>
      <c r="AI96" s="246">
        <v>0</v>
      </c>
      <c r="AJ96" s="246">
        <v>0</v>
      </c>
      <c r="AK96" s="439">
        <f>(AK95-V062A_20303133343635[[#This Row],[HIDRAULICO]])+V062A_20303133343635[[#This Row],[FAENA EN LTS3]]</f>
        <v>2000</v>
      </c>
    </row>
    <row r="97" spans="1:37" x14ac:dyDescent="0.25">
      <c r="A97" s="431"/>
      <c r="B97" s="48"/>
      <c r="C97" s="41"/>
      <c r="D97" s="418">
        <f>IF(V062A_20303133343635[[#This Row],[FECHA]]-B96=1,((V062A_20303133343635[[#This Row],[HORA]]-C96)*24)+24,(V062A_20303133343635[[#This Row],[HORA]]-C96)*24)</f>
        <v>0</v>
      </c>
      <c r="E97" s="432"/>
      <c r="F97" s="474"/>
      <c r="G97" s="433"/>
      <c r="H97" s="434"/>
      <c r="I97" s="435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7" s="436"/>
      <c r="K97" s="437"/>
      <c r="L97" s="483">
        <v>0</v>
      </c>
      <c r="M97" s="246">
        <v>0</v>
      </c>
      <c r="N97" s="484">
        <v>0</v>
      </c>
      <c r="O97" s="246">
        <f>SUM(V062A_20303133343635[[#This Row],[MPAL]]+V062A_20303133343635[[#This Row],[AUX.]]+V062A_20303133343635[[#This Row],[CALDERA]])</f>
        <v>0</v>
      </c>
      <c r="P97" s="319"/>
      <c r="Q97" s="270">
        <f>(Q96-V062A_20303133343635[[#This Row],[TOTAL ]])+V062A_20303133343635[[#This Row],[FAENA]]</f>
        <v>119.82000000000021</v>
      </c>
      <c r="R97" s="245"/>
      <c r="S97" s="246"/>
      <c r="T97" s="246"/>
      <c r="U97" s="246"/>
      <c r="V97" s="246"/>
      <c r="W97" s="246">
        <f>SUM(V062A_20303133343635[[#This Row],[MPAL2]:[GI]])</f>
        <v>0</v>
      </c>
      <c r="X97" s="246"/>
      <c r="Y97" s="300">
        <f>(Y96-V062A_20303133343635[[#This Row],[TOTAL]])+V062A_20303133343635[[#This Row],[FAENA2]]</f>
        <v>79.239999999999995</v>
      </c>
      <c r="Z97" s="245">
        <v>0</v>
      </c>
      <c r="AA97" s="246">
        <v>0</v>
      </c>
      <c r="AB97" s="438">
        <f>(AB96-V062A_20303133343635[[#This Row],[CYLINDER MP]])+V062A_20303133343635[[#This Row],[FAENA EN LTS]]</f>
        <v>221.16000000000017</v>
      </c>
      <c r="AC97" s="246">
        <v>0</v>
      </c>
      <c r="AD97" s="246">
        <v>0</v>
      </c>
      <c r="AE97" s="438">
        <f>(AE96-V062A_20303133343635[[#This Row],[CARTER MP.]])+V062A_20303133343635[[#This Row],[FAENA EN LTS2]]</f>
        <v>2700</v>
      </c>
      <c r="AF97" s="246">
        <v>0</v>
      </c>
      <c r="AG97" s="246">
        <v>0</v>
      </c>
      <c r="AH97" s="438">
        <f>(AH96-V062A_20303133343635[[#This Row],[MOT AUX]])+V062A_20303133343635[[#This Row],[FAENA EN  LTS]]</f>
        <v>2560</v>
      </c>
      <c r="AI97" s="246">
        <v>0</v>
      </c>
      <c r="AJ97" s="246">
        <v>0</v>
      </c>
      <c r="AK97" s="439">
        <f>(AK96-V062A_20303133343635[[#This Row],[HIDRAULICO]])+V062A_20303133343635[[#This Row],[FAENA EN LTS3]]</f>
        <v>2000</v>
      </c>
    </row>
    <row r="98" spans="1:37" x14ac:dyDescent="0.25">
      <c r="A98" s="431"/>
      <c r="B98" s="469"/>
      <c r="C98" s="237"/>
      <c r="D98" s="418" t="e">
        <f>IF(V062A_20303133343635[[#This Row],[FECHA]]-#REF!=1,((V062A_20303133343635[[#This Row],[HORA]]-#REF!)*24)+24,(V062A_20303133343635[[#This Row],[HORA]]-#REF!)*24)</f>
        <v>#REF!</v>
      </c>
      <c r="E98" s="473"/>
      <c r="F98" s="474"/>
      <c r="G98" s="475"/>
      <c r="H98" s="476"/>
      <c r="I98" s="477"/>
      <c r="J98" s="478"/>
      <c r="K98" s="479"/>
      <c r="L98" s="245"/>
      <c r="M98" s="246"/>
      <c r="N98" s="246"/>
      <c r="O98" s="246"/>
      <c r="P98" s="319"/>
      <c r="Q98" s="270" t="e">
        <f>(#REF!-V062A_20303133343635[[#This Row],[TOTAL ]])+V062A_20303133343635[[#This Row],[FAENA]]</f>
        <v>#REF!</v>
      </c>
      <c r="R98" s="245"/>
      <c r="S98" s="246"/>
      <c r="T98" s="246"/>
      <c r="U98" s="246"/>
      <c r="V98" s="246"/>
      <c r="W98" s="246"/>
      <c r="X98" s="246"/>
      <c r="Y98" s="300" t="e">
        <f>(#REF!-V062A_20303133343635[[#This Row],[TOTAL]])+V062A_20303133343635[[#This Row],[FAENA2]]</f>
        <v>#REF!</v>
      </c>
      <c r="Z98" s="245"/>
      <c r="AA98" s="246"/>
      <c r="AB98" s="438" t="e">
        <f>(#REF!-V062A_20303133343635[[#This Row],[CYLINDER MP]])+V062A_20303133343635[[#This Row],[FAENA EN LTS]]</f>
        <v>#REF!</v>
      </c>
      <c r="AC98" s="246"/>
      <c r="AD98" s="246"/>
      <c r="AE98" s="438" t="e">
        <f>(#REF!-V062A_20303133343635[[#This Row],[CARTER MP.]])+V062A_20303133343635[[#This Row],[FAENA EN LTS2]]</f>
        <v>#REF!</v>
      </c>
      <c r="AF98" s="246"/>
      <c r="AG98" s="246"/>
      <c r="AH98" s="438" t="e">
        <f>(#REF!-V062A_20303133343635[[#This Row],[MOT AUX]])+V062A_20303133343635[[#This Row],[FAENA EN  LTS]]</f>
        <v>#REF!</v>
      </c>
      <c r="AI98" s="246"/>
      <c r="AJ98" s="246"/>
      <c r="AK98" s="439" t="e">
        <f>(#REF!-V062A_20303133343635[[#This Row],[HIDRAULICO]])+V062A_20303133343635[[#This Row],[FAENA EN LTS3]]</f>
        <v>#REF!</v>
      </c>
    </row>
    <row r="99" spans="1:37" x14ac:dyDescent="0.25">
      <c r="A99" s="468"/>
      <c r="B99" s="469"/>
      <c r="C99" s="237"/>
      <c r="D99" s="246"/>
      <c r="E99" s="490"/>
      <c r="F99" s="491"/>
      <c r="G99" s="492"/>
      <c r="H99" s="493"/>
      <c r="I99" s="494">
        <f>IF(ISERROR(V062A_20303133343635[[#This Row],[DISTANCIA POR CARTA]]/V062A_20303133343635[[#This Row],[TIEMPO DE NAVEGACION]]),0,V062A_20303133343635[[#This Row],[DISTANCIA POR CARTA]]/V062A_20303133343635[[#This Row],[TIEMPO DE NAVEGACION]])</f>
        <v>0</v>
      </c>
      <c r="J99" s="495"/>
      <c r="K99" s="496"/>
      <c r="L99" s="245"/>
      <c r="M99" s="246"/>
      <c r="N99" s="246"/>
      <c r="O99" s="246">
        <f>SUM(V062A_20303133343635[[#This Row],[MPAL]]+V062A_20303133343635[[#This Row],[AUX.]]+V062A_20303133343635[[#This Row],[CALDERA]])</f>
        <v>0</v>
      </c>
      <c r="P99" s="319"/>
      <c r="Q99" s="270">
        <f>($P$4-O99)+P99</f>
        <v>0</v>
      </c>
      <c r="R99" s="245"/>
      <c r="S99" s="246"/>
      <c r="T99" s="246"/>
      <c r="U99" s="246"/>
      <c r="V99" s="246"/>
      <c r="W99" s="246">
        <f>SUM(V062A_20303133343635[[#This Row],[MPAL2]:[GI]])</f>
        <v>0</v>
      </c>
      <c r="X99" s="246"/>
      <c r="Y99" s="300">
        <f>($X$4-V062A_20303133343635[[#This Row],[TOTAL]])+V062A_20303133343635[[#This Row],[FAENA2]]</f>
        <v>0</v>
      </c>
      <c r="Z99" s="245"/>
      <c r="AA99" s="246"/>
      <c r="AB99" s="497" t="e">
        <f>#REF!</f>
        <v>#REF!</v>
      </c>
      <c r="AC99" s="246"/>
      <c r="AD99" s="246"/>
      <c r="AE99" s="497" t="e">
        <f>($AD$4-V062A_20303133343635[[#This Row],[CARTER MP.]])+V062A_20303133343635[[#This Row],[FAENA EN LTS2]]</f>
        <v>#VALUE!</v>
      </c>
      <c r="AF99" s="246"/>
      <c r="AG99" s="246"/>
      <c r="AH99" s="497" t="str">
        <f>$AG$4</f>
        <v>VIAJE ANT</v>
      </c>
      <c r="AI99" s="246"/>
      <c r="AJ99" s="246"/>
      <c r="AK99" s="498"/>
    </row>
    <row r="100" spans="1:37" x14ac:dyDescent="0.25">
      <c r="A100" s="453"/>
      <c r="B100" s="454"/>
      <c r="C100" s="455"/>
      <c r="D100" s="481"/>
      <c r="E100" s="457"/>
      <c r="F100" s="458"/>
      <c r="G100" s="459"/>
      <c r="H100" s="460"/>
      <c r="I100" s="461"/>
      <c r="J100" s="459"/>
      <c r="K100" s="459"/>
      <c r="L100" s="68"/>
      <c r="M100" s="68"/>
      <c r="N100" s="68"/>
      <c r="P100" s="462"/>
      <c r="Q100" s="456"/>
      <c r="R100" s="456"/>
      <c r="S100" s="456"/>
      <c r="T100" s="456"/>
      <c r="U100" s="456"/>
      <c r="V100" s="456"/>
      <c r="W100" s="456"/>
      <c r="X100" s="456"/>
      <c r="Y100" s="463"/>
      <c r="Z100" s="463"/>
      <c r="AA100" s="463"/>
      <c r="AB100" s="464"/>
      <c r="AC100" s="463"/>
      <c r="AD100" s="463"/>
      <c r="AE100" s="464"/>
      <c r="AF100" s="456"/>
      <c r="AG100" s="456"/>
      <c r="AH100" s="465"/>
      <c r="AI100" s="456"/>
      <c r="AJ100" s="456"/>
      <c r="AK100" s="465"/>
    </row>
    <row r="101" spans="1:37" x14ac:dyDescent="0.25">
      <c r="A101" s="453"/>
      <c r="B101" s="454"/>
      <c r="C101" s="455"/>
      <c r="D101" s="456"/>
      <c r="E101" s="457"/>
      <c r="F101" s="458"/>
      <c r="G101" s="459"/>
      <c r="H101" s="460"/>
      <c r="I101" s="461"/>
      <c r="J101" s="459"/>
      <c r="K101" s="459"/>
      <c r="O101" s="67">
        <f>SUM(L100:N100)</f>
        <v>0</v>
      </c>
      <c r="P101" s="462"/>
      <c r="Q101" s="456"/>
      <c r="R101" s="456"/>
      <c r="S101" s="456"/>
      <c r="T101" s="456"/>
      <c r="U101" s="456"/>
      <c r="V101" s="456"/>
      <c r="W101" s="456"/>
      <c r="X101" s="456"/>
      <c r="Y101" s="463"/>
      <c r="Z101" s="463"/>
      <c r="AA101" s="463"/>
      <c r="AB101" s="464"/>
      <c r="AC101" s="463"/>
      <c r="AD101" s="463"/>
      <c r="AE101" s="464"/>
      <c r="AF101" s="456"/>
      <c r="AG101" s="456"/>
      <c r="AH101" s="465"/>
      <c r="AI101" s="456"/>
      <c r="AJ101" s="456"/>
      <c r="AK101" s="465"/>
    </row>
    <row r="102" spans="1:37" x14ac:dyDescent="0.25">
      <c r="A102" s="453"/>
      <c r="B102" s="454"/>
      <c r="C102" s="455"/>
      <c r="D102" s="456"/>
      <c r="E102" s="457"/>
      <c r="F102" s="458"/>
      <c r="G102" s="459"/>
      <c r="H102" s="460"/>
      <c r="I102" s="461"/>
      <c r="J102" s="459"/>
      <c r="K102" s="459"/>
      <c r="L102" s="456"/>
      <c r="M102" s="456"/>
      <c r="N102" s="456"/>
      <c r="O102" s="456"/>
      <c r="P102" s="462"/>
      <c r="Q102" s="456"/>
      <c r="R102" s="456"/>
      <c r="S102" s="456"/>
      <c r="T102" s="456"/>
      <c r="U102" s="456"/>
      <c r="V102" s="456"/>
      <c r="W102" s="456"/>
      <c r="X102" s="456"/>
      <c r="Y102" s="463"/>
      <c r="Z102" s="463"/>
      <c r="AA102" s="463"/>
      <c r="AB102" s="464"/>
      <c r="AC102" s="463"/>
      <c r="AD102" s="463"/>
      <c r="AE102" s="464"/>
      <c r="AF102" s="456"/>
      <c r="AG102" s="456"/>
      <c r="AH102" s="465"/>
      <c r="AI102" s="456"/>
      <c r="AJ102" s="456"/>
      <c r="AK102" s="465"/>
    </row>
    <row r="103" spans="1:37" x14ac:dyDescent="0.25">
      <c r="A103" s="453"/>
      <c r="B103" s="454"/>
      <c r="C103" s="455"/>
      <c r="D103" s="456"/>
      <c r="E103" s="457"/>
      <c r="F103" s="458"/>
      <c r="G103" s="459"/>
      <c r="H103" s="460"/>
      <c r="I103" s="461"/>
      <c r="J103" s="459"/>
      <c r="K103" s="459"/>
      <c r="L103" s="456"/>
      <c r="M103" s="456"/>
      <c r="N103" s="456"/>
      <c r="O103" s="456"/>
      <c r="P103" s="462"/>
      <c r="Q103" s="456"/>
      <c r="R103" s="456"/>
      <c r="S103" s="456"/>
      <c r="T103" s="456"/>
      <c r="U103" s="456"/>
      <c r="V103" s="456"/>
      <c r="W103" s="456"/>
      <c r="X103" s="456"/>
      <c r="Y103" s="463"/>
      <c r="Z103" s="463"/>
      <c r="AA103" s="463"/>
      <c r="AB103" s="464"/>
      <c r="AC103" s="463"/>
      <c r="AD103" s="463"/>
      <c r="AE103" s="464"/>
      <c r="AF103" s="456"/>
      <c r="AG103" s="456"/>
      <c r="AH103" s="465"/>
      <c r="AI103" s="456"/>
      <c r="AJ103" s="456"/>
      <c r="AK103" s="465"/>
    </row>
    <row r="104" spans="1:37" ht="19.5" thickBot="1" x14ac:dyDescent="0.35">
      <c r="C104" s="69" t="s">
        <v>187</v>
      </c>
      <c r="D104" s="69"/>
      <c r="E104" s="69"/>
      <c r="F104" s="467"/>
      <c r="G104" s="69"/>
      <c r="N104" s="69"/>
      <c r="O104" s="69"/>
      <c r="Q104" s="466"/>
      <c r="S104" s="70" t="s">
        <v>188</v>
      </c>
      <c r="AF104" s="466"/>
      <c r="AG104" s="466"/>
      <c r="AH104" s="466"/>
      <c r="AI104" s="466"/>
      <c r="AJ104" s="466"/>
      <c r="AK104" s="466"/>
    </row>
    <row r="105" spans="1:37" ht="19.5" thickBot="1" x14ac:dyDescent="0.35">
      <c r="C105" s="69"/>
      <c r="D105" s="69"/>
      <c r="E105" s="69"/>
      <c r="F105" s="69"/>
      <c r="G105" s="69"/>
      <c r="N105" s="69"/>
      <c r="O105" s="69"/>
      <c r="S105" s="70"/>
    </row>
    <row r="106" spans="1:37" ht="45.75" thickBot="1" x14ac:dyDescent="0.3">
      <c r="C106" s="71" t="s">
        <v>11</v>
      </c>
      <c r="D106" s="71" t="s">
        <v>90</v>
      </c>
      <c r="E106" s="72" t="s">
        <v>91</v>
      </c>
      <c r="F106" s="72" t="s">
        <v>92</v>
      </c>
      <c r="G106" s="72" t="s">
        <v>93</v>
      </c>
      <c r="H106" s="71" t="s">
        <v>94</v>
      </c>
      <c r="I106" s="71" t="s">
        <v>95</v>
      </c>
      <c r="J106" s="71" t="s">
        <v>96</v>
      </c>
      <c r="K106" s="71" t="s">
        <v>97</v>
      </c>
      <c r="L106" s="71" t="s">
        <v>98</v>
      </c>
      <c r="M106" s="377" t="s">
        <v>99</v>
      </c>
      <c r="N106" s="75" t="s">
        <v>100</v>
      </c>
      <c r="R106" s="111" t="s">
        <v>101</v>
      </c>
      <c r="S106" s="111" t="s">
        <v>94</v>
      </c>
      <c r="T106" s="111" t="s">
        <v>102</v>
      </c>
      <c r="U106" s="111" t="s">
        <v>96</v>
      </c>
      <c r="V106" s="111" t="s">
        <v>103</v>
      </c>
      <c r="W106" s="111" t="s">
        <v>104</v>
      </c>
    </row>
    <row r="107" spans="1:37" x14ac:dyDescent="0.25">
      <c r="C107" s="77" t="s">
        <v>71</v>
      </c>
      <c r="D107" s="376">
        <f>SUMIF($E$6:$E$97,C107,$D$6:$D$97)</f>
        <v>68.099999999999994</v>
      </c>
      <c r="E107" s="279"/>
      <c r="F107" s="288"/>
      <c r="G107" s="137"/>
      <c r="H107" s="84">
        <f>SUMIF($E$6:$E$97,C107,$L$6:$L$97)+SUMIF($E$6:$E$97,C107,$M$6:$M$97)+SUMIF($E$6:$E$97,C107,$N$6:$N$97)</f>
        <v>7.65</v>
      </c>
      <c r="I107" s="139">
        <f t="shared" ref="I107:I114" si="0">IF(ISERROR(H107*24/D107),0,H107*24/D107)</f>
        <v>2.6960352422907494</v>
      </c>
      <c r="J107" s="137">
        <v>6</v>
      </c>
      <c r="K107" s="80"/>
      <c r="L107" s="38">
        <f>D107*J107/24</f>
        <v>17.024999999999999</v>
      </c>
      <c r="M107" s="80">
        <f t="shared" ref="M107:M114" si="1">L107-H107</f>
        <v>9.3749999999999982</v>
      </c>
      <c r="N107" s="86"/>
      <c r="Q107" s="82"/>
      <c r="R107" s="83" t="s">
        <v>105</v>
      </c>
      <c r="S107" s="228">
        <f>SUM(V5:V97)</f>
        <v>2.48</v>
      </c>
      <c r="T107" s="84">
        <f>S107*24/($D$108+$D$114)</f>
        <v>0.98217821782178216</v>
      </c>
      <c r="U107" s="84">
        <v>6</v>
      </c>
      <c r="V107" s="85">
        <f>($D$108+$D$114)*U107/24</f>
        <v>15.149999999999999</v>
      </c>
      <c r="W107" s="86">
        <f>V107-S107</f>
        <v>12.669999999999998</v>
      </c>
    </row>
    <row r="108" spans="1:37" x14ac:dyDescent="0.25">
      <c r="C108" s="87" t="s">
        <v>51</v>
      </c>
      <c r="D108" s="264">
        <f>SUMIF($E$6:$E$97,C108,$D$6:$D$97)</f>
        <v>47.599999999999994</v>
      </c>
      <c r="E108" s="264"/>
      <c r="F108" s="289"/>
      <c r="G108" s="139"/>
      <c r="H108" s="88">
        <f>SUMIF($E$6:$E$97,C108,$L$6:$L$97)+SUMIF($E$6:$E$97,C108,$M$6:$M$97)+SUMIF($E$6:$E$97,C108,$N$6:$N$97)</f>
        <v>6.32</v>
      </c>
      <c r="I108" s="139">
        <f t="shared" si="0"/>
        <v>3.1865546218487402</v>
      </c>
      <c r="J108" s="139">
        <v>6</v>
      </c>
      <c r="K108" s="88"/>
      <c r="L108" s="418">
        <f t="shared" ref="L108:L114" si="2">D108*J108/24</f>
        <v>11.899999999999999</v>
      </c>
      <c r="M108" s="88">
        <f t="shared" si="1"/>
        <v>5.5799999999999983</v>
      </c>
      <c r="N108" s="121"/>
      <c r="R108" s="90" t="s">
        <v>106</v>
      </c>
      <c r="S108" s="286">
        <f>SUM(S5:S74)</f>
        <v>0</v>
      </c>
      <c r="T108" s="84">
        <f>S108*24/($D$108+$D$114)</f>
        <v>0</v>
      </c>
      <c r="U108" s="88"/>
      <c r="V108" s="88"/>
      <c r="W108" s="121"/>
    </row>
    <row r="109" spans="1:37" x14ac:dyDescent="0.25">
      <c r="C109" s="87" t="s">
        <v>61</v>
      </c>
      <c r="D109" s="264">
        <f>SUMIF($E$6:$E$97,C109,$D$6:$D$97)</f>
        <v>0</v>
      </c>
      <c r="E109" s="264">
        <f>SUMIF($E$6:$E$97,C109,$G$6:$G$97)</f>
        <v>0</v>
      </c>
      <c r="F109" s="289">
        <v>0</v>
      </c>
      <c r="G109" s="139">
        <v>12</v>
      </c>
      <c r="H109" s="88">
        <f>SUMIF($E$6:$E$97,C109,$L$6:$L$97)+SUMIF($E$6:$E$97,C109,$M$6:$M$97)+SUMIF($E$6:$E$97,C109,$N$6:$N$97)</f>
        <v>0</v>
      </c>
      <c r="I109" s="139">
        <f t="shared" si="0"/>
        <v>0</v>
      </c>
      <c r="J109" s="139">
        <v>27</v>
      </c>
      <c r="K109" s="88">
        <f>E109/G109</f>
        <v>0</v>
      </c>
      <c r="L109" s="418">
        <f>K109*J109/24</f>
        <v>0</v>
      </c>
      <c r="M109" s="88">
        <f t="shared" si="1"/>
        <v>0</v>
      </c>
      <c r="N109" s="121">
        <f>K109-D109</f>
        <v>0</v>
      </c>
      <c r="R109" s="90" t="s">
        <v>20</v>
      </c>
      <c r="S109" s="286">
        <f>SUM(T5:T97)</f>
        <v>0</v>
      </c>
      <c r="T109" s="84">
        <f>S109*24/($D$108+$D$114)</f>
        <v>0</v>
      </c>
      <c r="U109" s="88"/>
      <c r="V109" s="88"/>
      <c r="W109" s="121"/>
    </row>
    <row r="110" spans="1:37" x14ac:dyDescent="0.25">
      <c r="C110" s="87" t="s">
        <v>55</v>
      </c>
      <c r="D110" s="264">
        <f>SUMIF($E$6:$E$97,C110,$D$6:$D$97)</f>
        <v>161.00000000000003</v>
      </c>
      <c r="E110" s="264">
        <f>SUMIF($E$6:$E$99,C110,$G$6:$G$99)</f>
        <v>2104</v>
      </c>
      <c r="F110" s="289">
        <f>E110/D110</f>
        <v>13.068322981366457</v>
      </c>
      <c r="G110" s="139">
        <v>12</v>
      </c>
      <c r="H110" s="88">
        <f>SUMIF($E$6:$E$99,C110,$L$6:$L$99)+SUMIF($E$6:$E$99,C110,$M$6:$M$99)+SUMIF($E$6:$E$99,C110,$N$6:$N$99)</f>
        <v>176.81999999999996</v>
      </c>
      <c r="I110" s="139">
        <f t="shared" si="0"/>
        <v>26.358260869565211</v>
      </c>
      <c r="J110" s="139">
        <v>27</v>
      </c>
      <c r="K110" s="88">
        <f>E110/G110</f>
        <v>175.33333333333334</v>
      </c>
      <c r="L110" s="418">
        <f>K110*J110/24</f>
        <v>197.25</v>
      </c>
      <c r="M110" s="88">
        <f t="shared" si="1"/>
        <v>20.430000000000035</v>
      </c>
      <c r="N110" s="121">
        <f>K110-D110</f>
        <v>14.333333333333314</v>
      </c>
      <c r="R110" s="90" t="s">
        <v>107</v>
      </c>
      <c r="S110" s="286">
        <f>SUM(U5:U99)</f>
        <v>0</v>
      </c>
      <c r="T110" s="84">
        <f>S110*24/($D$108+$D$114)</f>
        <v>0</v>
      </c>
      <c r="U110" s="88"/>
      <c r="V110" s="88"/>
      <c r="W110" s="121"/>
    </row>
    <row r="111" spans="1:37" ht="15.75" thickBot="1" x14ac:dyDescent="0.3">
      <c r="C111" s="87" t="s">
        <v>108</v>
      </c>
      <c r="D111" s="264">
        <f>SUMIF($E$6:$E$99,C111,$D$6:$D$99)</f>
        <v>0</v>
      </c>
      <c r="E111" s="264">
        <f>SUMIF($E$6:$E$99,C111,$G$6:$G$99)</f>
        <v>0</v>
      </c>
      <c r="F111" s="289">
        <f>IF(ISERROR(E111/D111),0,E111/D111)</f>
        <v>0</v>
      </c>
      <c r="G111" s="139">
        <v>12</v>
      </c>
      <c r="H111" s="88">
        <f>SUMIF($E$6:$E$99,C111,$L$6:$L$99)+SUMIF($E$6:$E$99,C111,$M$6:$M$99)+SUMIF($E$6:$E$99,C111,$N$6:$N$99)</f>
        <v>0</v>
      </c>
      <c r="I111" s="139">
        <f>IF(ISERROR(H111*24/D111),0,H111*24/D111)</f>
        <v>0</v>
      </c>
      <c r="J111" s="139">
        <v>27</v>
      </c>
      <c r="K111" s="88">
        <f>E111/G111</f>
        <v>0</v>
      </c>
      <c r="L111" s="418">
        <f>K111*J111/24</f>
        <v>0</v>
      </c>
      <c r="M111" s="88">
        <f t="shared" si="1"/>
        <v>0</v>
      </c>
      <c r="N111" s="121">
        <f>K111-D111</f>
        <v>0</v>
      </c>
      <c r="R111" s="92" t="s">
        <v>24</v>
      </c>
      <c r="S111" s="287">
        <f>SUM(R5:R99)</f>
        <v>1.5</v>
      </c>
      <c r="T111" s="84">
        <f>S111*24/($D$108+$D$114)</f>
        <v>0.59405940594059414</v>
      </c>
      <c r="U111" s="98"/>
      <c r="V111" s="98"/>
      <c r="W111" s="122"/>
    </row>
    <row r="112" spans="1:37" x14ac:dyDescent="0.25">
      <c r="C112" s="87" t="s">
        <v>45</v>
      </c>
      <c r="D112" s="264">
        <f>SUMIF($E$6:$E$97,C112,$D$6:$D$97)</f>
        <v>415</v>
      </c>
      <c r="E112" s="264"/>
      <c r="F112" s="289"/>
      <c r="G112" s="139"/>
      <c r="H112" s="88">
        <f>SUMIF($E$6:$E$99,C112,$L$6:$L$99)+SUMIF($E$6:$E$99,C112,$M$6:$M$99)+SUMIF($E$6:$E$99,C112,$N$6:$N$99)</f>
        <v>57.289999999999992</v>
      </c>
      <c r="I112" s="139">
        <f t="shared" si="0"/>
        <v>3.3131566265060237</v>
      </c>
      <c r="J112" s="139">
        <v>6</v>
      </c>
      <c r="K112" s="88"/>
      <c r="L112" s="418">
        <f t="shared" si="2"/>
        <v>103.75</v>
      </c>
      <c r="M112" s="88">
        <f t="shared" si="1"/>
        <v>46.460000000000008</v>
      </c>
      <c r="N112" s="121"/>
      <c r="S112" s="68"/>
      <c r="T112" s="143"/>
      <c r="U112" s="68"/>
      <c r="V112" s="68"/>
      <c r="W112" s="68"/>
    </row>
    <row r="113" spans="3:23" x14ac:dyDescent="0.25">
      <c r="C113" s="87" t="s">
        <v>47</v>
      </c>
      <c r="D113" s="264">
        <f>SUMIF($E$6:$E$97,C113,$D$6:$D$97)</f>
        <v>26.833333333333339</v>
      </c>
      <c r="E113" s="264"/>
      <c r="F113" s="289"/>
      <c r="G113" s="139"/>
      <c r="H113" s="88">
        <f>SUMIF($E$6:$E$99,C113,$L$6:$L$99)+SUMIF($E$6:$E$99,C113,$M$6:$M$99)+SUMIF($E$6:$E$99,C113,$N$6:$N$99)</f>
        <v>10.79</v>
      </c>
      <c r="I113" s="139">
        <f t="shared" si="0"/>
        <v>9.6506832298136622</v>
      </c>
      <c r="J113" s="139">
        <v>6</v>
      </c>
      <c r="K113" s="88"/>
      <c r="L113" s="418">
        <f t="shared" si="2"/>
        <v>6.7083333333333348</v>
      </c>
      <c r="M113" s="88">
        <f t="shared" si="1"/>
        <v>-4.0816666666666643</v>
      </c>
      <c r="N113" s="121"/>
      <c r="S113" s="68"/>
      <c r="T113" s="68"/>
      <c r="U113" s="68"/>
      <c r="V113" s="68"/>
      <c r="W113" s="68"/>
    </row>
    <row r="114" spans="3:23" ht="15.75" thickBot="1" x14ac:dyDescent="0.3">
      <c r="C114" s="97" t="s">
        <v>49</v>
      </c>
      <c r="D114" s="290">
        <f>SUMIF($E$6:$E$97,C114,$D$6:$D$97)</f>
        <v>13</v>
      </c>
      <c r="E114" s="290"/>
      <c r="F114" s="291"/>
      <c r="G114" s="140"/>
      <c r="H114" s="98">
        <f>SUMIF($E$6:$E$99,C114,$L$6:$L$99)+SUMIF($E$6:$E$99,C114,$M$6:$M$99)+SUMIF($E$6:$E$99,C114,$N$6:$N$99)</f>
        <v>1.7599999999999998</v>
      </c>
      <c r="I114" s="141">
        <f t="shared" si="0"/>
        <v>3.2492307692307687</v>
      </c>
      <c r="J114" s="141">
        <v>8</v>
      </c>
      <c r="K114" s="98"/>
      <c r="L114" s="99">
        <f t="shared" si="2"/>
        <v>4.333333333333333</v>
      </c>
      <c r="M114" s="98">
        <f t="shared" si="1"/>
        <v>2.5733333333333333</v>
      </c>
      <c r="N114" s="122"/>
      <c r="O114" s="68"/>
      <c r="S114" s="68"/>
      <c r="T114" s="68"/>
      <c r="U114" s="68"/>
      <c r="V114" s="68"/>
      <c r="W114" s="68"/>
    </row>
    <row r="115" spans="3:23" ht="15.75" thickBot="1" x14ac:dyDescent="0.3">
      <c r="C115" s="124"/>
      <c r="D115" s="327"/>
      <c r="E115" s="292"/>
      <c r="F115" s="293"/>
      <c r="G115" s="134"/>
      <c r="H115" s="328"/>
      <c r="I115" s="144"/>
      <c r="J115" s="144"/>
      <c r="K115" s="68"/>
      <c r="L115" s="102"/>
      <c r="M115" s="68"/>
      <c r="N115" s="145"/>
      <c r="O115" s="68"/>
      <c r="S115" s="68"/>
      <c r="T115" s="68"/>
      <c r="U115" s="68"/>
      <c r="V115" s="68"/>
      <c r="W115" s="68"/>
    </row>
    <row r="116" spans="3:23" ht="15.75" thickBot="1" x14ac:dyDescent="0.3">
      <c r="C116" s="103" t="s">
        <v>29</v>
      </c>
      <c r="D116" s="284">
        <f>SUM(D107:D114)</f>
        <v>731.53333333333342</v>
      </c>
      <c r="E116" s="284">
        <f>SUM(E107:E113)</f>
        <v>2104</v>
      </c>
      <c r="F116" s="284">
        <f>SUM(F107:F113)/1</f>
        <v>13.068322981366457</v>
      </c>
      <c r="H116" s="101">
        <f>SUM(H107:H114)</f>
        <v>260.62999999999994</v>
      </c>
      <c r="K116" s="142"/>
      <c r="L116" s="104">
        <f>SUM(L107:L114)</f>
        <v>340.96666666666664</v>
      </c>
      <c r="M116" s="101">
        <f>SUM(M107:M114)</f>
        <v>80.336666666666716</v>
      </c>
      <c r="N116" s="101">
        <f>SUM(N107:N114)</f>
        <v>14.333333333333314</v>
      </c>
      <c r="R116" s="100" t="s">
        <v>29</v>
      </c>
      <c r="S116" s="101">
        <f>SUM(S107:S111)</f>
        <v>3.98</v>
      </c>
      <c r="T116" s="101">
        <f>SUM(T107:T111)</f>
        <v>1.5762376237623763</v>
      </c>
      <c r="U116" s="68"/>
      <c r="V116" s="68"/>
      <c r="W116" s="68"/>
    </row>
    <row r="125" spans="3:23" x14ac:dyDescent="0.25">
      <c r="I12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03" name="Rango12"/>
    <protectedRange sqref="AC6:AD103" name="Rango10"/>
    <protectedRange sqref="Z98:AA103" name="Rango8"/>
    <protectedRange sqref="X6:X103" name="Rango6"/>
    <protectedRange sqref="R6:V103" name="Rango5"/>
    <protectedRange sqref="P6:P103" name="Rango3"/>
    <protectedRange sqref="J102:N103 J100:K101 J6:N99 E6:H103" name="Rango2"/>
    <protectedRange sqref="C7:C24 C26:C45 A6:B45 A46:C103" name="Rango1"/>
    <protectedRange sqref="B4:C4" name="Rango16"/>
    <protectedRange sqref="C6" name="Rango1_1"/>
    <protectedRange sqref="Z6:AA97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37:J42 J8:J35 J6 J45:J103">
    <cfRule type="cellIs" dxfId="370" priority="13" operator="greaterThan">
      <formula>"S5"</formula>
    </cfRule>
  </conditionalFormatting>
  <conditionalFormatting sqref="I37:I42 I8:I35 I6 I53:I103">
    <cfRule type="cellIs" dxfId="369" priority="12" operator="greaterThan">
      <formula>0</formula>
    </cfRule>
  </conditionalFormatting>
  <conditionalFormatting sqref="J7">
    <cfRule type="cellIs" dxfId="368" priority="11" operator="greaterThan">
      <formula>"S5"</formula>
    </cfRule>
  </conditionalFormatting>
  <conditionalFormatting sqref="I7">
    <cfRule type="cellIs" dxfId="367" priority="10" operator="greaterThan">
      <formula>0</formula>
    </cfRule>
  </conditionalFormatting>
  <conditionalFormatting sqref="I45:I52">
    <cfRule type="cellIs" dxfId="366" priority="9" operator="greaterThan">
      <formula>0</formula>
    </cfRule>
  </conditionalFormatting>
  <conditionalFormatting sqref="J43:J44">
    <cfRule type="cellIs" dxfId="365" priority="6" operator="greaterThan">
      <formula>"S5"</formula>
    </cfRule>
  </conditionalFormatting>
  <conditionalFormatting sqref="I43:I44">
    <cfRule type="cellIs" dxfId="364" priority="5" operator="greaterThan">
      <formula>0</formula>
    </cfRule>
  </conditionalFormatting>
  <conditionalFormatting sqref="I36">
    <cfRule type="cellIs" dxfId="363" priority="1" operator="greaterThan">
      <formula>0</formula>
    </cfRule>
  </conditionalFormatting>
  <conditionalFormatting sqref="J36">
    <cfRule type="cellIs" dxfId="362" priority="2" operator="greaterThan">
      <formula>"S5"</formula>
    </cfRule>
  </conditionalFormatting>
  <dataValidations count="1">
    <dataValidation type="list" showInputMessage="1" showErrorMessage="1" sqref="E6:E103">
      <formula1>$C$107:$C$115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16"/>
  <sheetViews>
    <sheetView zoomScale="70" zoomScaleNormal="70" workbookViewId="0">
      <pane xSplit="6" ySplit="5" topLeftCell="P6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Z86" sqref="Z86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30" customWidth="1"/>
    <col min="4" max="4" width="15.28515625" customWidth="1"/>
    <col min="5" max="5" width="22.7109375" customWidth="1"/>
    <col min="6" max="6" width="37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44215</v>
      </c>
      <c r="C4" s="341">
        <v>0.70833333333333337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212.61</v>
      </c>
      <c r="R4" s="553" t="s">
        <v>183</v>
      </c>
      <c r="S4" s="554"/>
      <c r="T4" s="554"/>
      <c r="U4" s="554"/>
      <c r="V4" s="554"/>
      <c r="W4" s="554"/>
      <c r="X4" s="555"/>
      <c r="Y4" s="283">
        <v>14.61</v>
      </c>
      <c r="Z4" s="6"/>
      <c r="AA4" s="7" t="s">
        <v>184</v>
      </c>
      <c r="AB4" s="304">
        <v>739.95</v>
      </c>
      <c r="AC4" s="9"/>
      <c r="AD4" s="7" t="s">
        <v>184</v>
      </c>
      <c r="AE4" s="304">
        <v>2700</v>
      </c>
      <c r="AG4" s="7" t="s">
        <v>184</v>
      </c>
      <c r="AH4" s="304">
        <v>2660</v>
      </c>
      <c r="AJ4" s="7" t="s">
        <v>184</v>
      </c>
      <c r="AK4" s="304">
        <v>2000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385</v>
      </c>
      <c r="B6" s="48">
        <v>44215</v>
      </c>
      <c r="C6" s="41">
        <v>0.70833333333333337</v>
      </c>
      <c r="D6" s="418">
        <v>0</v>
      </c>
      <c r="E6" s="409" t="s">
        <v>55</v>
      </c>
      <c r="F6" s="29" t="s">
        <v>382</v>
      </c>
      <c r="G6" s="324"/>
      <c r="H6" s="306"/>
      <c r="I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" s="242"/>
      <c r="K6" s="325"/>
      <c r="L6" s="483">
        <v>8.43</v>
      </c>
      <c r="M6" s="246">
        <v>0.73</v>
      </c>
      <c r="N6" s="484">
        <v>0.44</v>
      </c>
      <c r="O6" s="257">
        <f>SUM(V062A_2030313334363537[[#This Row],[MPAL]]+V062A_2030313334363537[[#This Row],[AUX.]]+V062A_2030313334363537[[#This Row],[CALDERA]])</f>
        <v>9.6</v>
      </c>
      <c r="P6" s="319"/>
      <c r="Q6" s="281">
        <v>203.01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57">
        <f>SUM(V062A_2030313334363537[[#This Row],[MPAL2]:[GI]])</f>
        <v>0</v>
      </c>
      <c r="X6" s="246"/>
      <c r="Y6" s="282">
        <v>14.61</v>
      </c>
      <c r="Z6" s="245">
        <v>91.7</v>
      </c>
      <c r="AA6" s="246">
        <v>0</v>
      </c>
      <c r="AB6" s="320">
        <v>648.25</v>
      </c>
      <c r="AC6" s="246">
        <v>0</v>
      </c>
      <c r="AD6" s="246">
        <v>0</v>
      </c>
      <c r="AE6" s="320">
        <v>2700</v>
      </c>
      <c r="AF6" s="246">
        <v>0</v>
      </c>
      <c r="AG6" s="246">
        <v>0</v>
      </c>
      <c r="AH6" s="320">
        <v>2660</v>
      </c>
      <c r="AI6" s="246">
        <v>0</v>
      </c>
      <c r="AJ6" s="246">
        <v>0</v>
      </c>
      <c r="AK6" s="321">
        <v>2000</v>
      </c>
    </row>
    <row r="7" spans="1:37" x14ac:dyDescent="0.25">
      <c r="A7" s="431" t="s">
        <v>385</v>
      </c>
      <c r="B7" s="48">
        <v>44215</v>
      </c>
      <c r="C7" s="237">
        <v>0.73333333333333339</v>
      </c>
      <c r="D7" s="418">
        <f>IF(V062A_2030313334363537[[#This Row],[FECHA]]-B6=1,((V062A_2030313334363537[[#This Row],[HORA]]-C6)*24)+24,(V062A_2030313334363537[[#This Row],[HORA]]-C6)*24)</f>
        <v>0.60000000000000053</v>
      </c>
      <c r="E7" s="499" t="s">
        <v>47</v>
      </c>
      <c r="F7" s="505" t="s">
        <v>386</v>
      </c>
      <c r="G7" s="500"/>
      <c r="H7" s="501"/>
      <c r="I7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" s="503"/>
      <c r="K7" s="504"/>
      <c r="L7" s="245">
        <v>0.25</v>
      </c>
      <c r="M7" s="246">
        <v>0.04</v>
      </c>
      <c r="N7" s="246">
        <v>0.03</v>
      </c>
      <c r="O7" s="246">
        <f>SUM(V062A_2030313334363537[[#This Row],[MPAL]]+V062A_2030313334363537[[#This Row],[AUX.]]+V062A_2030313334363537[[#This Row],[CALDERA]])</f>
        <v>0.31999999999999995</v>
      </c>
      <c r="P7" s="319"/>
      <c r="Q7" s="281">
        <f>(Q6-V062A_2030313334363537[[#This Row],[TOTAL ]])+V062A_2030313334363537[[#This Row],[FAENA]]</f>
        <v>202.69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SUM(V062A_2030313334363537[[#This Row],[MPAL2]:[GI]])</f>
        <v>0</v>
      </c>
      <c r="X7" s="246"/>
      <c r="Y7" s="282">
        <f>(Y6-V062A_2030313334363537[[#This Row],[TOTAL]])+V062A_2030313334363537[[#This Row],[FAENA2]]</f>
        <v>14.61</v>
      </c>
      <c r="Z7" s="245">
        <v>0</v>
      </c>
      <c r="AA7" s="246">
        <v>0</v>
      </c>
      <c r="AB7" s="320">
        <f>(AB6-V062A_2030313334363537[[#This Row],[CYLINDER MP]])+V062A_2030313334363537[[#This Row],[FAENA EN LTS]]</f>
        <v>648.25</v>
      </c>
      <c r="AC7" s="246">
        <v>0</v>
      </c>
      <c r="AD7" s="246">
        <v>0</v>
      </c>
      <c r="AE7" s="320">
        <f>(AE6-V062A_2030313334363537[[#This Row],[CARTER MP.]])+V062A_2030313334363537[[#This Row],[FAENA EN LTS2]]</f>
        <v>2700</v>
      </c>
      <c r="AF7" s="246">
        <v>0</v>
      </c>
      <c r="AG7" s="246">
        <v>0</v>
      </c>
      <c r="AH7" s="320">
        <f>(AH6-V062A_2030313334363537[[#This Row],[MOT AUX]])+V062A_2030313334363537[[#This Row],[FAENA EN  LTS]]</f>
        <v>2660</v>
      </c>
      <c r="AI7" s="246">
        <v>0</v>
      </c>
      <c r="AJ7" s="246">
        <v>0</v>
      </c>
      <c r="AK7" s="321">
        <f>(AK6-V062A_2030313334363537[[#This Row],[HIDRAULICO]])+V062A_2030313334363537[[#This Row],[FAENA EN LTS3]]</f>
        <v>2000</v>
      </c>
    </row>
    <row r="8" spans="1:37" x14ac:dyDescent="0.25">
      <c r="A8" s="431" t="s">
        <v>385</v>
      </c>
      <c r="B8" s="48">
        <v>44216</v>
      </c>
      <c r="C8" s="41">
        <v>0.33333333333333331</v>
      </c>
      <c r="D8" s="418">
        <f>IF(V062A_2030313334363537[[#This Row],[FECHA]]-B6=1,((V062A_2030313334363537[[#This Row],[HORA]]-C6)*24)+24,(V062A_2030313334363537[[#This Row],[HORA]]-C6)*24)</f>
        <v>14.999999999999998</v>
      </c>
      <c r="E8" s="409" t="s">
        <v>45</v>
      </c>
      <c r="F8" s="29" t="s">
        <v>383</v>
      </c>
      <c r="G8" s="324"/>
      <c r="H8" s="306"/>
      <c r="I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" s="242"/>
      <c r="K8" s="325"/>
      <c r="L8" s="483">
        <v>0</v>
      </c>
      <c r="M8" s="246">
        <v>0.95</v>
      </c>
      <c r="N8" s="484">
        <v>0.76</v>
      </c>
      <c r="O8" s="257">
        <f>SUM(V062A_2030313334363537[[#This Row],[MPAL]]+V062A_2030313334363537[[#This Row],[AUX.]]+V062A_2030313334363537[[#This Row],[CALDERA]])</f>
        <v>1.71</v>
      </c>
      <c r="P8" s="319"/>
      <c r="Q8" s="281">
        <f>(Q6-V062A_2030313334363537[[#This Row],[TOTAL ]])+V062A_2030313334363537[[#This Row],[FAENA]]</f>
        <v>201.29999999999998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57">
        <f>SUM(V062A_2030313334363537[[#This Row],[MPAL2]:[GI]])</f>
        <v>0</v>
      </c>
      <c r="X8" s="246"/>
      <c r="Y8" s="282">
        <f>(Y6-V062A_2030313334363537[[#This Row],[TOTAL]])+V062A_2030313334363537[[#This Row],[FAENA2]]</f>
        <v>14.61</v>
      </c>
      <c r="Z8" s="245">
        <v>0</v>
      </c>
      <c r="AA8" s="246">
        <v>0</v>
      </c>
      <c r="AB8" s="320">
        <f>(AB6-V062A_2030313334363537[[#This Row],[CYLINDER MP]])+V062A_2030313334363537[[#This Row],[FAENA EN LTS]]</f>
        <v>648.25</v>
      </c>
      <c r="AC8" s="246">
        <v>0</v>
      </c>
      <c r="AD8" s="246">
        <v>0</v>
      </c>
      <c r="AE8" s="320">
        <f>(AE6-V062A_2030313334363537[[#This Row],[CARTER MP.]])+V062A_2030313334363537[[#This Row],[FAENA EN LTS2]]</f>
        <v>2700</v>
      </c>
      <c r="AF8" s="246">
        <v>0</v>
      </c>
      <c r="AG8" s="246">
        <v>0</v>
      </c>
      <c r="AH8" s="320">
        <f>(AH6-V062A_2030313334363537[[#This Row],[MOT AUX]])+V062A_2030313334363537[[#This Row],[FAENA EN  LTS]]</f>
        <v>2660</v>
      </c>
      <c r="AI8" s="246">
        <v>0</v>
      </c>
      <c r="AJ8" s="246">
        <v>0</v>
      </c>
      <c r="AK8" s="321">
        <f>(AK6-V062A_2030313334363537[[#This Row],[HIDRAULICO]])+V062A_2030313334363537[[#This Row],[FAENA EN LTS3]]</f>
        <v>2000</v>
      </c>
    </row>
    <row r="9" spans="1:37" x14ac:dyDescent="0.25">
      <c r="A9" s="431" t="s">
        <v>385</v>
      </c>
      <c r="B9" s="48">
        <v>44217</v>
      </c>
      <c r="C9" s="41">
        <v>0.33333333333333331</v>
      </c>
      <c r="D9" s="418">
        <f>IF(V062A_2030313334363537[[#This Row],[FECHA]]-B8=1,((V062A_2030313334363537[[#This Row],[HORA]]-C8)*24)+24,(V062A_2030313334363537[[#This Row],[HORA]]-C8)*24)</f>
        <v>24</v>
      </c>
      <c r="E9" s="409" t="s">
        <v>45</v>
      </c>
      <c r="F9" s="29" t="s">
        <v>383</v>
      </c>
      <c r="G9" s="324"/>
      <c r="H9" s="306"/>
      <c r="I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" s="242"/>
      <c r="K9" s="325"/>
      <c r="L9" s="483">
        <v>0</v>
      </c>
      <c r="M9" s="246">
        <v>2.5</v>
      </c>
      <c r="N9" s="484">
        <v>1.9</v>
      </c>
      <c r="O9" s="257">
        <f>SUM(V062A_2030313334363537[[#This Row],[MPAL]]+V062A_2030313334363537[[#This Row],[AUX.]]+V062A_2030313334363537[[#This Row],[CALDERA]])</f>
        <v>4.4000000000000004</v>
      </c>
      <c r="P9" s="319"/>
      <c r="Q9" s="281">
        <f>(Q8-V062A_2030313334363537[[#This Row],[TOTAL ]])+V062A_2030313334363537[[#This Row],[FAENA]]</f>
        <v>196.89999999999998</v>
      </c>
      <c r="R9" s="245">
        <v>0</v>
      </c>
      <c r="S9" s="246">
        <v>0</v>
      </c>
      <c r="T9" s="246">
        <v>0</v>
      </c>
      <c r="U9" s="246">
        <v>0</v>
      </c>
      <c r="V9" s="246">
        <v>1.37</v>
      </c>
      <c r="W9" s="257">
        <f>SUM(V062A_2030313334363537[[#This Row],[MPAL2]:[GI]])</f>
        <v>1.37</v>
      </c>
      <c r="X9" s="246"/>
      <c r="Y9" s="282">
        <f>(Y8-V062A_2030313334363537[[#This Row],[TOTAL]])+V062A_2030313334363537[[#This Row],[FAENA2]]</f>
        <v>13.239999999999998</v>
      </c>
      <c r="Z9" s="245">
        <v>0</v>
      </c>
      <c r="AA9" s="246">
        <v>0</v>
      </c>
      <c r="AB9" s="320">
        <f>(AB8-V062A_2030313334363537[[#This Row],[CYLINDER MP]])+V062A_2030313334363537[[#This Row],[FAENA EN LTS]]</f>
        <v>648.25</v>
      </c>
      <c r="AC9" s="246">
        <v>0</v>
      </c>
      <c r="AD9" s="246">
        <v>0</v>
      </c>
      <c r="AE9" s="320">
        <f>(AE8-V062A_2030313334363537[[#This Row],[CARTER MP.]])+V062A_2030313334363537[[#This Row],[FAENA EN LTS2]]</f>
        <v>2700</v>
      </c>
      <c r="AF9" s="246">
        <v>0</v>
      </c>
      <c r="AG9" s="246">
        <v>0</v>
      </c>
      <c r="AH9" s="320">
        <f>(AH8-V062A_2030313334363537[[#This Row],[MOT AUX]])+V062A_2030313334363537[[#This Row],[FAENA EN  LTS]]</f>
        <v>2660</v>
      </c>
      <c r="AI9" s="246">
        <v>0</v>
      </c>
      <c r="AJ9" s="246">
        <v>0</v>
      </c>
      <c r="AK9" s="321">
        <f>(AK8-V062A_2030313334363537[[#This Row],[HIDRAULICO]])+V062A_2030313334363537[[#This Row],[FAENA EN LTS3]]</f>
        <v>2000</v>
      </c>
    </row>
    <row r="10" spans="1:37" x14ac:dyDescent="0.25">
      <c r="A10" s="431" t="s">
        <v>385</v>
      </c>
      <c r="B10" s="48">
        <v>44218</v>
      </c>
      <c r="C10" s="41">
        <v>0.33333333333333331</v>
      </c>
      <c r="D10" s="418">
        <f>IF(V062A_2030313334363537[[#This Row],[FECHA]]-B9=1,((V062A_2030313334363537[[#This Row],[HORA]]-C9)*24)+24,(V062A_2030313334363537[[#This Row],[HORA]]-C9)*24)</f>
        <v>24</v>
      </c>
      <c r="E10" s="409" t="s">
        <v>45</v>
      </c>
      <c r="F10" s="29" t="s">
        <v>383</v>
      </c>
      <c r="G10" s="324"/>
      <c r="H10" s="306"/>
      <c r="I1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0" s="242"/>
      <c r="K10" s="325"/>
      <c r="L10" s="483">
        <v>0</v>
      </c>
      <c r="M10" s="246">
        <v>1.5</v>
      </c>
      <c r="N10" s="484">
        <v>1.2</v>
      </c>
      <c r="O10" s="257">
        <f>SUM(V062A_2030313334363537[[#This Row],[MPAL]]+V062A_2030313334363537[[#This Row],[AUX.]]+V062A_2030313334363537[[#This Row],[CALDERA]])</f>
        <v>2.7</v>
      </c>
      <c r="P10" s="319"/>
      <c r="Q10" s="281">
        <f>(Q9-V062A_2030313334363537[[#This Row],[TOTAL ]])+V062A_2030313334363537[[#This Row],[FAENA]]</f>
        <v>194.2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57">
        <f>SUM(V062A_2030313334363537[[#This Row],[MPAL2]:[GI]])</f>
        <v>0</v>
      </c>
      <c r="X10" s="246"/>
      <c r="Y10" s="282">
        <f>(Y9-V062A_2030313334363537[[#This Row],[TOTAL]])+V062A_2030313334363537[[#This Row],[FAENA2]]</f>
        <v>13.239999999999998</v>
      </c>
      <c r="Z10" s="245">
        <v>0</v>
      </c>
      <c r="AA10" s="246">
        <v>0</v>
      </c>
      <c r="AB10" s="320">
        <f>(AB9-V062A_2030313334363537[[#This Row],[CYLINDER MP]])+V062A_2030313334363537[[#This Row],[FAENA EN LTS]]</f>
        <v>648.25</v>
      </c>
      <c r="AC10" s="246">
        <v>0</v>
      </c>
      <c r="AD10" s="246">
        <v>0</v>
      </c>
      <c r="AE10" s="320">
        <f>(AE9-V062A_2030313334363537[[#This Row],[CARTER MP.]])+V062A_2030313334363537[[#This Row],[FAENA EN LTS2]]</f>
        <v>2700</v>
      </c>
      <c r="AF10" s="246">
        <v>0</v>
      </c>
      <c r="AG10" s="246">
        <v>0</v>
      </c>
      <c r="AH10" s="320">
        <f>(AH9-V062A_2030313334363537[[#This Row],[MOT AUX]])+V062A_2030313334363537[[#This Row],[FAENA EN  LTS]]</f>
        <v>2660</v>
      </c>
      <c r="AI10" s="246">
        <v>0</v>
      </c>
      <c r="AJ10" s="246">
        <v>0</v>
      </c>
      <c r="AK10" s="321">
        <f>(AK9-V062A_2030313334363537[[#This Row],[HIDRAULICO]])+V062A_2030313334363537[[#This Row],[FAENA EN LTS3]]</f>
        <v>2000</v>
      </c>
    </row>
    <row r="11" spans="1:37" x14ac:dyDescent="0.25">
      <c r="A11" s="431" t="s">
        <v>385</v>
      </c>
      <c r="B11" s="48">
        <v>44219</v>
      </c>
      <c r="C11" s="41">
        <v>0.33333333333333331</v>
      </c>
      <c r="D11" s="418">
        <f>IF(V062A_2030313334363537[[#This Row],[FECHA]]-B10=1,((V062A_2030313334363537[[#This Row],[HORA]]-C10)*24)+24,(V062A_2030313334363537[[#This Row],[HORA]]-C10)*24)</f>
        <v>24</v>
      </c>
      <c r="E11" s="239" t="s">
        <v>45</v>
      </c>
      <c r="F11" s="29" t="s">
        <v>383</v>
      </c>
      <c r="G11" s="324"/>
      <c r="H11" s="306"/>
      <c r="I1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1" s="380"/>
      <c r="K11" s="325"/>
      <c r="L11" s="483">
        <v>0</v>
      </c>
      <c r="M11" s="246">
        <v>4.2</v>
      </c>
      <c r="N11" s="484">
        <v>1.2</v>
      </c>
      <c r="O11" s="257">
        <f>SUM(V062A_2030313334363537[[#This Row],[MPAL]]+V062A_2030313334363537[[#This Row],[AUX.]]+V062A_2030313334363537[[#This Row],[CALDERA]])</f>
        <v>5.4</v>
      </c>
      <c r="P11" s="319"/>
      <c r="Q11" s="281">
        <f>(Q10-V062A_2030313334363537[[#This Row],[TOTAL ]])+V062A_2030313334363537[[#This Row],[FAENA]]</f>
        <v>188.79999999999998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57">
        <f>SUM(V062A_2030313334363537[[#This Row],[MPAL2]:[GI]])</f>
        <v>0</v>
      </c>
      <c r="X11" s="246"/>
      <c r="Y11" s="282">
        <f>(Y10-V062A_2030313334363537[[#This Row],[TOTAL]])+V062A_2030313334363537[[#This Row],[FAENA2]]</f>
        <v>13.239999999999998</v>
      </c>
      <c r="Z11" s="245">
        <v>0</v>
      </c>
      <c r="AA11" s="246">
        <v>0</v>
      </c>
      <c r="AB11" s="320">
        <f>(AB10-V062A_2030313334363537[[#This Row],[CYLINDER MP]])+V062A_2030313334363537[[#This Row],[FAENA EN LTS]]</f>
        <v>648.25</v>
      </c>
      <c r="AC11" s="246">
        <v>0</v>
      </c>
      <c r="AD11" s="246">
        <v>0</v>
      </c>
      <c r="AE11" s="320">
        <f>(AE10-V062A_2030313334363537[[#This Row],[CARTER MP.]])+V062A_2030313334363537[[#This Row],[FAENA EN LTS2]]</f>
        <v>2700</v>
      </c>
      <c r="AF11" s="246">
        <v>20</v>
      </c>
      <c r="AG11" s="246">
        <v>0</v>
      </c>
      <c r="AH11" s="320">
        <f>(AH10-V062A_2030313334363537[[#This Row],[MOT AUX]])+V062A_2030313334363537[[#This Row],[FAENA EN  LTS]]</f>
        <v>2640</v>
      </c>
      <c r="AI11" s="246">
        <v>0</v>
      </c>
      <c r="AJ11" s="246">
        <v>0</v>
      </c>
      <c r="AK11" s="321">
        <f>(AK10-V062A_2030313334363537[[#This Row],[HIDRAULICO]])+V062A_2030313334363537[[#This Row],[FAENA EN LTS3]]</f>
        <v>2000</v>
      </c>
    </row>
    <row r="12" spans="1:37" x14ac:dyDescent="0.25">
      <c r="A12" s="431" t="s">
        <v>385</v>
      </c>
      <c r="B12" s="48">
        <v>44220</v>
      </c>
      <c r="C12" s="41">
        <v>0.33333333333333331</v>
      </c>
      <c r="D12" s="418">
        <f>IF(V062A_2030313334363537[[#This Row],[FECHA]]-B11=1,((V062A_2030313334363537[[#This Row],[HORA]]-C11)*24)+24,(V062A_2030313334363537[[#This Row],[HORA]]-C11)*24)</f>
        <v>24</v>
      </c>
      <c r="E12" s="239" t="s">
        <v>45</v>
      </c>
      <c r="F12" s="29" t="s">
        <v>383</v>
      </c>
      <c r="G12" s="324"/>
      <c r="H12" s="306"/>
      <c r="I1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2" s="242"/>
      <c r="K12" s="325"/>
      <c r="L12" s="483">
        <v>0</v>
      </c>
      <c r="M12" s="246">
        <v>1.5</v>
      </c>
      <c r="N12" s="484">
        <v>1.2</v>
      </c>
      <c r="O12" s="257">
        <f>SUM(V062A_2030313334363537[[#This Row],[MPAL]]+V062A_2030313334363537[[#This Row],[AUX.]]+V062A_2030313334363537[[#This Row],[CALDERA]])</f>
        <v>2.7</v>
      </c>
      <c r="P12" s="319"/>
      <c r="Q12" s="281">
        <f>(Q11-V062A_2030313334363537[[#This Row],[TOTAL ]])+V062A_2030313334363537[[#This Row],[FAENA]]</f>
        <v>186.1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57">
        <f>SUM(V062A_2030313334363537[[#This Row],[MPAL2]:[GI]])</f>
        <v>0</v>
      </c>
      <c r="X12" s="246"/>
      <c r="Y12" s="282">
        <f>(Y11-V062A_2030313334363537[[#This Row],[TOTAL]])+V062A_2030313334363537[[#This Row],[FAENA2]]</f>
        <v>13.239999999999998</v>
      </c>
      <c r="Z12" s="245">
        <v>0</v>
      </c>
      <c r="AA12" s="246">
        <v>0</v>
      </c>
      <c r="AB12" s="320">
        <f>(AB11-V062A_2030313334363537[[#This Row],[CYLINDER MP]])+V062A_2030313334363537[[#This Row],[FAENA EN LTS]]</f>
        <v>648.25</v>
      </c>
      <c r="AC12" s="246">
        <v>0</v>
      </c>
      <c r="AD12" s="246">
        <v>0</v>
      </c>
      <c r="AE12" s="320">
        <f>(AE11-V062A_2030313334363537[[#This Row],[CARTER MP.]])+V062A_2030313334363537[[#This Row],[FAENA EN LTS2]]</f>
        <v>2700</v>
      </c>
      <c r="AF12" s="246">
        <v>0</v>
      </c>
      <c r="AG12" s="246">
        <v>0</v>
      </c>
      <c r="AH12" s="320">
        <f>(AH11-V062A_2030313334363537[[#This Row],[MOT AUX]])+V062A_2030313334363537[[#This Row],[FAENA EN  LTS]]</f>
        <v>2640</v>
      </c>
      <c r="AI12" s="246">
        <v>0</v>
      </c>
      <c r="AJ12" s="246">
        <v>0</v>
      </c>
      <c r="AK12" s="321">
        <f>(AK11-V062A_2030313334363537[[#This Row],[HIDRAULICO]])+V062A_2030313334363537[[#This Row],[FAENA EN LTS3]]</f>
        <v>2000</v>
      </c>
    </row>
    <row r="13" spans="1:37" x14ac:dyDescent="0.25">
      <c r="A13" s="431" t="s">
        <v>385</v>
      </c>
      <c r="B13" s="48">
        <v>44221</v>
      </c>
      <c r="C13" s="41">
        <v>0.33333333333333331</v>
      </c>
      <c r="D13" s="418">
        <f>IF(V062A_2030313334363537[[#This Row],[FECHA]]-B12=1,((V062A_2030313334363537[[#This Row],[HORA]]-C12)*24)+24,(V062A_2030313334363537[[#This Row],[HORA]]-C12)*24)</f>
        <v>24</v>
      </c>
      <c r="E13" s="409" t="s">
        <v>45</v>
      </c>
      <c r="F13" s="29" t="s">
        <v>383</v>
      </c>
      <c r="G13" s="324"/>
      <c r="H13" s="306"/>
      <c r="I13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3" s="242"/>
      <c r="K13" s="325"/>
      <c r="L13" s="483">
        <v>0</v>
      </c>
      <c r="M13" s="246">
        <v>2</v>
      </c>
      <c r="N13" s="484">
        <v>1.5</v>
      </c>
      <c r="O13" s="257">
        <f>SUM(V062A_2030313334363537[[#This Row],[MPAL]]+V062A_2030313334363537[[#This Row],[AUX.]]+V062A_2030313334363537[[#This Row],[CALDERA]])</f>
        <v>3.5</v>
      </c>
      <c r="P13" s="319"/>
      <c r="Q13" s="281">
        <f>(Q12-V062A_2030313334363537[[#This Row],[TOTAL ]])+V062A_2030313334363537[[#This Row],[FAENA]]</f>
        <v>182.6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57">
        <f>SUM(V062A_2030313334363537[[#This Row],[MPAL2]:[GI]])</f>
        <v>0</v>
      </c>
      <c r="X13" s="246"/>
      <c r="Y13" s="282">
        <f>(Y12-V062A_2030313334363537[[#This Row],[TOTAL]])+V062A_2030313334363537[[#This Row],[FAENA2]]</f>
        <v>13.239999999999998</v>
      </c>
      <c r="Z13" s="245">
        <v>0</v>
      </c>
      <c r="AA13" s="246">
        <v>0</v>
      </c>
      <c r="AB13" s="320">
        <f>(AB12-V062A_2030313334363537[[#This Row],[CYLINDER MP]])+V062A_2030313334363537[[#This Row],[FAENA EN LTS]]</f>
        <v>648.25</v>
      </c>
      <c r="AC13" s="246">
        <v>0</v>
      </c>
      <c r="AD13" s="246">
        <v>0</v>
      </c>
      <c r="AE13" s="320">
        <f>(AE12-V062A_2030313334363537[[#This Row],[CARTER MP.]])+V062A_2030313334363537[[#This Row],[FAENA EN LTS2]]</f>
        <v>2700</v>
      </c>
      <c r="AF13" s="246">
        <v>0</v>
      </c>
      <c r="AG13" s="246">
        <v>0</v>
      </c>
      <c r="AH13" s="320">
        <f>(AH12-V062A_2030313334363537[[#This Row],[MOT AUX]])+V062A_2030313334363537[[#This Row],[FAENA EN  LTS]]</f>
        <v>2640</v>
      </c>
      <c r="AI13" s="246">
        <v>0</v>
      </c>
      <c r="AJ13" s="246">
        <v>0</v>
      </c>
      <c r="AK13" s="321">
        <f>(AK12-V062A_2030313334363537[[#This Row],[HIDRAULICO]])+V062A_2030313334363537[[#This Row],[FAENA EN LTS3]]</f>
        <v>2000</v>
      </c>
    </row>
    <row r="14" spans="1:37" x14ac:dyDescent="0.25">
      <c r="A14" s="431" t="s">
        <v>385</v>
      </c>
      <c r="B14" s="48">
        <v>44222</v>
      </c>
      <c r="C14" s="237">
        <v>0</v>
      </c>
      <c r="D14" s="418">
        <f>IF(V062A_2030313334363537[[#This Row],[FECHA]]-B13=1,((V062A_2030313334363537[[#This Row],[HORA]]-C13)*24)+24,(V062A_2030313334363537[[#This Row],[HORA]]-C13)*24)</f>
        <v>16</v>
      </c>
      <c r="E14" s="499" t="s">
        <v>45</v>
      </c>
      <c r="F14" s="29" t="s">
        <v>383</v>
      </c>
      <c r="G14" s="500"/>
      <c r="H14" s="501"/>
      <c r="I1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4" s="503"/>
      <c r="K14" s="504"/>
      <c r="L14" s="245">
        <v>0</v>
      </c>
      <c r="M14" s="246">
        <v>0.67</v>
      </c>
      <c r="N14" s="246">
        <v>0.33</v>
      </c>
      <c r="O14" s="246">
        <f>SUM(V062A_2030313334363537[[#This Row],[MPAL]]+V062A_2030313334363537[[#This Row],[AUX.]]+V062A_2030313334363537[[#This Row],[CALDERA]])</f>
        <v>1</v>
      </c>
      <c r="P14" s="319"/>
      <c r="Q14" s="281">
        <f>(Q13-V062A_2030313334363537[[#This Row],[TOTAL ]])+V062A_2030313334363537[[#This Row],[FAENA]]</f>
        <v>181.6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SUM(V062A_2030313334363537[[#This Row],[MPAL2]:[GI]])</f>
        <v>0</v>
      </c>
      <c r="X14" s="246"/>
      <c r="Y14" s="282">
        <f>(Y13-V062A_2030313334363537[[#This Row],[TOTAL]])+V062A_2030313334363537[[#This Row],[FAENA2]]</f>
        <v>13.239999999999998</v>
      </c>
      <c r="Z14" s="245">
        <v>0</v>
      </c>
      <c r="AA14" s="246">
        <v>0</v>
      </c>
      <c r="AB14" s="320">
        <f>(AB13-V062A_2030313334363537[[#This Row],[CYLINDER MP]])+V062A_2030313334363537[[#This Row],[FAENA EN LTS]]</f>
        <v>648.25</v>
      </c>
      <c r="AC14" s="246">
        <v>0</v>
      </c>
      <c r="AD14" s="246">
        <v>0</v>
      </c>
      <c r="AE14" s="320">
        <f>(AE13-V062A_2030313334363537[[#This Row],[CARTER MP.]])+V062A_2030313334363537[[#This Row],[FAENA EN LTS2]]</f>
        <v>2700</v>
      </c>
      <c r="AF14" s="246">
        <v>0</v>
      </c>
      <c r="AG14" s="246">
        <v>0</v>
      </c>
      <c r="AH14" s="320">
        <f>(AH13-V062A_2030313334363537[[#This Row],[MOT AUX]])+V062A_2030313334363537[[#This Row],[FAENA EN  LTS]]</f>
        <v>2640</v>
      </c>
      <c r="AI14" s="246">
        <v>0</v>
      </c>
      <c r="AJ14" s="246">
        <v>0</v>
      </c>
      <c r="AK14" s="321">
        <f>(AK13-V062A_2030313334363537[[#This Row],[HIDRAULICO]])+V062A_2030313334363537[[#This Row],[FAENA EN LTS3]]</f>
        <v>2000</v>
      </c>
    </row>
    <row r="15" spans="1:37" x14ac:dyDescent="0.25">
      <c r="A15" s="431" t="s">
        <v>385</v>
      </c>
      <c r="B15" s="48">
        <v>44222</v>
      </c>
      <c r="C15" s="41">
        <v>0.33333333333333331</v>
      </c>
      <c r="D15" s="418">
        <f>IF(V062A_2030313334363537[[#This Row],[FECHA]]-B14=1,((V062A_2030313334363537[[#This Row],[HORA]]-C14)*24)+24,(V062A_2030313334363537[[#This Row],[HORA]]-C14)*24)</f>
        <v>8</v>
      </c>
      <c r="E15" s="409" t="s">
        <v>45</v>
      </c>
      <c r="F15" s="29" t="s">
        <v>383</v>
      </c>
      <c r="G15" s="324"/>
      <c r="H15" s="306"/>
      <c r="I15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5" s="242"/>
      <c r="K15" s="325"/>
      <c r="L15" s="483">
        <v>0</v>
      </c>
      <c r="M15" s="246">
        <v>4</v>
      </c>
      <c r="N15" s="484">
        <v>2</v>
      </c>
      <c r="O15" s="257">
        <f>SUM(V062A_2030313334363537[[#This Row],[MPAL]]+V062A_2030313334363537[[#This Row],[AUX.]]+V062A_2030313334363537[[#This Row],[CALDERA]])</f>
        <v>6</v>
      </c>
      <c r="P15" s="319"/>
      <c r="Q15" s="281">
        <f>(Q13-V062A_2030313334363537[[#This Row],[TOTAL ]])+V062A_2030313334363537[[#This Row],[FAENA]]</f>
        <v>176.6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57">
        <f>SUM(V062A_2030313334363537[[#This Row],[MPAL2]:[GI]])</f>
        <v>0</v>
      </c>
      <c r="X15" s="246"/>
      <c r="Y15" s="282">
        <f>(Y13-V062A_2030313334363537[[#This Row],[TOTAL]])+V062A_2030313334363537[[#This Row],[FAENA2]]</f>
        <v>13.239999999999998</v>
      </c>
      <c r="Z15" s="245">
        <v>0</v>
      </c>
      <c r="AA15" s="246">
        <v>0</v>
      </c>
      <c r="AB15" s="320">
        <f>(AB13-V062A_2030313334363537[[#This Row],[CYLINDER MP]])+V062A_2030313334363537[[#This Row],[FAENA EN LTS]]</f>
        <v>648.25</v>
      </c>
      <c r="AC15" s="246">
        <v>0</v>
      </c>
      <c r="AD15" s="246">
        <v>0</v>
      </c>
      <c r="AE15" s="320">
        <f>(AE13-V062A_2030313334363537[[#This Row],[CARTER MP.]])+V062A_2030313334363537[[#This Row],[FAENA EN LTS2]]</f>
        <v>2700</v>
      </c>
      <c r="AF15" s="246">
        <v>20</v>
      </c>
      <c r="AG15" s="246">
        <v>0</v>
      </c>
      <c r="AH15" s="320">
        <f>(AH13-V062A_2030313334363537[[#This Row],[MOT AUX]])+V062A_2030313334363537[[#This Row],[FAENA EN  LTS]]</f>
        <v>2620</v>
      </c>
      <c r="AI15" s="246">
        <v>0</v>
      </c>
      <c r="AJ15" s="246">
        <v>0</v>
      </c>
      <c r="AK15" s="321">
        <f>(AK13-V062A_2030313334363537[[#This Row],[HIDRAULICO]])+V062A_2030313334363537[[#This Row],[FAENA EN LTS3]]</f>
        <v>2000</v>
      </c>
    </row>
    <row r="16" spans="1:37" x14ac:dyDescent="0.25">
      <c r="A16" s="431" t="s">
        <v>385</v>
      </c>
      <c r="B16" s="48">
        <v>44223</v>
      </c>
      <c r="C16" s="41">
        <v>0.33333333333333331</v>
      </c>
      <c r="D16" s="418">
        <f>IF(V062A_2030313334363537[[#This Row],[FECHA]]-B15=1,((V062A_2030313334363537[[#This Row],[HORA]]-C15)*24)+24,(V062A_2030313334363537[[#This Row],[HORA]]-C15)*24)</f>
        <v>24</v>
      </c>
      <c r="E16" s="409" t="s">
        <v>45</v>
      </c>
      <c r="F16" s="29" t="s">
        <v>383</v>
      </c>
      <c r="G16" s="324"/>
      <c r="H16" s="306"/>
      <c r="I16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6" s="242"/>
      <c r="K16" s="325"/>
      <c r="L16" s="483">
        <v>0</v>
      </c>
      <c r="M16" s="246">
        <v>1.5</v>
      </c>
      <c r="N16" s="484">
        <v>1.2</v>
      </c>
      <c r="O16" s="257">
        <f>SUM(V062A_2030313334363537[[#This Row],[MPAL]]+V062A_2030313334363537[[#This Row],[AUX.]]+V062A_2030313334363537[[#This Row],[CALDERA]])</f>
        <v>2.7</v>
      </c>
      <c r="P16" s="319"/>
      <c r="Q16" s="281">
        <f>(Q15-V062A_2030313334363537[[#This Row],[TOTAL ]])+V062A_2030313334363537[[#This Row],[FAENA]]</f>
        <v>173.9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57">
        <f>SUM(V062A_2030313334363537[[#This Row],[MPAL2]:[GI]])</f>
        <v>0</v>
      </c>
      <c r="X16" s="246"/>
      <c r="Y16" s="282">
        <f>(Y15-V062A_2030313334363537[[#This Row],[TOTAL]])+V062A_2030313334363537[[#This Row],[FAENA2]]</f>
        <v>13.239999999999998</v>
      </c>
      <c r="Z16" s="245">
        <v>0</v>
      </c>
      <c r="AA16" s="246">
        <v>0</v>
      </c>
      <c r="AB16" s="320">
        <f>(AB15-V062A_2030313334363537[[#This Row],[CYLINDER MP]])+V062A_2030313334363537[[#This Row],[FAENA EN LTS]]</f>
        <v>648.25</v>
      </c>
      <c r="AC16" s="246">
        <v>0</v>
      </c>
      <c r="AD16" s="246">
        <v>0</v>
      </c>
      <c r="AE16" s="320">
        <f>(AE15-V062A_2030313334363537[[#This Row],[CARTER MP.]])+V062A_2030313334363537[[#This Row],[FAENA EN LTS2]]</f>
        <v>2700</v>
      </c>
      <c r="AF16" s="246">
        <v>0</v>
      </c>
      <c r="AG16" s="246">
        <v>0</v>
      </c>
      <c r="AH16" s="320">
        <f>(AH15-V062A_2030313334363537[[#This Row],[MOT AUX]])+V062A_2030313334363537[[#This Row],[FAENA EN  LTS]]</f>
        <v>2620</v>
      </c>
      <c r="AI16" s="246">
        <v>0</v>
      </c>
      <c r="AJ16" s="246">
        <v>0</v>
      </c>
      <c r="AK16" s="321">
        <f>(AK15-V062A_2030313334363537[[#This Row],[HIDRAULICO]])+V062A_2030313334363537[[#This Row],[FAENA EN LTS3]]</f>
        <v>2000</v>
      </c>
    </row>
    <row r="17" spans="1:37" x14ac:dyDescent="0.25">
      <c r="A17" s="431" t="s">
        <v>385</v>
      </c>
      <c r="B17" s="48">
        <v>44223</v>
      </c>
      <c r="C17" s="41">
        <v>0.34166666666666662</v>
      </c>
      <c r="D17" s="418">
        <f>IF(V062A_2030313334363537[[#This Row],[FECHA]]-B16=1,((V062A_2030313334363537[[#This Row],[HORA]]-C16)*24)+24,(V062A_2030313334363537[[#This Row],[HORA]]-C16)*24)</f>
        <v>0.19999999999999929</v>
      </c>
      <c r="E17" s="409" t="s">
        <v>45</v>
      </c>
      <c r="F17" s="29" t="s">
        <v>46</v>
      </c>
      <c r="G17" s="324"/>
      <c r="H17" s="306"/>
      <c r="I17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7" s="242"/>
      <c r="K17" s="325"/>
      <c r="L17" s="483">
        <v>0</v>
      </c>
      <c r="M17" s="246">
        <v>0.02</v>
      </c>
      <c r="N17" s="484">
        <v>0.01</v>
      </c>
      <c r="O17" s="257">
        <f>SUM(V062A_2030313334363537[[#This Row],[MPAL]]+V062A_2030313334363537[[#This Row],[AUX.]]+V062A_2030313334363537[[#This Row],[CALDERA]])</f>
        <v>0.03</v>
      </c>
      <c r="P17" s="319"/>
      <c r="Q17" s="281">
        <f>(Q16-V062A_2030313334363537[[#This Row],[TOTAL ]])+V062A_2030313334363537[[#This Row],[FAENA]]</f>
        <v>173.87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57">
        <f>SUM(V062A_2030313334363537[[#This Row],[MPAL2]:[GI]])</f>
        <v>0</v>
      </c>
      <c r="X17" s="246"/>
      <c r="Y17" s="282">
        <f>(Y16-V062A_2030313334363537[[#This Row],[TOTAL]])+V062A_2030313334363537[[#This Row],[FAENA2]]</f>
        <v>13.239999999999998</v>
      </c>
      <c r="Z17" s="245">
        <v>0</v>
      </c>
      <c r="AA17" s="246">
        <v>0</v>
      </c>
      <c r="AB17" s="320">
        <f>(AB16-V062A_2030313334363537[[#This Row],[CYLINDER MP]])+V062A_2030313334363537[[#This Row],[FAENA EN LTS]]</f>
        <v>648.25</v>
      </c>
      <c r="AC17" s="246">
        <v>0</v>
      </c>
      <c r="AD17" s="246">
        <v>0</v>
      </c>
      <c r="AE17" s="320">
        <f>(AE16-V062A_2030313334363537[[#This Row],[CARTER MP.]])+V062A_2030313334363537[[#This Row],[FAENA EN LTS2]]</f>
        <v>2700</v>
      </c>
      <c r="AF17" s="246">
        <v>0</v>
      </c>
      <c r="AG17" s="246">
        <v>0</v>
      </c>
      <c r="AH17" s="320">
        <f>(AH16-V062A_2030313334363537[[#This Row],[MOT AUX]])+V062A_2030313334363537[[#This Row],[FAENA EN  LTS]]</f>
        <v>2620</v>
      </c>
      <c r="AI17" s="246">
        <v>0</v>
      </c>
      <c r="AJ17" s="246">
        <v>0</v>
      </c>
      <c r="AK17" s="321">
        <f>(AK16-V062A_2030313334363537[[#This Row],[HIDRAULICO]])+V062A_2030313334363537[[#This Row],[FAENA EN LTS3]]</f>
        <v>2000</v>
      </c>
    </row>
    <row r="18" spans="1:37" x14ac:dyDescent="0.25">
      <c r="A18" s="431" t="s">
        <v>385</v>
      </c>
      <c r="B18" s="48">
        <v>44223</v>
      </c>
      <c r="C18" s="41">
        <v>0.45833333333333331</v>
      </c>
      <c r="D18" s="418">
        <f>IF(V062A_2030313334363537[[#This Row],[FECHA]]-B17=1,((V062A_2030313334363537[[#This Row],[HORA]]-C17)*24)+24,(V062A_2030313334363537[[#This Row],[HORA]]-C17)*24)</f>
        <v>2.8000000000000007</v>
      </c>
      <c r="E18" s="409" t="s">
        <v>47</v>
      </c>
      <c r="F18" s="29" t="s">
        <v>384</v>
      </c>
      <c r="G18" s="324"/>
      <c r="H18" s="306"/>
      <c r="I18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8" s="242"/>
      <c r="K18" s="325"/>
      <c r="L18" s="483">
        <v>1.17</v>
      </c>
      <c r="M18" s="246">
        <v>0.23</v>
      </c>
      <c r="N18" s="484">
        <v>0.14000000000000001</v>
      </c>
      <c r="O18" s="257">
        <f>SUM(V062A_2030313334363537[[#This Row],[MPAL]]+V062A_2030313334363537[[#This Row],[AUX.]]+V062A_2030313334363537[[#This Row],[CALDERA]])</f>
        <v>1.54</v>
      </c>
      <c r="P18" s="319"/>
      <c r="Q18" s="281">
        <f>(Q17-V062A_2030313334363537[[#This Row],[TOTAL ]])+V062A_2030313334363537[[#This Row],[FAENA]]</f>
        <v>172.33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57">
        <f>SUM(V062A_2030313334363537[[#This Row],[MPAL2]:[GI]])</f>
        <v>0</v>
      </c>
      <c r="X18" s="246"/>
      <c r="Y18" s="282">
        <f>(Y17-V062A_2030313334363537[[#This Row],[TOTAL]])+V062A_2030313334363537[[#This Row],[FAENA2]]</f>
        <v>13.239999999999998</v>
      </c>
      <c r="Z18" s="245">
        <v>0</v>
      </c>
      <c r="AA18" s="246">
        <v>0</v>
      </c>
      <c r="AB18" s="320">
        <f>(AB17-V062A_2030313334363537[[#This Row],[CYLINDER MP]])+V062A_2030313334363537[[#This Row],[FAENA EN LTS]]</f>
        <v>648.25</v>
      </c>
      <c r="AC18" s="246">
        <v>0</v>
      </c>
      <c r="AD18" s="246">
        <v>0</v>
      </c>
      <c r="AE18" s="320">
        <f>(AE17-V062A_2030313334363537[[#This Row],[CARTER MP.]])+V062A_2030313334363537[[#This Row],[FAENA EN LTS2]]</f>
        <v>2700</v>
      </c>
      <c r="AF18" s="246">
        <v>0</v>
      </c>
      <c r="AG18" s="246">
        <v>0</v>
      </c>
      <c r="AH18" s="320">
        <f>(AH17-V062A_2030313334363537[[#This Row],[MOT AUX]])+V062A_2030313334363537[[#This Row],[FAENA EN  LTS]]</f>
        <v>2620</v>
      </c>
      <c r="AI18" s="246">
        <v>0</v>
      </c>
      <c r="AJ18" s="246">
        <v>0</v>
      </c>
      <c r="AK18" s="321">
        <f>(AK17-V062A_2030313334363537[[#This Row],[HIDRAULICO]])+V062A_2030313334363537[[#This Row],[FAENA EN LTS3]]</f>
        <v>2000</v>
      </c>
    </row>
    <row r="19" spans="1:37" x14ac:dyDescent="0.25">
      <c r="A19" s="431" t="s">
        <v>385</v>
      </c>
      <c r="B19" s="48">
        <v>44223</v>
      </c>
      <c r="C19" s="41">
        <v>0.625</v>
      </c>
      <c r="D19" s="418">
        <f>IF(V062A_2030313334363537[[#This Row],[FECHA]]-B18=1,((V062A_2030313334363537[[#This Row],[HORA]]-C18)*24)+24,(V062A_2030313334363537[[#This Row],[HORA]]-C18)*24)</f>
        <v>4</v>
      </c>
      <c r="E19" s="239" t="s">
        <v>71</v>
      </c>
      <c r="F19" s="29" t="s">
        <v>387</v>
      </c>
      <c r="G19" s="324"/>
      <c r="H19" s="306"/>
      <c r="I19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19" s="242"/>
      <c r="K19" s="325"/>
      <c r="L19" s="483">
        <v>0</v>
      </c>
      <c r="M19" s="246">
        <v>0.25</v>
      </c>
      <c r="N19" s="484">
        <v>0.2</v>
      </c>
      <c r="O19" s="257">
        <f>SUM(V062A_2030313334363537[[#This Row],[MPAL]]+V062A_2030313334363537[[#This Row],[AUX.]]+V062A_2030313334363537[[#This Row],[CALDERA]])</f>
        <v>0.45</v>
      </c>
      <c r="P19" s="319"/>
      <c r="Q19" s="281">
        <f>(Q18-V062A_2030313334363537[[#This Row],[TOTAL ]])+V062A_2030313334363537[[#This Row],[FAENA]]</f>
        <v>171.88000000000002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57">
        <f>SUM(V062A_2030313334363537[[#This Row],[MPAL2]:[GI]])</f>
        <v>0</v>
      </c>
      <c r="X19" s="246"/>
      <c r="Y19" s="282">
        <f>(Y18-V062A_2030313334363537[[#This Row],[TOTAL]])+V062A_2030313334363537[[#This Row],[FAENA2]]</f>
        <v>13.239999999999998</v>
      </c>
      <c r="Z19" s="245">
        <v>0</v>
      </c>
      <c r="AA19" s="246">
        <v>0</v>
      </c>
      <c r="AB19" s="320">
        <f>(AB18-V062A_2030313334363537[[#This Row],[CYLINDER MP]])+V062A_2030313334363537[[#This Row],[FAENA EN LTS]]</f>
        <v>648.25</v>
      </c>
      <c r="AC19" s="246">
        <v>0</v>
      </c>
      <c r="AD19" s="246">
        <v>0</v>
      </c>
      <c r="AE19" s="320">
        <f>(AE18-V062A_2030313334363537[[#This Row],[CARTER MP.]])+V062A_2030313334363537[[#This Row],[FAENA EN LTS2]]</f>
        <v>2700</v>
      </c>
      <c r="AF19" s="246">
        <v>0</v>
      </c>
      <c r="AG19" s="246">
        <v>0</v>
      </c>
      <c r="AH19" s="320">
        <f>(AH18-V062A_2030313334363537[[#This Row],[MOT AUX]])+V062A_2030313334363537[[#This Row],[FAENA EN  LTS]]</f>
        <v>2620</v>
      </c>
      <c r="AI19" s="246">
        <v>0</v>
      </c>
      <c r="AJ19" s="246">
        <v>0</v>
      </c>
      <c r="AK19" s="321">
        <f>(AK18-V062A_2030313334363537[[#This Row],[HIDRAULICO]])+V062A_2030313334363537[[#This Row],[FAENA EN LTS3]]</f>
        <v>2000</v>
      </c>
    </row>
    <row r="20" spans="1:37" x14ac:dyDescent="0.25">
      <c r="A20" s="431" t="s">
        <v>385</v>
      </c>
      <c r="B20" s="48">
        <v>44224</v>
      </c>
      <c r="C20" s="41">
        <v>0.33333333333333331</v>
      </c>
      <c r="D20" s="418">
        <f>IF(V062A_2030313334363537[[#This Row],[FECHA]]-B19=1,((V062A_2030313334363537[[#This Row],[HORA]]-C19)*24)+24,(V062A_2030313334363537[[#This Row],[HORA]]-C19)*24)</f>
        <v>17</v>
      </c>
      <c r="E20" s="239" t="s">
        <v>71</v>
      </c>
      <c r="F20" s="378" t="s">
        <v>388</v>
      </c>
      <c r="G20" s="324"/>
      <c r="H20" s="306"/>
      <c r="I20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0" s="242"/>
      <c r="K20" s="325"/>
      <c r="L20" s="483">
        <v>0</v>
      </c>
      <c r="M20" s="246">
        <v>1.06</v>
      </c>
      <c r="N20" s="484">
        <v>0.85</v>
      </c>
      <c r="O20" s="257">
        <f>SUM(V062A_2030313334363537[[#This Row],[MPAL]]+V062A_2030313334363537[[#This Row],[AUX.]]+V062A_2030313334363537[[#This Row],[CALDERA]])</f>
        <v>1.9100000000000001</v>
      </c>
      <c r="P20" s="319"/>
      <c r="Q20" s="281">
        <f>(Q19-V062A_2030313334363537[[#This Row],[TOTAL ]])+V062A_2030313334363537[[#This Row],[FAENA]]</f>
        <v>169.97000000000003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57">
        <f>SUM(V062A_2030313334363537[[#This Row],[MPAL2]:[GI]])</f>
        <v>0</v>
      </c>
      <c r="X20" s="246"/>
      <c r="Y20" s="282">
        <f>(Y19-V062A_2030313334363537[[#This Row],[TOTAL]])+V062A_2030313334363537[[#This Row],[FAENA2]]</f>
        <v>13.239999999999998</v>
      </c>
      <c r="Z20" s="245">
        <v>0</v>
      </c>
      <c r="AA20" s="246">
        <v>0</v>
      </c>
      <c r="AB20" s="320">
        <f>(AB19-V062A_2030313334363537[[#This Row],[CYLINDER MP]])+V062A_2030313334363537[[#This Row],[FAENA EN LTS]]</f>
        <v>648.25</v>
      </c>
      <c r="AC20" s="246">
        <v>0</v>
      </c>
      <c r="AD20" s="246">
        <v>0</v>
      </c>
      <c r="AE20" s="320">
        <f>(AE19-V062A_2030313334363537[[#This Row],[CARTER MP.]])+V062A_2030313334363537[[#This Row],[FAENA EN LTS2]]</f>
        <v>2700</v>
      </c>
      <c r="AF20" s="246">
        <v>0</v>
      </c>
      <c r="AG20" s="246">
        <v>0</v>
      </c>
      <c r="AH20" s="320">
        <f>(AH19-V062A_2030313334363537[[#This Row],[MOT AUX]])+V062A_2030313334363537[[#This Row],[FAENA EN  LTS]]</f>
        <v>2620</v>
      </c>
      <c r="AI20" s="246">
        <v>0</v>
      </c>
      <c r="AJ20" s="246">
        <v>0</v>
      </c>
      <c r="AK20" s="321">
        <f>(AK19-V062A_2030313334363537[[#This Row],[HIDRAULICO]])+V062A_2030313334363537[[#This Row],[FAENA EN LTS3]]</f>
        <v>2000</v>
      </c>
    </row>
    <row r="21" spans="1:37" x14ac:dyDescent="0.25">
      <c r="A21" s="431" t="s">
        <v>385</v>
      </c>
      <c r="B21" s="48">
        <v>44224</v>
      </c>
      <c r="C21" s="41">
        <v>0.58333333333333337</v>
      </c>
      <c r="D21" s="418">
        <f>IF(V062A_2030313334363537[[#This Row],[FECHA]]-B20=1,((V062A_2030313334363537[[#This Row],[HORA]]-C20)*24)+24,(V062A_2030313334363537[[#This Row],[HORA]]-C20)*24)</f>
        <v>6.0000000000000018</v>
      </c>
      <c r="E21" s="239" t="s">
        <v>49</v>
      </c>
      <c r="F21" s="378" t="s">
        <v>389</v>
      </c>
      <c r="G21" s="324"/>
      <c r="H21" s="306"/>
      <c r="I21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1" s="242"/>
      <c r="K21" s="325"/>
      <c r="L21" s="483">
        <v>0</v>
      </c>
      <c r="M21" s="246">
        <v>0.63</v>
      </c>
      <c r="N21" s="484">
        <v>0.3</v>
      </c>
      <c r="O21" s="257">
        <f>SUM(V062A_2030313334363537[[#This Row],[MPAL]]+V062A_2030313334363537[[#This Row],[AUX.]]+V062A_2030313334363537[[#This Row],[CALDERA]])</f>
        <v>0.92999999999999994</v>
      </c>
      <c r="P21" s="319"/>
      <c r="Q21" s="281">
        <f>(Q20-V062A_2030313334363537[[#This Row],[TOTAL ]])+V062A_2030313334363537[[#This Row],[FAENA]]</f>
        <v>169.04000000000002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0.5</v>
      </c>
      <c r="W21" s="257">
        <f>SUM(V062A_2030313334363537[[#This Row],[MPAL2]:[GI]])</f>
        <v>0.5</v>
      </c>
      <c r="X21" s="246"/>
      <c r="Y21" s="282">
        <f>(Y20-V062A_2030313334363537[[#This Row],[TOTAL]])+V062A_2030313334363537[[#This Row],[FAENA2]]</f>
        <v>12.739999999999998</v>
      </c>
      <c r="Z21" s="245">
        <v>0</v>
      </c>
      <c r="AA21" s="246">
        <v>0</v>
      </c>
      <c r="AB21" s="320">
        <f>(AB20-V062A_2030313334363537[[#This Row],[CYLINDER MP]])+V062A_2030313334363537[[#This Row],[FAENA EN LTS]]</f>
        <v>648.25</v>
      </c>
      <c r="AC21" s="246">
        <v>0</v>
      </c>
      <c r="AD21" s="246">
        <v>0</v>
      </c>
      <c r="AE21" s="320">
        <f>(AE20-V062A_2030313334363537[[#This Row],[CARTER MP.]])+V062A_2030313334363537[[#This Row],[FAENA EN LTS2]]</f>
        <v>2700</v>
      </c>
      <c r="AF21" s="246">
        <v>0</v>
      </c>
      <c r="AG21" s="246">
        <v>0</v>
      </c>
      <c r="AH21" s="320">
        <f>(AH20-V062A_2030313334363537[[#This Row],[MOT AUX]])+V062A_2030313334363537[[#This Row],[FAENA EN  LTS]]</f>
        <v>2620</v>
      </c>
      <c r="AI21" s="246">
        <v>0</v>
      </c>
      <c r="AJ21" s="246">
        <v>0</v>
      </c>
      <c r="AK21" s="321">
        <f>(AK20-V062A_2030313334363537[[#This Row],[HIDRAULICO]])+V062A_2030313334363537[[#This Row],[FAENA EN LTS3]]</f>
        <v>2000</v>
      </c>
    </row>
    <row r="22" spans="1:37" x14ac:dyDescent="0.25">
      <c r="A22" s="431" t="s">
        <v>385</v>
      </c>
      <c r="B22" s="48">
        <v>44224</v>
      </c>
      <c r="C22" s="41">
        <v>0.63194444444444442</v>
      </c>
      <c r="D22" s="418">
        <f>IF(V062A_2030313334363537[[#This Row],[FECHA]]-B21=1,((V062A_2030313334363537[[#This Row],[HORA]]-C21)*24)+24,(V062A_2030313334363537[[#This Row],[HORA]]-C21)*24)</f>
        <v>1.1666666666666652</v>
      </c>
      <c r="E22" s="239" t="s">
        <v>49</v>
      </c>
      <c r="F22" s="378" t="s">
        <v>390</v>
      </c>
      <c r="G22" s="324"/>
      <c r="H22" s="306"/>
      <c r="I22" s="259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2" s="380"/>
      <c r="K22" s="325"/>
      <c r="L22" s="483">
        <v>0</v>
      </c>
      <c r="M22" s="246">
        <v>0.12</v>
      </c>
      <c r="N22" s="484">
        <v>0.06</v>
      </c>
      <c r="O22" s="257">
        <f>SUM(V062A_2030313334363537[[#This Row],[MPAL]]+V062A_2030313334363537[[#This Row],[AUX.]]+V062A_2030313334363537[[#This Row],[CALDERA]])</f>
        <v>0.18</v>
      </c>
      <c r="P22" s="319"/>
      <c r="Q22" s="281">
        <f>(Q21-V062A_2030313334363537[[#This Row],[TOTAL ]])+V062A_2030313334363537[[#This Row],[FAENA]]</f>
        <v>168.86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57">
        <f>SUM(V062A_2030313334363537[[#This Row],[MPAL2]:[GI]])</f>
        <v>0</v>
      </c>
      <c r="X22" s="246">
        <v>66.13</v>
      </c>
      <c r="Y22" s="282">
        <f>(Y21-V062A_2030313334363537[[#This Row],[TOTAL]])+V062A_2030313334363537[[#This Row],[FAENA2]]</f>
        <v>78.86999999999999</v>
      </c>
      <c r="Z22" s="245">
        <v>0</v>
      </c>
      <c r="AA22" s="246">
        <v>0</v>
      </c>
      <c r="AB22" s="320">
        <f>(AB21-V062A_2030313334363537[[#This Row],[CYLINDER MP]])+V062A_2030313334363537[[#This Row],[FAENA EN LTS]]</f>
        <v>648.25</v>
      </c>
      <c r="AC22" s="246">
        <v>0</v>
      </c>
      <c r="AD22" s="246">
        <v>0</v>
      </c>
      <c r="AE22" s="320">
        <f>(AE21-V062A_2030313334363537[[#This Row],[CARTER MP.]])+V062A_2030313334363537[[#This Row],[FAENA EN LTS2]]</f>
        <v>2700</v>
      </c>
      <c r="AF22" s="246">
        <v>0</v>
      </c>
      <c r="AG22" s="246">
        <v>0</v>
      </c>
      <c r="AH22" s="320">
        <f>(AH21-V062A_2030313334363537[[#This Row],[MOT AUX]])+V062A_2030313334363537[[#This Row],[FAENA EN  LTS]]</f>
        <v>2620</v>
      </c>
      <c r="AI22" s="246">
        <v>0</v>
      </c>
      <c r="AJ22" s="246">
        <v>0</v>
      </c>
      <c r="AK22" s="321">
        <f>(AK21-V062A_2030313334363537[[#This Row],[HIDRAULICO]])+V062A_2030313334363537[[#This Row],[FAENA EN LTS3]]</f>
        <v>2000</v>
      </c>
    </row>
    <row r="23" spans="1:37" x14ac:dyDescent="0.25">
      <c r="A23" s="431" t="s">
        <v>385</v>
      </c>
      <c r="B23" s="48">
        <v>44224</v>
      </c>
      <c r="C23" s="237">
        <v>0.875</v>
      </c>
      <c r="D23" s="418">
        <f>IF(V062A_2030313334363537[[#This Row],[FECHA]]-B22=1,((V062A_2030313334363537[[#This Row],[HORA]]-C22)*24)+24,(V062A_2030313334363537[[#This Row],[HORA]]-C22)*24)</f>
        <v>5.8333333333333339</v>
      </c>
      <c r="E23" s="499" t="s">
        <v>49</v>
      </c>
      <c r="F23" s="505" t="s">
        <v>391</v>
      </c>
      <c r="G23" s="500"/>
      <c r="H23" s="501"/>
      <c r="I23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3" s="503"/>
      <c r="K23" s="504"/>
      <c r="L23" s="245">
        <v>0</v>
      </c>
      <c r="M23" s="246">
        <v>0.36</v>
      </c>
      <c r="N23" s="246">
        <v>0.28999999999999998</v>
      </c>
      <c r="O23" s="246">
        <f>SUM(V062A_2030313334363537[[#This Row],[MPAL]]+V062A_2030313334363537[[#This Row],[AUX.]]+V062A_2030313334363537[[#This Row],[CALDERA]])</f>
        <v>0.64999999999999991</v>
      </c>
      <c r="P23" s="319"/>
      <c r="Q23" s="281">
        <f>(Q22-V062A_2030313334363537[[#This Row],[TOTAL ]])+V062A_2030313334363537[[#This Row],[FAENA]]</f>
        <v>168.21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SUM(V062A_2030313334363537[[#This Row],[MPAL2]:[GI]])</f>
        <v>0</v>
      </c>
      <c r="X23" s="246"/>
      <c r="Y23" s="282">
        <f>(Y22-V062A_2030313334363537[[#This Row],[TOTAL]])+V062A_2030313334363537[[#This Row],[FAENA2]]</f>
        <v>78.86999999999999</v>
      </c>
      <c r="Z23" s="245">
        <v>0</v>
      </c>
      <c r="AA23" s="246">
        <v>0</v>
      </c>
      <c r="AB23" s="320">
        <f>(AB22-V062A_2030313334363537[[#This Row],[CYLINDER MP]])+V062A_2030313334363537[[#This Row],[FAENA EN LTS]]</f>
        <v>648.25</v>
      </c>
      <c r="AC23" s="246">
        <v>0</v>
      </c>
      <c r="AD23" s="246">
        <v>0</v>
      </c>
      <c r="AE23" s="320">
        <f>(AE22-V062A_2030313334363537[[#This Row],[CARTER MP.]])+V062A_2030313334363537[[#This Row],[FAENA EN LTS2]]</f>
        <v>2700</v>
      </c>
      <c r="AF23" s="246">
        <v>0</v>
      </c>
      <c r="AG23" s="246">
        <v>0</v>
      </c>
      <c r="AH23" s="320">
        <f>(AH22-V062A_2030313334363537[[#This Row],[MOT AUX]])+V062A_2030313334363537[[#This Row],[FAENA EN  LTS]]</f>
        <v>2620</v>
      </c>
      <c r="AI23" s="246">
        <v>0</v>
      </c>
      <c r="AJ23" s="246">
        <v>0</v>
      </c>
      <c r="AK23" s="321">
        <f>(AK22-V062A_2030313334363537[[#This Row],[HIDRAULICO]])+V062A_2030313334363537[[#This Row],[FAENA EN LTS3]]</f>
        <v>2000</v>
      </c>
    </row>
    <row r="24" spans="1:37" x14ac:dyDescent="0.25">
      <c r="A24" s="431" t="s">
        <v>385</v>
      </c>
      <c r="B24" s="48">
        <v>44224</v>
      </c>
      <c r="C24" s="237">
        <v>0.90416666666666667</v>
      </c>
      <c r="D24" s="418">
        <f>IF(V062A_2030313334363537[[#This Row],[FECHA]]-B23=1,((V062A_2030313334363537[[#This Row],[HORA]]-C23)*24)+24,(V062A_2030313334363537[[#This Row],[HORA]]-C23)*24)</f>
        <v>0.70000000000000018</v>
      </c>
      <c r="E24" s="499" t="s">
        <v>45</v>
      </c>
      <c r="F24" s="505" t="s">
        <v>383</v>
      </c>
      <c r="G24" s="500"/>
      <c r="H24" s="501"/>
      <c r="I24" s="502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4" s="503"/>
      <c r="K24" s="504"/>
      <c r="L24" s="245">
        <v>0</v>
      </c>
      <c r="M24" s="246">
        <v>0.04</v>
      </c>
      <c r="N24" s="246">
        <v>0.04</v>
      </c>
      <c r="O24" s="246">
        <f>SUM(V062A_2030313334363537[[#This Row],[MPAL]]+V062A_2030313334363537[[#This Row],[AUX.]]+V062A_2030313334363537[[#This Row],[CALDERA]])</f>
        <v>0.08</v>
      </c>
      <c r="P24" s="319"/>
      <c r="Q24" s="281">
        <f>(Q23-V062A_2030313334363537[[#This Row],[TOTAL ]])+V062A_2030313334363537[[#This Row],[FAENA]]</f>
        <v>168.13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SUM(V062A_2030313334363537[[#This Row],[MPAL2]:[GI]])</f>
        <v>0</v>
      </c>
      <c r="X24" s="246"/>
      <c r="Y24" s="282">
        <f>(Y23-V062A_2030313334363537[[#This Row],[TOTAL]])+V062A_2030313334363537[[#This Row],[FAENA2]]</f>
        <v>78.86999999999999</v>
      </c>
      <c r="Z24" s="245">
        <v>0</v>
      </c>
      <c r="AA24" s="246">
        <v>0</v>
      </c>
      <c r="AB24" s="320">
        <f>(AB23-V062A_2030313334363537[[#This Row],[CYLINDER MP]])+V062A_2030313334363537[[#This Row],[FAENA EN LTS]]</f>
        <v>648.25</v>
      </c>
      <c r="AC24" s="246">
        <v>0</v>
      </c>
      <c r="AD24" s="246">
        <v>0</v>
      </c>
      <c r="AE24" s="320">
        <f>(AE23-V062A_2030313334363537[[#This Row],[CARTER MP.]])+V062A_2030313334363537[[#This Row],[FAENA EN LTS2]]</f>
        <v>2700</v>
      </c>
      <c r="AF24" s="246">
        <v>0</v>
      </c>
      <c r="AG24" s="246">
        <v>0</v>
      </c>
      <c r="AH24" s="320">
        <f>(AH23-V062A_2030313334363537[[#This Row],[MOT AUX]])+V062A_2030313334363537[[#This Row],[FAENA EN  LTS]]</f>
        <v>2620</v>
      </c>
      <c r="AI24" s="246">
        <v>0</v>
      </c>
      <c r="AJ24" s="246">
        <v>0</v>
      </c>
      <c r="AK24" s="321">
        <f>(AK23-V062A_2030313334363537[[#This Row],[HIDRAULICO]])+V062A_2030313334363537[[#This Row],[FAENA EN LTS3]]</f>
        <v>2000</v>
      </c>
    </row>
    <row r="25" spans="1:37" x14ac:dyDescent="0.25">
      <c r="A25" s="431" t="s">
        <v>385</v>
      </c>
      <c r="B25" s="48">
        <v>44225</v>
      </c>
      <c r="C25" s="41">
        <v>4.1666666666666664E-2</v>
      </c>
      <c r="D25" s="418">
        <f>IF(V062A_2030313334363537[[#This Row],[FECHA]]-B22=1,((V062A_2030313334363537[[#This Row],[HORA]]-C22)*24)+24,(V062A_2030313334363537[[#This Row],[HORA]]-C22)*24)</f>
        <v>9.8333333333333321</v>
      </c>
      <c r="E25" s="432" t="s">
        <v>47</v>
      </c>
      <c r="F25" s="378" t="s">
        <v>277</v>
      </c>
      <c r="G25" s="433"/>
      <c r="H25" s="434"/>
      <c r="I2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5" s="436"/>
      <c r="K25" s="437"/>
      <c r="L25" s="483">
        <v>1.38</v>
      </c>
      <c r="M25" s="246">
        <v>0.21</v>
      </c>
      <c r="N25" s="484">
        <v>0.17</v>
      </c>
      <c r="O25" s="246">
        <f>SUM(V062A_2030313334363537[[#This Row],[MPAL]]+V062A_2030313334363537[[#This Row],[AUX.]]+V062A_2030313334363537[[#This Row],[CALDERA]])</f>
        <v>1.7599999999999998</v>
      </c>
      <c r="P25" s="319"/>
      <c r="Q25" s="270">
        <f>(Q22-V062A_2030313334363537[[#This Row],[TOTAL ]])+V062A_2030313334363537[[#This Row],[FAENA]]</f>
        <v>167.10000000000002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SUM(V062A_2030313334363537[[#This Row],[MPAL2]:[GI]])</f>
        <v>0</v>
      </c>
      <c r="X25" s="246"/>
      <c r="Y25" s="300">
        <f>(Y22-V062A_2030313334363537[[#This Row],[TOTAL]])+V062A_2030313334363537[[#This Row],[FAENA2]]</f>
        <v>78.86999999999999</v>
      </c>
      <c r="Z25" s="245">
        <v>0</v>
      </c>
      <c r="AA25" s="246">
        <v>0</v>
      </c>
      <c r="AB25" s="320">
        <f>(AB24-V062A_2030313334363537[[#This Row],[CYLINDER MP]])+V062A_2030313334363537[[#This Row],[FAENA EN LTS]]</f>
        <v>648.25</v>
      </c>
      <c r="AC25" s="246">
        <v>0</v>
      </c>
      <c r="AD25" s="246">
        <v>0</v>
      </c>
      <c r="AE25" s="438">
        <f>(AE22-V062A_2030313334363537[[#This Row],[CARTER MP.]])+V062A_2030313334363537[[#This Row],[FAENA EN LTS2]]</f>
        <v>2700</v>
      </c>
      <c r="AF25" s="246">
        <v>20</v>
      </c>
      <c r="AG25" s="246">
        <v>0</v>
      </c>
      <c r="AH25" s="438">
        <f>(AH22-V062A_2030313334363537[[#This Row],[MOT AUX]])+V062A_2030313334363537[[#This Row],[FAENA EN  LTS]]</f>
        <v>2600</v>
      </c>
      <c r="AI25" s="246">
        <v>0</v>
      </c>
      <c r="AJ25" s="246">
        <v>0</v>
      </c>
      <c r="AK25" s="439">
        <f>(AK22-V062A_2030313334363537[[#This Row],[HIDRAULICO]])+V062A_2030313334363537[[#This Row],[FAENA EN LTS3]]</f>
        <v>2000</v>
      </c>
    </row>
    <row r="26" spans="1:37" x14ac:dyDescent="0.25">
      <c r="A26" s="431" t="s">
        <v>385</v>
      </c>
      <c r="B26" s="48">
        <v>44225</v>
      </c>
      <c r="C26" s="41">
        <v>0.33333333333333331</v>
      </c>
      <c r="D26" s="418">
        <f>IF(V062A_2030313334363537[[#This Row],[FECHA]]-B25=1,((V062A_2030313334363537[[#This Row],[HORA]]-C25)*24)+24,(V062A_2030313334363537[[#This Row],[HORA]]-C25)*24)</f>
        <v>6.9999999999999991</v>
      </c>
      <c r="E26" s="432" t="s">
        <v>55</v>
      </c>
      <c r="F26" s="378" t="s">
        <v>56</v>
      </c>
      <c r="G26" s="433">
        <v>84</v>
      </c>
      <c r="H26" s="434">
        <v>7</v>
      </c>
      <c r="I2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</v>
      </c>
      <c r="J26" s="436">
        <v>5</v>
      </c>
      <c r="K26" s="437">
        <v>97</v>
      </c>
      <c r="L26" s="483">
        <v>6.71</v>
      </c>
      <c r="M26" s="246">
        <v>0.73</v>
      </c>
      <c r="N26" s="484">
        <v>0</v>
      </c>
      <c r="O26" s="246">
        <f>SUM(V062A_2030313334363537[[#This Row],[MPAL]]+V062A_2030313334363537[[#This Row],[AUX.]]+V062A_2030313334363537[[#This Row],[CALDERA]])</f>
        <v>7.4399999999999995</v>
      </c>
      <c r="P26" s="319"/>
      <c r="Q26" s="270">
        <f>(Q25-V062A_2030313334363537[[#This Row],[TOTAL ]])+V062A_2030313334363537[[#This Row],[FAENA]]</f>
        <v>159.66000000000003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f>SUM(V062A_2030313334363537[[#This Row],[MPAL2]:[GI]])</f>
        <v>0</v>
      </c>
      <c r="X26" s="246"/>
      <c r="Y26" s="300">
        <f>(Y25-V062A_2030313334363537[[#This Row],[TOTAL]])+V062A_2030313334363537[[#This Row],[FAENA2]]</f>
        <v>78.86999999999999</v>
      </c>
      <c r="Z26" s="245">
        <v>72.92</v>
      </c>
      <c r="AA26" s="246">
        <v>0</v>
      </c>
      <c r="AB26" s="320">
        <f>(AB25-V062A_2030313334363537[[#This Row],[CYLINDER MP]])+V062A_2030313334363537[[#This Row],[FAENA EN LTS]]</f>
        <v>575.33000000000004</v>
      </c>
      <c r="AC26" s="246">
        <v>0</v>
      </c>
      <c r="AD26" s="246">
        <v>0</v>
      </c>
      <c r="AE26" s="438">
        <f>(AE25-V062A_2030313334363537[[#This Row],[CARTER MP.]])+V062A_2030313334363537[[#This Row],[FAENA EN LTS2]]</f>
        <v>2700</v>
      </c>
      <c r="AF26" s="246">
        <v>0</v>
      </c>
      <c r="AG26" s="246">
        <v>0</v>
      </c>
      <c r="AH26" s="438">
        <f>(AH25-V062A_2030313334363537[[#This Row],[MOT AUX]])+V062A_2030313334363537[[#This Row],[FAENA EN  LTS]]</f>
        <v>2600</v>
      </c>
      <c r="AI26" s="246">
        <v>0</v>
      </c>
      <c r="AJ26" s="246">
        <v>0</v>
      </c>
      <c r="AK26" s="439">
        <f>(AK25-V062A_2030313334363537[[#This Row],[HIDRAULICO]])+V062A_2030313334363537[[#This Row],[FAENA EN LTS3]]</f>
        <v>2000</v>
      </c>
    </row>
    <row r="27" spans="1:37" x14ac:dyDescent="0.25">
      <c r="A27" s="431" t="s">
        <v>385</v>
      </c>
      <c r="B27" s="48">
        <v>44226</v>
      </c>
      <c r="C27" s="41">
        <v>0.33333333333333331</v>
      </c>
      <c r="D27" s="418">
        <f>IF(V062A_2030313334363537[[#This Row],[FECHA]]-B26=1,((V062A_2030313334363537[[#This Row],[HORA]]-C26)*24)+24,(V062A_2030313334363537[[#This Row],[HORA]]-C26)*24)</f>
        <v>24</v>
      </c>
      <c r="E27" s="432" t="s">
        <v>55</v>
      </c>
      <c r="F27" s="378" t="s">
        <v>56</v>
      </c>
      <c r="G27" s="433">
        <v>287</v>
      </c>
      <c r="H27" s="434">
        <v>24</v>
      </c>
      <c r="I2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11.958333333333334</v>
      </c>
      <c r="J27" s="436">
        <v>6</v>
      </c>
      <c r="K27" s="437">
        <v>97</v>
      </c>
      <c r="L27" s="483">
        <v>25</v>
      </c>
      <c r="M27" s="246">
        <v>1.5</v>
      </c>
      <c r="N27" s="484">
        <v>0</v>
      </c>
      <c r="O27" s="246">
        <f>SUM(V062A_2030313334363537[[#This Row],[MPAL]]+V062A_2030313334363537[[#This Row],[AUX.]]+V062A_2030313334363537[[#This Row],[CALDERA]])</f>
        <v>26.5</v>
      </c>
      <c r="P27" s="319"/>
      <c r="Q27" s="270">
        <f>(Q26-V062A_2030313334363537[[#This Row],[TOTAL ]])+V062A_2030313334363537[[#This Row],[FAENA]]</f>
        <v>133.16000000000003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SUM(V062A_2030313334363537[[#This Row],[MPAL2]:[GI]])</f>
        <v>0</v>
      </c>
      <c r="X27" s="246"/>
      <c r="Y27" s="300">
        <f>(Y26-V062A_2030313334363537[[#This Row],[TOTAL]])+V062A_2030313334363537[[#This Row],[FAENA2]]</f>
        <v>78.86999999999999</v>
      </c>
      <c r="Z27" s="245">
        <v>250</v>
      </c>
      <c r="AA27" s="246">
        <v>0</v>
      </c>
      <c r="AB27" s="320">
        <f>(AB26-V062A_2030313334363537[[#This Row],[CYLINDER MP]])+V062A_2030313334363537[[#This Row],[FAENA EN LTS]]</f>
        <v>325.33000000000004</v>
      </c>
      <c r="AC27" s="246">
        <v>0</v>
      </c>
      <c r="AD27" s="246">
        <v>0</v>
      </c>
      <c r="AE27" s="438">
        <f>(AE26-V062A_2030313334363537[[#This Row],[CARTER MP.]])+V062A_2030313334363537[[#This Row],[FAENA EN LTS2]]</f>
        <v>2700</v>
      </c>
      <c r="AF27" s="246">
        <v>20</v>
      </c>
      <c r="AG27" s="246">
        <v>0</v>
      </c>
      <c r="AH27" s="438">
        <f>(AH26-V062A_2030313334363537[[#This Row],[MOT AUX]])+V062A_2030313334363537[[#This Row],[FAENA EN  LTS]]</f>
        <v>2580</v>
      </c>
      <c r="AI27" s="246">
        <v>0</v>
      </c>
      <c r="AJ27" s="246">
        <v>0</v>
      </c>
      <c r="AK27" s="439">
        <f>(AK26-V062A_2030313334363537[[#This Row],[HIDRAULICO]])+V062A_2030313334363537[[#This Row],[FAENA EN LTS3]]</f>
        <v>2000</v>
      </c>
    </row>
    <row r="28" spans="1:37" x14ac:dyDescent="0.25">
      <c r="A28" s="431" t="s">
        <v>385</v>
      </c>
      <c r="B28" s="48">
        <v>44226</v>
      </c>
      <c r="C28" s="41">
        <v>0.85</v>
      </c>
      <c r="D28" s="418">
        <f>IF(V062A_2030313334363537[[#This Row],[FECHA]]-B27=1,((V062A_2030313334363537[[#This Row],[HORA]]-C27)*24)+24,(V062A_2030313334363537[[#This Row],[HORA]]-C27)*24)</f>
        <v>12.399999999999999</v>
      </c>
      <c r="E28" s="432" t="s">
        <v>55</v>
      </c>
      <c r="F28" s="378" t="s">
        <v>392</v>
      </c>
      <c r="G28" s="433">
        <v>159</v>
      </c>
      <c r="H28" s="434">
        <v>12.4</v>
      </c>
      <c r="I2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12.82258064516129</v>
      </c>
      <c r="J28" s="436">
        <v>4</v>
      </c>
      <c r="K28" s="437">
        <v>97</v>
      </c>
      <c r="L28" s="483">
        <v>12.92</v>
      </c>
      <c r="M28" s="246">
        <v>1.03</v>
      </c>
      <c r="N28" s="484">
        <v>0</v>
      </c>
      <c r="O28" s="246">
        <f>SUM(V062A_2030313334363537[[#This Row],[MPAL]]+V062A_2030313334363537[[#This Row],[AUX.]]+V062A_2030313334363537[[#This Row],[CALDERA]])</f>
        <v>13.95</v>
      </c>
      <c r="P28" s="319"/>
      <c r="Q28" s="270">
        <f>(Q27-V062A_2030313334363537[[#This Row],[TOTAL ]])+V062A_2030313334363537[[#This Row],[FAENA]]</f>
        <v>119.21000000000002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SUM(V062A_2030313334363537[[#This Row],[MPAL2]:[GI]])</f>
        <v>0</v>
      </c>
      <c r="X28" s="246"/>
      <c r="Y28" s="300">
        <f>(Y27-V062A_2030313334363537[[#This Row],[TOTAL]])+V062A_2030313334363537[[#This Row],[FAENA2]]</f>
        <v>78.86999999999999</v>
      </c>
      <c r="Z28" s="245">
        <v>129.16999999999999</v>
      </c>
      <c r="AA28" s="246">
        <v>0</v>
      </c>
      <c r="AB28" s="320">
        <f>(AB27-V062A_2030313334363537[[#This Row],[CYLINDER MP]])+V062A_2030313334363537[[#This Row],[FAENA EN LTS]]</f>
        <v>196.16000000000005</v>
      </c>
      <c r="AC28" s="246">
        <v>0</v>
      </c>
      <c r="AD28" s="246">
        <v>0</v>
      </c>
      <c r="AE28" s="438">
        <f>(AE27-V062A_2030313334363537[[#This Row],[CARTER MP.]])+V062A_2030313334363537[[#This Row],[FAENA EN LTS2]]</f>
        <v>2700</v>
      </c>
      <c r="AF28" s="246">
        <v>0</v>
      </c>
      <c r="AG28" s="246">
        <v>0</v>
      </c>
      <c r="AH28" s="438">
        <f>(AH27-V062A_2030313334363537[[#This Row],[MOT AUX]])+V062A_2030313334363537[[#This Row],[FAENA EN  LTS]]</f>
        <v>2580</v>
      </c>
      <c r="AI28" s="246">
        <v>0</v>
      </c>
      <c r="AJ28" s="246">
        <v>0</v>
      </c>
      <c r="AK28" s="439">
        <f>(AK27-V062A_2030313334363537[[#This Row],[HIDRAULICO]])+V062A_2030313334363537[[#This Row],[FAENA EN LTS3]]</f>
        <v>2000</v>
      </c>
    </row>
    <row r="29" spans="1:37" x14ac:dyDescent="0.25">
      <c r="A29" s="431" t="s">
        <v>385</v>
      </c>
      <c r="B29" s="48">
        <v>44226</v>
      </c>
      <c r="C29" s="41">
        <v>0.87916666666666676</v>
      </c>
      <c r="D29" s="418">
        <f>IF(V062A_2030313334363537[[#This Row],[FECHA]]-B28=1,((V062A_2030313334363537[[#This Row],[HORA]]-C28)*24)+24,(V062A_2030313334363537[[#This Row],[HORA]]-C28)*24)</f>
        <v>0.70000000000000284</v>
      </c>
      <c r="E29" s="432" t="s">
        <v>47</v>
      </c>
      <c r="F29" s="378" t="s">
        <v>393</v>
      </c>
      <c r="G29" s="433"/>
      <c r="H29" s="434"/>
      <c r="I29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29" s="436"/>
      <c r="K29" s="437"/>
      <c r="L29" s="483">
        <v>1</v>
      </c>
      <c r="M29" s="246">
        <v>0.06</v>
      </c>
      <c r="N29" s="484">
        <v>0</v>
      </c>
      <c r="O29" s="246">
        <f>SUM(V062A_2030313334363537[[#This Row],[MPAL]]+V062A_2030313334363537[[#This Row],[AUX.]]+V062A_2030313334363537[[#This Row],[CALDERA]])</f>
        <v>1.06</v>
      </c>
      <c r="P29" s="319"/>
      <c r="Q29" s="270">
        <f>(Q28-V062A_2030313334363537[[#This Row],[TOTAL ]])+V062A_2030313334363537[[#This Row],[FAENA]]</f>
        <v>118.15000000000002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1.5</v>
      </c>
      <c r="W29" s="246">
        <f>SUM(V062A_2030313334363537[[#This Row],[MPAL2]:[GI]])</f>
        <v>1.5</v>
      </c>
      <c r="X29" s="246"/>
      <c r="Y29" s="300">
        <f>(Y28-V062A_2030313334363537[[#This Row],[TOTAL]])+V062A_2030313334363537[[#This Row],[FAENA2]]</f>
        <v>77.36999999999999</v>
      </c>
      <c r="Z29" s="245">
        <v>0</v>
      </c>
      <c r="AA29" s="246">
        <v>0</v>
      </c>
      <c r="AB29" s="320">
        <f>(AB28-V062A_2030313334363537[[#This Row],[CYLINDER MP]])+V062A_2030313334363537[[#This Row],[FAENA EN LTS]]</f>
        <v>196.16000000000005</v>
      </c>
      <c r="AC29" s="246">
        <v>0</v>
      </c>
      <c r="AD29" s="246">
        <v>0</v>
      </c>
      <c r="AE29" s="438">
        <f>(AE28-V062A_2030313334363537[[#This Row],[CARTER MP.]])+V062A_2030313334363537[[#This Row],[FAENA EN LTS2]]</f>
        <v>2700</v>
      </c>
      <c r="AF29" s="246">
        <v>0</v>
      </c>
      <c r="AG29" s="246">
        <v>0</v>
      </c>
      <c r="AH29" s="438">
        <f>(AH28-V062A_2030313334363537[[#This Row],[MOT AUX]])+V062A_2030313334363537[[#This Row],[FAENA EN  LTS]]</f>
        <v>2580</v>
      </c>
      <c r="AI29" s="246">
        <v>0</v>
      </c>
      <c r="AJ29" s="246">
        <v>0</v>
      </c>
      <c r="AK29" s="439">
        <f>(AK28-V062A_2030313334363537[[#This Row],[HIDRAULICO]])+V062A_2030313334363537[[#This Row],[FAENA EN LTS3]]</f>
        <v>2000</v>
      </c>
    </row>
    <row r="30" spans="1:37" x14ac:dyDescent="0.25">
      <c r="A30" s="431" t="s">
        <v>385</v>
      </c>
      <c r="B30" s="48">
        <v>44227</v>
      </c>
      <c r="C30" s="41">
        <v>0.33333333333333331</v>
      </c>
      <c r="D30" s="418">
        <f>IF(V062A_2030313334363537[[#This Row],[FECHA]]-B29=1,((V062A_2030313334363537[[#This Row],[HORA]]-C29)*24)+24,(V062A_2030313334363537[[#This Row],[HORA]]-C29)*24)</f>
        <v>10.899999999999999</v>
      </c>
      <c r="E30" s="432" t="s">
        <v>45</v>
      </c>
      <c r="F30" s="378" t="s">
        <v>394</v>
      </c>
      <c r="G30" s="433"/>
      <c r="H30" s="434"/>
      <c r="I30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0" s="436"/>
      <c r="K30" s="437"/>
      <c r="L30" s="483">
        <v>0</v>
      </c>
      <c r="M30" s="246">
        <v>0.5</v>
      </c>
      <c r="N30" s="484">
        <v>0</v>
      </c>
      <c r="O30" s="246">
        <f>SUM(V062A_2030313334363537[[#This Row],[MPAL]]+V062A_2030313334363537[[#This Row],[AUX.]]+V062A_2030313334363537[[#This Row],[CALDERA]])</f>
        <v>0.5</v>
      </c>
      <c r="P30" s="319"/>
      <c r="Q30" s="270">
        <f>(Q29-V062A_2030313334363537[[#This Row],[TOTAL ]])+V062A_2030313334363537[[#This Row],[FAENA]]</f>
        <v>117.65000000000002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SUM(V062A_2030313334363537[[#This Row],[MPAL2]:[GI]])</f>
        <v>0</v>
      </c>
      <c r="X30" s="246"/>
      <c r="Y30" s="300">
        <f>(Y29-V062A_2030313334363537[[#This Row],[TOTAL]])+V062A_2030313334363537[[#This Row],[FAENA2]]</f>
        <v>77.36999999999999</v>
      </c>
      <c r="Z30" s="245">
        <v>0</v>
      </c>
      <c r="AA30" s="246">
        <v>0</v>
      </c>
      <c r="AB30" s="320">
        <f>(AB29-V062A_2030313334363537[[#This Row],[CYLINDER MP]])+V062A_2030313334363537[[#This Row],[FAENA EN LTS]]</f>
        <v>196.16000000000005</v>
      </c>
      <c r="AC30" s="246">
        <v>0</v>
      </c>
      <c r="AD30" s="246">
        <v>0</v>
      </c>
      <c r="AE30" s="438">
        <f>(AE29-V062A_2030313334363537[[#This Row],[CARTER MP.]])+V062A_2030313334363537[[#This Row],[FAENA EN LTS2]]</f>
        <v>2700</v>
      </c>
      <c r="AF30" s="246">
        <v>20</v>
      </c>
      <c r="AG30" s="246">
        <v>0</v>
      </c>
      <c r="AH30" s="438">
        <f>(AH29-V062A_2030313334363537[[#This Row],[MOT AUX]])+V062A_2030313334363537[[#This Row],[FAENA EN  LTS]]</f>
        <v>2560</v>
      </c>
      <c r="AI30" s="246">
        <v>0</v>
      </c>
      <c r="AJ30" s="246">
        <v>0</v>
      </c>
      <c r="AK30" s="439">
        <f>(AK29-V062A_2030313334363537[[#This Row],[HIDRAULICO]])+V062A_2030313334363537[[#This Row],[FAENA EN LTS3]]</f>
        <v>2000</v>
      </c>
    </row>
    <row r="31" spans="1:37" x14ac:dyDescent="0.25">
      <c r="A31" s="431" t="s">
        <v>385</v>
      </c>
      <c r="B31" s="48">
        <v>44228</v>
      </c>
      <c r="C31" s="41">
        <v>0.33333333333333331</v>
      </c>
      <c r="D31" s="418">
        <f>IF(V062A_2030313334363537[[#This Row],[FECHA]]-B30=1,((V062A_2030313334363537[[#This Row],[HORA]]-C30)*24)+24,(V062A_2030313334363537[[#This Row],[HORA]]-C30)*24)</f>
        <v>24</v>
      </c>
      <c r="E31" s="432" t="s">
        <v>45</v>
      </c>
      <c r="F31" s="378" t="s">
        <v>394</v>
      </c>
      <c r="G31" s="433"/>
      <c r="H31" s="434"/>
      <c r="I31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1" s="436"/>
      <c r="K31" s="437"/>
      <c r="L31" s="483">
        <v>0</v>
      </c>
      <c r="M31" s="246">
        <v>0.5</v>
      </c>
      <c r="N31" s="484">
        <v>0</v>
      </c>
      <c r="O31" s="246">
        <f>SUM(V062A_2030313334363537[[#This Row],[MPAL]]+V062A_2030313334363537[[#This Row],[AUX.]]+V062A_2030313334363537[[#This Row],[CALDERA]])</f>
        <v>0.5</v>
      </c>
      <c r="P31" s="319"/>
      <c r="Q31" s="270">
        <f>(Q30-V062A_2030313334363537[[#This Row],[TOTAL ]])+V062A_2030313334363537[[#This Row],[FAENA]]</f>
        <v>117.15000000000002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SUM(V062A_2030313334363537[[#This Row],[MPAL2]:[GI]])</f>
        <v>0</v>
      </c>
      <c r="X31" s="246"/>
      <c r="Y31" s="300">
        <f>(Y30-V062A_2030313334363537[[#This Row],[TOTAL]])+V062A_2030313334363537[[#This Row],[FAENA2]]</f>
        <v>77.36999999999999</v>
      </c>
      <c r="Z31" s="245">
        <v>0</v>
      </c>
      <c r="AA31" s="246">
        <v>0</v>
      </c>
      <c r="AB31" s="320">
        <f>(AB30-V062A_2030313334363537[[#This Row],[CYLINDER MP]])+V062A_2030313334363537[[#This Row],[FAENA EN LTS]]</f>
        <v>196.16000000000005</v>
      </c>
      <c r="AC31" s="246">
        <v>0</v>
      </c>
      <c r="AD31" s="246">
        <v>0</v>
      </c>
      <c r="AE31" s="438">
        <f>(AE30-V062A_2030313334363537[[#This Row],[CARTER MP.]])+V062A_2030313334363537[[#This Row],[FAENA EN LTS2]]</f>
        <v>2700</v>
      </c>
      <c r="AF31" s="246">
        <v>0</v>
      </c>
      <c r="AG31" s="246">
        <v>0</v>
      </c>
      <c r="AH31" s="438">
        <f>(AH30-V062A_2030313334363537[[#This Row],[MOT AUX]])+V062A_2030313334363537[[#This Row],[FAENA EN  LTS]]</f>
        <v>2560</v>
      </c>
      <c r="AI31" s="246">
        <v>0</v>
      </c>
      <c r="AJ31" s="246">
        <v>0</v>
      </c>
      <c r="AK31" s="439">
        <f>(AK30-V062A_2030313334363537[[#This Row],[HIDRAULICO]])+V062A_2030313334363537[[#This Row],[FAENA EN LTS3]]</f>
        <v>2000</v>
      </c>
    </row>
    <row r="32" spans="1:37" x14ac:dyDescent="0.25">
      <c r="A32" s="431" t="s">
        <v>385</v>
      </c>
      <c r="B32" s="48">
        <v>44229</v>
      </c>
      <c r="C32" s="41">
        <v>0.33333333333333331</v>
      </c>
      <c r="D32" s="418">
        <f>IF(V062A_2030313334363537[[#This Row],[FECHA]]-B31=1,((V062A_2030313334363537[[#This Row],[HORA]]-C31)*24)+24,(V062A_2030313334363537[[#This Row],[HORA]]-C31)*24)</f>
        <v>24</v>
      </c>
      <c r="E32" s="432" t="s">
        <v>45</v>
      </c>
      <c r="F32" s="378" t="s">
        <v>394</v>
      </c>
      <c r="G32" s="433"/>
      <c r="H32" s="434"/>
      <c r="I32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2" s="436"/>
      <c r="K32" s="437"/>
      <c r="L32" s="483">
        <v>0</v>
      </c>
      <c r="M32" s="246">
        <v>1.5</v>
      </c>
      <c r="N32" s="484">
        <v>0</v>
      </c>
      <c r="O32" s="246">
        <f>SUM(V062A_2030313334363537[[#This Row],[MPAL]]+V062A_2030313334363537[[#This Row],[AUX.]]+V062A_2030313334363537[[#This Row],[CALDERA]])</f>
        <v>1.5</v>
      </c>
      <c r="P32" s="319"/>
      <c r="Q32" s="270">
        <f>(Q31-V062A_2030313334363537[[#This Row],[TOTAL ]])+V062A_2030313334363537[[#This Row],[FAENA]]</f>
        <v>115.65000000000002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SUM(V062A_2030313334363537[[#This Row],[MPAL2]:[GI]])</f>
        <v>0</v>
      </c>
      <c r="X32" s="246"/>
      <c r="Y32" s="300">
        <f>(Y31-V062A_2030313334363537[[#This Row],[TOTAL]])+V062A_2030313334363537[[#This Row],[FAENA2]]</f>
        <v>77.36999999999999</v>
      </c>
      <c r="Z32" s="245">
        <v>0</v>
      </c>
      <c r="AA32" s="246">
        <v>0</v>
      </c>
      <c r="AB32" s="320">
        <f>(AB31-V062A_2030313334363537[[#This Row],[CYLINDER MP]])+V062A_2030313334363537[[#This Row],[FAENA EN LTS]]</f>
        <v>196.16000000000005</v>
      </c>
      <c r="AC32" s="246">
        <v>0</v>
      </c>
      <c r="AD32" s="246">
        <v>0</v>
      </c>
      <c r="AE32" s="438">
        <f>(AE31-V062A_2030313334363537[[#This Row],[CARTER MP.]])+V062A_2030313334363537[[#This Row],[FAENA EN LTS2]]</f>
        <v>2700</v>
      </c>
      <c r="AF32" s="246">
        <v>20</v>
      </c>
      <c r="AG32" s="246">
        <v>0</v>
      </c>
      <c r="AH32" s="438">
        <f>(AH31-V062A_2030313334363537[[#This Row],[MOT AUX]])+V062A_2030313334363537[[#This Row],[FAENA EN  LTS]]</f>
        <v>2540</v>
      </c>
      <c r="AI32" s="246">
        <v>0</v>
      </c>
      <c r="AJ32" s="246">
        <v>0</v>
      </c>
      <c r="AK32" s="439">
        <f>(AK31-V062A_2030313334363537[[#This Row],[HIDRAULICO]])+V062A_2030313334363537[[#This Row],[FAENA EN LTS3]]</f>
        <v>2000</v>
      </c>
    </row>
    <row r="33" spans="1:37" x14ac:dyDescent="0.25">
      <c r="A33" s="431" t="s">
        <v>385</v>
      </c>
      <c r="B33" s="48">
        <v>44229</v>
      </c>
      <c r="C33" s="41">
        <v>0.8125</v>
      </c>
      <c r="D33" s="418">
        <f>IF(V062A_2030313334363537[[#This Row],[FECHA]]-B32=1,((V062A_2030313334363537[[#This Row],[HORA]]-C32)*24)+24,(V062A_2030313334363537[[#This Row],[HORA]]-C32)*24)</f>
        <v>11.5</v>
      </c>
      <c r="E33" s="409" t="s">
        <v>45</v>
      </c>
      <c r="F33" s="378" t="s">
        <v>46</v>
      </c>
      <c r="G33" s="433"/>
      <c r="H33" s="434"/>
      <c r="I3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3" s="436"/>
      <c r="K33" s="437"/>
      <c r="L33" s="483">
        <v>0</v>
      </c>
      <c r="M33" s="246">
        <v>0.72</v>
      </c>
      <c r="N33" s="484">
        <v>0</v>
      </c>
      <c r="O33" s="246">
        <f>SUM(V062A_2030313334363537[[#This Row],[MPAL]]+V062A_2030313334363537[[#This Row],[AUX.]]+V062A_2030313334363537[[#This Row],[CALDERA]])</f>
        <v>0.72</v>
      </c>
      <c r="P33" s="319"/>
      <c r="Q33" s="270">
        <f>(Q32-V062A_2030313334363537[[#This Row],[TOTAL ]])+V062A_2030313334363537[[#This Row],[FAENA]]</f>
        <v>114.93000000000002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SUM(V062A_2030313334363537[[#This Row],[MPAL2]:[GI]])</f>
        <v>0</v>
      </c>
      <c r="X33" s="246"/>
      <c r="Y33" s="300">
        <f>(Y32-V062A_2030313334363537[[#This Row],[TOTAL]])+V062A_2030313334363537[[#This Row],[FAENA2]]</f>
        <v>77.36999999999999</v>
      </c>
      <c r="Z33" s="245">
        <v>0</v>
      </c>
      <c r="AA33" s="246">
        <v>0</v>
      </c>
      <c r="AB33" s="320">
        <f>(AB32-V062A_2030313334363537[[#This Row],[CYLINDER MP]])+V062A_2030313334363537[[#This Row],[FAENA EN LTS]]</f>
        <v>196.16000000000005</v>
      </c>
      <c r="AC33" s="246">
        <v>0</v>
      </c>
      <c r="AD33" s="246">
        <v>0</v>
      </c>
      <c r="AE33" s="438">
        <f>(AE32-V062A_2030313334363537[[#This Row],[CARTER MP.]])+V062A_2030313334363537[[#This Row],[FAENA EN LTS2]]</f>
        <v>2700</v>
      </c>
      <c r="AF33" s="246">
        <v>0</v>
      </c>
      <c r="AG33" s="246">
        <v>0</v>
      </c>
      <c r="AH33" s="438">
        <f>(AH32-V062A_2030313334363537[[#This Row],[MOT AUX]])+V062A_2030313334363537[[#This Row],[FAENA EN  LTS]]</f>
        <v>2540</v>
      </c>
      <c r="AI33" s="246">
        <v>1150</v>
      </c>
      <c r="AJ33" s="246">
        <v>0</v>
      </c>
      <c r="AK33" s="439">
        <f>(AK32-V062A_2030313334363537[[#This Row],[HIDRAULICO]])+V062A_2030313334363537[[#This Row],[FAENA EN LTS3]]</f>
        <v>850</v>
      </c>
    </row>
    <row r="34" spans="1:37" x14ac:dyDescent="0.25">
      <c r="A34" s="431" t="s">
        <v>385</v>
      </c>
      <c r="B34" s="48">
        <v>44229</v>
      </c>
      <c r="C34" s="41">
        <v>0.91666666666666663</v>
      </c>
      <c r="D34" s="418">
        <f>IF(V062A_2030313334363537[[#This Row],[FECHA]]-B33=1,((V062A_2030313334363537[[#This Row],[HORA]]-C33)*24)+24,(V062A_2030313334363537[[#This Row],[HORA]]-C33)*24)</f>
        <v>2.4999999999999991</v>
      </c>
      <c r="E34" s="409" t="s">
        <v>47</v>
      </c>
      <c r="F34" s="378" t="s">
        <v>395</v>
      </c>
      <c r="G34" s="433"/>
      <c r="H34" s="434"/>
      <c r="I34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4" s="436"/>
      <c r="K34" s="437"/>
      <c r="L34" s="483">
        <v>1</v>
      </c>
      <c r="M34" s="246">
        <v>0.21</v>
      </c>
      <c r="N34" s="484">
        <v>0</v>
      </c>
      <c r="O34" s="246">
        <f>SUM(V062A_2030313334363537[[#This Row],[MPAL]]+V062A_2030313334363537[[#This Row],[AUX.]]+V062A_2030313334363537[[#This Row],[CALDERA]])</f>
        <v>1.21</v>
      </c>
      <c r="P34" s="319"/>
      <c r="Q34" s="270">
        <f>(Q33-V062A_2030313334363537[[#This Row],[TOTAL ]])+V062A_2030313334363537[[#This Row],[FAENA]]</f>
        <v>113.72000000000003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1.5</v>
      </c>
      <c r="W34" s="246">
        <f>SUM(V062A_2030313334363537[[#This Row],[MPAL2]:[GI]])</f>
        <v>1.5</v>
      </c>
      <c r="X34" s="246"/>
      <c r="Y34" s="300">
        <f>(Y33-V062A_2030313334363537[[#This Row],[TOTAL]])+V062A_2030313334363537[[#This Row],[FAENA2]]</f>
        <v>75.86999999999999</v>
      </c>
      <c r="Z34" s="245">
        <v>0</v>
      </c>
      <c r="AA34" s="246">
        <v>0</v>
      </c>
      <c r="AB34" s="320">
        <f>(AB33-V062A_2030313334363537[[#This Row],[CYLINDER MP]])+V062A_2030313334363537[[#This Row],[FAENA EN LTS]]</f>
        <v>196.16000000000005</v>
      </c>
      <c r="AC34" s="246">
        <v>0</v>
      </c>
      <c r="AD34" s="246">
        <v>0</v>
      </c>
      <c r="AE34" s="438">
        <f>(AE33-V062A_2030313334363537[[#This Row],[CARTER MP.]])+V062A_2030313334363537[[#This Row],[FAENA EN LTS2]]</f>
        <v>2700</v>
      </c>
      <c r="AF34" s="246">
        <v>0</v>
      </c>
      <c r="AG34" s="246">
        <v>0</v>
      </c>
      <c r="AH34" s="438">
        <f>(AH33-V062A_2030313334363537[[#This Row],[MOT AUX]])+V062A_2030313334363537[[#This Row],[FAENA EN  LTS]]</f>
        <v>2540</v>
      </c>
      <c r="AI34" s="246">
        <v>0</v>
      </c>
      <c r="AJ34" s="246">
        <v>0</v>
      </c>
      <c r="AK34" s="439">
        <f>(AK33-V062A_2030313334363537[[#This Row],[HIDRAULICO]])+V062A_2030313334363537[[#This Row],[FAENA EN LTS3]]</f>
        <v>850</v>
      </c>
    </row>
    <row r="35" spans="1:37" x14ac:dyDescent="0.25">
      <c r="A35" s="431" t="s">
        <v>385</v>
      </c>
      <c r="B35" s="48">
        <v>44230</v>
      </c>
      <c r="C35" s="41">
        <v>0.33333333333333331</v>
      </c>
      <c r="D35" s="418">
        <f>IF(V062A_2030313334363537[[#This Row],[FECHA]]-B34=1,((V062A_2030313334363537[[#This Row],[HORA]]-C34)*24)+24,(V062A_2030313334363537[[#This Row],[HORA]]-C34)*24)</f>
        <v>10.000000000000002</v>
      </c>
      <c r="E35" s="409" t="s">
        <v>51</v>
      </c>
      <c r="F35" s="378" t="s">
        <v>396</v>
      </c>
      <c r="G35" s="433"/>
      <c r="H35" s="434"/>
      <c r="I3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5" s="436"/>
      <c r="K35" s="437"/>
      <c r="L35" s="483">
        <v>0</v>
      </c>
      <c r="M35" s="246">
        <v>0.63</v>
      </c>
      <c r="N35" s="484">
        <v>0</v>
      </c>
      <c r="O35" s="246">
        <f>SUM(V062A_2030313334363537[[#This Row],[MPAL]]+V062A_2030313334363537[[#This Row],[AUX.]]+V062A_2030313334363537[[#This Row],[CALDERA]])</f>
        <v>0.63</v>
      </c>
      <c r="P35" s="319"/>
      <c r="Q35" s="270">
        <f>(Q34-V062A_2030313334363537[[#This Row],[TOTAL ]])+V062A_2030313334363537[[#This Row],[FAENA]]</f>
        <v>113.09000000000003</v>
      </c>
      <c r="R35" s="245">
        <v>0</v>
      </c>
      <c r="S35" s="246">
        <v>0</v>
      </c>
      <c r="T35" s="246">
        <v>0</v>
      </c>
      <c r="U35" s="246">
        <v>0</v>
      </c>
      <c r="V35" s="246">
        <v>1</v>
      </c>
      <c r="W35" s="246">
        <f>SUM(V062A_2030313334363537[[#This Row],[MPAL2]:[GI]])</f>
        <v>1</v>
      </c>
      <c r="X35" s="246"/>
      <c r="Y35" s="300">
        <f>(Y34-V062A_2030313334363537[[#This Row],[TOTAL]])+V062A_2030313334363537[[#This Row],[FAENA2]]</f>
        <v>74.86999999999999</v>
      </c>
      <c r="Z35" s="245">
        <v>0</v>
      </c>
      <c r="AA35" s="246">
        <v>0</v>
      </c>
      <c r="AB35" s="320">
        <f>(AB34-V062A_2030313334363537[[#This Row],[CYLINDER MP]])+V062A_2030313334363537[[#This Row],[FAENA EN LTS]]</f>
        <v>196.16000000000005</v>
      </c>
      <c r="AC35" s="246">
        <v>0</v>
      </c>
      <c r="AD35" s="246">
        <v>0</v>
      </c>
      <c r="AE35" s="438">
        <f>(AE34-V062A_2030313334363537[[#This Row],[CARTER MP.]])+V062A_2030313334363537[[#This Row],[FAENA EN LTS2]]</f>
        <v>2700</v>
      </c>
      <c r="AF35" s="246">
        <v>20</v>
      </c>
      <c r="AG35" s="246">
        <v>0</v>
      </c>
      <c r="AH35" s="438">
        <f>(AH34-V062A_2030313334363537[[#This Row],[MOT AUX]])+V062A_2030313334363537[[#This Row],[FAENA EN  LTS]]</f>
        <v>2520</v>
      </c>
      <c r="AI35" s="246">
        <v>0</v>
      </c>
      <c r="AJ35" s="246">
        <v>0</v>
      </c>
      <c r="AK35" s="439">
        <f>(AK34-V062A_2030313334363537[[#This Row],[HIDRAULICO]])+V062A_2030313334363537[[#This Row],[FAENA EN LTS3]]</f>
        <v>850</v>
      </c>
    </row>
    <row r="36" spans="1:37" x14ac:dyDescent="0.25">
      <c r="A36" s="431" t="s">
        <v>385</v>
      </c>
      <c r="B36" s="48">
        <v>44230</v>
      </c>
      <c r="C36" s="41">
        <v>0.89583333333333337</v>
      </c>
      <c r="D36" s="418">
        <f>IF(V062A_2030313334363537[[#This Row],[FECHA]]-B35=1,((V062A_2030313334363537[[#This Row],[HORA]]-C35)*24)+24,(V062A_2030313334363537[[#This Row],[HORA]]-C35)*24)</f>
        <v>13.5</v>
      </c>
      <c r="E36" s="409" t="s">
        <v>51</v>
      </c>
      <c r="F36" s="378" t="s">
        <v>397</v>
      </c>
      <c r="G36" s="433"/>
      <c r="H36" s="434"/>
      <c r="I36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6" s="436"/>
      <c r="K36" s="437"/>
      <c r="L36" s="483">
        <v>0</v>
      </c>
      <c r="M36" s="246">
        <v>0.24</v>
      </c>
      <c r="N36" s="484">
        <v>0.23</v>
      </c>
      <c r="O36" s="246">
        <f>SUM(V062A_2030313334363537[[#This Row],[MPAL]]+V062A_2030313334363537[[#This Row],[AUX.]]+V062A_2030313334363537[[#This Row],[CALDERA]])</f>
        <v>0.47</v>
      </c>
      <c r="P36" s="319"/>
      <c r="Q36" s="270">
        <f>(Q35-V062A_2030313334363537[[#This Row],[TOTAL ]])+V062A_2030313334363537[[#This Row],[FAENA]]</f>
        <v>112.62000000000003</v>
      </c>
      <c r="R36" s="245">
        <v>0</v>
      </c>
      <c r="S36" s="246">
        <v>0</v>
      </c>
      <c r="T36" s="246">
        <v>0.75</v>
      </c>
      <c r="U36" s="246">
        <v>0</v>
      </c>
      <c r="V36" s="246">
        <v>2</v>
      </c>
      <c r="W36" s="246">
        <f>SUM(V062A_2030313334363537[[#This Row],[MPAL2]:[GI]])</f>
        <v>2.75</v>
      </c>
      <c r="X36" s="246"/>
      <c r="Y36" s="300">
        <f>(Y35-V062A_2030313334363537[[#This Row],[TOTAL]])+V062A_2030313334363537[[#This Row],[FAENA2]]</f>
        <v>72.11999999999999</v>
      </c>
      <c r="Z36" s="245">
        <v>0</v>
      </c>
      <c r="AA36" s="246">
        <v>0</v>
      </c>
      <c r="AB36" s="320">
        <f>(AB35-V062A_2030313334363537[[#This Row],[CYLINDER MP]])+V062A_2030313334363537[[#This Row],[FAENA EN LTS]]</f>
        <v>196.16000000000005</v>
      </c>
      <c r="AC36" s="246">
        <v>0</v>
      </c>
      <c r="AD36" s="246">
        <v>0</v>
      </c>
      <c r="AE36" s="438">
        <f>(AE35-V062A_2030313334363537[[#This Row],[CARTER MP.]])+V062A_2030313334363537[[#This Row],[FAENA EN LTS2]]</f>
        <v>2700</v>
      </c>
      <c r="AF36" s="246">
        <v>20</v>
      </c>
      <c r="AG36" s="246">
        <v>0</v>
      </c>
      <c r="AH36" s="438">
        <f>(AH35-V062A_2030313334363537[[#This Row],[MOT AUX]])+V062A_2030313334363537[[#This Row],[FAENA EN  LTS]]</f>
        <v>2500</v>
      </c>
      <c r="AI36" s="246">
        <v>0</v>
      </c>
      <c r="AJ36" s="246">
        <v>0</v>
      </c>
      <c r="AK36" s="439">
        <f>(AK35-V062A_2030313334363537[[#This Row],[HIDRAULICO]])+V062A_2030313334363537[[#This Row],[FAENA EN LTS3]]</f>
        <v>850</v>
      </c>
    </row>
    <row r="37" spans="1:37" x14ac:dyDescent="0.25">
      <c r="A37" s="431" t="s">
        <v>385</v>
      </c>
      <c r="B37" s="48">
        <v>44231</v>
      </c>
      <c r="C37" s="41">
        <v>7.0833333333333331E-2</v>
      </c>
      <c r="D37" s="418">
        <f>IF(V062A_2030313334363537[[#This Row],[FECHA]]-B36=1,((V062A_2030313334363537[[#This Row],[HORA]]-C36)*24)+24,(V062A_2030313334363537[[#This Row],[HORA]]-C36)*24)</f>
        <v>4.1999999999999993</v>
      </c>
      <c r="E37" s="409" t="s">
        <v>49</v>
      </c>
      <c r="F37" s="378" t="s">
        <v>398</v>
      </c>
      <c r="G37" s="433"/>
      <c r="H37" s="434"/>
      <c r="I37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7" s="436"/>
      <c r="K37" s="437"/>
      <c r="L37" s="483">
        <v>0</v>
      </c>
      <c r="M37" s="246">
        <v>0.35</v>
      </c>
      <c r="N37" s="484">
        <v>0.21</v>
      </c>
      <c r="O37" s="246">
        <f>SUM(V062A_2030313334363537[[#This Row],[MPAL]]+V062A_2030313334363537[[#This Row],[AUX.]]+V062A_2030313334363537[[#This Row],[CALDERA]])</f>
        <v>0.55999999999999994</v>
      </c>
      <c r="P37" s="319"/>
      <c r="Q37" s="270">
        <f>(Q36-V062A_2030313334363537[[#This Row],[TOTAL ]])+V062A_2030313334363537[[#This Row],[FAENA]]</f>
        <v>112.06000000000003</v>
      </c>
      <c r="R37" s="245">
        <v>0</v>
      </c>
      <c r="S37" s="246">
        <v>0</v>
      </c>
      <c r="T37" s="246">
        <v>0</v>
      </c>
      <c r="U37" s="246">
        <v>0</v>
      </c>
      <c r="V37" s="246">
        <v>1.05</v>
      </c>
      <c r="W37" s="246">
        <f>SUM(V062A_2030313334363537[[#This Row],[MPAL2]:[GI]])</f>
        <v>1.05</v>
      </c>
      <c r="X37" s="246"/>
      <c r="Y37" s="300">
        <f>(Y36-V062A_2030313334363537[[#This Row],[TOTAL]])+V062A_2030313334363537[[#This Row],[FAENA2]]</f>
        <v>71.069999999999993</v>
      </c>
      <c r="Z37" s="245">
        <v>0</v>
      </c>
      <c r="AA37" s="246">
        <v>0</v>
      </c>
      <c r="AB37" s="320">
        <f>(AB36-V062A_2030313334363537[[#This Row],[CYLINDER MP]])+V062A_2030313334363537[[#This Row],[FAENA EN LTS]]</f>
        <v>196.16000000000005</v>
      </c>
      <c r="AC37" s="246">
        <v>0</v>
      </c>
      <c r="AD37" s="246">
        <v>0</v>
      </c>
      <c r="AE37" s="438">
        <f>(AE36-V062A_2030313334363537[[#This Row],[CARTER MP.]])+V062A_2030313334363537[[#This Row],[FAENA EN LTS2]]</f>
        <v>2700</v>
      </c>
      <c r="AF37" s="246">
        <v>0</v>
      </c>
      <c r="AG37" s="246">
        <v>0</v>
      </c>
      <c r="AH37" s="438">
        <f>(AH36-V062A_2030313334363537[[#This Row],[MOT AUX]])+V062A_2030313334363537[[#This Row],[FAENA EN  LTS]]</f>
        <v>2500</v>
      </c>
      <c r="AI37" s="246">
        <v>0</v>
      </c>
      <c r="AJ37" s="246">
        <v>0</v>
      </c>
      <c r="AK37" s="439">
        <f>(AK36-V062A_2030313334363537[[#This Row],[HIDRAULICO]])+V062A_2030313334363537[[#This Row],[FAENA EN LTS3]]</f>
        <v>850</v>
      </c>
    </row>
    <row r="38" spans="1:37" x14ac:dyDescent="0.25">
      <c r="A38" s="431" t="s">
        <v>385</v>
      </c>
      <c r="B38" s="48">
        <v>44231</v>
      </c>
      <c r="C38" s="41">
        <v>0.13749999999999998</v>
      </c>
      <c r="D38" s="418">
        <f>IF(V062A_2030313334363537[[#This Row],[FECHA]]-B37=1,((V062A_2030313334363537[[#This Row],[HORA]]-C37)*24)+24,(V062A_2030313334363537[[#This Row],[HORA]]-C37)*24)</f>
        <v>1.5999999999999996</v>
      </c>
      <c r="E38" s="409" t="s">
        <v>47</v>
      </c>
      <c r="F38" s="378" t="s">
        <v>393</v>
      </c>
      <c r="G38" s="433"/>
      <c r="H38" s="434"/>
      <c r="I38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8" s="436"/>
      <c r="K38" s="437"/>
      <c r="L38" s="483">
        <v>0.67</v>
      </c>
      <c r="M38" s="246">
        <v>0.13</v>
      </c>
      <c r="N38" s="484">
        <v>0.08</v>
      </c>
      <c r="O38" s="246">
        <f>SUM(V062A_2030313334363537[[#This Row],[MPAL]]+V062A_2030313334363537[[#This Row],[AUX.]]+V062A_2030313334363537[[#This Row],[CALDERA]])</f>
        <v>0.88</v>
      </c>
      <c r="P38" s="319"/>
      <c r="Q38" s="270">
        <f>(Q37-V062A_2030313334363537[[#This Row],[TOTAL ]])+V062A_2030313334363537[[#This Row],[FAENA]]</f>
        <v>111.18000000000004</v>
      </c>
      <c r="R38" s="245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SUM(V062A_2030313334363537[[#This Row],[MPAL2]:[GI]])</f>
        <v>0</v>
      </c>
      <c r="X38" s="246"/>
      <c r="Y38" s="300">
        <f>(Y37-V062A_2030313334363537[[#This Row],[TOTAL]])+V062A_2030313334363537[[#This Row],[FAENA2]]</f>
        <v>71.069999999999993</v>
      </c>
      <c r="Z38" s="245">
        <v>0</v>
      </c>
      <c r="AA38" s="246">
        <v>0</v>
      </c>
      <c r="AB38" s="320">
        <f>(AB37-V062A_2030313334363537[[#This Row],[CYLINDER MP]])+V062A_2030313334363537[[#This Row],[FAENA EN LTS]]</f>
        <v>196.16000000000005</v>
      </c>
      <c r="AC38" s="246">
        <v>0</v>
      </c>
      <c r="AD38" s="246">
        <v>0</v>
      </c>
      <c r="AE38" s="438">
        <f>(AE37-V062A_2030313334363537[[#This Row],[CARTER MP.]])+V062A_2030313334363537[[#This Row],[FAENA EN LTS2]]</f>
        <v>2700</v>
      </c>
      <c r="AF38" s="246">
        <v>0</v>
      </c>
      <c r="AG38" s="246">
        <v>0</v>
      </c>
      <c r="AH38" s="438">
        <f>(AH37-V062A_2030313334363537[[#This Row],[MOT AUX]])+V062A_2030313334363537[[#This Row],[FAENA EN  LTS]]</f>
        <v>2500</v>
      </c>
      <c r="AI38" s="246">
        <v>0</v>
      </c>
      <c r="AJ38" s="246">
        <v>0</v>
      </c>
      <c r="AK38" s="439">
        <f>(AK37-V062A_2030313334363537[[#This Row],[HIDRAULICO]])+V062A_2030313334363537[[#This Row],[FAENA EN LTS3]]</f>
        <v>850</v>
      </c>
    </row>
    <row r="39" spans="1:37" x14ac:dyDescent="0.25">
      <c r="A39" s="431" t="s">
        <v>385</v>
      </c>
      <c r="B39" s="48">
        <v>44231</v>
      </c>
      <c r="C39" s="41">
        <v>0.33333333333333331</v>
      </c>
      <c r="D39" s="418">
        <f>IF(V062A_2030313334363537[[#This Row],[FECHA]]-B38=1,((V062A_2030313334363537[[#This Row],[HORA]]-C38)*24)+24,(V062A_2030313334363537[[#This Row],[HORA]]-C38)*24)</f>
        <v>4.7</v>
      </c>
      <c r="E39" s="473" t="s">
        <v>45</v>
      </c>
      <c r="F39" s="378" t="s">
        <v>394</v>
      </c>
      <c r="G39" s="475"/>
      <c r="H39" s="476"/>
      <c r="I3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39" s="478"/>
      <c r="K39" s="479"/>
      <c r="L39" s="483">
        <v>0</v>
      </c>
      <c r="M39" s="246">
        <v>0.39</v>
      </c>
      <c r="N39" s="484">
        <v>0.24</v>
      </c>
      <c r="O39" s="246">
        <f>SUM(V062A_2030313334363537[[#This Row],[MPAL]]+V062A_2030313334363537[[#This Row],[AUX.]]+V062A_2030313334363537[[#This Row],[CALDERA]])</f>
        <v>0.63</v>
      </c>
      <c r="P39" s="319"/>
      <c r="Q39" s="270">
        <f>(Q38-V062A_2030313334363537[[#This Row],[TOTAL ]])+V062A_2030313334363537[[#This Row],[FAENA]]</f>
        <v>110.55000000000004</v>
      </c>
      <c r="R39" s="245">
        <v>0</v>
      </c>
      <c r="S39" s="246">
        <v>0</v>
      </c>
      <c r="T39" s="246">
        <v>0</v>
      </c>
      <c r="U39" s="246">
        <v>0</v>
      </c>
      <c r="V39" s="246">
        <v>0</v>
      </c>
      <c r="W39" s="246">
        <f>SUM(V062A_2030313334363537[[#This Row],[MPAL2]:[GI]])</f>
        <v>0</v>
      </c>
      <c r="X39" s="246"/>
      <c r="Y39" s="300">
        <f>(Y38-V062A_2030313334363537[[#This Row],[TOTAL]])+V062A_2030313334363537[[#This Row],[FAENA2]]</f>
        <v>71.069999999999993</v>
      </c>
      <c r="Z39" s="245">
        <v>0</v>
      </c>
      <c r="AA39" s="246">
        <v>0</v>
      </c>
      <c r="AB39" s="320">
        <f>(AB38-V062A_2030313334363537[[#This Row],[CYLINDER MP]])+V062A_2030313334363537[[#This Row],[FAENA EN LTS]]</f>
        <v>196.16000000000005</v>
      </c>
      <c r="AC39" s="246">
        <v>0</v>
      </c>
      <c r="AD39" s="246">
        <v>0</v>
      </c>
      <c r="AE39" s="438">
        <f>(AE38-V062A_2030313334363537[[#This Row],[CARTER MP.]])+V062A_2030313334363537[[#This Row],[FAENA EN LTS2]]</f>
        <v>2700</v>
      </c>
      <c r="AF39" s="246">
        <v>20</v>
      </c>
      <c r="AG39" s="246">
        <v>0</v>
      </c>
      <c r="AH39" s="438">
        <f>(AH38-V062A_2030313334363537[[#This Row],[MOT AUX]])+V062A_2030313334363537[[#This Row],[FAENA EN  LTS]]</f>
        <v>2480</v>
      </c>
      <c r="AI39" s="246">
        <v>0</v>
      </c>
      <c r="AJ39" s="246">
        <v>0</v>
      </c>
      <c r="AK39" s="439">
        <f>(AK38-V062A_2030313334363537[[#This Row],[HIDRAULICO]])+V062A_2030313334363537[[#This Row],[FAENA EN LTS3]]</f>
        <v>850</v>
      </c>
    </row>
    <row r="40" spans="1:37" x14ac:dyDescent="0.25">
      <c r="A40" s="431" t="s">
        <v>385</v>
      </c>
      <c r="B40" s="48">
        <v>44232</v>
      </c>
      <c r="C40" s="41">
        <v>2.9166666666666664E-2</v>
      </c>
      <c r="D40" s="418">
        <f>IF(V062A_2030313334363537[[#This Row],[FECHA]]-B39=1,((V062A_2030313334363537[[#This Row],[HORA]]-C39)*24)+24,(V062A_2030313334363537[[#This Row],[HORA]]-C39)*24)</f>
        <v>16.700000000000003</v>
      </c>
      <c r="E40" s="473" t="s">
        <v>45</v>
      </c>
      <c r="F40" s="378" t="s">
        <v>46</v>
      </c>
      <c r="G40" s="475"/>
      <c r="H40" s="476"/>
      <c r="I4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0" s="478"/>
      <c r="K40" s="479"/>
      <c r="L40" s="483">
        <v>0</v>
      </c>
      <c r="M40" s="246">
        <v>1.04</v>
      </c>
      <c r="N40" s="484">
        <v>0.84</v>
      </c>
      <c r="O40" s="246">
        <f>SUM(V062A_2030313334363537[[#This Row],[MPAL]]+V062A_2030313334363537[[#This Row],[AUX.]]+V062A_2030313334363537[[#This Row],[CALDERA]])</f>
        <v>1.88</v>
      </c>
      <c r="P40" s="319"/>
      <c r="Q40" s="270">
        <f>(Q39-V062A_2030313334363537[[#This Row],[TOTAL ]])+V062A_2030313334363537[[#This Row],[FAENA]]</f>
        <v>108.67000000000004</v>
      </c>
      <c r="R40" s="245">
        <v>0</v>
      </c>
      <c r="S40" s="246">
        <v>0</v>
      </c>
      <c r="T40" s="246">
        <v>0</v>
      </c>
      <c r="U40" s="246">
        <v>0</v>
      </c>
      <c r="V40" s="246">
        <v>1.25</v>
      </c>
      <c r="W40" s="246">
        <f>SUM(V062A_2030313334363537[[#This Row],[MPAL2]:[GI]])</f>
        <v>1.25</v>
      </c>
      <c r="X40" s="246"/>
      <c r="Y40" s="300">
        <f>(Y39-V062A_2030313334363537[[#This Row],[TOTAL]])+V062A_2030313334363537[[#This Row],[FAENA2]]</f>
        <v>69.819999999999993</v>
      </c>
      <c r="Z40" s="245">
        <v>0</v>
      </c>
      <c r="AA40" s="246">
        <v>0</v>
      </c>
      <c r="AB40" s="320">
        <f>(AB39-V062A_2030313334363537[[#This Row],[CYLINDER MP]])+V062A_2030313334363537[[#This Row],[FAENA EN LTS]]</f>
        <v>196.16000000000005</v>
      </c>
      <c r="AC40" s="246">
        <v>0</v>
      </c>
      <c r="AD40" s="246">
        <v>0</v>
      </c>
      <c r="AE40" s="438">
        <f>(AE39-V062A_2030313334363537[[#This Row],[CARTER MP.]])+V062A_2030313334363537[[#This Row],[FAENA EN LTS2]]</f>
        <v>2700</v>
      </c>
      <c r="AF40" s="246">
        <v>0</v>
      </c>
      <c r="AG40" s="246">
        <v>0</v>
      </c>
      <c r="AH40" s="438">
        <f>(AH39-V062A_2030313334363537[[#This Row],[MOT AUX]])+V062A_2030313334363537[[#This Row],[FAENA EN  LTS]]</f>
        <v>2480</v>
      </c>
      <c r="AI40" s="246">
        <v>0</v>
      </c>
      <c r="AJ40" s="246">
        <v>0</v>
      </c>
      <c r="AK40" s="439">
        <f>(AK39-V062A_2030313334363537[[#This Row],[HIDRAULICO]])+V062A_2030313334363537[[#This Row],[FAENA EN LTS3]]</f>
        <v>850</v>
      </c>
    </row>
    <row r="41" spans="1:37" x14ac:dyDescent="0.25">
      <c r="A41" s="431" t="s">
        <v>385</v>
      </c>
      <c r="B41" s="48">
        <v>44232</v>
      </c>
      <c r="C41" s="41">
        <v>3.7499999999999999E-2</v>
      </c>
      <c r="D41" s="418">
        <f>IF(V062A_2030313334363537[[#This Row],[FECHA]]-B40=1,((V062A_2030313334363537[[#This Row],[HORA]]-C40)*24)+24,(V062A_2030313334363537[[#This Row],[HORA]]-C40)*24)</f>
        <v>0.20000000000000004</v>
      </c>
      <c r="E41" s="473" t="s">
        <v>47</v>
      </c>
      <c r="F41" s="378" t="s">
        <v>212</v>
      </c>
      <c r="G41" s="475"/>
      <c r="H41" s="476"/>
      <c r="I4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1" s="478"/>
      <c r="K41" s="479"/>
      <c r="L41" s="483">
        <v>0.08</v>
      </c>
      <c r="M41" s="246">
        <v>0.01</v>
      </c>
      <c r="N41" s="484">
        <v>0.01</v>
      </c>
      <c r="O41" s="246">
        <f>SUM(V062A_2030313334363537[[#This Row],[MPAL]]+V062A_2030313334363537[[#This Row],[AUX.]]+V062A_2030313334363537[[#This Row],[CALDERA]])</f>
        <v>9.9999999999999992E-2</v>
      </c>
      <c r="P41" s="319"/>
      <c r="Q41" s="270">
        <f>(Q40-V062A_2030313334363537[[#This Row],[TOTAL ]])+V062A_2030313334363537[[#This Row],[FAENA]]</f>
        <v>108.57000000000005</v>
      </c>
      <c r="R41" s="245">
        <v>0</v>
      </c>
      <c r="S41" s="246">
        <v>0</v>
      </c>
      <c r="T41" s="246">
        <v>0</v>
      </c>
      <c r="U41" s="246">
        <v>0</v>
      </c>
      <c r="V41" s="246">
        <v>0.05</v>
      </c>
      <c r="W41" s="246">
        <f>SUM(V062A_2030313334363537[[#This Row],[MPAL2]:[GI]])</f>
        <v>0.05</v>
      </c>
      <c r="X41" s="246"/>
      <c r="Y41" s="300">
        <f>(Y40-V062A_2030313334363537[[#This Row],[TOTAL]])+V062A_2030313334363537[[#This Row],[FAENA2]]</f>
        <v>69.77</v>
      </c>
      <c r="Z41" s="245">
        <v>0</v>
      </c>
      <c r="AA41" s="246">
        <v>0</v>
      </c>
      <c r="AB41" s="320">
        <f>(AB40-V062A_2030313334363537[[#This Row],[CYLINDER MP]])+V062A_2030313334363537[[#This Row],[FAENA EN LTS]]</f>
        <v>196.16000000000005</v>
      </c>
      <c r="AC41" s="246">
        <v>0</v>
      </c>
      <c r="AD41" s="246">
        <v>0</v>
      </c>
      <c r="AE41" s="438">
        <f>(AE40-V062A_2030313334363537[[#This Row],[CARTER MP.]])+V062A_2030313334363537[[#This Row],[FAENA EN LTS2]]</f>
        <v>2700</v>
      </c>
      <c r="AF41" s="246">
        <v>20</v>
      </c>
      <c r="AG41" s="246">
        <v>0</v>
      </c>
      <c r="AH41" s="438">
        <f>(AH40-V062A_2030313334363537[[#This Row],[MOT AUX]])+V062A_2030313334363537[[#This Row],[FAENA EN  LTS]]</f>
        <v>2460</v>
      </c>
      <c r="AI41" s="246">
        <v>0</v>
      </c>
      <c r="AJ41" s="246">
        <v>0</v>
      </c>
      <c r="AK41" s="439">
        <f>(AK40-V062A_2030313334363537[[#This Row],[HIDRAULICO]])+V062A_2030313334363537[[#This Row],[FAENA EN LTS3]]</f>
        <v>850</v>
      </c>
    </row>
    <row r="42" spans="1:37" x14ac:dyDescent="0.25">
      <c r="A42" s="431" t="s">
        <v>385</v>
      </c>
      <c r="B42" s="48">
        <v>44232</v>
      </c>
      <c r="C42" s="41">
        <v>0.15416666666666667</v>
      </c>
      <c r="D42" s="418">
        <f>IF(V062A_2030313334363537[[#This Row],[FECHA]]-B41=1,((V062A_2030313334363537[[#This Row],[HORA]]-C41)*24)+24,(V062A_2030313334363537[[#This Row],[HORA]]-C41)*24)</f>
        <v>2.8</v>
      </c>
      <c r="E42" s="473" t="s">
        <v>55</v>
      </c>
      <c r="F42" s="378" t="s">
        <v>348</v>
      </c>
      <c r="G42" s="475">
        <v>34</v>
      </c>
      <c r="H42" s="476">
        <v>2.8</v>
      </c>
      <c r="I4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12.142857142857144</v>
      </c>
      <c r="J42" s="478">
        <v>4</v>
      </c>
      <c r="K42" s="479">
        <v>97</v>
      </c>
      <c r="L42" s="483">
        <v>2.68</v>
      </c>
      <c r="M42" s="246">
        <v>0.18</v>
      </c>
      <c r="N42" s="484">
        <v>0.14000000000000001</v>
      </c>
      <c r="O42" s="246">
        <f>SUM(V062A_2030313334363537[[#This Row],[MPAL]]+V062A_2030313334363537[[#This Row],[AUX.]]+V062A_2030313334363537[[#This Row],[CALDERA]])</f>
        <v>3.0000000000000004</v>
      </c>
      <c r="P42" s="319"/>
      <c r="Q42" s="270">
        <f>(Q41-V062A_2030313334363537[[#This Row],[TOTAL ]])+V062A_2030313334363537[[#This Row],[FAENA]]</f>
        <v>105.57000000000005</v>
      </c>
      <c r="R42" s="245">
        <v>0</v>
      </c>
      <c r="S42" s="246">
        <v>0</v>
      </c>
      <c r="T42" s="246">
        <v>0</v>
      </c>
      <c r="U42" s="246">
        <v>0</v>
      </c>
      <c r="V42" s="246">
        <v>0.7</v>
      </c>
      <c r="W42" s="246">
        <f>SUM(V062A_2030313334363537[[#This Row],[MPAL2]:[GI]])</f>
        <v>0.7</v>
      </c>
      <c r="X42" s="246"/>
      <c r="Y42" s="300">
        <f>(Y41-V062A_2030313334363537[[#This Row],[TOTAL]])+V062A_2030313334363537[[#This Row],[FAENA2]]</f>
        <v>69.069999999999993</v>
      </c>
      <c r="Z42" s="245">
        <v>29</v>
      </c>
      <c r="AA42" s="246">
        <v>0</v>
      </c>
      <c r="AB42" s="438">
        <f>(AB41-V062A_2030313334363537[[#This Row],[CYLINDER MP]])+V062A_2030313334363537[[#This Row],[FAENA EN LTS]]</f>
        <v>167.16000000000005</v>
      </c>
      <c r="AC42" s="246">
        <v>0</v>
      </c>
      <c r="AD42" s="246">
        <v>0</v>
      </c>
      <c r="AE42" s="438">
        <f>(AE41-V062A_2030313334363537[[#This Row],[CARTER MP.]])+V062A_2030313334363537[[#This Row],[FAENA EN LTS2]]</f>
        <v>2700</v>
      </c>
      <c r="AF42" s="246">
        <v>0</v>
      </c>
      <c r="AG42" s="246">
        <v>0</v>
      </c>
      <c r="AH42" s="438">
        <f>(AH41-V062A_2030313334363537[[#This Row],[MOT AUX]])+V062A_2030313334363537[[#This Row],[FAENA EN  LTS]]</f>
        <v>2460</v>
      </c>
      <c r="AI42" s="246">
        <v>0</v>
      </c>
      <c r="AJ42" s="246">
        <v>0</v>
      </c>
      <c r="AK42" s="439">
        <f>(AK41-V062A_2030313334363537[[#This Row],[HIDRAULICO]])+V062A_2030313334363537[[#This Row],[FAENA EN LTS3]]</f>
        <v>850</v>
      </c>
    </row>
    <row r="43" spans="1:37" x14ac:dyDescent="0.25">
      <c r="A43" s="431" t="s">
        <v>385</v>
      </c>
      <c r="B43" s="48">
        <v>44232</v>
      </c>
      <c r="C43" s="41">
        <v>0.26250000000000001</v>
      </c>
      <c r="D43" s="418">
        <f>IF(V062A_2030313334363537[[#This Row],[FECHA]]-B42=1,((V062A_2030313334363537[[#This Row],[HORA]]-C42)*24)+24,(V062A_2030313334363537[[#This Row],[HORA]]-C42)*24)</f>
        <v>2.6</v>
      </c>
      <c r="E43" s="473" t="s">
        <v>47</v>
      </c>
      <c r="F43" s="378" t="s">
        <v>399</v>
      </c>
      <c r="G43" s="475"/>
      <c r="H43" s="476"/>
      <c r="I4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3" s="478"/>
      <c r="K43" s="479"/>
      <c r="L43" s="483">
        <v>1.08</v>
      </c>
      <c r="M43" s="246">
        <v>0.16</v>
      </c>
      <c r="N43" s="484">
        <v>0.13</v>
      </c>
      <c r="O43" s="246">
        <f>SUM(V062A_2030313334363537[[#This Row],[MPAL]]+V062A_2030313334363537[[#This Row],[AUX.]]+V062A_2030313334363537[[#This Row],[CALDERA]])</f>
        <v>1.37</v>
      </c>
      <c r="P43" s="319"/>
      <c r="Q43" s="270">
        <f>(Q42-V062A_2030313334363537[[#This Row],[TOTAL ]])+V062A_2030313334363537[[#This Row],[FAENA]]</f>
        <v>104.20000000000005</v>
      </c>
      <c r="R43" s="245">
        <v>0</v>
      </c>
      <c r="S43" s="246">
        <v>0</v>
      </c>
      <c r="T43" s="246">
        <v>0</v>
      </c>
      <c r="U43" s="246">
        <v>0</v>
      </c>
      <c r="V43" s="246">
        <v>0.65</v>
      </c>
      <c r="W43" s="246">
        <f>SUM(V062A_2030313334363537[[#This Row],[MPAL2]:[GI]])</f>
        <v>0.65</v>
      </c>
      <c r="X43" s="246"/>
      <c r="Y43" s="300">
        <f>(Y42-V062A_2030313334363537[[#This Row],[TOTAL]])+V062A_2030313334363537[[#This Row],[FAENA2]]</f>
        <v>68.419999999999987</v>
      </c>
      <c r="Z43" s="245">
        <v>27</v>
      </c>
      <c r="AA43" s="246">
        <v>0</v>
      </c>
      <c r="AB43" s="438">
        <f>(AB42-V062A_2030313334363537[[#This Row],[CYLINDER MP]])+V062A_2030313334363537[[#This Row],[FAENA EN LTS]]</f>
        <v>140.16000000000005</v>
      </c>
      <c r="AC43" s="246">
        <v>0</v>
      </c>
      <c r="AD43" s="246">
        <v>0</v>
      </c>
      <c r="AE43" s="438">
        <f>(AE42-V062A_2030313334363537[[#This Row],[CARTER MP.]])+V062A_2030313334363537[[#This Row],[FAENA EN LTS2]]</f>
        <v>2700</v>
      </c>
      <c r="AF43" s="246">
        <v>0</v>
      </c>
      <c r="AG43" s="246">
        <v>0</v>
      </c>
      <c r="AH43" s="438">
        <f>(AH42-V062A_2030313334363537[[#This Row],[MOT AUX]])+V062A_2030313334363537[[#This Row],[FAENA EN  LTS]]</f>
        <v>2460</v>
      </c>
      <c r="AI43" s="246">
        <v>0</v>
      </c>
      <c r="AJ43" s="246">
        <v>0</v>
      </c>
      <c r="AK43" s="439">
        <f>(AK42-V062A_2030313334363537[[#This Row],[HIDRAULICO]])+V062A_2030313334363537[[#This Row],[FAENA EN LTS3]]</f>
        <v>850</v>
      </c>
    </row>
    <row r="44" spans="1:37" x14ac:dyDescent="0.25">
      <c r="A44" s="431" t="s">
        <v>385</v>
      </c>
      <c r="B44" s="48">
        <v>44232</v>
      </c>
      <c r="C44" s="41">
        <v>0.33333333333333331</v>
      </c>
      <c r="D44" s="418">
        <f>IF(V062A_2030313334363537[[#This Row],[FECHA]]-B43=1,((V062A_2030313334363537[[#This Row],[HORA]]-C43)*24)+24,(V062A_2030313334363537[[#This Row],[HORA]]-C43)*24)</f>
        <v>1.6999999999999993</v>
      </c>
      <c r="E44" s="473" t="s">
        <v>51</v>
      </c>
      <c r="F44" s="378" t="s">
        <v>400</v>
      </c>
      <c r="G44" s="475"/>
      <c r="H44" s="476"/>
      <c r="I4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4" s="478"/>
      <c r="K44" s="479"/>
      <c r="L44" s="483">
        <v>0</v>
      </c>
      <c r="M44" s="246">
        <v>0.11</v>
      </c>
      <c r="N44" s="484">
        <v>0.09</v>
      </c>
      <c r="O44" s="246">
        <f>SUM(V062A_2030313334363537[[#This Row],[MPAL]]+V062A_2030313334363537[[#This Row],[AUX.]]+V062A_2030313334363537[[#This Row],[CALDERA]])</f>
        <v>0.2</v>
      </c>
      <c r="P44" s="319"/>
      <c r="Q44" s="270">
        <f>(Q43-V062A_2030313334363537[[#This Row],[TOTAL ]])+V062A_2030313334363537[[#This Row],[FAENA]]</f>
        <v>104.00000000000004</v>
      </c>
      <c r="R44" s="245">
        <v>0</v>
      </c>
      <c r="S44" s="246">
        <v>0</v>
      </c>
      <c r="T44" s="246">
        <v>0</v>
      </c>
      <c r="U44" s="246">
        <v>0</v>
      </c>
      <c r="V44" s="246">
        <v>0.4</v>
      </c>
      <c r="W44" s="246">
        <f>SUM(V062A_2030313334363537[[#This Row],[MPAL2]:[GI]])</f>
        <v>0.4</v>
      </c>
      <c r="X44" s="246"/>
      <c r="Y44" s="300">
        <f>(Y43-V062A_2030313334363537[[#This Row],[TOTAL]])+V062A_2030313334363537[[#This Row],[FAENA2]]</f>
        <v>68.019999999999982</v>
      </c>
      <c r="Z44" s="245">
        <v>0</v>
      </c>
      <c r="AA44" s="246">
        <v>0</v>
      </c>
      <c r="AB44" s="438">
        <f>(AB43-V062A_2030313334363537[[#This Row],[CYLINDER MP]])+V062A_2030313334363537[[#This Row],[FAENA EN LTS]]</f>
        <v>140.16000000000005</v>
      </c>
      <c r="AC44" s="246">
        <v>0</v>
      </c>
      <c r="AD44" s="246">
        <v>0</v>
      </c>
      <c r="AE44" s="438">
        <f>(AE43-V062A_2030313334363537[[#This Row],[CARTER MP.]])+V062A_2030313334363537[[#This Row],[FAENA EN LTS2]]</f>
        <v>2700</v>
      </c>
      <c r="AF44" s="246">
        <v>0</v>
      </c>
      <c r="AG44" s="246">
        <v>0</v>
      </c>
      <c r="AH44" s="438">
        <f>(AH43-V062A_2030313334363537[[#This Row],[MOT AUX]])+V062A_2030313334363537[[#This Row],[FAENA EN  LTS]]</f>
        <v>2460</v>
      </c>
      <c r="AI44" s="246">
        <v>0</v>
      </c>
      <c r="AJ44" s="246">
        <v>0</v>
      </c>
      <c r="AK44" s="439">
        <f>(AK43-V062A_2030313334363537[[#This Row],[HIDRAULICO]])+V062A_2030313334363537[[#This Row],[FAENA EN LTS3]]</f>
        <v>850</v>
      </c>
    </row>
    <row r="45" spans="1:37" x14ac:dyDescent="0.25">
      <c r="A45" s="431" t="s">
        <v>385</v>
      </c>
      <c r="B45" s="48">
        <v>44232</v>
      </c>
      <c r="C45" s="41">
        <v>0.35416666666666669</v>
      </c>
      <c r="D45" s="418">
        <f>IF(V062A_2030313334363537[[#This Row],[FECHA]]-B44=1,((V062A_2030313334363537[[#This Row],[HORA]]-C44)*24)+24,(V062A_2030313334363537[[#This Row],[HORA]]-C44)*24)</f>
        <v>0.50000000000000089</v>
      </c>
      <c r="E45" s="432" t="s">
        <v>51</v>
      </c>
      <c r="F45" s="378" t="s">
        <v>268</v>
      </c>
      <c r="G45" s="433"/>
      <c r="H45" s="434"/>
      <c r="I45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5" s="436"/>
      <c r="K45" s="437"/>
      <c r="L45" s="483">
        <v>0</v>
      </c>
      <c r="M45" s="246">
        <v>0.03</v>
      </c>
      <c r="N45" s="484">
        <v>0.03</v>
      </c>
      <c r="O45" s="246">
        <f>SUM(V062A_2030313334363537[[#This Row],[MPAL]]+V062A_2030313334363537[[#This Row],[AUX.]]+V062A_2030313334363537[[#This Row],[CALDERA]])</f>
        <v>0.06</v>
      </c>
      <c r="P45" s="319"/>
      <c r="Q45" s="270">
        <f>(Q44-V062A_2030313334363537[[#This Row],[TOTAL ]])+V062A_2030313334363537[[#This Row],[FAENA]]</f>
        <v>103.94000000000004</v>
      </c>
      <c r="R45" s="245">
        <v>0</v>
      </c>
      <c r="S45" s="246">
        <v>0</v>
      </c>
      <c r="T45" s="246">
        <v>0</v>
      </c>
      <c r="U45" s="246">
        <v>0</v>
      </c>
      <c r="V45" s="246">
        <v>0.12</v>
      </c>
      <c r="W45" s="246">
        <f>SUM(V062A_2030313334363537[[#This Row],[MPAL2]:[GI]])</f>
        <v>0.12</v>
      </c>
      <c r="X45" s="246"/>
      <c r="Y45" s="300">
        <f>(Y44-V062A_2030313334363537[[#This Row],[TOTAL]])+V062A_2030313334363537[[#This Row],[FAENA2]]</f>
        <v>67.899999999999977</v>
      </c>
      <c r="Z45" s="245">
        <v>0</v>
      </c>
      <c r="AA45" s="246">
        <v>0</v>
      </c>
      <c r="AB45" s="438">
        <f>(AB44-V062A_2030313334363537[[#This Row],[CYLINDER MP]])+V062A_2030313334363537[[#This Row],[FAENA EN LTS]]</f>
        <v>140.16000000000005</v>
      </c>
      <c r="AC45" s="246">
        <v>0</v>
      </c>
      <c r="AD45" s="246">
        <v>0</v>
      </c>
      <c r="AE45" s="438">
        <f>(AE44-V062A_2030313334363537[[#This Row],[CARTER MP.]])+V062A_2030313334363537[[#This Row],[FAENA EN LTS2]]</f>
        <v>2700</v>
      </c>
      <c r="AF45" s="246">
        <v>0</v>
      </c>
      <c r="AG45" s="246">
        <v>0</v>
      </c>
      <c r="AH45" s="438">
        <f>(AH44-V062A_2030313334363537[[#This Row],[MOT AUX]])+V062A_2030313334363537[[#This Row],[FAENA EN  LTS]]</f>
        <v>2460</v>
      </c>
      <c r="AI45" s="246">
        <v>0</v>
      </c>
      <c r="AJ45" s="246">
        <v>0</v>
      </c>
      <c r="AK45" s="439">
        <f>(AK44-V062A_2030313334363537[[#This Row],[HIDRAULICO]])+V062A_2030313334363537[[#This Row],[FAENA EN LTS3]]</f>
        <v>850</v>
      </c>
    </row>
    <row r="46" spans="1:37" x14ac:dyDescent="0.25">
      <c r="A46" s="431" t="s">
        <v>385</v>
      </c>
      <c r="B46" s="48">
        <v>44233</v>
      </c>
      <c r="C46" s="41">
        <v>0.3125</v>
      </c>
      <c r="D46" s="418">
        <f>IF(V062A_2030313334363537[[#This Row],[FECHA]]-B45=1,((V062A_2030313334363537[[#This Row],[HORA]]-C45)*24)+24,(V062A_2030313334363537[[#This Row],[HORA]]-C45)*24)</f>
        <v>23</v>
      </c>
      <c r="E46" s="473" t="s">
        <v>49</v>
      </c>
      <c r="F46" s="378" t="s">
        <v>402</v>
      </c>
      <c r="G46" s="475"/>
      <c r="H46" s="476"/>
      <c r="I4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6" s="478"/>
      <c r="K46" s="479"/>
      <c r="L46" s="483">
        <v>0</v>
      </c>
      <c r="M46" s="246">
        <v>1.75</v>
      </c>
      <c r="N46" s="484">
        <v>1.05</v>
      </c>
      <c r="O46" s="246">
        <f>SUM(V062A_2030313334363537[[#This Row],[MPAL]]+V062A_2030313334363537[[#This Row],[AUX.]]+V062A_2030313334363537[[#This Row],[CALDERA]])</f>
        <v>2.8</v>
      </c>
      <c r="P46" s="319"/>
      <c r="Q46" s="270">
        <f>(Q45-V062A_2030313334363537[[#This Row],[TOTAL ]])+V062A_2030313334363537[[#This Row],[FAENA]]</f>
        <v>101.14000000000004</v>
      </c>
      <c r="R46" s="245">
        <v>0</v>
      </c>
      <c r="S46" s="246">
        <v>0</v>
      </c>
      <c r="T46" s="246">
        <v>0</v>
      </c>
      <c r="U46" s="246">
        <v>0</v>
      </c>
      <c r="V46" s="246">
        <v>4.5</v>
      </c>
      <c r="W46" s="246">
        <f>SUM(V062A_2030313334363537[[#This Row],[MPAL2]:[GI]])</f>
        <v>4.5</v>
      </c>
      <c r="X46" s="246"/>
      <c r="Y46" s="300">
        <f>(Y45-V062A_2030313334363537[[#This Row],[TOTAL]])+V062A_2030313334363537[[#This Row],[FAENA2]]</f>
        <v>63.399999999999977</v>
      </c>
      <c r="Z46" s="245">
        <v>0</v>
      </c>
      <c r="AA46" s="246">
        <v>0</v>
      </c>
      <c r="AB46" s="438">
        <f>(AB45-V062A_2030313334363537[[#This Row],[CYLINDER MP]])+V062A_2030313334363537[[#This Row],[FAENA EN LTS]]</f>
        <v>140.16000000000005</v>
      </c>
      <c r="AC46" s="246">
        <v>0</v>
      </c>
      <c r="AD46" s="246">
        <v>0</v>
      </c>
      <c r="AE46" s="438">
        <f>(AE45-V062A_2030313334363537[[#This Row],[CARTER MP.]])+V062A_2030313334363537[[#This Row],[FAENA EN LTS2]]</f>
        <v>2700</v>
      </c>
      <c r="AF46" s="246">
        <v>60</v>
      </c>
      <c r="AG46" s="246">
        <v>0</v>
      </c>
      <c r="AH46" s="438">
        <f>(AH45-V062A_2030313334363537[[#This Row],[MOT AUX]])+V062A_2030313334363537[[#This Row],[FAENA EN  LTS]]</f>
        <v>2400</v>
      </c>
      <c r="AI46" s="246">
        <v>0</v>
      </c>
      <c r="AJ46" s="246">
        <v>0</v>
      </c>
      <c r="AK46" s="439">
        <f>(AK45-V062A_2030313334363537[[#This Row],[HIDRAULICO]])+V062A_2030313334363537[[#This Row],[FAENA EN LTS3]]</f>
        <v>850</v>
      </c>
    </row>
    <row r="47" spans="1:37" x14ac:dyDescent="0.25">
      <c r="A47" s="431" t="s">
        <v>385</v>
      </c>
      <c r="B47" s="48">
        <v>44233</v>
      </c>
      <c r="C47" s="41">
        <v>0.33333333333333331</v>
      </c>
      <c r="D47" s="418">
        <f>IF(V062A_2030313334363537[[#This Row],[FECHA]]-B46=1,((V062A_2030313334363537[[#This Row],[HORA]]-C46)*24)+24,(V062A_2030313334363537[[#This Row],[HORA]]-C46)*24)</f>
        <v>0.49999999999999956</v>
      </c>
      <c r="E47" s="473" t="s">
        <v>49</v>
      </c>
      <c r="F47" s="378" t="s">
        <v>401</v>
      </c>
      <c r="G47" s="475"/>
      <c r="H47" s="476"/>
      <c r="I4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7" s="478"/>
      <c r="K47" s="479"/>
      <c r="L47" s="483">
        <v>0</v>
      </c>
      <c r="M47" s="246">
        <v>0.04</v>
      </c>
      <c r="N47" s="484">
        <v>0.03</v>
      </c>
      <c r="O47" s="246">
        <f>SUM(V062A_2030313334363537[[#This Row],[MPAL]]+V062A_2030313334363537[[#This Row],[AUX.]]+V062A_2030313334363537[[#This Row],[CALDERA]])</f>
        <v>7.0000000000000007E-2</v>
      </c>
      <c r="P47" s="246"/>
      <c r="Q47" s="270">
        <f>(Q46-V062A_2030313334363537[[#This Row],[TOTAL ]])+V062A_2030313334363537[[#This Row],[FAENA]]</f>
        <v>101.07000000000005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SUM(V062A_2030313334363537[[#This Row],[MPAL2]:[GI]])</f>
        <v>0</v>
      </c>
      <c r="X47" s="246"/>
      <c r="Y47" s="300">
        <f>(Y46-V062A_2030313334363537[[#This Row],[TOTAL]])+V062A_2030313334363537[[#This Row],[FAENA2]]</f>
        <v>63.399999999999977</v>
      </c>
      <c r="Z47" s="245">
        <v>0</v>
      </c>
      <c r="AA47" s="246">
        <v>0</v>
      </c>
      <c r="AB47" s="438">
        <f>(AB46-V062A_2030313334363537[[#This Row],[CYLINDER MP]])+V062A_2030313334363537[[#This Row],[FAENA EN LTS]]</f>
        <v>140.16000000000005</v>
      </c>
      <c r="AC47" s="246">
        <v>0</v>
      </c>
      <c r="AD47" s="246">
        <v>0</v>
      </c>
      <c r="AE47" s="438">
        <f>(AE46-V062A_2030313334363537[[#This Row],[CARTER MP.]])+V062A_2030313334363537[[#This Row],[FAENA EN LTS2]]</f>
        <v>2700</v>
      </c>
      <c r="AF47" s="246">
        <v>0</v>
      </c>
      <c r="AG47" s="246">
        <v>0</v>
      </c>
      <c r="AH47" s="438">
        <f>(AH46-V062A_2030313334363537[[#This Row],[MOT AUX]])+V062A_2030313334363537[[#This Row],[FAENA EN  LTS]]</f>
        <v>2400</v>
      </c>
      <c r="AI47" s="246">
        <v>0</v>
      </c>
      <c r="AJ47" s="246">
        <v>0</v>
      </c>
      <c r="AK47" s="439">
        <f>(AK46-V062A_2030313334363537[[#This Row],[HIDRAULICO]])+V062A_2030313334363537[[#This Row],[FAENA EN LTS3]]</f>
        <v>850</v>
      </c>
    </row>
    <row r="48" spans="1:37" x14ac:dyDescent="0.25">
      <c r="A48" s="431" t="s">
        <v>385</v>
      </c>
      <c r="B48" s="48">
        <v>44233</v>
      </c>
      <c r="C48" s="41">
        <v>0.41319444444444442</v>
      </c>
      <c r="D48" s="418">
        <f>IF(V062A_2030313334363537[[#This Row],[FECHA]]-B47=1,((V062A_2030313334363537[[#This Row],[HORA]]-C47)*24)+24,(V062A_2030313334363537[[#This Row],[HORA]]-C47)*24)</f>
        <v>1.9166666666666665</v>
      </c>
      <c r="E48" s="473" t="s">
        <v>49</v>
      </c>
      <c r="F48" s="378" t="s">
        <v>403</v>
      </c>
      <c r="G48" s="475"/>
      <c r="H48" s="476"/>
      <c r="I4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8" s="478"/>
      <c r="K48" s="479"/>
      <c r="L48" s="483">
        <v>0</v>
      </c>
      <c r="M48" s="246">
        <v>0.16</v>
      </c>
      <c r="N48" s="484">
        <v>0.1</v>
      </c>
      <c r="O48" s="246">
        <f>SUM(V062A_2030313334363537[[#This Row],[MPAL]]+V062A_2030313334363537[[#This Row],[AUX.]]+V062A_2030313334363537[[#This Row],[CALDERA]])</f>
        <v>0.26</v>
      </c>
      <c r="P48" s="246">
        <v>198.89</v>
      </c>
      <c r="Q48" s="270">
        <f>(Q47-V062A_2030313334363537[[#This Row],[TOTAL ]])+V062A_2030313334363537[[#This Row],[FAENA]]</f>
        <v>299.70000000000005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SUM(V062A_2030313334363537[[#This Row],[MPAL2]:[GI]])</f>
        <v>0</v>
      </c>
      <c r="X48" s="246"/>
      <c r="Y48" s="300">
        <f>(Y47-V062A_2030313334363537[[#This Row],[TOTAL]])+V062A_2030313334363537[[#This Row],[FAENA2]]</f>
        <v>63.399999999999977</v>
      </c>
      <c r="Z48" s="245">
        <v>0</v>
      </c>
      <c r="AA48" s="246">
        <v>400</v>
      </c>
      <c r="AB48" s="438">
        <f>(AB47-V062A_2030313334363537[[#This Row],[CYLINDER MP]])+V062A_2030313334363537[[#This Row],[FAENA EN LTS]]</f>
        <v>540.16000000000008</v>
      </c>
      <c r="AC48" s="246">
        <v>0</v>
      </c>
      <c r="AD48" s="246">
        <v>0</v>
      </c>
      <c r="AE48" s="438">
        <f>(AE47-V062A_2030313334363537[[#This Row],[CARTER MP.]])+V062A_2030313334363537[[#This Row],[FAENA EN LTS2]]</f>
        <v>2700</v>
      </c>
      <c r="AF48" s="246">
        <v>0</v>
      </c>
      <c r="AG48" s="246">
        <v>0</v>
      </c>
      <c r="AH48" s="438">
        <f>(AH47-V062A_2030313334363537[[#This Row],[MOT AUX]])+V062A_2030313334363537[[#This Row],[FAENA EN  LTS]]</f>
        <v>2400</v>
      </c>
      <c r="AI48" s="246">
        <v>0</v>
      </c>
      <c r="AJ48" s="246">
        <v>0</v>
      </c>
      <c r="AK48" s="439">
        <f>(AK47-V062A_2030313334363537[[#This Row],[HIDRAULICO]])+V062A_2030313334363537[[#This Row],[FAENA EN LTS3]]</f>
        <v>850</v>
      </c>
    </row>
    <row r="49" spans="1:37" x14ac:dyDescent="0.25">
      <c r="A49" s="431" t="s">
        <v>385</v>
      </c>
      <c r="B49" s="48">
        <v>44234</v>
      </c>
      <c r="C49" s="41">
        <v>0.22916666666666666</v>
      </c>
      <c r="D49" s="418">
        <f>IF(V062A_2030313334363537[[#This Row],[FECHA]]-B48=1,((V062A_2030313334363537[[#This Row],[HORA]]-C48)*24)+24,(V062A_2030313334363537[[#This Row],[HORA]]-C48)*24)</f>
        <v>19.583333333333336</v>
      </c>
      <c r="E49" s="473" t="s">
        <v>71</v>
      </c>
      <c r="F49" s="378" t="s">
        <v>404</v>
      </c>
      <c r="G49" s="475"/>
      <c r="H49" s="476"/>
      <c r="I4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49" s="478"/>
      <c r="K49" s="479"/>
      <c r="L49" s="483">
        <v>0</v>
      </c>
      <c r="M49" s="246">
        <v>1.22</v>
      </c>
      <c r="N49" s="484">
        <v>0.98</v>
      </c>
      <c r="O49" s="246">
        <f>SUM(V062A_2030313334363537[[#This Row],[MPAL]]+V062A_2030313334363537[[#This Row],[AUX.]]+V062A_2030313334363537[[#This Row],[CALDERA]])</f>
        <v>2.2000000000000002</v>
      </c>
      <c r="P49" s="246"/>
      <c r="Q49" s="270">
        <f>(Q48-V062A_2030313334363537[[#This Row],[TOTAL ]])+V062A_2030313334363537[[#This Row],[FAENA]]</f>
        <v>297.50000000000006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SUM(V062A_2030313334363537[[#This Row],[MPAL2]:[GI]])</f>
        <v>0</v>
      </c>
      <c r="X49" s="246"/>
      <c r="Y49" s="300">
        <f>(Y48-V062A_2030313334363537[[#This Row],[TOTAL]])+V062A_2030313334363537[[#This Row],[FAENA2]]</f>
        <v>63.399999999999977</v>
      </c>
      <c r="Z49" s="245">
        <v>0</v>
      </c>
      <c r="AA49" s="246">
        <v>0</v>
      </c>
      <c r="AB49" s="438">
        <f>(AB48-V062A_2030313334363537[[#This Row],[CYLINDER MP]])+V062A_2030313334363537[[#This Row],[FAENA EN LTS]]</f>
        <v>540.16000000000008</v>
      </c>
      <c r="AC49" s="246">
        <v>0</v>
      </c>
      <c r="AD49" s="246">
        <v>0</v>
      </c>
      <c r="AE49" s="438">
        <f>(AE48-V062A_2030313334363537[[#This Row],[CARTER MP.]])+V062A_2030313334363537[[#This Row],[FAENA EN LTS2]]</f>
        <v>2700</v>
      </c>
      <c r="AF49" s="246">
        <v>0</v>
      </c>
      <c r="AG49" s="246">
        <v>0</v>
      </c>
      <c r="AH49" s="438">
        <f>(AH48-V062A_2030313334363537[[#This Row],[MOT AUX]])+V062A_2030313334363537[[#This Row],[FAENA EN  LTS]]</f>
        <v>2400</v>
      </c>
      <c r="AI49" s="246">
        <v>0</v>
      </c>
      <c r="AJ49" s="246">
        <v>0</v>
      </c>
      <c r="AK49" s="439">
        <f>(AK48-V062A_2030313334363537[[#This Row],[HIDRAULICO]])+V062A_2030313334363537[[#This Row],[FAENA EN LTS3]]</f>
        <v>850</v>
      </c>
    </row>
    <row r="50" spans="1:37" x14ac:dyDescent="0.25">
      <c r="A50" s="431" t="s">
        <v>385</v>
      </c>
      <c r="B50" s="48">
        <v>44234</v>
      </c>
      <c r="C50" s="41">
        <v>0.33333333333333331</v>
      </c>
      <c r="D50" s="418">
        <f>IF(V062A_2030313334363537[[#This Row],[FECHA]]-B49=1,((V062A_2030313334363537[[#This Row],[HORA]]-C49)*24)+24,(V062A_2030313334363537[[#This Row],[HORA]]-C49)*24)</f>
        <v>2.5</v>
      </c>
      <c r="E50" s="473" t="s">
        <v>71</v>
      </c>
      <c r="F50" s="378" t="s">
        <v>405</v>
      </c>
      <c r="G50" s="475"/>
      <c r="H50" s="476"/>
      <c r="I5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0" s="478"/>
      <c r="K50" s="479"/>
      <c r="L50" s="483">
        <v>0</v>
      </c>
      <c r="M50" s="246">
        <v>0.16</v>
      </c>
      <c r="N50" s="484">
        <v>0.13</v>
      </c>
      <c r="O50" s="246">
        <f>SUM(V062A_2030313334363537[[#This Row],[MPAL]]+V062A_2030313334363537[[#This Row],[AUX.]]+V062A_2030313334363537[[#This Row],[CALDERA]])</f>
        <v>0.29000000000000004</v>
      </c>
      <c r="P50" s="319"/>
      <c r="Q50" s="270">
        <f>(Q49-V062A_2030313334363537[[#This Row],[TOTAL ]])+V062A_2030313334363537[[#This Row],[FAENA]]</f>
        <v>297.21000000000004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SUM(V062A_2030313334363537[[#This Row],[MPAL2]:[GI]])</f>
        <v>0</v>
      </c>
      <c r="X50" s="246"/>
      <c r="Y50" s="300">
        <f>(Y49-V062A_2030313334363537[[#This Row],[TOTAL]])+V062A_2030313334363537[[#This Row],[FAENA2]]</f>
        <v>63.399999999999977</v>
      </c>
      <c r="Z50" s="245">
        <v>0</v>
      </c>
      <c r="AA50" s="246">
        <v>0</v>
      </c>
      <c r="AB50" s="438">
        <f>(AB49-V062A_2030313334363537[[#This Row],[CYLINDER MP]])+V062A_2030313334363537[[#This Row],[FAENA EN LTS]]</f>
        <v>540.16000000000008</v>
      </c>
      <c r="AC50" s="246">
        <v>0</v>
      </c>
      <c r="AD50" s="246">
        <v>0</v>
      </c>
      <c r="AE50" s="438">
        <f>(AE49-V062A_2030313334363537[[#This Row],[CARTER MP.]])+V062A_2030313334363537[[#This Row],[FAENA EN LTS2]]</f>
        <v>2700</v>
      </c>
      <c r="AF50" s="246">
        <v>20</v>
      </c>
      <c r="AG50" s="246">
        <v>0</v>
      </c>
      <c r="AH50" s="438">
        <f>(AH49-V062A_2030313334363537[[#This Row],[MOT AUX]])+V062A_2030313334363537[[#This Row],[FAENA EN  LTS]]</f>
        <v>2380</v>
      </c>
      <c r="AI50" s="246">
        <v>0</v>
      </c>
      <c r="AJ50" s="246">
        <v>0</v>
      </c>
      <c r="AK50" s="439">
        <f>(AK49-V062A_2030313334363537[[#This Row],[HIDRAULICO]])+V062A_2030313334363537[[#This Row],[FAENA EN LTS3]]</f>
        <v>850</v>
      </c>
    </row>
    <row r="51" spans="1:37" x14ac:dyDescent="0.25">
      <c r="A51" s="431" t="s">
        <v>385</v>
      </c>
      <c r="B51" s="48">
        <v>44234</v>
      </c>
      <c r="C51" s="41">
        <v>0.63541666666666663</v>
      </c>
      <c r="D51" s="418">
        <f>IF(V062A_2030313334363537[[#This Row],[FECHA]]-B50=1,((V062A_2030313334363537[[#This Row],[HORA]]-C50)*24)+24,(V062A_2030313334363537[[#This Row],[HORA]]-C50)*24)</f>
        <v>7.25</v>
      </c>
      <c r="E51" s="473" t="s">
        <v>45</v>
      </c>
      <c r="F51" s="378" t="s">
        <v>46</v>
      </c>
      <c r="G51" s="475"/>
      <c r="H51" s="476"/>
      <c r="I5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1" s="478"/>
      <c r="K51" s="479"/>
      <c r="L51" s="483">
        <v>0</v>
      </c>
      <c r="M51" s="246">
        <v>0.45</v>
      </c>
      <c r="N51" s="484">
        <v>0.36</v>
      </c>
      <c r="O51" s="246">
        <f>SUM(V062A_2030313334363537[[#This Row],[MPAL]]+V062A_2030313334363537[[#This Row],[AUX.]]+V062A_2030313334363537[[#This Row],[CALDERA]])</f>
        <v>0.81</v>
      </c>
      <c r="P51" s="319"/>
      <c r="Q51" s="270">
        <f>(Q50-V062A_2030313334363537[[#This Row],[TOTAL ]])+V062A_2030313334363537[[#This Row],[FAENA]]</f>
        <v>296.40000000000003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SUM(V062A_2030313334363537[[#This Row],[MPAL2]:[GI]])</f>
        <v>0</v>
      </c>
      <c r="X51" s="246"/>
      <c r="Y51" s="300">
        <f>(Y47-V062A_2030313334363537[[#This Row],[TOTAL]])+V062A_2030313334363537[[#This Row],[FAENA2]]</f>
        <v>63.399999999999977</v>
      </c>
      <c r="Z51" s="245">
        <v>0</v>
      </c>
      <c r="AA51" s="246">
        <v>0</v>
      </c>
      <c r="AB51" s="438">
        <f>(AB50-V062A_2030313334363537[[#This Row],[CYLINDER MP]])+V062A_2030313334363537[[#This Row],[FAENA EN LTS]]</f>
        <v>540.16000000000008</v>
      </c>
      <c r="AC51" s="246">
        <v>0</v>
      </c>
      <c r="AD51" s="246">
        <v>0</v>
      </c>
      <c r="AE51" s="438">
        <f>(AE50-V062A_2030313334363537[[#This Row],[CARTER MP.]])+V062A_2030313334363537[[#This Row],[FAENA EN LTS2]]</f>
        <v>2700</v>
      </c>
      <c r="AF51" s="246">
        <v>0</v>
      </c>
      <c r="AG51" s="246">
        <v>0</v>
      </c>
      <c r="AH51" s="438">
        <f>(AH50-V062A_2030313334363537[[#This Row],[MOT AUX]])+V062A_2030313334363537[[#This Row],[FAENA EN  LTS]]</f>
        <v>2380</v>
      </c>
      <c r="AI51" s="246">
        <v>0</v>
      </c>
      <c r="AJ51" s="246">
        <v>0</v>
      </c>
      <c r="AK51" s="439">
        <f>(AK50-V062A_2030313334363537[[#This Row],[HIDRAULICO]])+V062A_2030313334363537[[#This Row],[FAENA EN LTS3]]</f>
        <v>850</v>
      </c>
    </row>
    <row r="52" spans="1:37" x14ac:dyDescent="0.25">
      <c r="A52" s="431" t="s">
        <v>385</v>
      </c>
      <c r="B52" s="48">
        <v>44234</v>
      </c>
      <c r="C52" s="41">
        <v>0.64166666666666672</v>
      </c>
      <c r="D52" s="418">
        <f>IF(V062A_2030313334363537[[#This Row],[FECHA]]-B51=1,((V062A_2030313334363537[[#This Row],[HORA]]-C51)*24)+24,(V062A_2030313334363537[[#This Row],[HORA]]-C51)*24)</f>
        <v>0.15000000000000213</v>
      </c>
      <c r="E52" s="473" t="s">
        <v>47</v>
      </c>
      <c r="F52" s="378" t="s">
        <v>272</v>
      </c>
      <c r="G52" s="475"/>
      <c r="H52" s="476"/>
      <c r="I5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2" s="478"/>
      <c r="K52" s="479"/>
      <c r="L52" s="483">
        <v>0.06</v>
      </c>
      <c r="M52" s="246">
        <v>0.01</v>
      </c>
      <c r="N52" s="484">
        <v>0.01</v>
      </c>
      <c r="O52" s="246">
        <f>SUM(V062A_2030313334363537[[#This Row],[MPAL]]+V062A_2030313334363537[[#This Row],[AUX.]]+V062A_2030313334363537[[#This Row],[CALDERA]])</f>
        <v>7.9999999999999988E-2</v>
      </c>
      <c r="P52" s="319"/>
      <c r="Q52" s="270">
        <f>(Q51-V062A_2030313334363537[[#This Row],[TOTAL ]])+V062A_2030313334363537[[#This Row],[FAENA]]</f>
        <v>296.32000000000005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SUM(V062A_2030313334363537[[#This Row],[MPAL2]:[GI]])</f>
        <v>0</v>
      </c>
      <c r="X52" s="246"/>
      <c r="Y52" s="300">
        <f>(Y51-V062A_2030313334363537[[#This Row],[TOTAL]])+V062A_2030313334363537[[#This Row],[FAENA2]]</f>
        <v>63.399999999999977</v>
      </c>
      <c r="Z52" s="245">
        <v>2.2999999999999998</v>
      </c>
      <c r="AA52" s="246">
        <v>0</v>
      </c>
      <c r="AB52" s="438">
        <f>(AB51-V062A_2030313334363537[[#This Row],[CYLINDER MP]])+V062A_2030313334363537[[#This Row],[FAENA EN LTS]]</f>
        <v>537.86000000000013</v>
      </c>
      <c r="AC52" s="246">
        <v>0</v>
      </c>
      <c r="AD52" s="246">
        <v>0</v>
      </c>
      <c r="AE52" s="438">
        <f>(AE51-V062A_2030313334363537[[#This Row],[CARTER MP.]])+V062A_2030313334363537[[#This Row],[FAENA EN LTS2]]</f>
        <v>2700</v>
      </c>
      <c r="AF52" s="246">
        <v>0</v>
      </c>
      <c r="AG52" s="246">
        <v>0</v>
      </c>
      <c r="AH52" s="438">
        <f>(AH51-V062A_2030313334363537[[#This Row],[MOT AUX]])+V062A_2030313334363537[[#This Row],[FAENA EN  LTS]]</f>
        <v>2380</v>
      </c>
      <c r="AI52" s="246">
        <v>0</v>
      </c>
      <c r="AJ52" s="246">
        <v>0</v>
      </c>
      <c r="AK52" s="439">
        <f>(AK51-V062A_2030313334363537[[#This Row],[HIDRAULICO]])+V062A_2030313334363537[[#This Row],[FAENA EN LTS3]]</f>
        <v>850</v>
      </c>
    </row>
    <row r="53" spans="1:37" x14ac:dyDescent="0.25">
      <c r="A53" s="431" t="s">
        <v>385</v>
      </c>
      <c r="B53" s="48">
        <v>44234</v>
      </c>
      <c r="C53" s="41">
        <v>0.96666666666666667</v>
      </c>
      <c r="D53" s="418">
        <f>IF(V062A_2030313334363537[[#This Row],[FECHA]]-B52=1,((V062A_2030313334363537[[#This Row],[HORA]]-C52)*24)+24,(V062A_2030313334363537[[#This Row],[HORA]]-C52)*24)</f>
        <v>7.7999999999999989</v>
      </c>
      <c r="E53" s="432" t="s">
        <v>55</v>
      </c>
      <c r="F53" s="378" t="s">
        <v>247</v>
      </c>
      <c r="G53" s="433">
        <v>102</v>
      </c>
      <c r="H53" s="434">
        <v>7.8</v>
      </c>
      <c r="I53" s="435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13.076923076923077</v>
      </c>
      <c r="J53" s="436">
        <v>4</v>
      </c>
      <c r="K53" s="437">
        <v>97</v>
      </c>
      <c r="L53" s="483">
        <v>7.48</v>
      </c>
      <c r="M53" s="246">
        <v>0.49</v>
      </c>
      <c r="N53" s="484">
        <v>0.39</v>
      </c>
      <c r="O53" s="246">
        <f>SUM(V062A_2030313334363537[[#This Row],[MPAL]]+V062A_2030313334363537[[#This Row],[AUX.]]+V062A_2030313334363537[[#This Row],[CALDERA]])</f>
        <v>8.3600000000000012</v>
      </c>
      <c r="P53" s="319"/>
      <c r="Q53" s="270">
        <f>(Q52-V062A_2030313334363537[[#This Row],[TOTAL ]])+V062A_2030313334363537[[#This Row],[FAENA]]</f>
        <v>287.96000000000004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SUM(V062A_2030313334363537[[#This Row],[MPAL2]:[GI]])</f>
        <v>0</v>
      </c>
      <c r="X53" s="246"/>
      <c r="Y53" s="300">
        <f>(Y52-V062A_2030313334363537[[#This Row],[TOTAL]])+V062A_2030313334363537[[#This Row],[FAENA2]]</f>
        <v>63.399999999999977</v>
      </c>
      <c r="Z53" s="245">
        <v>81.239999999999995</v>
      </c>
      <c r="AA53" s="246">
        <v>0</v>
      </c>
      <c r="AB53" s="438">
        <f>(AB52-V062A_2030313334363537[[#This Row],[CYLINDER MP]])+V062A_2030313334363537[[#This Row],[FAENA EN LTS]]</f>
        <v>456.62000000000012</v>
      </c>
      <c r="AC53" s="246">
        <v>0</v>
      </c>
      <c r="AD53" s="246">
        <v>0</v>
      </c>
      <c r="AE53" s="438">
        <f>(AE52-V062A_2030313334363537[[#This Row],[CARTER MP.]])+V062A_2030313334363537[[#This Row],[FAENA EN LTS2]]</f>
        <v>2700</v>
      </c>
      <c r="AF53" s="246">
        <v>0</v>
      </c>
      <c r="AG53" s="246">
        <v>0</v>
      </c>
      <c r="AH53" s="438">
        <f>(AH52-V062A_2030313334363537[[#This Row],[MOT AUX]])+V062A_2030313334363537[[#This Row],[FAENA EN  LTS]]</f>
        <v>2380</v>
      </c>
      <c r="AI53" s="246">
        <v>0</v>
      </c>
      <c r="AJ53" s="246">
        <v>0</v>
      </c>
      <c r="AK53" s="439">
        <f>(AK52-V062A_2030313334363537[[#This Row],[HIDRAULICO]])+V062A_2030313334363537[[#This Row],[FAENA EN LTS3]]</f>
        <v>850</v>
      </c>
    </row>
    <row r="54" spans="1:37" x14ac:dyDescent="0.25">
      <c r="A54" s="431" t="s">
        <v>385</v>
      </c>
      <c r="B54" s="48">
        <v>44235</v>
      </c>
      <c r="C54" s="41">
        <v>6.6666666666666666E-2</v>
      </c>
      <c r="D54" s="418">
        <f>IF(V062A_2030313334363537[[#This Row],[FECHA]]-B53=1,((V062A_2030313334363537[[#This Row],[HORA]]-C53)*24)+24,(V062A_2030313334363537[[#This Row],[HORA]]-C53)*24)</f>
        <v>2.3999999999999986</v>
      </c>
      <c r="E54" s="473" t="s">
        <v>47</v>
      </c>
      <c r="F54" s="378" t="s">
        <v>399</v>
      </c>
      <c r="G54" s="475"/>
      <c r="H54" s="476"/>
      <c r="I5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4" s="478"/>
      <c r="K54" s="479"/>
      <c r="L54" s="483">
        <v>1</v>
      </c>
      <c r="M54" s="246">
        <v>0.15</v>
      </c>
      <c r="N54" s="484">
        <v>0.12</v>
      </c>
      <c r="O54" s="246">
        <f>SUM(V062A_2030313334363537[[#This Row],[MPAL]]+V062A_2030313334363537[[#This Row],[AUX.]]+V062A_2030313334363537[[#This Row],[CALDERA]])</f>
        <v>1.27</v>
      </c>
      <c r="P54" s="319"/>
      <c r="Q54" s="270">
        <f>(Q53-V062A_2030313334363537[[#This Row],[TOTAL ]])+V062A_2030313334363537[[#This Row],[FAENA]]</f>
        <v>286.69000000000005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SUM(V062A_2030313334363537[[#This Row],[MPAL2]:[GI]])</f>
        <v>0</v>
      </c>
      <c r="X54" s="246"/>
      <c r="Y54" s="300">
        <f>(Y53-V062A_2030313334363537[[#This Row],[TOTAL]])+V062A_2030313334363537[[#This Row],[FAENA2]]</f>
        <v>63.399999999999977</v>
      </c>
      <c r="Z54" s="245">
        <v>25</v>
      </c>
      <c r="AA54" s="246">
        <v>0</v>
      </c>
      <c r="AB54" s="438">
        <f>(AB53-V062A_2030313334363537[[#This Row],[CYLINDER MP]])+V062A_2030313334363537[[#This Row],[FAENA EN LTS]]</f>
        <v>431.62000000000012</v>
      </c>
      <c r="AC54" s="246">
        <v>0</v>
      </c>
      <c r="AD54" s="246">
        <v>0</v>
      </c>
      <c r="AE54" s="438">
        <f>(AE53-V062A_2030313334363537[[#This Row],[CARTER MP.]])+V062A_2030313334363537[[#This Row],[FAENA EN LTS2]]</f>
        <v>2700</v>
      </c>
      <c r="AF54" s="246">
        <v>0</v>
      </c>
      <c r="AG54" s="246">
        <v>0</v>
      </c>
      <c r="AH54" s="438">
        <f>(AH53-V062A_2030313334363537[[#This Row],[MOT AUX]])+V062A_2030313334363537[[#This Row],[FAENA EN  LTS]]</f>
        <v>2380</v>
      </c>
      <c r="AI54" s="246">
        <v>0</v>
      </c>
      <c r="AJ54" s="246">
        <v>0</v>
      </c>
      <c r="AK54" s="439">
        <f>(AK53-V062A_2030313334363537[[#This Row],[HIDRAULICO]])+V062A_2030313334363537[[#This Row],[FAENA EN LTS3]]</f>
        <v>850</v>
      </c>
    </row>
    <row r="55" spans="1:37" x14ac:dyDescent="0.25">
      <c r="A55" s="431" t="s">
        <v>385</v>
      </c>
      <c r="B55" s="48">
        <v>44235</v>
      </c>
      <c r="C55" s="41">
        <v>0.20416666666666669</v>
      </c>
      <c r="D55" s="418">
        <f>IF(V062A_2030313334363537[[#This Row],[FECHA]]-B54=1,((V062A_2030313334363537[[#This Row],[HORA]]-C54)*24)+24,(V062A_2030313334363537[[#This Row],[HORA]]-C54)*24)</f>
        <v>3.3000000000000003</v>
      </c>
      <c r="E55" s="473" t="s">
        <v>49</v>
      </c>
      <c r="F55" s="378" t="s">
        <v>406</v>
      </c>
      <c r="G55" s="475"/>
      <c r="H55" s="476"/>
      <c r="I55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5" s="478"/>
      <c r="K55" s="479"/>
      <c r="L55" s="483">
        <v>0</v>
      </c>
      <c r="M55" s="246">
        <v>0.28000000000000003</v>
      </c>
      <c r="N55" s="484">
        <v>0.17</v>
      </c>
      <c r="O55" s="246">
        <f>SUM(V062A_2030313334363537[[#This Row],[MPAL]]+V062A_2030313334363537[[#This Row],[AUX.]]+V062A_2030313334363537[[#This Row],[CALDERA]])</f>
        <v>0.45000000000000007</v>
      </c>
      <c r="P55" s="319"/>
      <c r="Q55" s="270">
        <f>(Q54-V062A_2030313334363537[[#This Row],[TOTAL ]])+V062A_2030313334363537[[#This Row],[FAENA]]</f>
        <v>286.24000000000007</v>
      </c>
      <c r="R55" s="245">
        <v>0</v>
      </c>
      <c r="S55" s="246">
        <v>0</v>
      </c>
      <c r="T55" s="246">
        <v>0</v>
      </c>
      <c r="U55" s="246">
        <v>0</v>
      </c>
      <c r="V55" s="246">
        <v>0.1</v>
      </c>
      <c r="W55" s="246">
        <f>SUM(V062A_2030313334363537[[#This Row],[MPAL2]:[GI]])</f>
        <v>0.1</v>
      </c>
      <c r="X55" s="246"/>
      <c r="Y55" s="300">
        <f>(Y54-V062A_2030313334363537[[#This Row],[TOTAL]])+V062A_2030313334363537[[#This Row],[FAENA2]]</f>
        <v>63.299999999999976</v>
      </c>
      <c r="Z55" s="245">
        <v>0</v>
      </c>
      <c r="AA55" s="246">
        <v>0</v>
      </c>
      <c r="AB55" s="438">
        <f>(AB54-V062A_2030313334363537[[#This Row],[CYLINDER MP]])+V062A_2030313334363537[[#This Row],[FAENA EN LTS]]</f>
        <v>431.62000000000012</v>
      </c>
      <c r="AC55" s="246">
        <v>0</v>
      </c>
      <c r="AD55" s="246">
        <v>0</v>
      </c>
      <c r="AE55" s="438">
        <f>(AE54-V062A_2030313334363537[[#This Row],[CARTER MP.]])+V062A_2030313334363537[[#This Row],[FAENA EN LTS2]]</f>
        <v>2700</v>
      </c>
      <c r="AF55" s="246">
        <v>0</v>
      </c>
      <c r="AG55" s="246">
        <v>0</v>
      </c>
      <c r="AH55" s="438">
        <f>(AH54-V062A_2030313334363537[[#This Row],[MOT AUX]])+V062A_2030313334363537[[#This Row],[FAENA EN  LTS]]</f>
        <v>2380</v>
      </c>
      <c r="AI55" s="246">
        <v>0</v>
      </c>
      <c r="AJ55" s="246">
        <v>0</v>
      </c>
      <c r="AK55" s="439">
        <f>(AK54-V062A_2030313334363537[[#This Row],[HIDRAULICO]])+V062A_2030313334363537[[#This Row],[FAENA EN LTS3]]</f>
        <v>850</v>
      </c>
    </row>
    <row r="56" spans="1:37" x14ac:dyDescent="0.25">
      <c r="A56" s="431" t="s">
        <v>385</v>
      </c>
      <c r="B56" s="48">
        <v>44235</v>
      </c>
      <c r="C56" s="41">
        <v>0.33333333333333331</v>
      </c>
      <c r="D56" s="418">
        <f>IF(V062A_2030313334363537[[#This Row],[FECHA]]-B55=1,((V062A_2030313334363537[[#This Row],[HORA]]-C55)*24)+24,(V062A_2030313334363537[[#This Row],[HORA]]-C55)*24)</f>
        <v>3.0999999999999988</v>
      </c>
      <c r="E56" s="473" t="s">
        <v>51</v>
      </c>
      <c r="F56" s="378" t="s">
        <v>51</v>
      </c>
      <c r="G56" s="475"/>
      <c r="H56" s="476"/>
      <c r="I5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6" s="478"/>
      <c r="K56" s="479"/>
      <c r="L56" s="483">
        <v>0</v>
      </c>
      <c r="M56" s="246">
        <v>0.32</v>
      </c>
      <c r="N56" s="484">
        <v>0.16</v>
      </c>
      <c r="O56" s="246">
        <f>SUM(V062A_2030313334363537[[#This Row],[MPAL]]+V062A_2030313334363537[[#This Row],[AUX.]]+V062A_2030313334363537[[#This Row],[CALDERA]])</f>
        <v>0.48</v>
      </c>
      <c r="P56" s="319"/>
      <c r="Q56" s="270">
        <f>(Q55-V062A_2030313334363537[[#This Row],[TOTAL ]])+V062A_2030313334363537[[#This Row],[FAENA]]</f>
        <v>285.76000000000005</v>
      </c>
      <c r="R56" s="245">
        <v>0</v>
      </c>
      <c r="S56" s="246">
        <v>0</v>
      </c>
      <c r="T56" s="246">
        <v>0</v>
      </c>
      <c r="U56" s="246">
        <v>0</v>
      </c>
      <c r="V56" s="246">
        <v>0.78</v>
      </c>
      <c r="W56" s="246">
        <f>SUM(V062A_2030313334363537[[#This Row],[MPAL2]:[GI]])</f>
        <v>0.78</v>
      </c>
      <c r="X56" s="246"/>
      <c r="Y56" s="300">
        <f>(Y55-V062A_2030313334363537[[#This Row],[TOTAL]])+V062A_2030313334363537[[#This Row],[FAENA2]]</f>
        <v>62.519999999999975</v>
      </c>
      <c r="Z56" s="245">
        <v>0</v>
      </c>
      <c r="AA56" s="246">
        <v>0</v>
      </c>
      <c r="AB56" s="438">
        <f>(AB55-V062A_2030313334363537[[#This Row],[CYLINDER MP]])+V062A_2030313334363537[[#This Row],[FAENA EN LTS]]</f>
        <v>431.62000000000012</v>
      </c>
      <c r="AC56" s="246">
        <v>0</v>
      </c>
      <c r="AD56" s="246">
        <v>0</v>
      </c>
      <c r="AE56" s="438">
        <f>(AE55-V062A_2030313334363537[[#This Row],[CARTER MP.]])+V062A_2030313334363537[[#This Row],[FAENA EN LTS2]]</f>
        <v>2700</v>
      </c>
      <c r="AF56" s="246">
        <v>40</v>
      </c>
      <c r="AG56" s="246">
        <v>0</v>
      </c>
      <c r="AH56" s="438">
        <f>(AH55-V062A_2030313334363537[[#This Row],[MOT AUX]])+V062A_2030313334363537[[#This Row],[FAENA EN  LTS]]</f>
        <v>2340</v>
      </c>
      <c r="AI56" s="246">
        <v>0</v>
      </c>
      <c r="AJ56" s="246">
        <v>0</v>
      </c>
      <c r="AK56" s="439">
        <f>(AK55-V062A_2030313334363537[[#This Row],[HIDRAULICO]])+V062A_2030313334363537[[#This Row],[FAENA EN LTS3]]</f>
        <v>850</v>
      </c>
    </row>
    <row r="57" spans="1:37" x14ac:dyDescent="0.25">
      <c r="A57" s="431" t="s">
        <v>385</v>
      </c>
      <c r="B57" s="48">
        <v>44235</v>
      </c>
      <c r="C57" s="41">
        <v>0.42499999999999999</v>
      </c>
      <c r="D57" s="418">
        <f>IF(V062A_2030313334363537[[#This Row],[FECHA]]-B56=1,((V062A_2030313334363537[[#This Row],[HORA]]-C56)*24)+24,(V062A_2030313334363537[[#This Row],[HORA]]-C56)*24)</f>
        <v>2.2000000000000002</v>
      </c>
      <c r="E57" s="473" t="s">
        <v>51</v>
      </c>
      <c r="F57" s="378" t="s">
        <v>407</v>
      </c>
      <c r="G57" s="475"/>
      <c r="H57" s="476"/>
      <c r="I5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7" s="478"/>
      <c r="K57" s="479"/>
      <c r="L57" s="483">
        <v>0</v>
      </c>
      <c r="M57" s="246">
        <v>0.23</v>
      </c>
      <c r="N57" s="484">
        <v>0.11</v>
      </c>
      <c r="O57" s="246">
        <f>SUM(V062A_2030313334363537[[#This Row],[MPAL]]+V062A_2030313334363537[[#This Row],[AUX.]]+V062A_2030313334363537[[#This Row],[CALDERA]])</f>
        <v>0.34</v>
      </c>
      <c r="P57" s="319"/>
      <c r="Q57" s="270">
        <f>(Q56-V062A_2030313334363537[[#This Row],[TOTAL ]])+V062A_2030313334363537[[#This Row],[FAENA]]</f>
        <v>285.42000000000007</v>
      </c>
      <c r="R57" s="245">
        <v>0</v>
      </c>
      <c r="S57" s="246">
        <v>0</v>
      </c>
      <c r="T57" s="246">
        <v>0</v>
      </c>
      <c r="U57" s="246">
        <v>0</v>
      </c>
      <c r="V57" s="246">
        <v>0.55000000000000004</v>
      </c>
      <c r="W57" s="246">
        <f>SUM(V062A_2030313334363537[[#This Row],[MPAL2]:[GI]])</f>
        <v>0.55000000000000004</v>
      </c>
      <c r="X57" s="246"/>
      <c r="Y57" s="300">
        <f>(Y56-V062A_2030313334363537[[#This Row],[TOTAL]])+V062A_2030313334363537[[#This Row],[FAENA2]]</f>
        <v>61.969999999999978</v>
      </c>
      <c r="Z57" s="245">
        <v>0</v>
      </c>
      <c r="AA57" s="246">
        <v>0</v>
      </c>
      <c r="AB57" s="438">
        <f>(AB56-V062A_2030313334363537[[#This Row],[CYLINDER MP]])+V062A_2030313334363537[[#This Row],[FAENA EN LTS]]</f>
        <v>431.62000000000012</v>
      </c>
      <c r="AC57" s="246">
        <v>0</v>
      </c>
      <c r="AD57" s="246">
        <v>0</v>
      </c>
      <c r="AE57" s="438">
        <f>(AE56-V062A_2030313334363537[[#This Row],[CARTER MP.]])+V062A_2030313334363537[[#This Row],[FAENA EN LTS2]]</f>
        <v>2700</v>
      </c>
      <c r="AF57" s="246">
        <v>0</v>
      </c>
      <c r="AG57" s="246">
        <v>0</v>
      </c>
      <c r="AH57" s="438">
        <f>(AH56-V062A_2030313334363537[[#This Row],[MOT AUX]])+V062A_2030313334363537[[#This Row],[FAENA EN  LTS]]</f>
        <v>2340</v>
      </c>
      <c r="AI57" s="246">
        <v>0</v>
      </c>
      <c r="AJ57" s="246">
        <v>0</v>
      </c>
      <c r="AK57" s="439">
        <f>(AK56-V062A_2030313334363537[[#This Row],[HIDRAULICO]])+V062A_2030313334363537[[#This Row],[FAENA EN LTS3]]</f>
        <v>850</v>
      </c>
    </row>
    <row r="58" spans="1:37" x14ac:dyDescent="0.25">
      <c r="A58" s="431" t="s">
        <v>385</v>
      </c>
      <c r="B58" s="48">
        <v>44235</v>
      </c>
      <c r="C58" s="41">
        <v>0.64583333333333337</v>
      </c>
      <c r="D58" s="418">
        <f>IF(V062A_2030313334363537[[#This Row],[FECHA]]-B57=1,((V062A_2030313334363537[[#This Row],[HORA]]-C57)*24)+24,(V062A_2030313334363537[[#This Row],[HORA]]-C57)*24)</f>
        <v>5.3000000000000007</v>
      </c>
      <c r="E58" s="473" t="s">
        <v>45</v>
      </c>
      <c r="F58" s="378" t="s">
        <v>46</v>
      </c>
      <c r="G58" s="475"/>
      <c r="H58" s="476"/>
      <c r="I5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8" s="478"/>
      <c r="K58" s="479"/>
      <c r="L58" s="483">
        <v>0</v>
      </c>
      <c r="M58" s="246">
        <v>0.33</v>
      </c>
      <c r="N58" s="484">
        <v>0.27</v>
      </c>
      <c r="O58" s="246">
        <f>SUM(V062A_2030313334363537[[#This Row],[MPAL]]+V062A_2030313334363537[[#This Row],[AUX.]]+V062A_2030313334363537[[#This Row],[CALDERA]])</f>
        <v>0.60000000000000009</v>
      </c>
      <c r="P58" s="319"/>
      <c r="Q58" s="270">
        <f>(Q57-V062A_2030313334363537[[#This Row],[TOTAL ]])+V062A_2030313334363537[[#This Row],[FAENA]]</f>
        <v>284.82000000000005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SUM(V062A_2030313334363537[[#This Row],[MPAL2]:[GI]])</f>
        <v>0</v>
      </c>
      <c r="X58" s="246"/>
      <c r="Y58" s="300">
        <f>(Y57-V062A_2030313334363537[[#This Row],[TOTAL]])+V062A_2030313334363537[[#This Row],[FAENA2]]</f>
        <v>61.969999999999978</v>
      </c>
      <c r="Z58" s="245">
        <v>0</v>
      </c>
      <c r="AA58" s="246">
        <v>0</v>
      </c>
      <c r="AB58" s="438">
        <f>(AB57-V062A_2030313334363537[[#This Row],[CYLINDER MP]])+V062A_2030313334363537[[#This Row],[FAENA EN LTS]]</f>
        <v>431.62000000000012</v>
      </c>
      <c r="AC58" s="246">
        <v>0</v>
      </c>
      <c r="AD58" s="246">
        <v>0</v>
      </c>
      <c r="AE58" s="438">
        <f>(AE57-V062A_2030313334363537[[#This Row],[CARTER MP.]])+V062A_2030313334363537[[#This Row],[FAENA EN LTS2]]</f>
        <v>2700</v>
      </c>
      <c r="AF58" s="246">
        <v>0</v>
      </c>
      <c r="AG58" s="246">
        <v>0</v>
      </c>
      <c r="AH58" s="438">
        <f>(AH57-V062A_2030313334363537[[#This Row],[MOT AUX]])+V062A_2030313334363537[[#This Row],[FAENA EN  LTS]]</f>
        <v>2340</v>
      </c>
      <c r="AI58" s="246">
        <v>0</v>
      </c>
      <c r="AJ58" s="246">
        <v>0</v>
      </c>
      <c r="AK58" s="439">
        <f>(AK57-V062A_2030313334363537[[#This Row],[HIDRAULICO]])+V062A_2030313334363537[[#This Row],[FAENA EN LTS3]]</f>
        <v>850</v>
      </c>
    </row>
    <row r="59" spans="1:37" x14ac:dyDescent="0.25">
      <c r="A59" s="431" t="s">
        <v>385</v>
      </c>
      <c r="B59" s="48">
        <v>44235</v>
      </c>
      <c r="C59" s="41">
        <v>0.68333333333333324</v>
      </c>
      <c r="D59" s="418">
        <f>IF(V062A_2030313334363537[[#This Row],[FECHA]]-B58=1,((V062A_2030313334363537[[#This Row],[HORA]]-C58)*24)+24,(V062A_2030313334363537[[#This Row],[HORA]]-C58)*24)</f>
        <v>0.8999999999999968</v>
      </c>
      <c r="E59" s="473" t="s">
        <v>47</v>
      </c>
      <c r="F59" s="378" t="s">
        <v>220</v>
      </c>
      <c r="G59" s="475"/>
      <c r="H59" s="476"/>
      <c r="I5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59" s="478"/>
      <c r="K59" s="479"/>
      <c r="L59" s="483">
        <v>0.37</v>
      </c>
      <c r="M59" s="246">
        <v>7.0000000000000007E-2</v>
      </c>
      <c r="N59" s="484">
        <v>0.04</v>
      </c>
      <c r="O59" s="246">
        <f>SUM(V062A_2030313334363537[[#This Row],[MPAL]]+V062A_2030313334363537[[#This Row],[AUX.]]+V062A_2030313334363537[[#This Row],[CALDERA]])</f>
        <v>0.48</v>
      </c>
      <c r="P59" s="319"/>
      <c r="Q59" s="270">
        <f>(Q58-V062A_2030313334363537[[#This Row],[TOTAL ]])+V062A_2030313334363537[[#This Row],[FAENA]]</f>
        <v>284.34000000000003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SUM(V062A_2030313334363537[[#This Row],[MPAL2]:[GI]])</f>
        <v>0</v>
      </c>
      <c r="X59" s="246"/>
      <c r="Y59" s="300">
        <f>(Y58-V062A_2030313334363537[[#This Row],[TOTAL]])+V062A_2030313334363537[[#This Row],[FAENA2]]</f>
        <v>61.969999999999978</v>
      </c>
      <c r="Z59" s="245">
        <v>0</v>
      </c>
      <c r="AA59" s="246">
        <v>0</v>
      </c>
      <c r="AB59" s="438">
        <f>(AB58-V062A_2030313334363537[[#This Row],[CYLINDER MP]])+V062A_2030313334363537[[#This Row],[FAENA EN LTS]]</f>
        <v>431.62000000000012</v>
      </c>
      <c r="AC59" s="246">
        <v>0</v>
      </c>
      <c r="AD59" s="246">
        <v>0</v>
      </c>
      <c r="AE59" s="438">
        <f>(AE58-V062A_2030313334363537[[#This Row],[CARTER MP.]])+V062A_2030313334363537[[#This Row],[FAENA EN LTS2]]</f>
        <v>2700</v>
      </c>
      <c r="AF59" s="246">
        <v>0</v>
      </c>
      <c r="AG59" s="246">
        <v>0</v>
      </c>
      <c r="AH59" s="438">
        <f>(AH58-V062A_2030313334363537[[#This Row],[MOT AUX]])+V062A_2030313334363537[[#This Row],[FAENA EN  LTS]]</f>
        <v>2340</v>
      </c>
      <c r="AI59" s="246">
        <v>0</v>
      </c>
      <c r="AJ59" s="246">
        <v>0</v>
      </c>
      <c r="AK59" s="439">
        <f>(AK58-V062A_2030313334363537[[#This Row],[HIDRAULICO]])+V062A_2030313334363537[[#This Row],[FAENA EN LTS3]]</f>
        <v>850</v>
      </c>
    </row>
    <row r="60" spans="1:37" x14ac:dyDescent="0.25">
      <c r="A60" s="431" t="s">
        <v>385</v>
      </c>
      <c r="B60" s="48">
        <v>44236</v>
      </c>
      <c r="C60" s="41">
        <v>4.9999999999999996E-2</v>
      </c>
      <c r="D60" s="418">
        <f>IF(V062A_2030313334363537[[#This Row],[FECHA]]-B59=1,((V062A_2030313334363537[[#This Row],[HORA]]-C59)*24)+24,(V062A_2030313334363537[[#This Row],[HORA]]-C59)*24)</f>
        <v>8.8000000000000043</v>
      </c>
      <c r="E60" s="473" t="s">
        <v>55</v>
      </c>
      <c r="F60" s="378" t="s">
        <v>299</v>
      </c>
      <c r="G60" s="475">
        <v>130</v>
      </c>
      <c r="H60" s="476">
        <v>8.8000000000000007</v>
      </c>
      <c r="I6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14.772727272727272</v>
      </c>
      <c r="J60" s="478">
        <v>3</v>
      </c>
      <c r="K60" s="479">
        <v>97</v>
      </c>
      <c r="L60" s="483">
        <v>8.43</v>
      </c>
      <c r="M60" s="246">
        <v>0.55000000000000004</v>
      </c>
      <c r="N60" s="484">
        <v>0.44</v>
      </c>
      <c r="O60" s="246">
        <f>SUM(V062A_2030313334363537[[#This Row],[MPAL]]+V062A_2030313334363537[[#This Row],[AUX.]]+V062A_2030313334363537[[#This Row],[CALDERA]])</f>
        <v>9.42</v>
      </c>
      <c r="P60" s="319"/>
      <c r="Q60" s="270">
        <f>(Q59-V062A_2030313334363537[[#This Row],[TOTAL ]])+V062A_2030313334363537[[#This Row],[FAENA]]</f>
        <v>274.92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SUM(V062A_2030313334363537[[#This Row],[MPAL2]:[GI]])</f>
        <v>0</v>
      </c>
      <c r="X60" s="246"/>
      <c r="Y60" s="300">
        <f>(Y59-V062A_2030313334363537[[#This Row],[TOTAL]])+V062A_2030313334363537[[#This Row],[FAENA2]]</f>
        <v>61.969999999999978</v>
      </c>
      <c r="Z60" s="245">
        <v>91.7</v>
      </c>
      <c r="AA60" s="246">
        <v>0</v>
      </c>
      <c r="AB60" s="438">
        <f>(AB59-V062A_2030313334363537[[#This Row],[CYLINDER MP]])+V062A_2030313334363537[[#This Row],[FAENA EN LTS]]</f>
        <v>339.92000000000013</v>
      </c>
      <c r="AC60" s="246">
        <v>0</v>
      </c>
      <c r="AD60" s="246">
        <v>0</v>
      </c>
      <c r="AE60" s="438">
        <f>(AE59-V062A_2030313334363537[[#This Row],[CARTER MP.]])+V062A_2030313334363537[[#This Row],[FAENA EN LTS2]]</f>
        <v>2700</v>
      </c>
      <c r="AF60" s="246">
        <v>20</v>
      </c>
      <c r="AG60" s="246">
        <v>0</v>
      </c>
      <c r="AH60" s="438">
        <f>(AH59-V062A_2030313334363537[[#This Row],[MOT AUX]])+V062A_2030313334363537[[#This Row],[FAENA EN  LTS]]</f>
        <v>2320</v>
      </c>
      <c r="AI60" s="246">
        <v>0</v>
      </c>
      <c r="AJ60" s="246">
        <v>0</v>
      </c>
      <c r="AK60" s="439">
        <f>(AK59-V062A_2030313334363537[[#This Row],[HIDRAULICO]])+V062A_2030313334363537[[#This Row],[FAENA EN LTS3]]</f>
        <v>850</v>
      </c>
    </row>
    <row r="61" spans="1:37" x14ac:dyDescent="0.25">
      <c r="A61" s="431" t="s">
        <v>385</v>
      </c>
      <c r="B61" s="48">
        <v>44236</v>
      </c>
      <c r="C61" s="41">
        <v>9.1666666666666674E-2</v>
      </c>
      <c r="D61" s="418">
        <f>IF(V062A_2030313334363537[[#This Row],[FECHA]]-B60=1,((V062A_2030313334363537[[#This Row],[HORA]]-C60)*24)+24,(V062A_2030313334363537[[#This Row],[HORA]]-C60)*24)</f>
        <v>1.0000000000000002</v>
      </c>
      <c r="E61" s="473" t="s">
        <v>47</v>
      </c>
      <c r="F61" s="378" t="s">
        <v>146</v>
      </c>
      <c r="G61" s="475"/>
      <c r="H61" s="476"/>
      <c r="I6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1" s="478"/>
      <c r="K61" s="479"/>
      <c r="L61" s="483">
        <v>0.42</v>
      </c>
      <c r="M61" s="246">
        <v>0.08</v>
      </c>
      <c r="N61" s="484">
        <v>0.05</v>
      </c>
      <c r="O61" s="246">
        <f>SUM(V062A_2030313334363537[[#This Row],[MPAL]]+V062A_2030313334363537[[#This Row],[AUX.]]+V062A_2030313334363537[[#This Row],[CALDERA]])</f>
        <v>0.55000000000000004</v>
      </c>
      <c r="P61" s="319"/>
      <c r="Q61" s="270">
        <f>(Q60-V062A_2030313334363537[[#This Row],[TOTAL ]])+V062A_2030313334363537[[#This Row],[FAENA]]</f>
        <v>274.37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SUM(V062A_2030313334363537[[#This Row],[MPAL2]:[GI]])</f>
        <v>0</v>
      </c>
      <c r="X61" s="246"/>
      <c r="Y61" s="300">
        <f>(Y60-V062A_2030313334363537[[#This Row],[TOTAL]])+V062A_2030313334363537[[#This Row],[FAENA2]]</f>
        <v>61.969999999999978</v>
      </c>
      <c r="Z61" s="245">
        <v>10.42</v>
      </c>
      <c r="AA61" s="246">
        <v>0</v>
      </c>
      <c r="AB61" s="438">
        <f>(AB60-V062A_2030313334363537[[#This Row],[CYLINDER MP]])+V062A_2030313334363537[[#This Row],[FAENA EN LTS]]</f>
        <v>329.50000000000011</v>
      </c>
      <c r="AC61" s="246">
        <v>0</v>
      </c>
      <c r="AD61" s="246">
        <v>0</v>
      </c>
      <c r="AE61" s="438">
        <f>(AE60-V062A_2030313334363537[[#This Row],[CARTER MP.]])+V062A_2030313334363537[[#This Row],[FAENA EN LTS2]]</f>
        <v>2700</v>
      </c>
      <c r="AF61" s="246">
        <v>0</v>
      </c>
      <c r="AG61" s="246">
        <v>0</v>
      </c>
      <c r="AH61" s="438">
        <f>(AH60-V062A_2030313334363537[[#This Row],[MOT AUX]])+V062A_2030313334363537[[#This Row],[FAENA EN  LTS]]</f>
        <v>2320</v>
      </c>
      <c r="AI61" s="246">
        <v>0</v>
      </c>
      <c r="AJ61" s="246">
        <v>0</v>
      </c>
      <c r="AK61" s="439">
        <f>(AK60-V062A_2030313334363537[[#This Row],[HIDRAULICO]])+V062A_2030313334363537[[#This Row],[FAENA EN LTS3]]</f>
        <v>850</v>
      </c>
    </row>
    <row r="62" spans="1:37" x14ac:dyDescent="0.25">
      <c r="A62" s="431" t="s">
        <v>385</v>
      </c>
      <c r="B62" s="48">
        <v>44236</v>
      </c>
      <c r="C62" s="41">
        <v>0.33333333333333331</v>
      </c>
      <c r="D62" s="418">
        <f>IF(V062A_2030313334363537[[#This Row],[FECHA]]-B61=1,((V062A_2030313334363537[[#This Row],[HORA]]-C61)*24)+24,(V062A_2030313334363537[[#This Row],[HORA]]-C61)*24)</f>
        <v>5.7999999999999989</v>
      </c>
      <c r="E62" s="473" t="s">
        <v>45</v>
      </c>
      <c r="F62" s="378" t="s">
        <v>394</v>
      </c>
      <c r="G62" s="475"/>
      <c r="H62" s="476"/>
      <c r="I6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2" s="478"/>
      <c r="K62" s="479"/>
      <c r="L62" s="483">
        <v>0</v>
      </c>
      <c r="M62" s="246">
        <v>0.36</v>
      </c>
      <c r="N62" s="484">
        <v>0.28999999999999998</v>
      </c>
      <c r="O62" s="246">
        <f>SUM(V062A_2030313334363537[[#This Row],[MPAL]]+V062A_2030313334363537[[#This Row],[AUX.]]+V062A_2030313334363537[[#This Row],[CALDERA]])</f>
        <v>0.64999999999999991</v>
      </c>
      <c r="P62" s="319"/>
      <c r="Q62" s="270">
        <f>(Q61-V062A_2030313334363537[[#This Row],[TOTAL ]])+V062A_2030313334363537[[#This Row],[FAENA]]</f>
        <v>273.72000000000003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SUM(V062A_2030313334363537[[#This Row],[MPAL2]:[GI]])</f>
        <v>0</v>
      </c>
      <c r="X62" s="246"/>
      <c r="Y62" s="300">
        <f>(Y61-V062A_2030313334363537[[#This Row],[TOTAL]])+V062A_2030313334363537[[#This Row],[FAENA2]]</f>
        <v>61.969999999999978</v>
      </c>
      <c r="Z62" s="245">
        <v>0</v>
      </c>
      <c r="AA62" s="246">
        <v>0</v>
      </c>
      <c r="AB62" s="438">
        <f>(AB61-V062A_2030313334363537[[#This Row],[CYLINDER MP]])+V062A_2030313334363537[[#This Row],[FAENA EN LTS]]</f>
        <v>329.50000000000011</v>
      </c>
      <c r="AC62" s="246">
        <v>0</v>
      </c>
      <c r="AD62" s="246">
        <v>0</v>
      </c>
      <c r="AE62" s="438">
        <f>(AE61-V062A_2030313334363537[[#This Row],[CARTER MP.]])+V062A_2030313334363537[[#This Row],[FAENA EN LTS2]]</f>
        <v>2700</v>
      </c>
      <c r="AF62" s="246">
        <v>20</v>
      </c>
      <c r="AG62" s="246">
        <v>0</v>
      </c>
      <c r="AH62" s="438">
        <f>(AH61-V062A_2030313334363537[[#This Row],[MOT AUX]])+V062A_2030313334363537[[#This Row],[FAENA EN  LTS]]</f>
        <v>2300</v>
      </c>
      <c r="AI62" s="246">
        <v>0</v>
      </c>
      <c r="AJ62" s="246">
        <v>0</v>
      </c>
      <c r="AK62" s="439">
        <f>(AK61-V062A_2030313334363537[[#This Row],[HIDRAULICO]])+V062A_2030313334363537[[#This Row],[FAENA EN LTS3]]</f>
        <v>850</v>
      </c>
    </row>
    <row r="63" spans="1:37" x14ac:dyDescent="0.25">
      <c r="A63" s="431" t="s">
        <v>385</v>
      </c>
      <c r="B63" s="48">
        <v>44237</v>
      </c>
      <c r="C63" s="41">
        <v>8.3333333333333332E-3</v>
      </c>
      <c r="D63" s="418">
        <f>IF(V062A_2030313334363537[[#This Row],[FECHA]]-B62=1,((V062A_2030313334363537[[#This Row],[HORA]]-C62)*24)+24,(V062A_2030313334363537[[#This Row],[HORA]]-C62)*24)</f>
        <v>16.200000000000003</v>
      </c>
      <c r="E63" s="473" t="s">
        <v>45</v>
      </c>
      <c r="F63" s="378" t="s">
        <v>46</v>
      </c>
      <c r="G63" s="475"/>
      <c r="H63" s="476"/>
      <c r="I63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3" s="478"/>
      <c r="K63" s="479"/>
      <c r="L63" s="483">
        <v>0</v>
      </c>
      <c r="M63" s="246">
        <v>1.01</v>
      </c>
      <c r="N63" s="484">
        <v>0.81</v>
      </c>
      <c r="O63" s="246">
        <f>SUM(V062A_2030313334363537[[#This Row],[MPAL]]+V062A_2030313334363537[[#This Row],[AUX.]]+V062A_2030313334363537[[#This Row],[CALDERA]])</f>
        <v>1.82</v>
      </c>
      <c r="P63" s="319"/>
      <c r="Q63" s="270">
        <f>(Q62-V062A_2030313334363537[[#This Row],[TOTAL ]])+V062A_2030313334363537[[#This Row],[FAENA]]</f>
        <v>271.90000000000003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SUM(V062A_2030313334363537[[#This Row],[MPAL2]:[GI]])</f>
        <v>0</v>
      </c>
      <c r="X63" s="246"/>
      <c r="Y63" s="300">
        <f>(Y62-V062A_2030313334363537[[#This Row],[TOTAL]])+V062A_2030313334363537[[#This Row],[FAENA2]]</f>
        <v>61.969999999999978</v>
      </c>
      <c r="Z63" s="245">
        <v>0</v>
      </c>
      <c r="AA63" s="246">
        <v>0</v>
      </c>
      <c r="AB63" s="438">
        <f>(AB62-V062A_2030313334363537[[#This Row],[CYLINDER MP]])+V062A_2030313334363537[[#This Row],[FAENA EN LTS]]</f>
        <v>329.50000000000011</v>
      </c>
      <c r="AC63" s="246">
        <v>0</v>
      </c>
      <c r="AD63" s="246">
        <v>0</v>
      </c>
      <c r="AE63" s="438">
        <f>(AE62-V062A_2030313334363537[[#This Row],[CARTER MP.]])+V062A_2030313334363537[[#This Row],[FAENA EN LTS2]]</f>
        <v>2700</v>
      </c>
      <c r="AF63" s="246">
        <v>700</v>
      </c>
      <c r="AG63" s="246">
        <v>0</v>
      </c>
      <c r="AH63" s="438">
        <f>(AH62-V062A_2030313334363537[[#This Row],[MOT AUX]])+V062A_2030313334363537[[#This Row],[FAENA EN  LTS]]</f>
        <v>1600</v>
      </c>
      <c r="AI63" s="246">
        <v>0</v>
      </c>
      <c r="AJ63" s="246">
        <v>0</v>
      </c>
      <c r="AK63" s="439">
        <f>(AK62-V062A_2030313334363537[[#This Row],[HIDRAULICO]])+V062A_2030313334363537[[#This Row],[FAENA EN LTS3]]</f>
        <v>850</v>
      </c>
    </row>
    <row r="64" spans="1:37" x14ac:dyDescent="0.25">
      <c r="A64" s="431" t="s">
        <v>385</v>
      </c>
      <c r="B64" s="48">
        <v>44237</v>
      </c>
      <c r="C64" s="41">
        <v>9.9999999999999992E-2</v>
      </c>
      <c r="D64" s="418">
        <f>IF(V062A_2030313334363537[[#This Row],[FECHA]]-B63=1,((V062A_2030313334363537[[#This Row],[HORA]]-C63)*24)+24,(V062A_2030313334363537[[#This Row],[HORA]]-C63)*24)</f>
        <v>2.1999999999999997</v>
      </c>
      <c r="E64" s="473" t="s">
        <v>47</v>
      </c>
      <c r="F64" s="378" t="s">
        <v>408</v>
      </c>
      <c r="G64" s="475"/>
      <c r="H64" s="476"/>
      <c r="I64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4" s="478"/>
      <c r="K64" s="479"/>
      <c r="L64" s="483">
        <v>0.92</v>
      </c>
      <c r="M64" s="246">
        <v>0.18</v>
      </c>
      <c r="N64" s="484">
        <v>0.11</v>
      </c>
      <c r="O64" s="246">
        <f>SUM(V062A_2030313334363537[[#This Row],[MPAL]]+V062A_2030313334363537[[#This Row],[AUX.]]+V062A_2030313334363537[[#This Row],[CALDERA]])</f>
        <v>1.2100000000000002</v>
      </c>
      <c r="P64" s="319"/>
      <c r="Q64" s="270">
        <f>(Q63-V062A_2030313334363537[[#This Row],[TOTAL ]])+V062A_2030313334363537[[#This Row],[FAENA]]</f>
        <v>270.69000000000005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SUM(V062A_2030313334363537[[#This Row],[MPAL2]:[GI]])</f>
        <v>0</v>
      </c>
      <c r="X64" s="246"/>
      <c r="Y64" s="300">
        <f>(Y63-V062A_2030313334363537[[#This Row],[TOTAL]])+V062A_2030313334363537[[#This Row],[FAENA2]]</f>
        <v>61.969999999999978</v>
      </c>
      <c r="Z64" s="245">
        <v>0</v>
      </c>
      <c r="AA64" s="246">
        <v>0</v>
      </c>
      <c r="AB64" s="438">
        <f>(AB63-V062A_2030313334363537[[#This Row],[CYLINDER MP]])+V062A_2030313334363537[[#This Row],[FAENA EN LTS]]</f>
        <v>329.50000000000011</v>
      </c>
      <c r="AC64" s="246">
        <v>0</v>
      </c>
      <c r="AD64" s="246">
        <v>0</v>
      </c>
      <c r="AE64" s="438">
        <f>(AE63-V062A_2030313334363537[[#This Row],[CARTER MP.]])+V062A_2030313334363537[[#This Row],[FAENA EN LTS2]]</f>
        <v>2700</v>
      </c>
      <c r="AF64" s="246">
        <v>0</v>
      </c>
      <c r="AG64" s="246">
        <v>0</v>
      </c>
      <c r="AH64" s="438">
        <f>(AH63-V062A_2030313334363537[[#This Row],[MOT AUX]])+V062A_2030313334363537[[#This Row],[FAENA EN  LTS]]</f>
        <v>1600</v>
      </c>
      <c r="AI64" s="246">
        <v>0</v>
      </c>
      <c r="AJ64" s="246">
        <v>0</v>
      </c>
      <c r="AK64" s="439">
        <f>(AK63-V062A_2030313334363537[[#This Row],[HIDRAULICO]])+V062A_2030313334363537[[#This Row],[FAENA EN LTS3]]</f>
        <v>850</v>
      </c>
    </row>
    <row r="65" spans="1:37" x14ac:dyDescent="0.25">
      <c r="A65" s="431" t="s">
        <v>385</v>
      </c>
      <c r="B65" s="48">
        <v>44237</v>
      </c>
      <c r="C65" s="41">
        <v>0.26250000000000001</v>
      </c>
      <c r="D65" s="418">
        <f>IF(V062A_2030313334363537[[#This Row],[FECHA]]-B64=1,((V062A_2030313334363537[[#This Row],[HORA]]-C64)*24)+24,(V062A_2030313334363537[[#This Row],[HORA]]-C64)*24)</f>
        <v>3.9000000000000008</v>
      </c>
      <c r="E65" s="444" t="s">
        <v>51</v>
      </c>
      <c r="F65" s="480" t="s">
        <v>409</v>
      </c>
      <c r="G65" s="446"/>
      <c r="H65" s="447"/>
      <c r="I65" s="448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5" s="449"/>
      <c r="K65" s="450"/>
      <c r="L65" s="483">
        <v>0</v>
      </c>
      <c r="M65" s="246">
        <v>0.33</v>
      </c>
      <c r="N65" s="484">
        <v>0.2</v>
      </c>
      <c r="O65" s="246">
        <f>SUM(V062A_2030313334363537[[#This Row],[MPAL]]+V062A_2030313334363537[[#This Row],[AUX.]]+V062A_2030313334363537[[#This Row],[CALDERA]])</f>
        <v>0.53</v>
      </c>
      <c r="P65" s="452"/>
      <c r="Q65" s="270">
        <f>(Q64-V062A_2030313334363537[[#This Row],[TOTAL ]])+V062A_2030313334363537[[#This Row],[FAENA]]</f>
        <v>270.16000000000008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443">
        <f>SUM(V062A_2030313334363537[[#This Row],[MPAL2]:[GI]])</f>
        <v>0</v>
      </c>
      <c r="X65" s="443"/>
      <c r="Y65" s="300">
        <f>(Y64-V062A_2030313334363537[[#This Row],[TOTAL]])+V062A_2030313334363537[[#This Row],[FAENA2]]</f>
        <v>61.969999999999978</v>
      </c>
      <c r="Z65" s="245">
        <v>0</v>
      </c>
      <c r="AA65" s="246">
        <v>0</v>
      </c>
      <c r="AB65" s="438">
        <f>(AB64-V062A_2030313334363537[[#This Row],[CYLINDER MP]])+V062A_2030313334363537[[#This Row],[FAENA EN LTS]]</f>
        <v>329.50000000000011</v>
      </c>
      <c r="AC65" s="246">
        <v>0</v>
      </c>
      <c r="AD65" s="246">
        <v>0</v>
      </c>
      <c r="AE65" s="438">
        <f>(AE64-V062A_2030313334363537[[#This Row],[CARTER MP.]])+V062A_2030313334363537[[#This Row],[FAENA EN LTS2]]</f>
        <v>2700</v>
      </c>
      <c r="AF65" s="246">
        <v>0</v>
      </c>
      <c r="AG65" s="246">
        <v>0</v>
      </c>
      <c r="AH65" s="438">
        <f>(AH64-V062A_2030313334363537[[#This Row],[MOT AUX]])+V062A_2030313334363537[[#This Row],[FAENA EN  LTS]]</f>
        <v>1600</v>
      </c>
      <c r="AI65" s="246">
        <v>0</v>
      </c>
      <c r="AJ65" s="246">
        <v>0</v>
      </c>
      <c r="AK65" s="439">
        <f>(AK64-V062A_2030313334363537[[#This Row],[HIDRAULICO]])+V062A_2030313334363537[[#This Row],[FAENA EN LTS3]]</f>
        <v>850</v>
      </c>
    </row>
    <row r="66" spans="1:37" x14ac:dyDescent="0.25">
      <c r="A66" s="431" t="s">
        <v>385</v>
      </c>
      <c r="B66" s="48">
        <v>44237</v>
      </c>
      <c r="C66" s="41">
        <v>0.33333333333333331</v>
      </c>
      <c r="D66" s="418">
        <f>IF(V062A_2030313334363537[[#This Row],[FECHA]]-B65=1,((V062A_2030313334363537[[#This Row],[HORA]]-C65)*24)+24,(V062A_2030313334363537[[#This Row],[HORA]]-C65)*24)</f>
        <v>1.6999999999999993</v>
      </c>
      <c r="E66" s="473" t="s">
        <v>51</v>
      </c>
      <c r="F66" s="378" t="s">
        <v>51</v>
      </c>
      <c r="G66" s="475"/>
      <c r="H66" s="476"/>
      <c r="I66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6" s="478"/>
      <c r="K66" s="479"/>
      <c r="L66" s="483">
        <v>0</v>
      </c>
      <c r="M66" s="246">
        <v>0.14000000000000001</v>
      </c>
      <c r="N66" s="484">
        <v>0.09</v>
      </c>
      <c r="O66" s="246">
        <f>SUM(V062A_2030313334363537[[#This Row],[MPAL]]+V062A_2030313334363537[[#This Row],[AUX.]]+V062A_2030313334363537[[#This Row],[CALDERA]])</f>
        <v>0.23</v>
      </c>
      <c r="P66" s="319"/>
      <c r="Q66" s="270">
        <f>(Q65-V062A_2030313334363537[[#This Row],[TOTAL ]])+V062A_2030313334363537[[#This Row],[FAENA]]</f>
        <v>269.93000000000006</v>
      </c>
      <c r="R66" s="245">
        <v>0</v>
      </c>
      <c r="S66" s="246">
        <v>0</v>
      </c>
      <c r="T66" s="246">
        <v>0</v>
      </c>
      <c r="U66" s="246">
        <v>0</v>
      </c>
      <c r="V66" s="246">
        <v>0.5</v>
      </c>
      <c r="W66" s="246">
        <f>SUM(V062A_2030313334363537[[#This Row],[MPAL2]:[GI]])</f>
        <v>0.5</v>
      </c>
      <c r="X66" s="246"/>
      <c r="Y66" s="300">
        <f>(Y65-V062A_2030313334363537[[#This Row],[TOTAL]])+V062A_2030313334363537[[#This Row],[FAENA2]]</f>
        <v>61.469999999999978</v>
      </c>
      <c r="Z66" s="245">
        <v>0</v>
      </c>
      <c r="AA66" s="246">
        <v>3300</v>
      </c>
      <c r="AB66" s="438">
        <f>(AB65-V062A_2030313334363537[[#This Row],[CYLINDER MP]])+V062A_2030313334363537[[#This Row],[FAENA EN LTS]]</f>
        <v>3629.5</v>
      </c>
      <c r="AC66" s="246">
        <v>0</v>
      </c>
      <c r="AD66" s="246">
        <v>800</v>
      </c>
      <c r="AE66" s="438">
        <f>(AE65-V062A_2030313334363537[[#This Row],[CARTER MP.]])+V062A_2030313334363537[[#This Row],[FAENA EN LTS2]]</f>
        <v>3500</v>
      </c>
      <c r="AF66" s="246">
        <v>20</v>
      </c>
      <c r="AG66" s="246">
        <v>1450</v>
      </c>
      <c r="AH66" s="438">
        <f>(AH65-V062A_2030313334363537[[#This Row],[MOT AUX]])+V062A_2030313334363537[[#This Row],[FAENA EN  LTS]]</f>
        <v>3030</v>
      </c>
      <c r="AI66" s="246">
        <v>0</v>
      </c>
      <c r="AJ66" s="246">
        <v>1450</v>
      </c>
      <c r="AK66" s="439">
        <f>(AK65-V062A_2030313334363537[[#This Row],[HIDRAULICO]])+V062A_2030313334363537[[#This Row],[FAENA EN LTS3]]</f>
        <v>2300</v>
      </c>
    </row>
    <row r="67" spans="1:37" x14ac:dyDescent="0.25">
      <c r="A67" s="431" t="s">
        <v>385</v>
      </c>
      <c r="B67" s="48">
        <v>44237</v>
      </c>
      <c r="C67" s="41">
        <v>0.73958333333333337</v>
      </c>
      <c r="D67" s="418">
        <f>IF(V062A_2030313334363537[[#This Row],[FECHA]]-B66=1,((V062A_2030313334363537[[#This Row],[HORA]]-C66)*24)+24,(V062A_2030313334363537[[#This Row],[HORA]]-C66)*24)</f>
        <v>9.7500000000000018</v>
      </c>
      <c r="E67" s="473" t="s">
        <v>51</v>
      </c>
      <c r="F67" s="378" t="s">
        <v>410</v>
      </c>
      <c r="G67" s="475"/>
      <c r="H67" s="476"/>
      <c r="I67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7" s="478"/>
      <c r="K67" s="479"/>
      <c r="L67" s="483">
        <v>0</v>
      </c>
      <c r="M67" s="246">
        <v>1.02</v>
      </c>
      <c r="N67" s="484">
        <v>0.49</v>
      </c>
      <c r="O67" s="246">
        <f>SUM(V062A_2030313334363537[[#This Row],[MPAL]]+V062A_2030313334363537[[#This Row],[AUX.]]+V062A_2030313334363537[[#This Row],[CALDERA]])</f>
        <v>1.51</v>
      </c>
      <c r="P67" s="319"/>
      <c r="Q67" s="270">
        <f>(Q66-V062A_2030313334363537[[#This Row],[TOTAL ]])+V062A_2030313334363537[[#This Row],[FAENA]]</f>
        <v>268.42000000000007</v>
      </c>
      <c r="R67" s="245">
        <v>0</v>
      </c>
      <c r="S67" s="246">
        <v>0</v>
      </c>
      <c r="T67" s="246">
        <v>0</v>
      </c>
      <c r="U67" s="246">
        <v>0</v>
      </c>
      <c r="V67" s="246">
        <v>2.4300000000000002</v>
      </c>
      <c r="W67" s="246">
        <f>SUM(V062A_2030313334363537[[#This Row],[MPAL2]:[GI]])</f>
        <v>2.4300000000000002</v>
      </c>
      <c r="X67" s="246"/>
      <c r="Y67" s="300">
        <f>(Y66-V062A_2030313334363537[[#This Row],[TOTAL]])+V062A_2030313334363537[[#This Row],[FAENA2]]</f>
        <v>59.039999999999978</v>
      </c>
      <c r="Z67" s="245">
        <v>0</v>
      </c>
      <c r="AA67" s="246">
        <v>0</v>
      </c>
      <c r="AB67" s="438">
        <f>(AB66-V062A_2030313334363537[[#This Row],[CYLINDER MP]])+V062A_2030313334363537[[#This Row],[FAENA EN LTS]]</f>
        <v>3629.5</v>
      </c>
      <c r="AC67" s="246">
        <v>0</v>
      </c>
      <c r="AD67" s="246">
        <v>0</v>
      </c>
      <c r="AE67" s="438">
        <f>(AE66-V062A_2030313334363537[[#This Row],[CARTER MP.]])+V062A_2030313334363537[[#This Row],[FAENA EN LTS2]]</f>
        <v>3500</v>
      </c>
      <c r="AF67" s="246">
        <v>0</v>
      </c>
      <c r="AG67" s="246">
        <v>0</v>
      </c>
      <c r="AH67" s="438">
        <f>(AH66-V062A_2030313334363537[[#This Row],[MOT AUX]])+V062A_2030313334363537[[#This Row],[FAENA EN  LTS]]</f>
        <v>3030</v>
      </c>
      <c r="AI67" s="246">
        <v>0</v>
      </c>
      <c r="AJ67" s="246">
        <v>0</v>
      </c>
      <c r="AK67" s="439">
        <f>(AK66-V062A_2030313334363537[[#This Row],[HIDRAULICO]])+V062A_2030313334363537[[#This Row],[FAENA EN LTS3]]</f>
        <v>2300</v>
      </c>
    </row>
    <row r="68" spans="1:37" x14ac:dyDescent="0.25">
      <c r="A68" s="431" t="s">
        <v>385</v>
      </c>
      <c r="B68" s="48">
        <v>44237</v>
      </c>
      <c r="C68" s="41">
        <v>0.97916666666666663</v>
      </c>
      <c r="D68" s="418">
        <f>IF(V062A_2030313334363537[[#This Row],[FECHA]]-B67=1,((V062A_2030313334363537[[#This Row],[HORA]]-C67)*24)+24,(V062A_2030313334363537[[#This Row],[HORA]]-C67)*24)</f>
        <v>5.7499999999999982</v>
      </c>
      <c r="E68" s="473" t="s">
        <v>49</v>
      </c>
      <c r="F68" s="378" t="s">
        <v>46</v>
      </c>
      <c r="G68" s="475"/>
      <c r="H68" s="476"/>
      <c r="I68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8" s="478"/>
      <c r="K68" s="479"/>
      <c r="L68" s="483">
        <v>0</v>
      </c>
      <c r="M68" s="246">
        <v>0.44</v>
      </c>
      <c r="N68" s="484">
        <v>0.26</v>
      </c>
      <c r="O68" s="246">
        <f>SUM(V062A_2030313334363537[[#This Row],[MPAL]]+V062A_2030313334363537[[#This Row],[AUX.]]+V062A_2030313334363537[[#This Row],[CALDERA]])</f>
        <v>0.7</v>
      </c>
      <c r="P68" s="319"/>
      <c r="Q68" s="270">
        <f>(Q67-V062A_2030313334363537[[#This Row],[TOTAL ]])+V062A_2030313334363537[[#This Row],[FAENA]]</f>
        <v>267.72000000000008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SUM(V062A_2030313334363537[[#This Row],[MPAL2]:[GI]])</f>
        <v>0</v>
      </c>
      <c r="X68" s="246"/>
      <c r="Y68" s="300">
        <f>(Y67-V062A_2030313334363537[[#This Row],[TOTAL]])+V062A_2030313334363537[[#This Row],[FAENA2]]</f>
        <v>59.039999999999978</v>
      </c>
      <c r="Z68" s="245">
        <v>0</v>
      </c>
      <c r="AA68" s="246">
        <v>0</v>
      </c>
      <c r="AB68" s="438">
        <f>(AB67-V062A_2030313334363537[[#This Row],[CYLINDER MP]])+V062A_2030313334363537[[#This Row],[FAENA EN LTS]]</f>
        <v>3629.5</v>
      </c>
      <c r="AC68" s="246">
        <v>0</v>
      </c>
      <c r="AD68" s="246">
        <v>0</v>
      </c>
      <c r="AE68" s="438">
        <f>(AE67-V062A_2030313334363537[[#This Row],[CARTER MP.]])+V062A_2030313334363537[[#This Row],[FAENA EN LTS2]]</f>
        <v>3500</v>
      </c>
      <c r="AF68" s="246">
        <v>0</v>
      </c>
      <c r="AG68" s="246">
        <v>0</v>
      </c>
      <c r="AH68" s="438">
        <f>(AH67-V062A_2030313334363537[[#This Row],[MOT AUX]])+V062A_2030313334363537[[#This Row],[FAENA EN  LTS]]</f>
        <v>3030</v>
      </c>
      <c r="AI68" s="246">
        <v>0</v>
      </c>
      <c r="AJ68" s="246">
        <v>0</v>
      </c>
      <c r="AK68" s="439">
        <f>(AK67-V062A_2030313334363537[[#This Row],[HIDRAULICO]])+V062A_2030313334363537[[#This Row],[FAENA EN LTS3]]</f>
        <v>2300</v>
      </c>
    </row>
    <row r="69" spans="1:37" x14ac:dyDescent="0.25">
      <c r="A69" s="431" t="s">
        <v>385</v>
      </c>
      <c r="B69" s="48">
        <v>44238</v>
      </c>
      <c r="C69" s="41">
        <v>2.0833333333333332E-2</v>
      </c>
      <c r="D69" s="418">
        <f>IF(V062A_2030313334363537[[#This Row],[FECHA]]-B68=1,((V062A_2030313334363537[[#This Row],[HORA]]-C68)*24)+24,(V062A_2030313334363537[[#This Row],[HORA]]-C68)*24)</f>
        <v>1</v>
      </c>
      <c r="E69" s="473" t="s">
        <v>47</v>
      </c>
      <c r="F69" s="378" t="s">
        <v>212</v>
      </c>
      <c r="G69" s="475"/>
      <c r="H69" s="476"/>
      <c r="I69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69" s="478"/>
      <c r="K69" s="479"/>
      <c r="L69" s="483">
        <v>0.42</v>
      </c>
      <c r="M69" s="246">
        <v>0.08</v>
      </c>
      <c r="N69" s="484">
        <v>0.05</v>
      </c>
      <c r="O69" s="246">
        <f>SUM(V062A_2030313334363537[[#This Row],[MPAL]]+V062A_2030313334363537[[#This Row],[AUX.]]+V062A_2030313334363537[[#This Row],[CALDERA]])</f>
        <v>0.55000000000000004</v>
      </c>
      <c r="P69" s="319"/>
      <c r="Q69" s="270">
        <f>(Q68-V062A_2030313334363537[[#This Row],[TOTAL ]])+V062A_2030313334363537[[#This Row],[FAENA]]</f>
        <v>267.17000000000007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SUM(V062A_2030313334363537[[#This Row],[MPAL2]:[GI]])</f>
        <v>0</v>
      </c>
      <c r="X69" s="246"/>
      <c r="Y69" s="300">
        <f>(Y68-V062A_2030313334363537[[#This Row],[TOTAL]])+V062A_2030313334363537[[#This Row],[FAENA2]]</f>
        <v>59.039999999999978</v>
      </c>
      <c r="Z69" s="245">
        <v>0</v>
      </c>
      <c r="AA69" s="246">
        <v>0</v>
      </c>
      <c r="AB69" s="438">
        <f>(AB68-V062A_2030313334363537[[#This Row],[CYLINDER MP]])+V062A_2030313334363537[[#This Row],[FAENA EN LTS]]</f>
        <v>3629.5</v>
      </c>
      <c r="AC69" s="246">
        <v>0</v>
      </c>
      <c r="AD69" s="246">
        <v>0</v>
      </c>
      <c r="AE69" s="438">
        <f>(AE68-V062A_2030313334363537[[#This Row],[CARTER MP.]])+V062A_2030313334363537[[#This Row],[FAENA EN LTS2]]</f>
        <v>3500</v>
      </c>
      <c r="AF69" s="246">
        <v>0</v>
      </c>
      <c r="AG69" s="246">
        <v>0</v>
      </c>
      <c r="AH69" s="438">
        <f>(AH68-V062A_2030313334363537[[#This Row],[MOT AUX]])+V062A_2030313334363537[[#This Row],[FAENA EN  LTS]]</f>
        <v>3030</v>
      </c>
      <c r="AI69" s="246">
        <v>0</v>
      </c>
      <c r="AJ69" s="246">
        <v>0</v>
      </c>
      <c r="AK69" s="439">
        <f>(AK68-V062A_2030313334363537[[#This Row],[HIDRAULICO]])+V062A_2030313334363537[[#This Row],[FAENA EN LTS3]]</f>
        <v>2300</v>
      </c>
    </row>
    <row r="70" spans="1:37" x14ac:dyDescent="0.25">
      <c r="A70" s="431" t="s">
        <v>385</v>
      </c>
      <c r="B70" s="48">
        <v>44238</v>
      </c>
      <c r="C70" s="41">
        <v>0.33333333333333331</v>
      </c>
      <c r="D70" s="418">
        <f>IF(V062A_2030313334363537[[#This Row],[FECHA]]-B69=1,((V062A_2030313334363537[[#This Row],[HORA]]-C69)*24)+24,(V062A_2030313334363537[[#This Row],[HORA]]-C69)*24)</f>
        <v>7.5</v>
      </c>
      <c r="E70" s="473" t="s">
        <v>55</v>
      </c>
      <c r="F70" s="378" t="s">
        <v>56</v>
      </c>
      <c r="G70" s="475"/>
      <c r="H70" s="476"/>
      <c r="I70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0" s="478"/>
      <c r="K70" s="479"/>
      <c r="L70" s="483">
        <v>7.19</v>
      </c>
      <c r="M70" s="246">
        <v>0.47</v>
      </c>
      <c r="N70" s="484">
        <v>0.38</v>
      </c>
      <c r="O70" s="246">
        <f>SUM(V062A_2030313334363537[[#This Row],[MPAL]]+V062A_2030313334363537[[#This Row],[AUX.]]+V062A_2030313334363537[[#This Row],[CALDERA]])</f>
        <v>8.0400000000000009</v>
      </c>
      <c r="P70" s="319"/>
      <c r="Q70" s="270">
        <f>(Q69-V062A_2030313334363537[[#This Row],[TOTAL ]])+V062A_2030313334363537[[#This Row],[FAENA]]</f>
        <v>259.13000000000005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SUM(V062A_2030313334363537[[#This Row],[MPAL2]:[GI]])</f>
        <v>0</v>
      </c>
      <c r="X70" s="246"/>
      <c r="Y70" s="300">
        <f>(Y69-V062A_2030313334363537[[#This Row],[TOTAL]])+V062A_2030313334363537[[#This Row],[FAENA2]]</f>
        <v>59.039999999999978</v>
      </c>
      <c r="Z70" s="245">
        <v>87.5</v>
      </c>
      <c r="AA70" s="246">
        <v>0</v>
      </c>
      <c r="AB70" s="438">
        <f>(AB69-V062A_2030313334363537[[#This Row],[CYLINDER MP]])+V062A_2030313334363537[[#This Row],[FAENA EN LTS]]</f>
        <v>3542</v>
      </c>
      <c r="AC70" s="246">
        <v>0</v>
      </c>
      <c r="AD70" s="246">
        <v>0</v>
      </c>
      <c r="AE70" s="438">
        <f>(AE69-V062A_2030313334363537[[#This Row],[CARTER MP.]])+V062A_2030313334363537[[#This Row],[FAENA EN LTS2]]</f>
        <v>3500</v>
      </c>
      <c r="AF70" s="246">
        <v>20</v>
      </c>
      <c r="AG70" s="246">
        <v>0</v>
      </c>
      <c r="AH70" s="438">
        <f>(AH69-V062A_2030313334363537[[#This Row],[MOT AUX]])+V062A_2030313334363537[[#This Row],[FAENA EN  LTS]]</f>
        <v>3010</v>
      </c>
      <c r="AI70" s="246">
        <v>0</v>
      </c>
      <c r="AJ70" s="246">
        <v>0</v>
      </c>
      <c r="AK70" s="439">
        <f>(AK69-V062A_2030313334363537[[#This Row],[HIDRAULICO]])+V062A_2030313334363537[[#This Row],[FAENA EN LTS3]]</f>
        <v>2300</v>
      </c>
    </row>
    <row r="71" spans="1:37" x14ac:dyDescent="0.25">
      <c r="A71" s="431" t="s">
        <v>385</v>
      </c>
      <c r="B71" s="48">
        <v>44239</v>
      </c>
      <c r="C71" s="41">
        <v>0.33333333333333331</v>
      </c>
      <c r="D71" s="418">
        <f>IF(V062A_2030313334363537[[#This Row],[FECHA]]-B70=1,((V062A_2030313334363537[[#This Row],[HORA]]-C70)*24)+24,(V062A_2030313334363537[[#This Row],[HORA]]-C70)*24)</f>
        <v>24</v>
      </c>
      <c r="E71" s="409" t="s">
        <v>55</v>
      </c>
      <c r="F71" s="378" t="s">
        <v>56</v>
      </c>
      <c r="G71" s="475"/>
      <c r="H71" s="476"/>
      <c r="I71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1" s="478"/>
      <c r="K71" s="479"/>
      <c r="L71" s="245">
        <v>20</v>
      </c>
      <c r="M71" s="246">
        <v>1.5</v>
      </c>
      <c r="N71" s="246">
        <v>0.3</v>
      </c>
      <c r="O71" s="246">
        <f>SUM(V062A_2030313334363537[[#This Row],[MPAL]]+V062A_2030313334363537[[#This Row],[AUX.]]+V062A_2030313334363537[[#This Row],[CALDERA]])</f>
        <v>21.8</v>
      </c>
      <c r="P71" s="319"/>
      <c r="Q71" s="270">
        <f>(Q70-V062A_2030313334363537[[#This Row],[TOTAL ]])+V062A_2030313334363537[[#This Row],[FAENA]]</f>
        <v>237.33000000000004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SUM(V062A_2030313334363537[[#This Row],[MPAL2]:[GI]])</f>
        <v>0</v>
      </c>
      <c r="X71" s="246"/>
      <c r="Y71" s="300">
        <f>(Y70-V062A_2030313334363537[[#This Row],[TOTAL]])+V062A_2030313334363537[[#This Row],[FAENA2]]</f>
        <v>59.039999999999978</v>
      </c>
      <c r="Z71" s="245">
        <v>280</v>
      </c>
      <c r="AA71" s="246">
        <v>0</v>
      </c>
      <c r="AB71" s="438">
        <f>(AB70-V062A_2030313334363537[[#This Row],[CYLINDER MP]])+V062A_2030313334363537[[#This Row],[FAENA EN LTS]]</f>
        <v>3262</v>
      </c>
      <c r="AC71" s="246">
        <v>0</v>
      </c>
      <c r="AD71" s="246">
        <v>0</v>
      </c>
      <c r="AE71" s="438">
        <f>(AE70-V062A_2030313334363537[[#This Row],[CARTER MP.]])+V062A_2030313334363537[[#This Row],[FAENA EN LTS2]]</f>
        <v>3500</v>
      </c>
      <c r="AF71" s="246">
        <v>750</v>
      </c>
      <c r="AG71" s="246">
        <v>0</v>
      </c>
      <c r="AH71" s="438">
        <f>(AH70-V062A_2030313334363537[[#This Row],[MOT AUX]])+V062A_2030313334363537[[#This Row],[FAENA EN  LTS]]</f>
        <v>2260</v>
      </c>
      <c r="AI71" s="246">
        <v>0</v>
      </c>
      <c r="AJ71" s="246">
        <v>0</v>
      </c>
      <c r="AK71" s="439">
        <f>(AK70-V062A_2030313334363537[[#This Row],[HIDRAULICO]])+V062A_2030313334363537[[#This Row],[FAENA EN LTS3]]</f>
        <v>2300</v>
      </c>
    </row>
    <row r="72" spans="1:37" x14ac:dyDescent="0.25">
      <c r="A72" s="431" t="s">
        <v>385</v>
      </c>
      <c r="B72" s="48">
        <v>44239</v>
      </c>
      <c r="C72" s="237">
        <v>0.45833333333333331</v>
      </c>
      <c r="D72" s="418">
        <f>IF(V062A_2030313334363537[[#This Row],[FECHA]]-B71=1,((V062A_2030313334363537[[#This Row],[HORA]]-C71)*24)+24,(V062A_2030313334363537[[#This Row],[HORA]]-C71)*24)</f>
        <v>3</v>
      </c>
      <c r="E72" s="473" t="s">
        <v>55</v>
      </c>
      <c r="F72" s="378" t="s">
        <v>211</v>
      </c>
      <c r="G72" s="475">
        <v>459</v>
      </c>
      <c r="H72" s="476">
        <v>34.5</v>
      </c>
      <c r="I72" s="477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13.304347826086957</v>
      </c>
      <c r="J72" s="478">
        <v>3</v>
      </c>
      <c r="K72" s="479">
        <v>97</v>
      </c>
      <c r="L72" s="245">
        <v>2.5</v>
      </c>
      <c r="M72" s="246">
        <v>0.19</v>
      </c>
      <c r="N72" s="246">
        <v>0.04</v>
      </c>
      <c r="O72" s="246">
        <f>SUM(V062A_2030313334363537[[#This Row],[MPAL]]+V062A_2030313334363537[[#This Row],[AUX.]]+V062A_2030313334363537[[#This Row],[CALDERA]])</f>
        <v>2.73</v>
      </c>
      <c r="P72" s="319"/>
      <c r="Q72" s="270">
        <f>(Q71-V062A_2030313334363537[[#This Row],[TOTAL ]])+V062A_2030313334363537[[#This Row],[FAENA]]</f>
        <v>234.60000000000005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SUM(V062A_2030313334363537[[#This Row],[MPAL2]:[GI]])</f>
        <v>0</v>
      </c>
      <c r="X72" s="246"/>
      <c r="Y72" s="300">
        <f>(Y71-V062A_2030313334363537[[#This Row],[TOTAL]])+V062A_2030313334363537[[#This Row],[FAENA2]]</f>
        <v>59.039999999999978</v>
      </c>
      <c r="Z72" s="245">
        <v>35</v>
      </c>
      <c r="AA72" s="246">
        <v>0</v>
      </c>
      <c r="AB72" s="438">
        <f>(AB71-V062A_2030313334363537[[#This Row],[CYLINDER MP]])+V062A_2030313334363537[[#This Row],[FAENA EN LTS]]</f>
        <v>3227</v>
      </c>
      <c r="AC72" s="246">
        <v>0</v>
      </c>
      <c r="AD72" s="246">
        <v>0</v>
      </c>
      <c r="AE72" s="438">
        <f>(AE71-V062A_2030313334363537[[#This Row],[CARTER MP.]])+V062A_2030313334363537[[#This Row],[FAENA EN LTS2]]</f>
        <v>3500</v>
      </c>
      <c r="AF72" s="246">
        <v>0</v>
      </c>
      <c r="AG72" s="246">
        <v>0</v>
      </c>
      <c r="AH72" s="438">
        <f>(AH71-V062A_2030313334363537[[#This Row],[MOT AUX]])+V062A_2030313334363537[[#This Row],[FAENA EN  LTS]]</f>
        <v>2260</v>
      </c>
      <c r="AI72" s="246">
        <v>0</v>
      </c>
      <c r="AJ72" s="246">
        <v>0</v>
      </c>
      <c r="AK72" s="439">
        <f>(AK71-V062A_2030313334363537[[#This Row],[HIDRAULICO]])+V062A_2030313334363537[[#This Row],[FAENA EN LTS3]]</f>
        <v>2300</v>
      </c>
    </row>
    <row r="73" spans="1:37" x14ac:dyDescent="0.25">
      <c r="A73" s="431" t="s">
        <v>385</v>
      </c>
      <c r="B73" s="48">
        <v>44239</v>
      </c>
      <c r="C73" s="237">
        <v>0.59583333333333333</v>
      </c>
      <c r="D73" s="418">
        <f>IF(V062A_2030313334363537[[#This Row],[FECHA]]-B72=1,((V062A_2030313334363537[[#This Row],[HORA]]-C72)*24)+24,(V062A_2030313334363537[[#This Row],[HORA]]-C72)*24)</f>
        <v>3.3000000000000003</v>
      </c>
      <c r="E73" s="506" t="s">
        <v>47</v>
      </c>
      <c r="F73" s="507" t="s">
        <v>411</v>
      </c>
      <c r="G73" s="508"/>
      <c r="H73" s="509"/>
      <c r="I7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3" s="511"/>
      <c r="K73" s="512"/>
      <c r="L73" s="245">
        <v>1.38</v>
      </c>
      <c r="M73" s="246">
        <v>0.21</v>
      </c>
      <c r="N73" s="246">
        <v>0.17</v>
      </c>
      <c r="O73" s="246">
        <f>SUM(V062A_2030313334363537[[#This Row],[MPAL]]+V062A_2030313334363537[[#This Row],[AUX.]]+V062A_2030313334363537[[#This Row],[CALDERA]])</f>
        <v>1.7599999999999998</v>
      </c>
      <c r="P73" s="319"/>
      <c r="Q73" s="270">
        <f>(Q72-V062A_2030313334363537[[#This Row],[TOTAL ]])+V062A_2030313334363537[[#This Row],[FAENA]]</f>
        <v>232.84000000000006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SUM(V062A_2030313334363537[[#This Row],[MPAL2]:[GI]])</f>
        <v>0</v>
      </c>
      <c r="X73" s="246"/>
      <c r="Y73" s="300">
        <f>(Y72-V062A_2030313334363537[[#This Row],[TOTAL]])+V062A_2030313334363537[[#This Row],[FAENA2]]</f>
        <v>59.039999999999978</v>
      </c>
      <c r="Z73" s="245">
        <v>38.5</v>
      </c>
      <c r="AA73" s="246">
        <v>0</v>
      </c>
      <c r="AB73" s="438">
        <f>(AB72-V062A_2030313334363537[[#This Row],[CYLINDER MP]])+V062A_2030313334363537[[#This Row],[FAENA EN LTS]]</f>
        <v>3188.5</v>
      </c>
      <c r="AC73" s="246">
        <v>0</v>
      </c>
      <c r="AD73" s="246">
        <v>0</v>
      </c>
      <c r="AE73" s="438">
        <f>(AE72-V062A_2030313334363537[[#This Row],[CARTER MP.]])+V062A_2030313334363537[[#This Row],[FAENA EN LTS2]]</f>
        <v>3500</v>
      </c>
      <c r="AF73" s="246">
        <v>0</v>
      </c>
      <c r="AG73" s="246">
        <v>0</v>
      </c>
      <c r="AH73" s="438">
        <f>(AH72-V062A_2030313334363537[[#This Row],[MOT AUX]])+V062A_2030313334363537[[#This Row],[FAENA EN  LTS]]</f>
        <v>2260</v>
      </c>
      <c r="AI73" s="246">
        <v>0</v>
      </c>
      <c r="AJ73" s="246">
        <v>0</v>
      </c>
      <c r="AK73" s="439">
        <f>(AK72-V062A_2030313334363537[[#This Row],[HIDRAULICO]])+V062A_2030313334363537[[#This Row],[FAENA EN LTS3]]</f>
        <v>2300</v>
      </c>
    </row>
    <row r="74" spans="1:37" x14ac:dyDescent="0.25">
      <c r="A74" s="431" t="s">
        <v>385</v>
      </c>
      <c r="B74" s="48">
        <v>44239</v>
      </c>
      <c r="C74" s="237">
        <v>0.625</v>
      </c>
      <c r="D74" s="418">
        <f>IF(V062A_2030313334363537[[#This Row],[FECHA]]-B73=1,((V062A_2030313334363537[[#This Row],[HORA]]-C73)*24)+24,(V062A_2030313334363537[[#This Row],[HORA]]-C73)*24)</f>
        <v>0.70000000000000018</v>
      </c>
      <c r="E74" s="506" t="s">
        <v>55</v>
      </c>
      <c r="F74" s="507" t="s">
        <v>356</v>
      </c>
      <c r="G74" s="508"/>
      <c r="H74" s="509"/>
      <c r="I7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4" s="511"/>
      <c r="K74" s="512"/>
      <c r="L74" s="245">
        <v>0.57999999999999996</v>
      </c>
      <c r="M74" s="246">
        <v>0.04</v>
      </c>
      <c r="N74" s="246">
        <v>0.01</v>
      </c>
      <c r="O74" s="246">
        <f>SUM(V062A_2030313334363537[[#This Row],[MPAL]]+V062A_2030313334363537[[#This Row],[AUX.]]+V062A_2030313334363537[[#This Row],[CALDERA]])</f>
        <v>0.63</v>
      </c>
      <c r="P74" s="319"/>
      <c r="Q74" s="270">
        <f>(Q73-V062A_2030313334363537[[#This Row],[TOTAL ]])+V062A_2030313334363537[[#This Row],[FAENA]]</f>
        <v>232.21000000000006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SUM(V062A_2030313334363537[[#This Row],[MPAL2]:[GI]])</f>
        <v>0</v>
      </c>
      <c r="X74" s="246"/>
      <c r="Y74" s="300">
        <f>(Y73-V062A_2030313334363537[[#This Row],[TOTAL]])+V062A_2030313334363537[[#This Row],[FAENA2]]</f>
        <v>59.039999999999978</v>
      </c>
      <c r="Z74" s="245">
        <v>8.17</v>
      </c>
      <c r="AA74" s="246">
        <v>0</v>
      </c>
      <c r="AB74" s="438">
        <f>(AB73-V062A_2030313334363537[[#This Row],[CYLINDER MP]])+V062A_2030313334363537[[#This Row],[FAENA EN LTS]]</f>
        <v>3180.33</v>
      </c>
      <c r="AC74" s="246">
        <v>0</v>
      </c>
      <c r="AD74" s="246">
        <v>0</v>
      </c>
      <c r="AE74" s="438">
        <f>(AE73-V062A_2030313334363537[[#This Row],[CARTER MP.]])+V062A_2030313334363537[[#This Row],[FAENA EN LTS2]]</f>
        <v>3500</v>
      </c>
      <c r="AF74" s="246">
        <v>0</v>
      </c>
      <c r="AG74" s="246">
        <v>0</v>
      </c>
      <c r="AH74" s="438">
        <f>(AH73-V062A_2030313334363537[[#This Row],[MOT AUX]])+V062A_2030313334363537[[#This Row],[FAENA EN  LTS]]</f>
        <v>2260</v>
      </c>
      <c r="AI74" s="246">
        <v>0</v>
      </c>
      <c r="AJ74" s="246">
        <v>0</v>
      </c>
      <c r="AK74" s="439">
        <f>(AK73-V062A_2030313334363537[[#This Row],[HIDRAULICO]])+V062A_2030313334363537[[#This Row],[FAENA EN LTS3]]</f>
        <v>2300</v>
      </c>
    </row>
    <row r="75" spans="1:37" x14ac:dyDescent="0.25">
      <c r="A75" s="431" t="s">
        <v>385</v>
      </c>
      <c r="B75" s="48">
        <v>44239</v>
      </c>
      <c r="C75" s="237">
        <v>0.72916666666666663</v>
      </c>
      <c r="D75" s="418">
        <f>IF(V062A_2030313334363537[[#This Row],[FECHA]]-B74=1,((V062A_2030313334363537[[#This Row],[HORA]]-C74)*24)+24,(V062A_2030313334363537[[#This Row],[HORA]]-C74)*24)</f>
        <v>2.4999999999999991</v>
      </c>
      <c r="E75" s="506" t="s">
        <v>47</v>
      </c>
      <c r="F75" s="507" t="s">
        <v>412</v>
      </c>
      <c r="G75" s="508"/>
      <c r="H75" s="509"/>
      <c r="I75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5" s="511"/>
      <c r="K75" s="512"/>
      <c r="L75" s="245">
        <v>1.04</v>
      </c>
      <c r="M75" s="246">
        <v>0.21</v>
      </c>
      <c r="N75" s="246">
        <v>0.13</v>
      </c>
      <c r="O75" s="246">
        <f>SUM(V062A_2030313334363537[[#This Row],[MPAL]]+V062A_2030313334363537[[#This Row],[AUX.]]+V062A_2030313334363537[[#This Row],[CALDERA]])</f>
        <v>1.38</v>
      </c>
      <c r="P75" s="319"/>
      <c r="Q75" s="270">
        <f>(Q74-V062A_2030313334363537[[#This Row],[TOTAL ]])+V062A_2030313334363537[[#This Row],[FAENA]]</f>
        <v>230.83000000000007</v>
      </c>
      <c r="R75" s="245">
        <v>0</v>
      </c>
      <c r="S75" s="246">
        <v>0</v>
      </c>
      <c r="T75" s="246">
        <v>0</v>
      </c>
      <c r="U75" s="246">
        <v>0</v>
      </c>
      <c r="V75" s="246">
        <v>0</v>
      </c>
      <c r="W75" s="246">
        <f>SUM(V062A_2030313334363537[[#This Row],[MPAL2]:[GI]])</f>
        <v>0</v>
      </c>
      <c r="X75" s="246"/>
      <c r="Y75" s="300">
        <f>(Y74-V062A_2030313334363537[[#This Row],[TOTAL]])+V062A_2030313334363537[[#This Row],[FAENA2]]</f>
        <v>59.039999999999978</v>
      </c>
      <c r="Z75" s="245">
        <v>0</v>
      </c>
      <c r="AA75" s="246">
        <v>0</v>
      </c>
      <c r="AB75" s="438">
        <f>(AB74-V062A_2030313334363537[[#This Row],[CYLINDER MP]])+V062A_2030313334363537[[#This Row],[FAENA EN LTS]]</f>
        <v>3180.33</v>
      </c>
      <c r="AC75" s="246">
        <v>0</v>
      </c>
      <c r="AD75" s="246">
        <v>0</v>
      </c>
      <c r="AE75" s="438">
        <f>(AE74-V062A_2030313334363537[[#This Row],[CARTER MP.]])+V062A_2030313334363537[[#This Row],[FAENA EN LTS2]]</f>
        <v>3500</v>
      </c>
      <c r="AF75" s="246">
        <v>0</v>
      </c>
      <c r="AG75" s="246">
        <v>0</v>
      </c>
      <c r="AH75" s="438">
        <f>(AH74-V062A_2030313334363537[[#This Row],[MOT AUX]])+V062A_2030313334363537[[#This Row],[FAENA EN  LTS]]</f>
        <v>2260</v>
      </c>
      <c r="AI75" s="246">
        <v>0</v>
      </c>
      <c r="AJ75" s="246">
        <v>0</v>
      </c>
      <c r="AK75" s="439">
        <f>(AK74-V062A_2030313334363537[[#This Row],[HIDRAULICO]])+V062A_2030313334363537[[#This Row],[FAENA EN LTS3]]</f>
        <v>2300</v>
      </c>
    </row>
    <row r="76" spans="1:37" x14ac:dyDescent="0.25">
      <c r="A76" s="431" t="s">
        <v>385</v>
      </c>
      <c r="B76" s="48">
        <v>44239</v>
      </c>
      <c r="C76" s="237">
        <v>0.82500000000000007</v>
      </c>
      <c r="D76" s="418">
        <f>IF(V062A_2030313334363537[[#This Row],[FECHA]]-B75=1,((V062A_2030313334363537[[#This Row],[HORA]]-C75)*24)+24,(V062A_2030313334363537[[#This Row],[HORA]]-C75)*24)</f>
        <v>2.3000000000000025</v>
      </c>
      <c r="E76" s="506" t="s">
        <v>51</v>
      </c>
      <c r="F76" s="507" t="s">
        <v>409</v>
      </c>
      <c r="G76" s="508"/>
      <c r="H76" s="509"/>
      <c r="I76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6" s="511"/>
      <c r="K76" s="512"/>
      <c r="L76" s="245">
        <v>0</v>
      </c>
      <c r="M76" s="246">
        <v>0.19</v>
      </c>
      <c r="N76" s="246">
        <v>0.12</v>
      </c>
      <c r="O76" s="246">
        <f>SUM(V062A_2030313334363537[[#This Row],[MPAL]]+V062A_2030313334363537[[#This Row],[AUX.]]+V062A_2030313334363537[[#This Row],[CALDERA]])</f>
        <v>0.31</v>
      </c>
      <c r="P76" s="319"/>
      <c r="Q76" s="270">
        <f>(Q75-V062A_2030313334363537[[#This Row],[TOTAL ]])+V062A_2030313334363537[[#This Row],[FAENA]]</f>
        <v>230.52000000000007</v>
      </c>
      <c r="R76" s="245">
        <v>0</v>
      </c>
      <c r="S76" s="246">
        <v>0</v>
      </c>
      <c r="T76" s="246">
        <v>0</v>
      </c>
      <c r="U76" s="246">
        <v>0</v>
      </c>
      <c r="V76" s="246">
        <v>7.4999999999999997E-2</v>
      </c>
      <c r="W76" s="246">
        <f>SUM(V062A_2030313334363537[[#This Row],[MPAL2]:[GI]])</f>
        <v>7.4999999999999997E-2</v>
      </c>
      <c r="X76" s="246"/>
      <c r="Y76" s="300">
        <f>(Y75-V062A_2030313334363537[[#This Row],[TOTAL]])+V062A_2030313334363537[[#This Row],[FAENA2]]</f>
        <v>58.964999999999975</v>
      </c>
      <c r="Z76" s="245">
        <v>0</v>
      </c>
      <c r="AA76" s="246">
        <v>0</v>
      </c>
      <c r="AB76" s="438">
        <f>(AB75-V062A_2030313334363537[[#This Row],[CYLINDER MP]])+V062A_2030313334363537[[#This Row],[FAENA EN LTS]]</f>
        <v>3180.33</v>
      </c>
      <c r="AC76" s="246">
        <v>0</v>
      </c>
      <c r="AD76" s="246">
        <v>0</v>
      </c>
      <c r="AE76" s="438">
        <f>(AE75-V062A_2030313334363537[[#This Row],[CARTER MP.]])+V062A_2030313334363537[[#This Row],[FAENA EN LTS2]]</f>
        <v>3500</v>
      </c>
      <c r="AF76" s="246">
        <v>0</v>
      </c>
      <c r="AG76" s="246">
        <v>0</v>
      </c>
      <c r="AH76" s="438">
        <f>(AH75-V062A_2030313334363537[[#This Row],[MOT AUX]])+V062A_2030313334363537[[#This Row],[FAENA EN  LTS]]</f>
        <v>2260</v>
      </c>
      <c r="AI76" s="246">
        <v>0</v>
      </c>
      <c r="AJ76" s="246">
        <v>0</v>
      </c>
      <c r="AK76" s="439">
        <f>(AK75-V062A_2030313334363537[[#This Row],[HIDRAULICO]])+V062A_2030313334363537[[#This Row],[FAENA EN LTS3]]</f>
        <v>2300</v>
      </c>
    </row>
    <row r="77" spans="1:37" x14ac:dyDescent="0.25">
      <c r="A77" s="431" t="s">
        <v>385</v>
      </c>
      <c r="B77" s="48">
        <v>44240</v>
      </c>
      <c r="C77" s="237">
        <v>0.20833333333333334</v>
      </c>
      <c r="D77" s="418">
        <f>IF(V062A_2030313334363537[[#This Row],[FECHA]]-B76=1,((V062A_2030313334363537[[#This Row],[HORA]]-C76)*24)+24,(V062A_2030313334363537[[#This Row],[HORA]]-C76)*24)</f>
        <v>9.1999999999999993</v>
      </c>
      <c r="E77" s="506" t="s">
        <v>51</v>
      </c>
      <c r="F77" s="507" t="s">
        <v>413</v>
      </c>
      <c r="G77" s="508"/>
      <c r="H77" s="509"/>
      <c r="I77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7" s="511"/>
      <c r="K77" s="512"/>
      <c r="L77" s="245">
        <v>0</v>
      </c>
      <c r="M77" s="246">
        <v>0.96</v>
      </c>
      <c r="N77" s="246">
        <v>0.46</v>
      </c>
      <c r="O77" s="246">
        <f>SUM(V062A_2030313334363537[[#This Row],[MPAL]]+V062A_2030313334363537[[#This Row],[AUX.]]+V062A_2030313334363537[[#This Row],[CALDERA]])</f>
        <v>1.42</v>
      </c>
      <c r="P77" s="319"/>
      <c r="Q77" s="270">
        <f>(Q76-V062A_2030313334363537[[#This Row],[TOTAL ]])+V062A_2030313334363537[[#This Row],[FAENA]]</f>
        <v>229.10000000000008</v>
      </c>
      <c r="R77" s="245">
        <v>0</v>
      </c>
      <c r="S77" s="246">
        <v>0</v>
      </c>
      <c r="T77" s="246">
        <v>0</v>
      </c>
      <c r="U77" s="246">
        <v>0</v>
      </c>
      <c r="V77" s="246">
        <v>2.2999999999999998</v>
      </c>
      <c r="W77" s="246">
        <f>SUM(V062A_2030313334363537[[#This Row],[MPAL2]:[GI]])</f>
        <v>2.2999999999999998</v>
      </c>
      <c r="X77" s="246"/>
      <c r="Y77" s="300">
        <f>(Y76-V062A_2030313334363537[[#This Row],[TOTAL]])+V062A_2030313334363537[[#This Row],[FAENA2]]</f>
        <v>56.664999999999978</v>
      </c>
      <c r="Z77" s="245">
        <v>0</v>
      </c>
      <c r="AA77" s="246">
        <v>0</v>
      </c>
      <c r="AB77" s="438">
        <f>(AB76-V062A_2030313334363537[[#This Row],[CYLINDER MP]])+V062A_2030313334363537[[#This Row],[FAENA EN LTS]]</f>
        <v>3180.33</v>
      </c>
      <c r="AC77" s="246">
        <v>0</v>
      </c>
      <c r="AD77" s="246">
        <v>0</v>
      </c>
      <c r="AE77" s="438">
        <f>(AE76-V062A_2030313334363537[[#This Row],[CARTER MP.]])+V062A_2030313334363537[[#This Row],[FAENA EN LTS2]]</f>
        <v>3500</v>
      </c>
      <c r="AF77" s="246">
        <v>20</v>
      </c>
      <c r="AG77" s="246">
        <v>0</v>
      </c>
      <c r="AH77" s="438">
        <f>(AH76-V062A_2030313334363537[[#This Row],[MOT AUX]])+V062A_2030313334363537[[#This Row],[FAENA EN  LTS]]</f>
        <v>2240</v>
      </c>
      <c r="AI77" s="246">
        <v>0</v>
      </c>
      <c r="AJ77" s="246">
        <v>0</v>
      </c>
      <c r="AK77" s="439">
        <f>(AK76-V062A_2030313334363537[[#This Row],[HIDRAULICO]])+V062A_2030313334363537[[#This Row],[FAENA EN LTS3]]</f>
        <v>2300</v>
      </c>
    </row>
    <row r="78" spans="1:37" x14ac:dyDescent="0.25">
      <c r="A78" s="431" t="s">
        <v>385</v>
      </c>
      <c r="B78" s="48">
        <v>44240</v>
      </c>
      <c r="C78" s="237">
        <v>0.33333333333333331</v>
      </c>
      <c r="D78" s="418">
        <f>IF(V062A_2030313334363537[[#This Row],[FECHA]]-B77=1,((V062A_2030313334363537[[#This Row],[HORA]]-C77)*24)+24,(V062A_2030313334363537[[#This Row],[HORA]]-C77)*24)</f>
        <v>2.9999999999999991</v>
      </c>
      <c r="E78" s="506" t="s">
        <v>49</v>
      </c>
      <c r="F78" s="507" t="s">
        <v>414</v>
      </c>
      <c r="G78" s="508"/>
      <c r="H78" s="509"/>
      <c r="I7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8" s="511"/>
      <c r="K78" s="512"/>
      <c r="L78" s="245">
        <v>0</v>
      </c>
      <c r="M78" s="246">
        <v>0.25</v>
      </c>
      <c r="N78" s="246">
        <v>0.15</v>
      </c>
      <c r="O78" s="246">
        <f>SUM(V062A_2030313334363537[[#This Row],[MPAL]]+V062A_2030313334363537[[#This Row],[AUX.]]+V062A_2030313334363537[[#This Row],[CALDERA]])</f>
        <v>0.4</v>
      </c>
      <c r="P78" s="319"/>
      <c r="Q78" s="270">
        <f>(Q77-V062A_2030313334363537[[#This Row],[TOTAL ]])+V062A_2030313334363537[[#This Row],[FAENA]]</f>
        <v>228.70000000000007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SUM(V062A_2030313334363537[[#This Row],[MPAL2]:[GI]])</f>
        <v>0</v>
      </c>
      <c r="X78" s="246"/>
      <c r="Y78" s="300">
        <f>(Y77-V062A_2030313334363537[[#This Row],[TOTAL]])+V062A_2030313334363537[[#This Row],[FAENA2]]</f>
        <v>56.664999999999978</v>
      </c>
      <c r="Z78" s="245">
        <v>0</v>
      </c>
      <c r="AA78" s="246">
        <v>0</v>
      </c>
      <c r="AB78" s="438">
        <f>(AB77-V062A_2030313334363537[[#This Row],[CYLINDER MP]])+V062A_2030313334363537[[#This Row],[FAENA EN LTS]]</f>
        <v>3180.33</v>
      </c>
      <c r="AC78" s="246">
        <v>0</v>
      </c>
      <c r="AD78" s="246">
        <v>0</v>
      </c>
      <c r="AE78" s="438">
        <f>(AE77-V062A_2030313334363537[[#This Row],[CARTER MP.]])+V062A_2030313334363537[[#This Row],[FAENA EN LTS2]]</f>
        <v>3500</v>
      </c>
      <c r="AF78" s="246">
        <v>0</v>
      </c>
      <c r="AG78" s="246">
        <v>0</v>
      </c>
      <c r="AH78" s="438">
        <f>(AH77-V062A_2030313334363537[[#This Row],[MOT AUX]])+V062A_2030313334363537[[#This Row],[FAENA EN  LTS]]</f>
        <v>2240</v>
      </c>
      <c r="AI78" s="246">
        <v>0</v>
      </c>
      <c r="AJ78" s="246">
        <v>0</v>
      </c>
      <c r="AK78" s="439">
        <f>(AK77-V062A_2030313334363537[[#This Row],[HIDRAULICO]])+V062A_2030313334363537[[#This Row],[FAENA EN LTS3]]</f>
        <v>2300</v>
      </c>
    </row>
    <row r="79" spans="1:37" x14ac:dyDescent="0.25">
      <c r="A79" s="431" t="s">
        <v>385</v>
      </c>
      <c r="B79" s="48">
        <v>44240</v>
      </c>
      <c r="C79" s="237">
        <v>0.51250000000000007</v>
      </c>
      <c r="D79" s="418">
        <f>IF(V062A_2030313334363537[[#This Row],[FECHA]]-B78=1,((V062A_2030313334363537[[#This Row],[HORA]]-C78)*24)+24,(V062A_2030313334363537[[#This Row],[HORA]]-C78)*24)</f>
        <v>4.3000000000000025</v>
      </c>
      <c r="E79" s="506" t="s">
        <v>49</v>
      </c>
      <c r="F79" s="507" t="s">
        <v>415</v>
      </c>
      <c r="G79" s="508"/>
      <c r="H79" s="509"/>
      <c r="I7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79" s="511"/>
      <c r="K79" s="512"/>
      <c r="L79" s="245">
        <v>0</v>
      </c>
      <c r="M79" s="246">
        <v>0.36</v>
      </c>
      <c r="N79" s="246">
        <v>0.22</v>
      </c>
      <c r="O79" s="246">
        <f>SUM(V062A_2030313334363537[[#This Row],[MPAL]]+V062A_2030313334363537[[#This Row],[AUX.]]+V062A_2030313334363537[[#This Row],[CALDERA]])</f>
        <v>0.57999999999999996</v>
      </c>
      <c r="P79" s="319"/>
      <c r="Q79" s="270">
        <f>(Q78-V062A_2030313334363537[[#This Row],[TOTAL ]])+V062A_2030313334363537[[#This Row],[FAENA]]</f>
        <v>228.12000000000006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SUM(V062A_2030313334363537[[#This Row],[MPAL2]:[GI]])</f>
        <v>0</v>
      </c>
      <c r="X79" s="246"/>
      <c r="Y79" s="300">
        <f>(Y78-V062A_2030313334363537[[#This Row],[TOTAL]])+V062A_2030313334363537[[#This Row],[FAENA2]]</f>
        <v>56.664999999999978</v>
      </c>
      <c r="Z79" s="245">
        <v>0</v>
      </c>
      <c r="AA79" s="246">
        <v>0</v>
      </c>
      <c r="AB79" s="438">
        <f>(AB78-V062A_2030313334363537[[#This Row],[CYLINDER MP]])+V062A_2030313334363537[[#This Row],[FAENA EN LTS]]</f>
        <v>3180.33</v>
      </c>
      <c r="AC79" s="246">
        <v>0</v>
      </c>
      <c r="AD79" s="246">
        <v>0</v>
      </c>
      <c r="AE79" s="438">
        <f>(AE78-V062A_2030313334363537[[#This Row],[CARTER MP.]])+V062A_2030313334363537[[#This Row],[FAENA EN LTS2]]</f>
        <v>3500</v>
      </c>
      <c r="AF79" s="246">
        <v>0</v>
      </c>
      <c r="AG79" s="246">
        <v>0</v>
      </c>
      <c r="AH79" s="438">
        <f>(AH78-V062A_2030313334363537[[#This Row],[MOT AUX]])+V062A_2030313334363537[[#This Row],[FAENA EN  LTS]]</f>
        <v>2240</v>
      </c>
      <c r="AI79" s="246">
        <v>0</v>
      </c>
      <c r="AJ79" s="246">
        <v>0</v>
      </c>
      <c r="AK79" s="439">
        <f>(AK78-V062A_2030313334363537[[#This Row],[HIDRAULICO]])+V062A_2030313334363537[[#This Row],[FAENA EN LTS3]]</f>
        <v>2300</v>
      </c>
    </row>
    <row r="80" spans="1:37" x14ac:dyDescent="0.25">
      <c r="A80" s="431" t="s">
        <v>385</v>
      </c>
      <c r="B80" s="48">
        <v>44240</v>
      </c>
      <c r="C80" s="237">
        <v>0.5541666666666667</v>
      </c>
      <c r="D80" s="418">
        <f>IF(V062A_2030313334363537[[#This Row],[FECHA]]-B79=1,((V062A_2030313334363537[[#This Row],[HORA]]-C79)*24)+24,(V062A_2030313334363537[[#This Row],[HORA]]-C79)*24)</f>
        <v>0.99999999999999911</v>
      </c>
      <c r="E80" s="506" t="s">
        <v>47</v>
      </c>
      <c r="F80" s="507" t="s">
        <v>213</v>
      </c>
      <c r="G80" s="508"/>
      <c r="H80" s="509"/>
      <c r="I80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0" s="511"/>
      <c r="K80" s="512"/>
      <c r="L80" s="245">
        <v>0.42</v>
      </c>
      <c r="M80" s="246">
        <v>0.08</v>
      </c>
      <c r="N80" s="246">
        <v>0.05</v>
      </c>
      <c r="O80" s="246">
        <f>SUM(V062A_2030313334363537[[#This Row],[MPAL]]+V062A_2030313334363537[[#This Row],[AUX.]]+V062A_2030313334363537[[#This Row],[CALDERA]])</f>
        <v>0.55000000000000004</v>
      </c>
      <c r="P80" s="319"/>
      <c r="Q80" s="270">
        <f>(Q79-V062A_2030313334363537[[#This Row],[TOTAL ]])+V062A_2030313334363537[[#This Row],[FAENA]]</f>
        <v>227.57000000000005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SUM(V062A_2030313334363537[[#This Row],[MPAL2]:[GI]])</f>
        <v>0</v>
      </c>
      <c r="X80" s="246"/>
      <c r="Y80" s="300">
        <f>(Y79-V062A_2030313334363537[[#This Row],[TOTAL]])+V062A_2030313334363537[[#This Row],[FAENA2]]</f>
        <v>56.664999999999978</v>
      </c>
      <c r="Z80" s="245">
        <v>0</v>
      </c>
      <c r="AA80" s="246">
        <v>0</v>
      </c>
      <c r="AB80" s="438">
        <f>(AB79-V062A_2030313334363537[[#This Row],[CYLINDER MP]])+V062A_2030313334363537[[#This Row],[FAENA EN LTS]]</f>
        <v>3180.33</v>
      </c>
      <c r="AC80" s="246">
        <v>0</v>
      </c>
      <c r="AD80" s="246">
        <v>0</v>
      </c>
      <c r="AE80" s="438">
        <f>(AE79-V062A_2030313334363537[[#This Row],[CARTER MP.]])+V062A_2030313334363537[[#This Row],[FAENA EN LTS2]]</f>
        <v>3500</v>
      </c>
      <c r="AF80" s="246">
        <v>0</v>
      </c>
      <c r="AG80" s="246">
        <v>0</v>
      </c>
      <c r="AH80" s="438">
        <f>(AH79-V062A_2030313334363537[[#This Row],[MOT AUX]])+V062A_2030313334363537[[#This Row],[FAENA EN  LTS]]</f>
        <v>2240</v>
      </c>
      <c r="AI80" s="246">
        <v>0</v>
      </c>
      <c r="AJ80" s="246">
        <v>0</v>
      </c>
      <c r="AK80" s="439">
        <f>(AK79-V062A_2030313334363537[[#This Row],[HIDRAULICO]])+V062A_2030313334363537[[#This Row],[FAENA EN LTS3]]</f>
        <v>2300</v>
      </c>
    </row>
    <row r="81" spans="1:37" x14ac:dyDescent="0.25">
      <c r="A81" s="431" t="s">
        <v>385</v>
      </c>
      <c r="B81" s="469">
        <v>44241</v>
      </c>
      <c r="C81" s="237">
        <v>0.33333333333333331</v>
      </c>
      <c r="D81" s="418">
        <f>IF(V062A_2030313334363537[[#This Row],[FECHA]]-B80=1,((V062A_2030313334363537[[#This Row],[HORA]]-C80)*24)+24,(V062A_2030313334363537[[#This Row],[HORA]]-C80)*24)</f>
        <v>18.7</v>
      </c>
      <c r="E81" s="506" t="s">
        <v>61</v>
      </c>
      <c r="F81" s="507" t="s">
        <v>56</v>
      </c>
      <c r="G81" s="508">
        <v>232</v>
      </c>
      <c r="H81" s="509">
        <v>18.7</v>
      </c>
      <c r="I81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12.406417112299465</v>
      </c>
      <c r="J81" s="511">
        <v>3</v>
      </c>
      <c r="K81" s="512">
        <v>97</v>
      </c>
      <c r="L81" s="245">
        <v>15.58</v>
      </c>
      <c r="M81" s="246">
        <v>1.17</v>
      </c>
      <c r="N81" s="246">
        <v>0</v>
      </c>
      <c r="O81" s="246">
        <f>SUM(V062A_2030313334363537[[#This Row],[MPAL]]+V062A_2030313334363537[[#This Row],[AUX.]]+V062A_2030313334363537[[#This Row],[CALDERA]])</f>
        <v>16.75</v>
      </c>
      <c r="P81" s="319"/>
      <c r="Q81" s="270">
        <f>(Q80-V062A_2030313334363537[[#This Row],[TOTAL ]])+V062A_2030313334363537[[#This Row],[FAENA]]</f>
        <v>210.82000000000005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SUM(V062A_2030313334363537[[#This Row],[MPAL2]:[GI]])</f>
        <v>0</v>
      </c>
      <c r="X81" s="246"/>
      <c r="Y81" s="300">
        <f>(Y80-V062A_2030313334363537[[#This Row],[TOTAL]])+V062A_2030313334363537[[#This Row],[FAENA2]]</f>
        <v>56.664999999999978</v>
      </c>
      <c r="Z81" s="245">
        <v>218.17</v>
      </c>
      <c r="AA81" s="246">
        <v>0</v>
      </c>
      <c r="AB81" s="438">
        <f>(AB80-V062A_2030313334363537[[#This Row],[CYLINDER MP]])+V062A_2030313334363537[[#This Row],[FAENA EN LTS]]</f>
        <v>2962.16</v>
      </c>
      <c r="AC81" s="246">
        <v>0</v>
      </c>
      <c r="AD81" s="246">
        <v>0</v>
      </c>
      <c r="AE81" s="438">
        <f>(AE80-V062A_2030313334363537[[#This Row],[CARTER MP.]])+V062A_2030313334363537[[#This Row],[FAENA EN LTS2]]</f>
        <v>3500</v>
      </c>
      <c r="AF81" s="246">
        <v>20</v>
      </c>
      <c r="AG81" s="246">
        <v>0</v>
      </c>
      <c r="AH81" s="438">
        <f>(AH80-V062A_2030313334363537[[#This Row],[MOT AUX]])+V062A_2030313334363537[[#This Row],[FAENA EN  LTS]]</f>
        <v>2220</v>
      </c>
      <c r="AI81" s="246">
        <v>0</v>
      </c>
      <c r="AJ81" s="246">
        <v>0</v>
      </c>
      <c r="AK81" s="439">
        <f>(AK80-V062A_2030313334363537[[#This Row],[HIDRAULICO]])+V062A_2030313334363537[[#This Row],[FAENA EN LTS3]]</f>
        <v>2300</v>
      </c>
    </row>
    <row r="82" spans="1:37" x14ac:dyDescent="0.25">
      <c r="A82" s="431" t="s">
        <v>385</v>
      </c>
      <c r="B82" s="469">
        <v>44242</v>
      </c>
      <c r="C82" s="237">
        <v>0.33333333333333331</v>
      </c>
      <c r="D82" s="418">
        <f>IF(V062A_2030313334363537[[#This Row],[FECHA]]-B81=1,((V062A_2030313334363537[[#This Row],[HORA]]-C81)*24)+24,(V062A_2030313334363537[[#This Row],[HORA]]-C81)*24)</f>
        <v>24</v>
      </c>
      <c r="E82" s="506" t="s">
        <v>61</v>
      </c>
      <c r="F82" s="507" t="s">
        <v>56</v>
      </c>
      <c r="G82" s="508">
        <v>305</v>
      </c>
      <c r="H82" s="509">
        <v>24</v>
      </c>
      <c r="I82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12.708333333333334</v>
      </c>
      <c r="J82" s="511">
        <v>3</v>
      </c>
      <c r="K82" s="512">
        <v>97</v>
      </c>
      <c r="L82" s="245">
        <v>20</v>
      </c>
      <c r="M82" s="246">
        <v>1.5</v>
      </c>
      <c r="N82" s="246">
        <v>0</v>
      </c>
      <c r="O82" s="246">
        <f>SUM(V062A_2030313334363537[[#This Row],[MPAL]]+V062A_2030313334363537[[#This Row],[AUX.]]+V062A_2030313334363537[[#This Row],[CALDERA]])</f>
        <v>21.5</v>
      </c>
      <c r="P82" s="319"/>
      <c r="Q82" s="270">
        <f>(Q81-V062A_2030313334363537[[#This Row],[TOTAL ]])+V062A_2030313334363537[[#This Row],[FAENA]]</f>
        <v>189.32000000000005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SUM(V062A_2030313334363537[[#This Row],[MPAL2]:[GI]])</f>
        <v>0</v>
      </c>
      <c r="X82" s="246"/>
      <c r="Y82" s="300">
        <f>(Y81-V062A_2030313334363537[[#This Row],[TOTAL]])+V062A_2030313334363537[[#This Row],[FAENA2]]</f>
        <v>56.664999999999978</v>
      </c>
      <c r="Z82" s="245">
        <v>250</v>
      </c>
      <c r="AA82" s="246">
        <v>0</v>
      </c>
      <c r="AB82" s="438">
        <f>(AB81-V062A_2030313334363537[[#This Row],[CYLINDER MP]])+V062A_2030313334363537[[#This Row],[FAENA EN LTS]]</f>
        <v>2712.16</v>
      </c>
      <c r="AC82" s="246">
        <v>0</v>
      </c>
      <c r="AD82" s="246">
        <v>0</v>
      </c>
      <c r="AE82" s="438">
        <f>(AE81-V062A_2030313334363537[[#This Row],[CARTER MP.]])+V062A_2030313334363537[[#This Row],[FAENA EN LTS2]]</f>
        <v>3500</v>
      </c>
      <c r="AF82" s="246">
        <v>20</v>
      </c>
      <c r="AG82" s="246">
        <v>0</v>
      </c>
      <c r="AH82" s="438">
        <f>(AH81-V062A_2030313334363537[[#This Row],[MOT AUX]])+V062A_2030313334363537[[#This Row],[FAENA EN  LTS]]</f>
        <v>2200</v>
      </c>
      <c r="AI82" s="246">
        <v>0</v>
      </c>
      <c r="AJ82" s="246">
        <v>0</v>
      </c>
      <c r="AK82" s="439">
        <f>(AK81-V062A_2030313334363537[[#This Row],[HIDRAULICO]])+V062A_2030313334363537[[#This Row],[FAENA EN LTS3]]</f>
        <v>2300</v>
      </c>
    </row>
    <row r="83" spans="1:37" x14ac:dyDescent="0.25">
      <c r="A83" s="431" t="s">
        <v>385</v>
      </c>
      <c r="B83" s="469">
        <v>44243</v>
      </c>
      <c r="C83" s="237">
        <v>0.33333333333333331</v>
      </c>
      <c r="D83" s="418">
        <f>IF(V062A_2030313334363537[[#This Row],[FECHA]]-B82=1,((V062A_2030313334363537[[#This Row],[HORA]]-C82)*24)+24,(V062A_2030313334363537[[#This Row],[HORA]]-C82)*24)</f>
        <v>24</v>
      </c>
      <c r="E83" s="506" t="s">
        <v>61</v>
      </c>
      <c r="F83" s="507" t="s">
        <v>56</v>
      </c>
      <c r="G83" s="508">
        <v>326</v>
      </c>
      <c r="H83" s="509">
        <v>24</v>
      </c>
      <c r="I83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13.583333333333334</v>
      </c>
      <c r="J83" s="511">
        <v>4</v>
      </c>
      <c r="K83" s="512">
        <v>97</v>
      </c>
      <c r="L83" s="245">
        <v>20</v>
      </c>
      <c r="M83" s="246">
        <v>1.5</v>
      </c>
      <c r="N83" s="246">
        <v>0</v>
      </c>
      <c r="O83" s="246">
        <f>SUM(V062A_2030313334363537[[#This Row],[MPAL]]+V062A_2030313334363537[[#This Row],[AUX.]]+V062A_2030313334363537[[#This Row],[CALDERA]])</f>
        <v>21.5</v>
      </c>
      <c r="P83" s="319"/>
      <c r="Q83" s="270">
        <f>(Q82-V062A_2030313334363537[[#This Row],[TOTAL ]])+V062A_2030313334363537[[#This Row],[FAENA]]</f>
        <v>167.82000000000005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SUM(V062A_2030313334363537[[#This Row],[MPAL2]:[GI]])</f>
        <v>0</v>
      </c>
      <c r="X83" s="246"/>
      <c r="Y83" s="300">
        <f>(Y82-V062A_2030313334363537[[#This Row],[TOTAL]])+V062A_2030313334363537[[#This Row],[FAENA2]]</f>
        <v>56.664999999999978</v>
      </c>
      <c r="Z83" s="245">
        <v>250</v>
      </c>
      <c r="AA83" s="246">
        <v>0</v>
      </c>
      <c r="AB83" s="438">
        <f>(AB82-V062A_2030313334363537[[#This Row],[CYLINDER MP]])+V062A_2030313334363537[[#This Row],[FAENA EN LTS]]</f>
        <v>2462.16</v>
      </c>
      <c r="AC83" s="246">
        <v>0</v>
      </c>
      <c r="AD83" s="246">
        <v>0</v>
      </c>
      <c r="AE83" s="438">
        <f>(AE82-V062A_2030313334363537[[#This Row],[CARTER MP.]])+V062A_2030313334363537[[#This Row],[FAENA EN LTS2]]</f>
        <v>3500</v>
      </c>
      <c r="AF83" s="246">
        <v>20</v>
      </c>
      <c r="AG83" s="246">
        <v>0</v>
      </c>
      <c r="AH83" s="438">
        <f>(AH82-V062A_2030313334363537[[#This Row],[MOT AUX]])+V062A_2030313334363537[[#This Row],[FAENA EN  LTS]]</f>
        <v>2180</v>
      </c>
      <c r="AI83" s="246">
        <v>0</v>
      </c>
      <c r="AJ83" s="246">
        <v>0</v>
      </c>
      <c r="AK83" s="439">
        <f>(AK82-V062A_2030313334363537[[#This Row],[HIDRAULICO]])+V062A_2030313334363537[[#This Row],[FAENA EN LTS3]]</f>
        <v>2300</v>
      </c>
    </row>
    <row r="84" spans="1:37" x14ac:dyDescent="0.25">
      <c r="A84" s="431" t="s">
        <v>385</v>
      </c>
      <c r="B84" s="469">
        <v>44243</v>
      </c>
      <c r="C84" s="237">
        <v>0.66666666666666663</v>
      </c>
      <c r="D84" s="418">
        <f>IF(V062A_2030313334363537[[#This Row],[FECHA]]-B83=1,((V062A_2030313334363537[[#This Row],[HORA]]-C83)*24)+24,(V062A_2030313334363537[[#This Row],[HORA]]-C83)*24)</f>
        <v>8</v>
      </c>
      <c r="E84" s="506" t="s">
        <v>61</v>
      </c>
      <c r="F84" s="507" t="s">
        <v>416</v>
      </c>
      <c r="G84" s="508">
        <v>114</v>
      </c>
      <c r="H84" s="509">
        <v>8</v>
      </c>
      <c r="I84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14.25</v>
      </c>
      <c r="J84" s="511">
        <v>4</v>
      </c>
      <c r="K84" s="512">
        <v>97</v>
      </c>
      <c r="L84" s="245">
        <v>6.67</v>
      </c>
      <c r="M84" s="246">
        <v>0.5</v>
      </c>
      <c r="N84" s="246">
        <v>0</v>
      </c>
      <c r="O84" s="246">
        <f>SUM(V062A_2030313334363537[[#This Row],[MPAL]]+V062A_2030313334363537[[#This Row],[AUX.]]+V062A_2030313334363537[[#This Row],[CALDERA]])</f>
        <v>7.17</v>
      </c>
      <c r="P84" s="319"/>
      <c r="Q84" s="270">
        <f>(Q83-V062A_2030313334363537[[#This Row],[TOTAL ]])+V062A_2030313334363537[[#This Row],[FAENA]]</f>
        <v>160.65000000000006</v>
      </c>
      <c r="R84" s="245">
        <v>0</v>
      </c>
      <c r="S84" s="246">
        <v>0</v>
      </c>
      <c r="T84" s="246">
        <v>0</v>
      </c>
      <c r="U84" s="246">
        <v>0</v>
      </c>
      <c r="V84" s="246">
        <v>0</v>
      </c>
      <c r="W84" s="246">
        <f>SUM(V062A_2030313334363537[[#This Row],[MPAL2]:[GI]])</f>
        <v>0</v>
      </c>
      <c r="X84" s="246"/>
      <c r="Y84" s="300">
        <f>(Y83-V062A_2030313334363537[[#This Row],[TOTAL]])+V062A_2030313334363537[[#This Row],[FAENA2]]</f>
        <v>56.664999999999978</v>
      </c>
      <c r="Z84" s="245">
        <v>83.3</v>
      </c>
      <c r="AA84" s="246">
        <v>0</v>
      </c>
      <c r="AB84" s="438">
        <f>(AB83-V062A_2030313334363537[[#This Row],[CYLINDER MP]])+V062A_2030313334363537[[#This Row],[FAENA EN LTS]]</f>
        <v>2378.8599999999997</v>
      </c>
      <c r="AC84" s="246">
        <v>0</v>
      </c>
      <c r="AD84" s="246">
        <v>0</v>
      </c>
      <c r="AE84" s="438">
        <f>(AE83-V062A_2030313334363537[[#This Row],[CARTER MP.]])+V062A_2030313334363537[[#This Row],[FAENA EN LTS2]]</f>
        <v>3500</v>
      </c>
      <c r="AF84" s="246">
        <v>0</v>
      </c>
      <c r="AG84" s="246">
        <v>0</v>
      </c>
      <c r="AH84" s="438">
        <f>(AH83-V062A_2030313334363537[[#This Row],[MOT AUX]])+V062A_2030313334363537[[#This Row],[FAENA EN  LTS]]</f>
        <v>2180</v>
      </c>
      <c r="AI84" s="246">
        <v>0</v>
      </c>
      <c r="AJ84" s="246">
        <v>0</v>
      </c>
      <c r="AK84" s="439">
        <f>(AK83-V062A_2030313334363537[[#This Row],[HIDRAULICO]])+V062A_2030313334363537[[#This Row],[FAENA EN LTS3]]</f>
        <v>2300</v>
      </c>
    </row>
    <row r="85" spans="1:37" x14ac:dyDescent="0.25">
      <c r="A85" s="431"/>
      <c r="B85" s="469"/>
      <c r="C85" s="237"/>
      <c r="D85" s="418"/>
      <c r="E85" s="506"/>
      <c r="F85" s="507"/>
      <c r="G85" s="508"/>
      <c r="H85" s="509"/>
      <c r="I85" s="510"/>
      <c r="J85" s="511"/>
      <c r="K85" s="512"/>
      <c r="L85" s="245"/>
      <c r="M85" s="246"/>
      <c r="N85" s="246"/>
      <c r="O85" s="246"/>
      <c r="P85" s="319"/>
      <c r="Q85" s="270"/>
      <c r="R85" s="245"/>
      <c r="S85" s="246"/>
      <c r="T85" s="246"/>
      <c r="U85" s="246"/>
      <c r="V85" s="246"/>
      <c r="W85" s="246"/>
      <c r="X85" s="246"/>
      <c r="Y85" s="300"/>
      <c r="Z85" s="245"/>
      <c r="AA85" s="246"/>
      <c r="AB85" s="438"/>
      <c r="AC85" s="246"/>
      <c r="AD85" s="246"/>
      <c r="AE85" s="438"/>
      <c r="AF85" s="246"/>
      <c r="AG85" s="246"/>
      <c r="AH85" s="438"/>
      <c r="AI85" s="246"/>
      <c r="AJ85" s="246"/>
      <c r="AK85" s="439"/>
    </row>
    <row r="86" spans="1:37" x14ac:dyDescent="0.25">
      <c r="A86" s="431"/>
      <c r="B86" s="469"/>
      <c r="C86" s="237"/>
      <c r="D86" s="418"/>
      <c r="E86" s="506"/>
      <c r="F86" s="507"/>
      <c r="G86" s="508"/>
      <c r="H86" s="509"/>
      <c r="I86" s="510"/>
      <c r="J86" s="511"/>
      <c r="K86" s="512"/>
      <c r="L86" s="245"/>
      <c r="M86" s="246"/>
      <c r="N86" s="246"/>
      <c r="O86" s="246"/>
      <c r="P86" s="319"/>
      <c r="Q86" s="270"/>
      <c r="R86" s="245"/>
      <c r="S86" s="246"/>
      <c r="T86" s="246"/>
      <c r="U86" s="246"/>
      <c r="V86" s="246"/>
      <c r="W86" s="246"/>
      <c r="X86" s="246"/>
      <c r="Y86" s="300"/>
      <c r="Z86" s="245"/>
      <c r="AA86" s="246"/>
      <c r="AB86" s="438"/>
      <c r="AC86" s="246"/>
      <c r="AD86" s="246"/>
      <c r="AE86" s="438"/>
      <c r="AF86" s="246"/>
      <c r="AG86" s="246"/>
      <c r="AH86" s="438"/>
      <c r="AI86" s="246"/>
      <c r="AJ86" s="246"/>
      <c r="AK86" s="439"/>
    </row>
    <row r="87" spans="1:37" x14ac:dyDescent="0.25">
      <c r="A87" s="431"/>
      <c r="B87" s="469"/>
      <c r="C87" s="237"/>
      <c r="D87" s="418"/>
      <c r="E87" s="506"/>
      <c r="F87" s="507"/>
      <c r="G87" s="508"/>
      <c r="H87" s="509"/>
      <c r="I87" s="510"/>
      <c r="J87" s="511"/>
      <c r="K87" s="512"/>
      <c r="L87" s="245"/>
      <c r="M87" s="246"/>
      <c r="N87" s="246"/>
      <c r="O87" s="246"/>
      <c r="P87" s="319"/>
      <c r="Q87" s="270"/>
      <c r="R87" s="245"/>
      <c r="S87" s="246"/>
      <c r="T87" s="246"/>
      <c r="U87" s="246"/>
      <c r="V87" s="246"/>
      <c r="W87" s="246"/>
      <c r="X87" s="246"/>
      <c r="Y87" s="300"/>
      <c r="Z87" s="245"/>
      <c r="AA87" s="246"/>
      <c r="AB87" s="438"/>
      <c r="AC87" s="246"/>
      <c r="AD87" s="246"/>
      <c r="AE87" s="438"/>
      <c r="AF87" s="246"/>
      <c r="AG87" s="246"/>
      <c r="AH87" s="438"/>
      <c r="AI87" s="246"/>
      <c r="AJ87" s="246"/>
      <c r="AK87" s="439"/>
    </row>
    <row r="88" spans="1:37" x14ac:dyDescent="0.25">
      <c r="A88" s="468"/>
      <c r="B88" s="469"/>
      <c r="C88" s="237"/>
      <c r="D88" s="418">
        <f>IF(V062A_2030313334363537[[#This Row],[FECHA]]-B87=1,((V062A_2030313334363537[[#This Row],[HORA]]-C87)*24)+24,(V062A_2030313334363537[[#This Row],[HORA]]-C87)*24)</f>
        <v>0</v>
      </c>
      <c r="E88" s="506"/>
      <c r="F88" s="507"/>
      <c r="G88" s="508"/>
      <c r="H88" s="509"/>
      <c r="I88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8" s="511"/>
      <c r="K88" s="512"/>
      <c r="L88" s="245"/>
      <c r="M88" s="246"/>
      <c r="N88" s="246"/>
      <c r="O88" s="246">
        <f>SUM(V062A_2030313334363537[[#This Row],[MPAL]]+V062A_2030313334363537[[#This Row],[AUX.]]+V062A_2030313334363537[[#This Row],[CALDERA]])</f>
        <v>0</v>
      </c>
      <c r="P88" s="319"/>
      <c r="Q88" s="270">
        <f>(Q87-V062A_2030313334363537[[#This Row],[TOTAL ]])+V062A_2030313334363537[[#This Row],[FAENA]]</f>
        <v>0</v>
      </c>
      <c r="R88" s="245"/>
      <c r="S88" s="246"/>
      <c r="T88" s="246"/>
      <c r="U88" s="246"/>
      <c r="V88" s="246"/>
      <c r="W88" s="246">
        <f>SUM(V062A_2030313334363537[[#This Row],[MPAL2]:[GI]])</f>
        <v>0</v>
      </c>
      <c r="X88" s="246"/>
      <c r="Y88" s="300">
        <f>(Y87-V062A_2030313334363537[[#This Row],[TOTAL]])+V062A_2030313334363537[[#This Row],[FAENA2]]</f>
        <v>0</v>
      </c>
      <c r="Z88" s="245"/>
      <c r="AA88" s="246"/>
      <c r="AB88" s="438">
        <f>(AB87-V062A_2030313334363537[[#This Row],[CYLINDER MP]])+V062A_2030313334363537[[#This Row],[FAENA EN LTS]]</f>
        <v>0</v>
      </c>
      <c r="AC88" s="246"/>
      <c r="AD88" s="246"/>
      <c r="AE88" s="438">
        <f>(AE87-V062A_2030313334363537[[#This Row],[CARTER MP.]])+V062A_2030313334363537[[#This Row],[FAENA EN LTS2]]</f>
        <v>0</v>
      </c>
      <c r="AF88" s="246"/>
      <c r="AG88" s="246"/>
      <c r="AH88" s="438">
        <f>(AH87-V062A_2030313334363537[[#This Row],[MOT AUX]])+V062A_2030313334363537[[#This Row],[FAENA EN  LTS]]</f>
        <v>0</v>
      </c>
      <c r="AI88" s="246"/>
      <c r="AJ88" s="246"/>
      <c r="AK88" s="439">
        <f>(AK87-V062A_2030313334363537[[#This Row],[HIDRAULICO]])+V062A_2030313334363537[[#This Row],[FAENA EN LTS3]]</f>
        <v>0</v>
      </c>
    </row>
    <row r="89" spans="1:37" x14ac:dyDescent="0.25">
      <c r="A89" s="468"/>
      <c r="B89" s="469"/>
      <c r="C89" s="237"/>
      <c r="D89" s="418">
        <f>IF(V062A_2030313334363537[[#This Row],[FECHA]]-B88=1,((V062A_2030313334363537[[#This Row],[HORA]]-C88)*24)+24,(V062A_2030313334363537[[#This Row],[HORA]]-C88)*24)</f>
        <v>0</v>
      </c>
      <c r="E89" s="506"/>
      <c r="F89" s="507"/>
      <c r="G89" s="508"/>
      <c r="H89" s="509"/>
      <c r="I89" s="510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89" s="511"/>
      <c r="K89" s="512"/>
      <c r="L89" s="245"/>
      <c r="M89" s="246"/>
      <c r="N89" s="246"/>
      <c r="O89" s="246">
        <f>SUM(V062A_2030313334363537[[#This Row],[MPAL]]+V062A_2030313334363537[[#This Row],[AUX.]]+V062A_2030313334363537[[#This Row],[CALDERA]])</f>
        <v>0</v>
      </c>
      <c r="P89" s="319"/>
      <c r="Q89" s="270">
        <f>(Q88-V062A_2030313334363537[[#This Row],[TOTAL ]])+V062A_2030313334363537[[#This Row],[FAENA]]</f>
        <v>0</v>
      </c>
      <c r="R89" s="245"/>
      <c r="S89" s="246"/>
      <c r="T89" s="246"/>
      <c r="U89" s="246"/>
      <c r="V89" s="246"/>
      <c r="W89" s="246">
        <f>SUM(V062A_2030313334363537[[#This Row],[MPAL2]:[GI]])</f>
        <v>0</v>
      </c>
      <c r="X89" s="246"/>
      <c r="Y89" s="300">
        <f>(Y88-V062A_2030313334363537[[#This Row],[TOTAL]])+V062A_2030313334363537[[#This Row],[FAENA2]]</f>
        <v>0</v>
      </c>
      <c r="Z89" s="245"/>
      <c r="AA89" s="246"/>
      <c r="AB89" s="438">
        <f>(AB88-V062A_2030313334363537[[#This Row],[CYLINDER MP]])+V062A_2030313334363537[[#This Row],[FAENA EN LTS]]</f>
        <v>0</v>
      </c>
      <c r="AC89" s="246"/>
      <c r="AD89" s="246"/>
      <c r="AE89" s="438">
        <f>(AE88-V062A_2030313334363537[[#This Row],[CARTER MP.]])+V062A_2030313334363537[[#This Row],[FAENA EN LTS2]]</f>
        <v>0</v>
      </c>
      <c r="AF89" s="246"/>
      <c r="AG89" s="246"/>
      <c r="AH89" s="438">
        <f>(AH88-V062A_2030313334363537[[#This Row],[MOT AUX]])+V062A_2030313334363537[[#This Row],[FAENA EN  LTS]]</f>
        <v>0</v>
      </c>
      <c r="AI89" s="246"/>
      <c r="AJ89" s="246"/>
      <c r="AK89" s="439">
        <f>(AK88-V062A_2030313334363537[[#This Row],[HIDRAULICO]])+V062A_2030313334363537[[#This Row],[FAENA EN LTS3]]</f>
        <v>0</v>
      </c>
    </row>
    <row r="90" spans="1:37" x14ac:dyDescent="0.25">
      <c r="A90" s="468"/>
      <c r="B90" s="469"/>
      <c r="C90" s="237"/>
      <c r="D90" s="418">
        <f>IF(V062A_2030313334363537[[#This Row],[FECHA]]-B89=1,((V062A_2030313334363537[[#This Row],[HORA]]-C89)*24)+24,(V062A_2030313334363537[[#This Row],[HORA]]-C89)*24)</f>
        <v>0</v>
      </c>
      <c r="E90" s="490"/>
      <c r="F90" s="491"/>
      <c r="G90" s="492"/>
      <c r="H90" s="493"/>
      <c r="I90" s="494">
        <f>IF(ISERROR(V062A_2030313334363537[[#This Row],[DISTANCIA POR CARTA]]/V062A_2030313334363537[[#This Row],[TIEMPO DE NAVEGACION]]),0,V062A_2030313334363537[[#This Row],[DISTANCIA POR CARTA]]/V062A_2030313334363537[[#This Row],[TIEMPO DE NAVEGACION]])</f>
        <v>0</v>
      </c>
      <c r="J90" s="495"/>
      <c r="K90" s="496"/>
      <c r="L90" s="245"/>
      <c r="M90" s="246"/>
      <c r="N90" s="246"/>
      <c r="O90" s="246">
        <f>SUM(V062A_2030313334363537[[#This Row],[MPAL]]+V062A_2030313334363537[[#This Row],[AUX.]]+V062A_2030313334363537[[#This Row],[CALDERA]])</f>
        <v>0</v>
      </c>
      <c r="P90" s="319"/>
      <c r="Q90" s="270">
        <f>(Q89-V062A_2030313334363537[[#This Row],[TOTAL ]])+V062A_2030313334363537[[#This Row],[FAENA]]</f>
        <v>0</v>
      </c>
      <c r="R90" s="245"/>
      <c r="S90" s="246"/>
      <c r="T90" s="246"/>
      <c r="U90" s="246"/>
      <c r="V90" s="246"/>
      <c r="W90" s="246">
        <f>SUM(V062A_2030313334363537[[#This Row],[MPAL2]:[GI]])</f>
        <v>0</v>
      </c>
      <c r="X90" s="246"/>
      <c r="Y90" s="300">
        <f>(Y89-V062A_2030313334363537[[#This Row],[TOTAL]])+V062A_2030313334363537[[#This Row],[FAENA2]]</f>
        <v>0</v>
      </c>
      <c r="Z90" s="245"/>
      <c r="AA90" s="246"/>
      <c r="AB90" s="438">
        <f>(AB89-V062A_2030313334363537[[#This Row],[CYLINDER MP]])+V062A_2030313334363537[[#This Row],[FAENA EN LTS]]</f>
        <v>0</v>
      </c>
      <c r="AC90" s="246"/>
      <c r="AD90" s="246"/>
      <c r="AE90" s="438">
        <f>(AE89-V062A_2030313334363537[[#This Row],[CARTER MP.]])+V062A_2030313334363537[[#This Row],[FAENA EN LTS2]]</f>
        <v>0</v>
      </c>
      <c r="AF90" s="246"/>
      <c r="AG90" s="246"/>
      <c r="AH90" s="438">
        <f>(AH89-V062A_2030313334363537[[#This Row],[MOT AUX]])+V062A_2030313334363537[[#This Row],[FAENA EN  LTS]]</f>
        <v>0</v>
      </c>
      <c r="AI90" s="246"/>
      <c r="AJ90" s="246"/>
      <c r="AK90" s="439">
        <f>(AK89-V062A_2030313334363537[[#This Row],[HIDRAULICO]])+V062A_2030313334363537[[#This Row],[FAENA EN LTS3]]</f>
        <v>0</v>
      </c>
    </row>
    <row r="91" spans="1:37" x14ac:dyDescent="0.25">
      <c r="A91" s="453"/>
      <c r="B91" s="454"/>
      <c r="C91" s="455"/>
      <c r="D91" s="481"/>
      <c r="E91" s="457"/>
      <c r="F91" s="458"/>
      <c r="G91" s="459"/>
      <c r="H91" s="460"/>
      <c r="I91" s="461"/>
      <c r="J91" s="459"/>
      <c r="K91" s="459"/>
      <c r="L91" s="68"/>
      <c r="M91" s="68"/>
      <c r="N91" s="68"/>
      <c r="P91" s="462"/>
      <c r="Q91" s="456"/>
      <c r="R91" s="456"/>
      <c r="S91" s="456"/>
      <c r="T91" s="456"/>
      <c r="U91" s="456"/>
      <c r="V91" s="456"/>
      <c r="W91" s="456"/>
      <c r="X91" s="456"/>
      <c r="Y91" s="463"/>
      <c r="Z91" s="463"/>
      <c r="AA91" s="463"/>
      <c r="AB91" s="464"/>
      <c r="AC91" s="463"/>
      <c r="AD91" s="463"/>
      <c r="AE91" s="464"/>
      <c r="AF91" s="456"/>
      <c r="AG91" s="456"/>
      <c r="AH91" s="465"/>
      <c r="AI91" s="456"/>
      <c r="AJ91" s="456"/>
      <c r="AK91" s="465"/>
    </row>
    <row r="92" spans="1:37" x14ac:dyDescent="0.25">
      <c r="A92" s="453"/>
      <c r="B92" s="454"/>
      <c r="C92" s="455"/>
      <c r="D92" s="456"/>
      <c r="E92" s="457"/>
      <c r="F92" s="458"/>
      <c r="G92" s="459"/>
      <c r="H92" s="460"/>
      <c r="I92" s="461"/>
      <c r="J92" s="459"/>
      <c r="K92" s="459"/>
      <c r="O92" s="67">
        <f>SUM(L91:N91)</f>
        <v>0</v>
      </c>
      <c r="P92" s="462"/>
      <c r="Q92" s="456"/>
      <c r="R92" s="456"/>
      <c r="S92" s="456"/>
      <c r="T92" s="456"/>
      <c r="U92" s="456"/>
      <c r="V92" s="456"/>
      <c r="W92" s="456"/>
      <c r="X92" s="456"/>
      <c r="Y92" s="463"/>
      <c r="Z92" s="463"/>
      <c r="AA92" s="463"/>
      <c r="AB92" s="464"/>
      <c r="AC92" s="463"/>
      <c r="AD92" s="463"/>
      <c r="AE92" s="464"/>
      <c r="AF92" s="456"/>
      <c r="AG92" s="456"/>
      <c r="AH92" s="465"/>
      <c r="AI92" s="456"/>
      <c r="AJ92" s="456"/>
      <c r="AK92" s="465"/>
    </row>
    <row r="93" spans="1:37" x14ac:dyDescent="0.25">
      <c r="A93" s="453"/>
      <c r="B93" s="454"/>
      <c r="C93" s="455"/>
      <c r="D93" s="456"/>
      <c r="E93" s="457"/>
      <c r="F93" s="458"/>
      <c r="G93" s="459"/>
      <c r="H93" s="460"/>
      <c r="I93" s="461"/>
      <c r="J93" s="459"/>
      <c r="K93" s="459"/>
      <c r="L93" s="456"/>
      <c r="M93" s="456"/>
      <c r="N93" s="456"/>
      <c r="O93" s="456"/>
      <c r="P93" s="462"/>
      <c r="Q93" s="456"/>
      <c r="R93" s="456"/>
      <c r="S93" s="456"/>
      <c r="T93" s="456"/>
      <c r="U93" s="456"/>
      <c r="V93" s="456"/>
      <c r="W93" s="456"/>
      <c r="X93" s="456"/>
      <c r="Y93" s="463"/>
      <c r="Z93" s="463"/>
      <c r="AA93" s="463"/>
      <c r="AB93" s="464"/>
      <c r="AC93" s="463"/>
      <c r="AD93" s="463"/>
      <c r="AE93" s="464"/>
      <c r="AF93" s="456"/>
      <c r="AG93" s="456"/>
      <c r="AH93" s="465"/>
      <c r="AI93" s="456"/>
      <c r="AJ93" s="456"/>
      <c r="AK93" s="465"/>
    </row>
    <row r="94" spans="1:37" x14ac:dyDescent="0.25">
      <c r="A94" s="453"/>
      <c r="B94" s="454"/>
      <c r="C94" s="455"/>
      <c r="D94" s="456"/>
      <c r="E94" s="457"/>
      <c r="F94" s="458"/>
      <c r="G94" s="459"/>
      <c r="H94" s="460"/>
      <c r="I94" s="461"/>
      <c r="J94" s="459"/>
      <c r="K94" s="459"/>
      <c r="L94" s="456"/>
      <c r="M94" s="456"/>
      <c r="N94" s="456"/>
      <c r="O94" s="456"/>
      <c r="P94" s="462"/>
      <c r="Q94" s="456"/>
      <c r="R94" s="456"/>
      <c r="S94" s="456"/>
      <c r="T94" s="456"/>
      <c r="U94" s="456"/>
      <c r="V94" s="456"/>
      <c r="W94" s="456"/>
      <c r="X94" s="456"/>
      <c r="Y94" s="463"/>
      <c r="Z94" s="463"/>
      <c r="AA94" s="463"/>
      <c r="AB94" s="464"/>
      <c r="AC94" s="463"/>
      <c r="AD94" s="463"/>
      <c r="AE94" s="464"/>
      <c r="AF94" s="456"/>
      <c r="AG94" s="456"/>
      <c r="AH94" s="465"/>
      <c r="AI94" s="456"/>
      <c r="AJ94" s="456"/>
      <c r="AK94" s="465"/>
    </row>
    <row r="95" spans="1:37" ht="19.5" thickBot="1" x14ac:dyDescent="0.35">
      <c r="C95" s="69" t="s">
        <v>187</v>
      </c>
      <c r="D95" s="69"/>
      <c r="E95" s="69"/>
      <c r="F95" s="467"/>
      <c r="G95" s="69"/>
      <c r="N95" s="69"/>
      <c r="O95" s="69"/>
      <c r="Q95" s="466"/>
      <c r="S95" s="70" t="s">
        <v>188</v>
      </c>
      <c r="AF95" s="466"/>
      <c r="AG95" s="466"/>
      <c r="AH95" s="466"/>
      <c r="AI95" s="466"/>
      <c r="AJ95" s="466"/>
      <c r="AK95" s="466"/>
    </row>
    <row r="96" spans="1:37" ht="19.5" thickBot="1" x14ac:dyDescent="0.35">
      <c r="C96" s="69"/>
      <c r="D96" s="69"/>
      <c r="E96" s="69"/>
      <c r="F96" s="69"/>
      <c r="G96" s="69"/>
      <c r="N96" s="69"/>
      <c r="O96" s="69"/>
      <c r="S96" s="70"/>
    </row>
    <row r="97" spans="3:25" ht="45.75" thickBot="1" x14ac:dyDescent="0.3">
      <c r="C97" s="71" t="s">
        <v>11</v>
      </c>
      <c r="D97" s="71" t="s">
        <v>90</v>
      </c>
      <c r="E97" s="72" t="s">
        <v>91</v>
      </c>
      <c r="F97" s="72" t="s">
        <v>92</v>
      </c>
      <c r="G97" s="72" t="s">
        <v>93</v>
      </c>
      <c r="H97" s="71" t="s">
        <v>94</v>
      </c>
      <c r="I97" s="71" t="s">
        <v>95</v>
      </c>
      <c r="J97" s="71" t="s">
        <v>96</v>
      </c>
      <c r="K97" s="71" t="s">
        <v>97</v>
      </c>
      <c r="L97" s="71" t="s">
        <v>98</v>
      </c>
      <c r="M97" s="377" t="s">
        <v>99</v>
      </c>
      <c r="N97" s="75" t="s">
        <v>100</v>
      </c>
      <c r="R97" s="111" t="s">
        <v>101</v>
      </c>
      <c r="S97" s="111" t="s">
        <v>94</v>
      </c>
      <c r="T97" s="111" t="s">
        <v>102</v>
      </c>
      <c r="U97" s="111" t="s">
        <v>96</v>
      </c>
      <c r="V97" s="111" t="s">
        <v>103</v>
      </c>
      <c r="W97" s="111" t="s">
        <v>104</v>
      </c>
    </row>
    <row r="98" spans="3:25" x14ac:dyDescent="0.25">
      <c r="C98" s="77" t="s">
        <v>71</v>
      </c>
      <c r="D98" s="376">
        <f t="shared" ref="D98:D105" si="0">SUMIF($E$6:$E$90,C98,$D$6:$D$90)</f>
        <v>43.083333333333336</v>
      </c>
      <c r="E98" s="279"/>
      <c r="F98" s="288"/>
      <c r="G98" s="137"/>
      <c r="H98" s="84">
        <f>SUMIF($E$6:$E$67,C98,$L$6:$L$67)+SUMIF($E$6:$E$67,C98,$M$6:$M$67)+SUMIF($E$6:$E$67,C98,$N$6:$N$67)</f>
        <v>4.8500000000000005</v>
      </c>
      <c r="I98" s="139">
        <f t="shared" ref="I98:I105" si="1">IF(ISERROR(H98*24/D98),0,H98*24/D98)</f>
        <v>2.7017408123791102</v>
      </c>
      <c r="J98" s="137">
        <v>6</v>
      </c>
      <c r="K98" s="80"/>
      <c r="L98" s="38">
        <f>D98*J98/24</f>
        <v>10.770833333333334</v>
      </c>
      <c r="M98" s="80">
        <f t="shared" ref="M98:M105" si="2">L98-H98</f>
        <v>5.9208333333333334</v>
      </c>
      <c r="N98" s="86"/>
      <c r="Q98" s="82"/>
      <c r="R98" s="83" t="s">
        <v>105</v>
      </c>
      <c r="S98" s="228">
        <f>SUM(V5:V67)</f>
        <v>20.950000000000003</v>
      </c>
      <c r="T98" s="84">
        <f>S98*24/($D$99+$D$105)</f>
        <v>4.3041803395634188</v>
      </c>
      <c r="U98" s="84">
        <v>6</v>
      </c>
      <c r="V98" s="85">
        <f>($D$99+$D$105)*U98/24</f>
        <v>29.204166666666666</v>
      </c>
      <c r="W98" s="86">
        <f>V98-S98</f>
        <v>8.2541666666666629</v>
      </c>
    </row>
    <row r="99" spans="3:25" x14ac:dyDescent="0.25">
      <c r="C99" s="87" t="s">
        <v>51</v>
      </c>
      <c r="D99" s="264">
        <f t="shared" si="0"/>
        <v>57.849999999999994</v>
      </c>
      <c r="E99" s="264"/>
      <c r="F99" s="289"/>
      <c r="G99" s="139"/>
      <c r="H99" s="88">
        <f>SUMIF($E$6:$E$67,C99,$L$6:$L$67)+SUMIF($E$6:$E$67,C99,$M$6:$M$67)+SUMIF($E$6:$E$67,C99,$N$6:$N$67)</f>
        <v>4.45</v>
      </c>
      <c r="I99" s="139">
        <f t="shared" si="1"/>
        <v>1.8461538461538465</v>
      </c>
      <c r="J99" s="139">
        <v>6</v>
      </c>
      <c r="K99" s="88"/>
      <c r="L99" s="418">
        <f t="shared" ref="L99:L105" si="3">D99*J99/24</f>
        <v>14.462499999999999</v>
      </c>
      <c r="M99" s="88">
        <f t="shared" si="2"/>
        <v>10.012499999999999</v>
      </c>
      <c r="N99" s="121"/>
      <c r="R99" s="90" t="s">
        <v>106</v>
      </c>
      <c r="S99" s="286">
        <f>SUM(S5:S22)</f>
        <v>0</v>
      </c>
      <c r="T99" s="84">
        <f>S99*24/($D$99+$D$105)</f>
        <v>0</v>
      </c>
      <c r="U99" s="88"/>
      <c r="V99" s="88"/>
      <c r="W99" s="121"/>
    </row>
    <row r="100" spans="3:25" x14ac:dyDescent="0.25">
      <c r="C100" s="87" t="s">
        <v>61</v>
      </c>
      <c r="D100" s="264">
        <f t="shared" si="0"/>
        <v>74.7</v>
      </c>
      <c r="E100" s="264">
        <f>SUMIF($E$6:$E$90,C100,$G$6:$G$90)</f>
        <v>977</v>
      </c>
      <c r="F100" s="289">
        <f>E100/D100</f>
        <v>13.078982597054885</v>
      </c>
      <c r="G100" s="139">
        <v>12</v>
      </c>
      <c r="H100" s="88">
        <f>SUMIF($E$6:$E$67,C100,$L$6:$L$67)+SUMIF($E$6:$E$67,C100,$M$6:$M$67)+SUMIF($E$6:$E$67,C100,$N$6:$N$67)</f>
        <v>0</v>
      </c>
      <c r="I100" s="139">
        <f t="shared" si="1"/>
        <v>0</v>
      </c>
      <c r="J100" s="139">
        <v>27</v>
      </c>
      <c r="K100" s="88">
        <f>E100/G100</f>
        <v>81.416666666666671</v>
      </c>
      <c r="L100" s="418">
        <f>K100*J100/24</f>
        <v>91.59375</v>
      </c>
      <c r="M100" s="88">
        <f t="shared" si="2"/>
        <v>91.59375</v>
      </c>
      <c r="N100" s="121">
        <f>K100-D100</f>
        <v>6.7166666666666686</v>
      </c>
      <c r="R100" s="90" t="s">
        <v>20</v>
      </c>
      <c r="S100" s="286">
        <f>SUM(T5:T65)</f>
        <v>0.75</v>
      </c>
      <c r="T100" s="84">
        <f>S100*24/($D$99+$D$105)</f>
        <v>0.15408760165501498</v>
      </c>
      <c r="U100" s="88"/>
      <c r="V100" s="88"/>
      <c r="W100" s="121"/>
    </row>
    <row r="101" spans="3:25" x14ac:dyDescent="0.25">
      <c r="C101" s="87" t="s">
        <v>55</v>
      </c>
      <c r="D101" s="264">
        <f t="shared" si="0"/>
        <v>98</v>
      </c>
      <c r="E101" s="264">
        <f>SUMIF($E$6:$E$90,C101,$G$6:$G$90)</f>
        <v>1255</v>
      </c>
      <c r="F101" s="289">
        <f>E101/D101</f>
        <v>12.806122448979592</v>
      </c>
      <c r="G101" s="139">
        <v>12</v>
      </c>
      <c r="H101" s="88">
        <f>SUMIF($E$6:$E$90,C101,$L$6:$L$90)+SUMIF($E$6:$E$90,C101,$M$6:$M$90)+SUMIF($E$6:$E$90,C101,$N$6:$N$90)</f>
        <v>111.47</v>
      </c>
      <c r="I101" s="139">
        <f t="shared" si="1"/>
        <v>27.298775510204081</v>
      </c>
      <c r="J101" s="139">
        <v>27</v>
      </c>
      <c r="K101" s="88">
        <f>E101/G101</f>
        <v>104.58333333333333</v>
      </c>
      <c r="L101" s="418">
        <f>K101*J101/24</f>
        <v>117.65625</v>
      </c>
      <c r="M101" s="88">
        <f t="shared" si="2"/>
        <v>6.1862500000000011</v>
      </c>
      <c r="N101" s="121">
        <f>K101-D101</f>
        <v>6.5833333333333286</v>
      </c>
      <c r="R101" s="90" t="s">
        <v>107</v>
      </c>
      <c r="S101" s="286">
        <f>SUM(U5:U90)</f>
        <v>0</v>
      </c>
      <c r="T101" s="84">
        <f>S101*24/($D$99+$D$105)</f>
        <v>0</v>
      </c>
      <c r="U101" s="88"/>
      <c r="V101" s="88"/>
      <c r="W101" s="121"/>
    </row>
    <row r="102" spans="3:25" ht="15.75" thickBot="1" x14ac:dyDescent="0.3">
      <c r="C102" s="87" t="s">
        <v>108</v>
      </c>
      <c r="D102" s="264">
        <f t="shared" si="0"/>
        <v>0</v>
      </c>
      <c r="E102" s="264">
        <f>SUMIF($E$6:$E$90,C102,$G$6:$G$90)</f>
        <v>0</v>
      </c>
      <c r="F102" s="289">
        <f>IF(ISERROR(E102/D102),0,E102/D102)</f>
        <v>0</v>
      </c>
      <c r="G102" s="139">
        <v>12</v>
      </c>
      <c r="H102" s="88">
        <f>SUMIF($E$6:$E$90,C102,$L$6:$L$90)+SUMIF($E$6:$E$90,C102,$M$6:$M$90)+SUMIF($E$6:$E$90,C102,$N$6:$N$90)</f>
        <v>0</v>
      </c>
      <c r="I102" s="139">
        <f>IF(ISERROR(H102*24/D102),0,H102*24/D102)</f>
        <v>0</v>
      </c>
      <c r="J102" s="139">
        <v>27</v>
      </c>
      <c r="K102" s="88">
        <f>E102/G102</f>
        <v>0</v>
      </c>
      <c r="L102" s="418">
        <f>K102*J102/24</f>
        <v>0</v>
      </c>
      <c r="M102" s="88">
        <f t="shared" si="2"/>
        <v>0</v>
      </c>
      <c r="N102" s="121">
        <f>K102-D102</f>
        <v>0</v>
      </c>
      <c r="R102" s="92" t="s">
        <v>24</v>
      </c>
      <c r="S102" s="287">
        <f>SUM(R5:R90)</f>
        <v>0</v>
      </c>
      <c r="T102" s="84">
        <f>S102*24/($D$99+$D$105)</f>
        <v>0</v>
      </c>
      <c r="U102" s="98"/>
      <c r="V102" s="98"/>
      <c r="W102" s="122"/>
    </row>
    <row r="103" spans="3:25" x14ac:dyDescent="0.25">
      <c r="C103" s="87" t="s">
        <v>45</v>
      </c>
      <c r="D103" s="264">
        <f t="shared" si="0"/>
        <v>310.25</v>
      </c>
      <c r="E103" s="264"/>
      <c r="F103" s="289"/>
      <c r="G103" s="139"/>
      <c r="H103" s="88">
        <f>SUMIF($E$6:$E$90,C103,$L$6:$L$90)+SUMIF($E$6:$E$90,C103,$M$6:$M$90)+SUMIF($E$6:$E$90,C103,$N$6:$N$90)</f>
        <v>39.829999999999991</v>
      </c>
      <c r="I103" s="139">
        <f t="shared" si="1"/>
        <v>3.0811281224818692</v>
      </c>
      <c r="J103" s="139">
        <v>6</v>
      </c>
      <c r="K103" s="88"/>
      <c r="L103" s="418">
        <f t="shared" si="3"/>
        <v>77.5625</v>
      </c>
      <c r="M103" s="88">
        <f t="shared" si="2"/>
        <v>37.732500000000009</v>
      </c>
      <c r="N103" s="121"/>
      <c r="S103" s="68"/>
      <c r="T103" s="143"/>
      <c r="U103" s="68"/>
      <c r="V103" s="68"/>
      <c r="W103" s="68"/>
    </row>
    <row r="104" spans="3:25" x14ac:dyDescent="0.25">
      <c r="C104" s="87" t="s">
        <v>47</v>
      </c>
      <c r="D104" s="264">
        <f t="shared" si="0"/>
        <v>35.283333333333339</v>
      </c>
      <c r="E104" s="264"/>
      <c r="F104" s="289"/>
      <c r="G104" s="139"/>
      <c r="H104" s="88">
        <f>SUMIF($E$6:$E$90,C104,$L$6:$L$90)+SUMIF($E$6:$E$90,C104,$M$6:$M$90)+SUMIF($E$6:$E$90,C104,$N$6:$N$90)</f>
        <v>16.069999999999997</v>
      </c>
      <c r="I104" s="139">
        <f t="shared" si="1"/>
        <v>10.930940009447328</v>
      </c>
      <c r="J104" s="139">
        <v>6</v>
      </c>
      <c r="K104" s="88"/>
      <c r="L104" s="418">
        <f t="shared" si="3"/>
        <v>8.8208333333333346</v>
      </c>
      <c r="M104" s="88">
        <f t="shared" si="2"/>
        <v>-7.2491666666666621</v>
      </c>
      <c r="N104" s="121"/>
      <c r="S104" s="68"/>
      <c r="T104" s="68"/>
      <c r="U104" s="68"/>
      <c r="V104" s="68"/>
      <c r="W104" s="68"/>
    </row>
    <row r="105" spans="3:25" ht="15.75" thickBot="1" x14ac:dyDescent="0.3">
      <c r="C105" s="97" t="s">
        <v>49</v>
      </c>
      <c r="D105" s="290">
        <f t="shared" si="0"/>
        <v>58.966666666666669</v>
      </c>
      <c r="E105" s="290"/>
      <c r="F105" s="291"/>
      <c r="G105" s="140"/>
      <c r="H105" s="98">
        <f>SUMIF($E$6:$E$90,C105,$L$6:$L$90)+SUMIF($E$6:$E$90,C105,$M$6:$M$90)+SUMIF($E$6:$E$90,C105,$N$6:$N$90)</f>
        <v>7.580000000000001</v>
      </c>
      <c r="I105" s="141">
        <f t="shared" si="1"/>
        <v>3.0851328434143586</v>
      </c>
      <c r="J105" s="141">
        <v>8</v>
      </c>
      <c r="K105" s="98"/>
      <c r="L105" s="99">
        <f t="shared" si="3"/>
        <v>19.655555555555555</v>
      </c>
      <c r="M105" s="98">
        <f t="shared" si="2"/>
        <v>12.075555555555553</v>
      </c>
      <c r="N105" s="122"/>
      <c r="O105" s="68"/>
      <c r="S105" s="68"/>
      <c r="T105" s="68"/>
      <c r="U105" s="68"/>
      <c r="V105" s="68"/>
      <c r="W105" s="68"/>
    </row>
    <row r="106" spans="3:25" ht="15.75" thickBot="1" x14ac:dyDescent="0.3">
      <c r="C106" s="124"/>
      <c r="D106" s="327"/>
      <c r="E106" s="292"/>
      <c r="F106" s="293"/>
      <c r="G106" s="134"/>
      <c r="H106" s="328"/>
      <c r="I106" s="144"/>
      <c r="J106" s="144"/>
      <c r="K106" s="68"/>
      <c r="L106" s="102"/>
      <c r="M106" s="68"/>
      <c r="N106" s="145"/>
      <c r="O106" s="68"/>
      <c r="S106" s="68"/>
      <c r="T106" s="68"/>
      <c r="U106" s="68"/>
      <c r="V106" s="68"/>
      <c r="W106" s="68"/>
    </row>
    <row r="107" spans="3:25" ht="15.75" thickBot="1" x14ac:dyDescent="0.3">
      <c r="C107" s="103" t="s">
        <v>29</v>
      </c>
      <c r="D107" s="284">
        <f>SUM(D98:D105)</f>
        <v>678.13333333333333</v>
      </c>
      <c r="E107" s="284">
        <f>SUM(E98:E104)</f>
        <v>2232</v>
      </c>
      <c r="F107" s="284">
        <f>SUM(F98:F104)/2</f>
        <v>12.942552523017238</v>
      </c>
      <c r="H107" s="101">
        <f>SUM(H98:H105)</f>
        <v>184.25</v>
      </c>
      <c r="K107" s="142"/>
      <c r="L107" s="104">
        <f>SUM(L98:L105)</f>
        <v>340.52222222222224</v>
      </c>
      <c r="M107" s="101">
        <f>SUM(M98:M105)</f>
        <v>156.27222222222224</v>
      </c>
      <c r="N107" s="101">
        <f>SUM(N98:N105)</f>
        <v>13.299999999999997</v>
      </c>
      <c r="R107" s="100" t="s">
        <v>29</v>
      </c>
      <c r="S107" s="101">
        <f>SUM(S98:S102)</f>
        <v>21.700000000000003</v>
      </c>
      <c r="T107" s="101">
        <f>SUM(T98:T102)</f>
        <v>4.4582679412184341</v>
      </c>
      <c r="U107" s="68"/>
      <c r="V107" s="68"/>
      <c r="W107" s="68"/>
    </row>
    <row r="108" spans="3:25" x14ac:dyDescent="0.25">
      <c r="T108">
        <v>0</v>
      </c>
      <c r="Y108">
        <v>0</v>
      </c>
    </row>
    <row r="116" spans="9:9" x14ac:dyDescent="0.25">
      <c r="I116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94" name="Rango12"/>
    <protectedRange sqref="AC6:AD94" name="Rango10"/>
    <protectedRange sqref="Z72:AA94" name="Rango8"/>
    <protectedRange sqref="X6:X94" name="Rango6"/>
    <protectedRange sqref="R6:V94" name="Rango5"/>
    <protectedRange sqref="P6:P94" name="Rango3"/>
    <protectedRange sqref="J93:N94 J91:K92 J6:N90 E6:H94" name="Rango2"/>
    <protectedRange sqref="A6:C94" name="Rango1"/>
    <protectedRange sqref="B4:C4" name="Rango16"/>
    <protectedRange sqref="Z6:AA71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6:J68 J70:J94">
    <cfRule type="cellIs" dxfId="320" priority="13" operator="greaterThan">
      <formula>"S5"</formula>
    </cfRule>
  </conditionalFormatting>
  <conditionalFormatting sqref="I6:I68 I70:I94">
    <cfRule type="cellIs" dxfId="319" priority="12" operator="greaterThan">
      <formula>0</formula>
    </cfRule>
  </conditionalFormatting>
  <conditionalFormatting sqref="J69">
    <cfRule type="cellIs" dxfId="318" priority="4" operator="greaterThan">
      <formula>"S5"</formula>
    </cfRule>
  </conditionalFormatting>
  <conditionalFormatting sqref="I69">
    <cfRule type="cellIs" dxfId="317" priority="3" operator="greaterThan">
      <formula>0</formula>
    </cfRule>
  </conditionalFormatting>
  <dataValidations count="1">
    <dataValidation type="list" showInputMessage="1" showErrorMessage="1" sqref="E6:E94">
      <formula1>$C$98:$C$106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05"/>
  <sheetViews>
    <sheetView zoomScale="90" zoomScaleNormal="90" workbookViewId="0">
      <pane xSplit="6" ySplit="5" topLeftCell="P6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R4" sqref="R4:X4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44243</v>
      </c>
      <c r="C4" s="341">
        <v>0.66666666666666663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160.65</v>
      </c>
      <c r="R4" s="553" t="s">
        <v>183</v>
      </c>
      <c r="S4" s="554"/>
      <c r="T4" s="554"/>
      <c r="U4" s="554"/>
      <c r="V4" s="554"/>
      <c r="W4" s="554"/>
      <c r="X4" s="555"/>
      <c r="Y4" s="283">
        <v>56.67</v>
      </c>
      <c r="Z4" s="6"/>
      <c r="AA4" s="7" t="s">
        <v>184</v>
      </c>
      <c r="AB4" s="304">
        <v>2378.86</v>
      </c>
      <c r="AC4" s="9"/>
      <c r="AD4" s="7" t="s">
        <v>184</v>
      </c>
      <c r="AE4" s="304">
        <v>3500</v>
      </c>
      <c r="AG4" s="7" t="s">
        <v>184</v>
      </c>
      <c r="AH4" s="304">
        <v>2180</v>
      </c>
      <c r="AJ4" s="7" t="s">
        <v>184</v>
      </c>
      <c r="AK4" s="304">
        <v>2300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425</v>
      </c>
      <c r="B6" s="469">
        <v>44243</v>
      </c>
      <c r="C6" s="237">
        <v>0.6958333333333333</v>
      </c>
      <c r="D6" s="418">
        <f>IF(V062A_203031333436353739[[#This Row],[FECHA]]-B4=1,((V062A_203031333436353739[[#This Row],[HORA]]-C4)*24)+24,(V062A_203031333436353739[[#This Row],[HORA]]-C4)*24)</f>
        <v>0.70000000000000018</v>
      </c>
      <c r="E6" s="506" t="s">
        <v>47</v>
      </c>
      <c r="F6" s="507" t="s">
        <v>386</v>
      </c>
      <c r="G6" s="508"/>
      <c r="H6" s="509"/>
      <c r="I6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6" s="511"/>
      <c r="K6" s="512"/>
      <c r="L6" s="245">
        <v>0.28999999999999998</v>
      </c>
      <c r="M6" s="246">
        <v>0.06</v>
      </c>
      <c r="N6" s="246">
        <v>0.04</v>
      </c>
      <c r="O6" s="246">
        <f>SUM(V062A_203031333436353739[[#This Row],[MPAL]]+V062A_203031333436353739[[#This Row],[AUX.]]+V062A_203031333436353739[[#This Row],[CALDERA]])</f>
        <v>0.38999999999999996</v>
      </c>
      <c r="P6" s="319"/>
      <c r="Q6" s="270">
        <f>(Q4-V062A_203031333436353739[[#This Row],[TOTAL ]])+V062A_203031333436353739[[#This Row],[FAENA]]</f>
        <v>160.26000000000002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SUM(V062A_203031333436353739[[#This Row],[MPAL2]:[GI]])</f>
        <v>0</v>
      </c>
      <c r="X6" s="246"/>
      <c r="Y6" s="300">
        <f>(Y4-V062A_203031333436353739[[#This Row],[TOTAL]])+V062A_203031333436353739[[#This Row],[FAENA2]]</f>
        <v>56.67</v>
      </c>
      <c r="Z6" s="245">
        <v>0</v>
      </c>
      <c r="AA6" s="246">
        <v>0</v>
      </c>
      <c r="AB6" s="438">
        <f>(AB4-V062A_203031333436353739[[#This Row],[CYLINDER MP]])+V062A_203031333436353739[[#This Row],[FAENA EN LTS]]</f>
        <v>2378.86</v>
      </c>
      <c r="AC6" s="246">
        <v>0</v>
      </c>
      <c r="AD6" s="246">
        <v>0</v>
      </c>
      <c r="AE6" s="438">
        <f>(AE4-V062A_203031333436353739[[#This Row],[CARTER MP.]])+V062A_203031333436353739[[#This Row],[FAENA EN LTS2]]</f>
        <v>3500</v>
      </c>
      <c r="AF6" s="246">
        <v>0</v>
      </c>
      <c r="AG6" s="246">
        <v>0</v>
      </c>
      <c r="AH6" s="438">
        <f>(AH4-V062A_203031333436353739[[#This Row],[MOT AUX]])+V062A_203031333436353739[[#This Row],[FAENA EN  LTS]]</f>
        <v>2180</v>
      </c>
      <c r="AI6" s="246">
        <v>0</v>
      </c>
      <c r="AJ6" s="246">
        <v>0</v>
      </c>
      <c r="AK6" s="439">
        <f>(AK4-V062A_203031333436353739[[#This Row],[HIDRAULICO]])+V062A_203031333436353739[[#This Row],[FAENA EN LTS3]]</f>
        <v>2300</v>
      </c>
    </row>
    <row r="7" spans="1:37" x14ac:dyDescent="0.25">
      <c r="A7" s="431" t="s">
        <v>425</v>
      </c>
      <c r="B7" s="469">
        <v>44244</v>
      </c>
      <c r="C7" s="237">
        <v>0.33333333333333331</v>
      </c>
      <c r="D7" s="418">
        <f>IF(V062A_203031333436353739[[#This Row],[FECHA]]-B6=1,((V062A_203031333436353739[[#This Row],[HORA]]-C6)*24)+24,(V062A_203031333436353739[[#This Row],[HORA]]-C6)*24)</f>
        <v>15.3</v>
      </c>
      <c r="E7" s="506" t="s">
        <v>45</v>
      </c>
      <c r="F7" s="507" t="s">
        <v>417</v>
      </c>
      <c r="G7" s="508"/>
      <c r="H7" s="509"/>
      <c r="I7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7" s="511"/>
      <c r="K7" s="512"/>
      <c r="L7" s="245">
        <v>0</v>
      </c>
      <c r="M7" s="246">
        <v>0.96</v>
      </c>
      <c r="N7" s="246">
        <v>0.77</v>
      </c>
      <c r="O7" s="246">
        <f>SUM(V062A_203031333436353739[[#This Row],[MPAL]]+V062A_203031333436353739[[#This Row],[AUX.]]+V062A_203031333436353739[[#This Row],[CALDERA]])</f>
        <v>1.73</v>
      </c>
      <c r="P7" s="319"/>
      <c r="Q7" s="270">
        <f>(Q6-V062A_203031333436353739[[#This Row],[TOTAL ]])+V062A_203031333436353739[[#This Row],[FAENA]]</f>
        <v>158.53000000000003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SUM(V062A_203031333436353739[[#This Row],[MPAL2]:[GI]])</f>
        <v>0</v>
      </c>
      <c r="X7" s="246"/>
      <c r="Y7" s="300">
        <f>(Y6-V062A_203031333436353739[[#This Row],[TOTAL]])+V062A_203031333436353739[[#This Row],[FAENA2]]</f>
        <v>56.67</v>
      </c>
      <c r="Z7" s="245">
        <v>0</v>
      </c>
      <c r="AA7" s="246">
        <v>0</v>
      </c>
      <c r="AB7" s="438">
        <f>(AB6-V062A_203031333436353739[[#This Row],[CYLINDER MP]])+V062A_203031333436353739[[#This Row],[FAENA EN LTS]]</f>
        <v>2378.86</v>
      </c>
      <c r="AC7" s="246">
        <v>0</v>
      </c>
      <c r="AD7" s="246">
        <v>0</v>
      </c>
      <c r="AE7" s="438">
        <f>(AE6-V062A_203031333436353739[[#This Row],[CARTER MP.]])+V062A_203031333436353739[[#This Row],[FAENA EN LTS2]]</f>
        <v>3500</v>
      </c>
      <c r="AF7" s="246">
        <v>0</v>
      </c>
      <c r="AG7" s="246">
        <v>0</v>
      </c>
      <c r="AH7" s="438">
        <f>(AH6-V062A_203031333436353739[[#This Row],[MOT AUX]])+V062A_203031333436353739[[#This Row],[FAENA EN  LTS]]</f>
        <v>2180</v>
      </c>
      <c r="AI7" s="246">
        <v>0</v>
      </c>
      <c r="AJ7" s="246">
        <v>0</v>
      </c>
      <c r="AK7" s="439">
        <f>(AK6-V062A_203031333436353739[[#This Row],[HIDRAULICO]])+V062A_203031333436353739[[#This Row],[FAENA EN LTS3]]</f>
        <v>2300</v>
      </c>
    </row>
    <row r="8" spans="1:37" x14ac:dyDescent="0.25">
      <c r="A8" s="431" t="s">
        <v>425</v>
      </c>
      <c r="B8" s="469">
        <v>44245</v>
      </c>
      <c r="C8" s="237">
        <v>0.33333333333333331</v>
      </c>
      <c r="D8" s="418">
        <f>IF(V062A_203031333436353739[[#This Row],[FECHA]]-B7=1,((V062A_203031333436353739[[#This Row],[HORA]]-C7)*24)+24,(V062A_203031333436353739[[#This Row],[HORA]]-C7)*24)</f>
        <v>24</v>
      </c>
      <c r="E8" s="506" t="s">
        <v>45</v>
      </c>
      <c r="F8" s="507" t="s">
        <v>417</v>
      </c>
      <c r="G8" s="508"/>
      <c r="H8" s="509"/>
      <c r="I8" s="510">
        <f>IF(ISERROR(V062A_203031333436353739[[#This Row],[DISTANCIA POR CARTA]]/V062A_203031333436353739[[#This Row],[TIEMPO DE NAVEGACION]]),0,V062A_203031333436353739[[#This Row],[DISTANCIA POR CARTA]]/V062A_203031333436353739[[#This Row],[TIEMPO DE NAVEGACION]])</f>
        <v>0</v>
      </c>
      <c r="J8" s="511"/>
      <c r="K8" s="512"/>
      <c r="L8" s="245">
        <v>0</v>
      </c>
      <c r="M8" s="246">
        <v>1.2</v>
      </c>
      <c r="N8" s="246">
        <v>0</v>
      </c>
      <c r="O8" s="246">
        <f>SUM(V062A_203031333436353739[[#This Row],[MPAL]]+V062A_203031333436353739[[#This Row],[AUX.]]+V062A_203031333436353739[[#This Row],[CALDERA]])</f>
        <v>1.2</v>
      </c>
      <c r="P8" s="319"/>
      <c r="Q8" s="270">
        <f>(Q7-V062A_203031333436353739[[#This Row],[TOTAL ]])+V062A_203031333436353739[[#This Row],[FAENA]]</f>
        <v>157.33000000000004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SUM(V062A_203031333436353739[[#This Row],[MPAL2]:[GI]])</f>
        <v>0</v>
      </c>
      <c r="X8" s="246"/>
      <c r="Y8" s="300">
        <f>(Y7-V062A_203031333436353739[[#This Row],[TOTAL]])+V062A_203031333436353739[[#This Row],[FAENA2]]</f>
        <v>56.67</v>
      </c>
      <c r="Z8" s="245">
        <v>0</v>
      </c>
      <c r="AA8" s="246">
        <v>0</v>
      </c>
      <c r="AB8" s="438">
        <f>(AB7-V062A_203031333436353739[[#This Row],[CYLINDER MP]])+V062A_203031333436353739[[#This Row],[FAENA EN LTS]]</f>
        <v>2378.86</v>
      </c>
      <c r="AC8" s="246">
        <v>0</v>
      </c>
      <c r="AD8" s="246">
        <v>0</v>
      </c>
      <c r="AE8" s="438">
        <f>(AE7-V062A_203031333436353739[[#This Row],[CARTER MP.]])+V062A_203031333436353739[[#This Row],[FAENA EN LTS2]]</f>
        <v>3500</v>
      </c>
      <c r="AF8" s="246">
        <v>20</v>
      </c>
      <c r="AG8" s="246">
        <v>0</v>
      </c>
      <c r="AH8" s="438">
        <f>(AH7-V062A_203031333436353739[[#This Row],[MOT AUX]])+V062A_203031333436353739[[#This Row],[FAENA EN  LTS]]</f>
        <v>2160</v>
      </c>
      <c r="AI8" s="246">
        <v>0</v>
      </c>
      <c r="AJ8" s="246">
        <v>0</v>
      </c>
      <c r="AK8" s="439">
        <f>(AK7-V062A_203031333436353739[[#This Row],[HIDRAULICO]])+V062A_203031333436353739[[#This Row],[FAENA EN LTS3]]</f>
        <v>2300</v>
      </c>
    </row>
    <row r="9" spans="1:37" x14ac:dyDescent="0.25">
      <c r="A9" s="431" t="s">
        <v>425</v>
      </c>
      <c r="B9" s="48">
        <v>44245</v>
      </c>
      <c r="C9" s="41">
        <v>0.78333333333333333</v>
      </c>
      <c r="D9" s="418">
        <f>IF(V062A_203031333436353739[[#This Row],[FECHA]]-B8=1,((V062A_203031333436353739[[#This Row],[HORA]]-C8)*24)+24,(V062A_203031333436353739[[#This Row],[HORA]]-C8)*24)</f>
        <v>10.8</v>
      </c>
      <c r="E9" s="409" t="s">
        <v>49</v>
      </c>
      <c r="F9" s="29" t="s">
        <v>46</v>
      </c>
      <c r="G9" s="324"/>
      <c r="H9" s="306"/>
      <c r="I9" s="259"/>
      <c r="J9" s="242"/>
      <c r="K9" s="325"/>
      <c r="L9" s="483">
        <v>0</v>
      </c>
      <c r="M9" s="246">
        <v>0.68</v>
      </c>
      <c r="N9" s="484">
        <v>0.5</v>
      </c>
      <c r="O9" s="246">
        <f>SUM(V062A_203031333436353739[[#This Row],[MPAL]]+V062A_203031333436353739[[#This Row],[AUX.]]+V062A_203031333436353739[[#This Row],[CALDERA]])</f>
        <v>1.1800000000000002</v>
      </c>
      <c r="P9" s="319"/>
      <c r="Q9" s="270">
        <f>(Q8-V062A_203031333436353739[[#This Row],[TOTAL ]])+V062A_203031333436353739[[#This Row],[FAENA]]</f>
        <v>156.15000000000003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SUM(V062A_203031333436353739[[#This Row],[MPAL2]:[GI]])</f>
        <v>0</v>
      </c>
      <c r="X9" s="246"/>
      <c r="Y9" s="300">
        <f>(Y8-V062A_203031333436353739[[#This Row],[TOTAL]])+V062A_203031333436353739[[#This Row],[FAENA2]]</f>
        <v>56.67</v>
      </c>
      <c r="Z9" s="245">
        <v>0</v>
      </c>
      <c r="AA9" s="246">
        <v>0</v>
      </c>
      <c r="AB9" s="438">
        <f>(AB8-V062A_203031333436353739[[#This Row],[CYLINDER MP]])+V062A_203031333436353739[[#This Row],[FAENA EN LTS]]</f>
        <v>2378.86</v>
      </c>
      <c r="AC9" s="246">
        <v>0</v>
      </c>
      <c r="AD9" s="246">
        <v>0</v>
      </c>
      <c r="AE9" s="438">
        <f>(AE8-V062A_203031333436353739[[#This Row],[CARTER MP.]])+V062A_203031333436353739[[#This Row],[FAENA EN LTS2]]</f>
        <v>3500</v>
      </c>
      <c r="AF9" s="246">
        <v>0</v>
      </c>
      <c r="AG9" s="246">
        <v>0</v>
      </c>
      <c r="AH9" s="438">
        <f>(AH8-V062A_203031333436353739[[#This Row],[MOT AUX]])+V062A_203031333436353739[[#This Row],[FAENA EN  LTS]]</f>
        <v>2160</v>
      </c>
      <c r="AI9" s="246">
        <v>0</v>
      </c>
      <c r="AJ9" s="246">
        <v>0</v>
      </c>
      <c r="AK9" s="439">
        <f>(AK8-V062A_203031333436353739[[#This Row],[HIDRAULICO]])+V062A_203031333436353739[[#This Row],[FAENA EN LTS3]]</f>
        <v>2300</v>
      </c>
    </row>
    <row r="10" spans="1:37" x14ac:dyDescent="0.25">
      <c r="A10" s="431" t="s">
        <v>425</v>
      </c>
      <c r="B10" s="48">
        <v>44245</v>
      </c>
      <c r="C10" s="41">
        <v>0.85</v>
      </c>
      <c r="D10" s="418">
        <f>IF(V062A_203031333436353739[[#This Row],[FECHA]]-B9=1,((V062A_203031333436353739[[#This Row],[HORA]]-C9)*24)+24,(V062A_203031333436353739[[#This Row],[HORA]]-C9)*24)</f>
        <v>1.5999999999999996</v>
      </c>
      <c r="E10" s="409" t="s">
        <v>47</v>
      </c>
      <c r="F10" s="29" t="s">
        <v>426</v>
      </c>
      <c r="G10" s="324"/>
      <c r="H10" s="306"/>
      <c r="I10" s="259"/>
      <c r="J10" s="242"/>
      <c r="K10" s="325"/>
      <c r="L10" s="483">
        <v>0.67</v>
      </c>
      <c r="M10" s="246">
        <v>0.11</v>
      </c>
      <c r="N10" s="484">
        <v>0.08</v>
      </c>
      <c r="O10" s="246">
        <f>SUM(V062A_203031333436353739[[#This Row],[MPAL]]+V062A_203031333436353739[[#This Row],[AUX.]]+V062A_203031333436353739[[#This Row],[CALDERA]])</f>
        <v>0.86</v>
      </c>
      <c r="P10" s="319"/>
      <c r="Q10" s="270">
        <f>(Q9-V062A_203031333436353739[[#This Row],[TOTAL ]])+V062A_203031333436353739[[#This Row],[FAENA]]</f>
        <v>155.29000000000002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SUM(V062A_203031333436353739[[#This Row],[MPAL2]:[GI]])</f>
        <v>0</v>
      </c>
      <c r="X10" s="246"/>
      <c r="Y10" s="300">
        <f>(Y9-V062A_203031333436353739[[#This Row],[TOTAL]])+V062A_203031333436353739[[#This Row],[FAENA2]]</f>
        <v>56.67</v>
      </c>
      <c r="Z10" s="245">
        <v>0</v>
      </c>
      <c r="AA10" s="246">
        <v>0</v>
      </c>
      <c r="AB10" s="438">
        <f>(AB9-V062A_203031333436353739[[#This Row],[CYLINDER MP]])+V062A_203031333436353739[[#This Row],[FAENA EN LTS]]</f>
        <v>2378.86</v>
      </c>
      <c r="AC10" s="246">
        <v>0</v>
      </c>
      <c r="AD10" s="246">
        <v>0</v>
      </c>
      <c r="AE10" s="438">
        <f>(AE9-V062A_203031333436353739[[#This Row],[CARTER MP.]])+V062A_203031333436353739[[#This Row],[FAENA EN LTS2]]</f>
        <v>3500</v>
      </c>
      <c r="AF10" s="246">
        <v>0</v>
      </c>
      <c r="AG10" s="246">
        <v>0</v>
      </c>
      <c r="AH10" s="438">
        <f>(AH9-V062A_203031333436353739[[#This Row],[MOT AUX]])+V062A_203031333436353739[[#This Row],[FAENA EN  LTS]]</f>
        <v>2160</v>
      </c>
      <c r="AI10" s="246">
        <v>1000</v>
      </c>
      <c r="AJ10" s="246">
        <v>0</v>
      </c>
      <c r="AK10" s="439">
        <f>(AK9-V062A_203031333436353739[[#This Row],[HIDRAULICO]])+V062A_203031333436353739[[#This Row],[FAENA EN LTS3]]</f>
        <v>1300</v>
      </c>
    </row>
    <row r="11" spans="1:37" x14ac:dyDescent="0.25">
      <c r="A11" s="431" t="s">
        <v>425</v>
      </c>
      <c r="B11" s="48">
        <v>44246</v>
      </c>
      <c r="C11" s="41">
        <v>0.20138888888888887</v>
      </c>
      <c r="D11" s="418">
        <f>IF(V062A_203031333436353739[[#This Row],[FECHA]]-B10=1,((V062A_203031333436353739[[#This Row],[HORA]]-C10)*24)+24,(V062A_203031333436353739[[#This Row],[HORA]]-C10)*24)</f>
        <v>8.4333333333333336</v>
      </c>
      <c r="E11" s="239" t="s">
        <v>71</v>
      </c>
      <c r="F11" s="29" t="s">
        <v>427</v>
      </c>
      <c r="G11" s="324"/>
      <c r="H11" s="306"/>
      <c r="I11" s="259"/>
      <c r="J11" s="380"/>
      <c r="K11" s="325"/>
      <c r="L11" s="483">
        <v>0</v>
      </c>
      <c r="M11" s="246">
        <v>0.53</v>
      </c>
      <c r="N11" s="484">
        <v>0.35</v>
      </c>
      <c r="O11" s="246">
        <f>SUM(V062A_203031333436353739[[#This Row],[MPAL]]+V062A_203031333436353739[[#This Row],[AUX.]]+V062A_203031333436353739[[#This Row],[CALDERA]])</f>
        <v>0.88</v>
      </c>
      <c r="P11" s="319"/>
      <c r="Q11" s="270">
        <f>(Q10-V062A_203031333436353739[[#This Row],[TOTAL ]])+V062A_203031333436353739[[#This Row],[FAENA]]</f>
        <v>154.41000000000003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SUM(V062A_203031333436353739[[#This Row],[MPAL2]:[GI]])</f>
        <v>0</v>
      </c>
      <c r="X11" s="246"/>
      <c r="Y11" s="300">
        <f>(Y10-V062A_203031333436353739[[#This Row],[TOTAL]])+V062A_203031333436353739[[#This Row],[FAENA2]]</f>
        <v>56.67</v>
      </c>
      <c r="Z11" s="245">
        <v>0</v>
      </c>
      <c r="AA11" s="246">
        <v>0</v>
      </c>
      <c r="AB11" s="438">
        <f>(AB10-V062A_203031333436353739[[#This Row],[CYLINDER MP]])+V062A_203031333436353739[[#This Row],[FAENA EN LTS]]</f>
        <v>2378.86</v>
      </c>
      <c r="AC11" s="246">
        <v>0</v>
      </c>
      <c r="AD11" s="246">
        <v>0</v>
      </c>
      <c r="AE11" s="438">
        <f>(AE10-V062A_203031333436353739[[#This Row],[CARTER MP.]])+V062A_203031333436353739[[#This Row],[FAENA EN LTS2]]</f>
        <v>3500</v>
      </c>
      <c r="AF11" s="246">
        <v>0</v>
      </c>
      <c r="AG11" s="246">
        <v>0</v>
      </c>
      <c r="AH11" s="438">
        <f>(AH10-V062A_203031333436353739[[#This Row],[MOT AUX]])+V062A_203031333436353739[[#This Row],[FAENA EN  LTS]]</f>
        <v>2160</v>
      </c>
      <c r="AI11" s="246">
        <v>0</v>
      </c>
      <c r="AJ11" s="246">
        <v>0</v>
      </c>
      <c r="AK11" s="439">
        <f>(AK10-V062A_203031333436353739[[#This Row],[HIDRAULICO]])+V062A_203031333436353739[[#This Row],[FAENA EN LTS3]]</f>
        <v>1300</v>
      </c>
    </row>
    <row r="12" spans="1:37" x14ac:dyDescent="0.25">
      <c r="A12" s="431" t="s">
        <v>425</v>
      </c>
      <c r="B12" s="48">
        <v>44246</v>
      </c>
      <c r="C12" s="41">
        <v>0.33333333333333331</v>
      </c>
      <c r="D12" s="418">
        <f>IF(V062A_203031333436353739[[#This Row],[FECHA]]-B11=1,((V062A_203031333436353739[[#This Row],[HORA]]-C11)*24)+24,(V062A_203031333436353739[[#This Row],[HORA]]-C11)*24)</f>
        <v>3.166666666666667</v>
      </c>
      <c r="E12" s="239" t="s">
        <v>71</v>
      </c>
      <c r="F12" s="29" t="s">
        <v>71</v>
      </c>
      <c r="G12" s="324"/>
      <c r="H12" s="306"/>
      <c r="I12" s="259"/>
      <c r="J12" s="242"/>
      <c r="K12" s="325"/>
      <c r="L12" s="483">
        <v>0</v>
      </c>
      <c r="M12" s="246">
        <v>0.2</v>
      </c>
      <c r="N12" s="484">
        <v>0.13</v>
      </c>
      <c r="O12" s="246">
        <f>SUM(V062A_203031333436353739[[#This Row],[MPAL]]+V062A_203031333436353739[[#This Row],[AUX.]]+V062A_203031333436353739[[#This Row],[CALDERA]])</f>
        <v>0.33</v>
      </c>
      <c r="P12" s="319"/>
      <c r="Q12" s="270">
        <f>(Q11-V062A_203031333436353739[[#This Row],[TOTAL ]])+V062A_203031333436353739[[#This Row],[FAENA]]</f>
        <v>154.08000000000001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SUM(V062A_203031333436353739[[#This Row],[MPAL2]:[GI]])</f>
        <v>0</v>
      </c>
      <c r="X12" s="246"/>
      <c r="Y12" s="300">
        <f>(Y11-V062A_203031333436353739[[#This Row],[TOTAL]])+V062A_203031333436353739[[#This Row],[FAENA2]]</f>
        <v>56.67</v>
      </c>
      <c r="Z12" s="245">
        <v>0</v>
      </c>
      <c r="AA12" s="246">
        <v>0</v>
      </c>
      <c r="AB12" s="438">
        <f>(AB11-V062A_203031333436353739[[#This Row],[CYLINDER MP]])+V062A_203031333436353739[[#This Row],[FAENA EN LTS]]</f>
        <v>2378.86</v>
      </c>
      <c r="AC12" s="246">
        <v>0</v>
      </c>
      <c r="AD12" s="246">
        <v>0</v>
      </c>
      <c r="AE12" s="438">
        <f>(AE11-V062A_203031333436353739[[#This Row],[CARTER MP.]])+V062A_203031333436353739[[#This Row],[FAENA EN LTS2]]</f>
        <v>3500</v>
      </c>
      <c r="AF12" s="246">
        <v>0</v>
      </c>
      <c r="AG12" s="246">
        <v>0</v>
      </c>
      <c r="AH12" s="438">
        <f>(AH11-V062A_203031333436353739[[#This Row],[MOT AUX]])+V062A_203031333436353739[[#This Row],[FAENA EN  LTS]]</f>
        <v>2160</v>
      </c>
      <c r="AI12" s="246">
        <v>0</v>
      </c>
      <c r="AJ12" s="246">
        <v>0</v>
      </c>
      <c r="AK12" s="439">
        <f>(AK11-V062A_203031333436353739[[#This Row],[HIDRAULICO]])+V062A_203031333436353739[[#This Row],[FAENA EN LTS3]]</f>
        <v>1300</v>
      </c>
    </row>
    <row r="13" spans="1:37" x14ac:dyDescent="0.25">
      <c r="A13" s="431" t="s">
        <v>425</v>
      </c>
      <c r="B13" s="48">
        <v>44246</v>
      </c>
      <c r="C13" s="41">
        <v>0.57916666666666672</v>
      </c>
      <c r="D13" s="418">
        <f>IF(V062A_203031333436353739[[#This Row],[FECHA]]-B12=1,((V062A_203031333436353739[[#This Row],[HORA]]-C12)*24)+24,(V062A_203031333436353739[[#This Row],[HORA]]-C12)*24)</f>
        <v>5.9000000000000021</v>
      </c>
      <c r="E13" s="409" t="s">
        <v>71</v>
      </c>
      <c r="F13" s="29" t="s">
        <v>428</v>
      </c>
      <c r="G13" s="324"/>
      <c r="H13" s="306"/>
      <c r="I13" s="259"/>
      <c r="J13" s="242"/>
      <c r="K13" s="325"/>
      <c r="L13" s="483">
        <v>0</v>
      </c>
      <c r="M13" s="246">
        <v>0.37</v>
      </c>
      <c r="N13" s="484">
        <v>0.25</v>
      </c>
      <c r="O13" s="246">
        <f>SUM(V062A_203031333436353739[[#This Row],[MPAL]]+V062A_203031333436353739[[#This Row],[AUX.]]+V062A_203031333436353739[[#This Row],[CALDERA]])</f>
        <v>0.62</v>
      </c>
      <c r="P13" s="319"/>
      <c r="Q13" s="270">
        <f>(Q12-V062A_203031333436353739[[#This Row],[TOTAL ]])+V062A_203031333436353739[[#This Row],[FAENA]]</f>
        <v>153.46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SUM(V062A_203031333436353739[[#This Row],[MPAL2]:[GI]])</f>
        <v>0</v>
      </c>
      <c r="X13" s="246"/>
      <c r="Y13" s="300">
        <f>(Y12-V062A_203031333436353739[[#This Row],[TOTAL]])+V062A_203031333436353739[[#This Row],[FAENA2]]</f>
        <v>56.67</v>
      </c>
      <c r="Z13" s="245">
        <v>0</v>
      </c>
      <c r="AA13" s="246">
        <v>0</v>
      </c>
      <c r="AB13" s="438">
        <f>(AB12-V062A_203031333436353739[[#This Row],[CYLINDER MP]])+V062A_203031333436353739[[#This Row],[FAENA EN LTS]]</f>
        <v>2378.86</v>
      </c>
      <c r="AC13" s="246">
        <v>0</v>
      </c>
      <c r="AD13" s="246">
        <v>0</v>
      </c>
      <c r="AE13" s="438">
        <f>(AE12-V062A_203031333436353739[[#This Row],[CARTER MP.]])+V062A_203031333436353739[[#This Row],[FAENA EN LTS2]]</f>
        <v>3500</v>
      </c>
      <c r="AF13" s="246">
        <v>0</v>
      </c>
      <c r="AG13" s="246">
        <v>0</v>
      </c>
      <c r="AH13" s="438">
        <f>(AH12-V062A_203031333436353739[[#This Row],[MOT AUX]])+V062A_203031333436353739[[#This Row],[FAENA EN  LTS]]</f>
        <v>2160</v>
      </c>
      <c r="AI13" s="246">
        <v>0</v>
      </c>
      <c r="AJ13" s="246">
        <v>0</v>
      </c>
      <c r="AK13" s="439">
        <f>(AK12-V062A_203031333436353739[[#This Row],[HIDRAULICO]])+V062A_203031333436353739[[#This Row],[FAENA EN LTS3]]</f>
        <v>1300</v>
      </c>
    </row>
    <row r="14" spans="1:37" x14ac:dyDescent="0.25">
      <c r="A14" s="431" t="s">
        <v>425</v>
      </c>
      <c r="B14" s="48">
        <v>44246</v>
      </c>
      <c r="C14" s="237">
        <v>0.79999999999999993</v>
      </c>
      <c r="D14" s="418">
        <f>IF(V062A_203031333436353739[[#This Row],[FECHA]]-B13=1,((V062A_203031333436353739[[#This Row],[HORA]]-C13)*24)+24,(V062A_203031333436353739[[#This Row],[HORA]]-C13)*24)</f>
        <v>5.2999999999999972</v>
      </c>
      <c r="E14" s="499" t="s">
        <v>49</v>
      </c>
      <c r="F14" s="29" t="s">
        <v>46</v>
      </c>
      <c r="G14" s="500"/>
      <c r="H14" s="501"/>
      <c r="I14" s="502"/>
      <c r="J14" s="503"/>
      <c r="K14" s="504"/>
      <c r="L14" s="245">
        <v>0</v>
      </c>
      <c r="M14" s="246">
        <v>0.33</v>
      </c>
      <c r="N14" s="246">
        <v>0.22</v>
      </c>
      <c r="O14" s="246">
        <f>SUM(V062A_203031333436353739[[#This Row],[MPAL]]+V062A_203031333436353739[[#This Row],[AUX.]]+V062A_203031333436353739[[#This Row],[CALDERA]])</f>
        <v>0.55000000000000004</v>
      </c>
      <c r="P14" s="319"/>
      <c r="Q14" s="270">
        <f>(Q13-V062A_203031333436353739[[#This Row],[TOTAL ]])+V062A_203031333436353739[[#This Row],[FAENA]]</f>
        <v>152.91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SUM(V062A_203031333436353739[[#This Row],[MPAL2]:[GI]])</f>
        <v>0</v>
      </c>
      <c r="X14" s="246"/>
      <c r="Y14" s="300">
        <f>(Y13-V062A_203031333436353739[[#This Row],[TOTAL]])+V062A_203031333436353739[[#This Row],[FAENA2]]</f>
        <v>56.67</v>
      </c>
      <c r="Z14" s="245">
        <v>0</v>
      </c>
      <c r="AA14" s="246">
        <v>0</v>
      </c>
      <c r="AB14" s="438">
        <f>(AB13-V062A_203031333436353739[[#This Row],[CYLINDER MP]])+V062A_203031333436353739[[#This Row],[FAENA EN LTS]]</f>
        <v>2378.86</v>
      </c>
      <c r="AC14" s="246">
        <v>0</v>
      </c>
      <c r="AD14" s="246">
        <v>0</v>
      </c>
      <c r="AE14" s="438">
        <f>(AE13-V062A_203031333436353739[[#This Row],[CARTER MP.]])+V062A_203031333436353739[[#This Row],[FAENA EN LTS2]]</f>
        <v>3500</v>
      </c>
      <c r="AF14" s="246">
        <v>0</v>
      </c>
      <c r="AG14" s="246">
        <v>0</v>
      </c>
      <c r="AH14" s="438">
        <f>(AH13-V062A_203031333436353739[[#This Row],[MOT AUX]])+V062A_203031333436353739[[#This Row],[FAENA EN  LTS]]</f>
        <v>2160</v>
      </c>
      <c r="AI14" s="246">
        <v>0</v>
      </c>
      <c r="AJ14" s="246">
        <v>0</v>
      </c>
      <c r="AK14" s="439">
        <f>(AK13-V062A_203031333436353739[[#This Row],[HIDRAULICO]])+V062A_203031333436353739[[#This Row],[FAENA EN LTS3]]</f>
        <v>1300</v>
      </c>
    </row>
    <row r="15" spans="1:37" x14ac:dyDescent="0.25">
      <c r="A15" s="431" t="s">
        <v>425</v>
      </c>
      <c r="B15" s="48">
        <v>44246</v>
      </c>
      <c r="C15" s="41">
        <v>0.83333333333333337</v>
      </c>
      <c r="D15" s="418">
        <f>IF(V062A_203031333436353739[[#This Row],[FECHA]]-B14=1,((V062A_203031333436353739[[#This Row],[HORA]]-C14)*24)+24,(V062A_203031333436353739[[#This Row],[HORA]]-C14)*24)</f>
        <v>0.80000000000000249</v>
      </c>
      <c r="E15" s="409" t="s">
        <v>47</v>
      </c>
      <c r="F15" s="29" t="s">
        <v>277</v>
      </c>
      <c r="G15" s="324"/>
      <c r="H15" s="306"/>
      <c r="I15" s="259"/>
      <c r="J15" s="242"/>
      <c r="K15" s="325"/>
      <c r="L15" s="483">
        <v>0.33</v>
      </c>
      <c r="M15" s="246">
        <v>0.05</v>
      </c>
      <c r="N15" s="484">
        <v>0.04</v>
      </c>
      <c r="O15" s="246">
        <f>SUM(V062A_203031333436353739[[#This Row],[MPAL]]+V062A_203031333436353739[[#This Row],[AUX.]]+V062A_203031333436353739[[#This Row],[CALDERA]])</f>
        <v>0.42</v>
      </c>
      <c r="P15" s="319"/>
      <c r="Q15" s="270">
        <f>(Q14-V062A_203031333436353739[[#This Row],[TOTAL ]])+V062A_203031333436353739[[#This Row],[FAENA]]</f>
        <v>152.49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SUM(V062A_203031333436353739[[#This Row],[MPAL2]:[GI]])</f>
        <v>0</v>
      </c>
      <c r="X15" s="246"/>
      <c r="Y15" s="300">
        <f>(Y14-V062A_203031333436353739[[#This Row],[TOTAL]])+V062A_203031333436353739[[#This Row],[FAENA2]]</f>
        <v>56.67</v>
      </c>
      <c r="Z15" s="245">
        <v>0</v>
      </c>
      <c r="AA15" s="246">
        <v>0</v>
      </c>
      <c r="AB15" s="438">
        <f>(AB14-V062A_203031333436353739[[#This Row],[CYLINDER MP]])+V062A_203031333436353739[[#This Row],[FAENA EN LTS]]</f>
        <v>2378.86</v>
      </c>
      <c r="AC15" s="246">
        <v>0</v>
      </c>
      <c r="AD15" s="246">
        <v>0</v>
      </c>
      <c r="AE15" s="438">
        <f>(AE14-V062A_203031333436353739[[#This Row],[CARTER MP.]])+V062A_203031333436353739[[#This Row],[FAENA EN LTS2]]</f>
        <v>3500</v>
      </c>
      <c r="AF15" s="246">
        <v>20</v>
      </c>
      <c r="AG15" s="246">
        <v>0</v>
      </c>
      <c r="AH15" s="438">
        <f>(AH14-V062A_203031333436353739[[#This Row],[MOT AUX]])+V062A_203031333436353739[[#This Row],[FAENA EN  LTS]]</f>
        <v>2140</v>
      </c>
      <c r="AI15" s="246">
        <v>0</v>
      </c>
      <c r="AJ15" s="246">
        <v>0</v>
      </c>
      <c r="AK15" s="439">
        <f>(AK14-V062A_203031333436353739[[#This Row],[HIDRAULICO]])+V062A_203031333436353739[[#This Row],[FAENA EN LTS3]]</f>
        <v>1300</v>
      </c>
    </row>
    <row r="16" spans="1:37" x14ac:dyDescent="0.25">
      <c r="A16" s="431" t="s">
        <v>425</v>
      </c>
      <c r="B16" s="48">
        <v>44247</v>
      </c>
      <c r="C16" s="41">
        <v>0.33333333333333331</v>
      </c>
      <c r="D16" s="418">
        <f>IF(V062A_203031333436353739[[#This Row],[FECHA]]-B15=1,((V062A_203031333436353739[[#This Row],[HORA]]-C15)*24)+24,(V062A_203031333436353739[[#This Row],[HORA]]-C15)*24)</f>
        <v>12</v>
      </c>
      <c r="E16" s="409" t="s">
        <v>55</v>
      </c>
      <c r="F16" s="29" t="s">
        <v>56</v>
      </c>
      <c r="G16" s="324"/>
      <c r="H16" s="306"/>
      <c r="I16" s="259"/>
      <c r="J16" s="242"/>
      <c r="K16" s="325">
        <v>97</v>
      </c>
      <c r="L16" s="483">
        <v>10</v>
      </c>
      <c r="M16" s="246">
        <v>0.75</v>
      </c>
      <c r="N16" s="484">
        <v>0</v>
      </c>
      <c r="O16" s="246">
        <f>SUM(V062A_203031333436353739[[#This Row],[MPAL]]+V062A_203031333436353739[[#This Row],[AUX.]]+V062A_203031333436353739[[#This Row],[CALDERA]])</f>
        <v>10.75</v>
      </c>
      <c r="P16" s="319"/>
      <c r="Q16" s="270">
        <f>(Q15-V062A_203031333436353739[[#This Row],[TOTAL ]])+V062A_203031333436353739[[#This Row],[FAENA]]</f>
        <v>141.74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SUM(V062A_203031333436353739[[#This Row],[MPAL2]:[GI]])</f>
        <v>0</v>
      </c>
      <c r="X16" s="246"/>
      <c r="Y16" s="300">
        <f>(Y15-V062A_203031333436353739[[#This Row],[TOTAL]])+V062A_203031333436353739[[#This Row],[FAENA2]]</f>
        <v>56.67</v>
      </c>
      <c r="Z16" s="245">
        <v>124.99</v>
      </c>
      <c r="AA16" s="246">
        <v>0</v>
      </c>
      <c r="AB16" s="438">
        <f>(AB15-V062A_203031333436353739[[#This Row],[CYLINDER MP]])+V062A_203031333436353739[[#This Row],[FAENA EN LTS]]</f>
        <v>2253.8700000000003</v>
      </c>
      <c r="AC16" s="246">
        <v>0</v>
      </c>
      <c r="AD16" s="246">
        <v>0</v>
      </c>
      <c r="AE16" s="438">
        <f>(AE15-V062A_203031333436353739[[#This Row],[CARTER MP.]])+V062A_203031333436353739[[#This Row],[FAENA EN LTS2]]</f>
        <v>3500</v>
      </c>
      <c r="AF16" s="246">
        <v>0</v>
      </c>
      <c r="AG16" s="246">
        <v>0</v>
      </c>
      <c r="AH16" s="438">
        <f>(AH15-V062A_203031333436353739[[#This Row],[MOT AUX]])+V062A_203031333436353739[[#This Row],[FAENA EN  LTS]]</f>
        <v>2140</v>
      </c>
      <c r="AI16" s="246">
        <v>0</v>
      </c>
      <c r="AJ16" s="246">
        <v>0</v>
      </c>
      <c r="AK16" s="439">
        <f>(AK15-V062A_203031333436353739[[#This Row],[HIDRAULICO]])+V062A_203031333436353739[[#This Row],[FAENA EN LTS3]]</f>
        <v>1300</v>
      </c>
    </row>
    <row r="17" spans="1:37" x14ac:dyDescent="0.25">
      <c r="A17" s="431" t="s">
        <v>425</v>
      </c>
      <c r="B17" s="48">
        <v>44248</v>
      </c>
      <c r="C17" s="41">
        <v>0.33333333333333331</v>
      </c>
      <c r="D17" s="418">
        <f>IF(V062A_203031333436353739[[#This Row],[FECHA]]-B16=1,((V062A_203031333436353739[[#This Row],[HORA]]-C16)*24)+24,(V062A_203031333436353739[[#This Row],[HORA]]-C16)*24)</f>
        <v>24</v>
      </c>
      <c r="E17" s="409" t="s">
        <v>55</v>
      </c>
      <c r="F17" s="29" t="s">
        <v>56</v>
      </c>
      <c r="G17" s="324"/>
      <c r="H17" s="306"/>
      <c r="I17" s="259"/>
      <c r="J17" s="242"/>
      <c r="K17" s="325">
        <v>97</v>
      </c>
      <c r="L17" s="483">
        <v>20</v>
      </c>
      <c r="M17" s="246">
        <v>1.2</v>
      </c>
      <c r="N17" s="484">
        <v>0</v>
      </c>
      <c r="O17" s="246">
        <f>SUM(V062A_203031333436353739[[#This Row],[MPAL]]+V062A_203031333436353739[[#This Row],[AUX.]]+V062A_203031333436353739[[#This Row],[CALDERA]])</f>
        <v>21.2</v>
      </c>
      <c r="P17" s="319"/>
      <c r="Q17" s="270">
        <f>(Q16-V062A_203031333436353739[[#This Row],[TOTAL ]])+V062A_203031333436353739[[#This Row],[FAENA]]</f>
        <v>120.54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SUM(V062A_203031333436353739[[#This Row],[MPAL2]:[GI]])</f>
        <v>0</v>
      </c>
      <c r="X17" s="246"/>
      <c r="Y17" s="300">
        <f>(Y16-V062A_203031333436353739[[#This Row],[TOTAL]])+V062A_203031333436353739[[#This Row],[FAENA2]]</f>
        <v>56.67</v>
      </c>
      <c r="Z17" s="245">
        <v>250</v>
      </c>
      <c r="AA17" s="246">
        <v>0</v>
      </c>
      <c r="AB17" s="438">
        <f>(AB16-V062A_203031333436353739[[#This Row],[CYLINDER MP]])+V062A_203031333436353739[[#This Row],[FAENA EN LTS]]</f>
        <v>2003.8700000000003</v>
      </c>
      <c r="AC17" s="246">
        <v>0</v>
      </c>
      <c r="AD17" s="246">
        <v>0</v>
      </c>
      <c r="AE17" s="438">
        <f>(AE16-V062A_203031333436353739[[#This Row],[CARTER MP.]])+V062A_203031333436353739[[#This Row],[FAENA EN LTS2]]</f>
        <v>3500</v>
      </c>
      <c r="AF17" s="246">
        <v>0</v>
      </c>
      <c r="AG17" s="246">
        <v>0</v>
      </c>
      <c r="AH17" s="438">
        <f>(AH16-V062A_203031333436353739[[#This Row],[MOT AUX]])+V062A_203031333436353739[[#This Row],[FAENA EN  LTS]]</f>
        <v>2140</v>
      </c>
      <c r="AI17" s="246">
        <v>0</v>
      </c>
      <c r="AJ17" s="246">
        <v>0</v>
      </c>
      <c r="AK17" s="439">
        <f>(AK16-V062A_203031333436353739[[#This Row],[HIDRAULICO]])+V062A_203031333436353739[[#This Row],[FAENA EN LTS3]]</f>
        <v>1300</v>
      </c>
    </row>
    <row r="18" spans="1:37" x14ac:dyDescent="0.25">
      <c r="A18" s="431" t="s">
        <v>425</v>
      </c>
      <c r="B18" s="48">
        <v>44248</v>
      </c>
      <c r="C18" s="41">
        <v>0.625</v>
      </c>
      <c r="D18" s="418">
        <f>IF(V062A_203031333436353739[[#This Row],[FECHA]]-B17=1,((V062A_203031333436353739[[#This Row],[HORA]]-C17)*24)+24,(V062A_203031333436353739[[#This Row],[HORA]]-C17)*24)</f>
        <v>7</v>
      </c>
      <c r="E18" s="409" t="s">
        <v>55</v>
      </c>
      <c r="F18" s="29" t="s">
        <v>299</v>
      </c>
      <c r="G18" s="324"/>
      <c r="H18" s="306"/>
      <c r="I18" s="259"/>
      <c r="J18" s="242"/>
      <c r="K18" s="325">
        <v>97</v>
      </c>
      <c r="L18" s="483">
        <v>5.83</v>
      </c>
      <c r="M18" s="246">
        <v>0.35</v>
      </c>
      <c r="N18" s="484">
        <v>0</v>
      </c>
      <c r="O18" s="246">
        <f>SUM(V062A_203031333436353739[[#This Row],[MPAL]]+V062A_203031333436353739[[#This Row],[AUX.]]+V062A_203031333436353739[[#This Row],[CALDERA]])</f>
        <v>6.18</v>
      </c>
      <c r="P18" s="319"/>
      <c r="Q18" s="270">
        <f>(Q17-V062A_203031333436353739[[#This Row],[TOTAL ]])+V062A_203031333436353739[[#This Row],[FAENA]]</f>
        <v>114.36000000000001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SUM(V062A_203031333436353739[[#This Row],[MPAL2]:[GI]])</f>
        <v>0</v>
      </c>
      <c r="X18" s="246"/>
      <c r="Y18" s="300">
        <f>(Y17-V062A_203031333436353739[[#This Row],[TOTAL]])+V062A_203031333436353739[[#This Row],[FAENA2]]</f>
        <v>56.67</v>
      </c>
      <c r="Z18" s="245">
        <v>72.91</v>
      </c>
      <c r="AA18" s="246">
        <v>0</v>
      </c>
      <c r="AB18" s="438">
        <f>(AB17-V062A_203031333436353739[[#This Row],[CYLINDER MP]])+V062A_203031333436353739[[#This Row],[FAENA EN LTS]]</f>
        <v>1930.9600000000003</v>
      </c>
      <c r="AC18" s="246">
        <v>0</v>
      </c>
      <c r="AD18" s="246">
        <v>0</v>
      </c>
      <c r="AE18" s="438">
        <f>(AE17-V062A_203031333436353739[[#This Row],[CARTER MP.]])+V062A_203031333436353739[[#This Row],[FAENA EN LTS2]]</f>
        <v>3500</v>
      </c>
      <c r="AF18" s="246">
        <v>0</v>
      </c>
      <c r="AG18" s="246">
        <v>0</v>
      </c>
      <c r="AH18" s="438">
        <f>(AH17-V062A_203031333436353739[[#This Row],[MOT AUX]])+V062A_203031333436353739[[#This Row],[FAENA EN  LTS]]</f>
        <v>2140</v>
      </c>
      <c r="AI18" s="246">
        <v>0</v>
      </c>
      <c r="AJ18" s="246">
        <v>0</v>
      </c>
      <c r="AK18" s="439">
        <f>(AK17-V062A_203031333436353739[[#This Row],[HIDRAULICO]])+V062A_203031333436353739[[#This Row],[FAENA EN LTS3]]</f>
        <v>1300</v>
      </c>
    </row>
    <row r="19" spans="1:37" x14ac:dyDescent="0.25">
      <c r="A19" s="431" t="s">
        <v>425</v>
      </c>
      <c r="B19" s="48">
        <v>44248</v>
      </c>
      <c r="C19" s="41">
        <v>0.64166666666666672</v>
      </c>
      <c r="D19" s="418">
        <f>IF(V062A_203031333436353739[[#This Row],[FECHA]]-B18=1,((V062A_203031333436353739[[#This Row],[HORA]]-C18)*24)+24,(V062A_203031333436353739[[#This Row],[HORA]]-C18)*24)</f>
        <v>0.40000000000000124</v>
      </c>
      <c r="E19" s="239" t="s">
        <v>47</v>
      </c>
      <c r="F19" s="29" t="s">
        <v>393</v>
      </c>
      <c r="G19" s="324"/>
      <c r="H19" s="306"/>
      <c r="I19" s="259"/>
      <c r="J19" s="242"/>
      <c r="K19" s="325"/>
      <c r="L19" s="483">
        <v>0.17</v>
      </c>
      <c r="M19" s="246">
        <v>0.03</v>
      </c>
      <c r="N19" s="484">
        <v>0.02</v>
      </c>
      <c r="O19" s="246">
        <f>SUM(V062A_203031333436353739[[#This Row],[MPAL]]+V062A_203031333436353739[[#This Row],[AUX.]]+V062A_203031333436353739[[#This Row],[CALDERA]])</f>
        <v>0.22</v>
      </c>
      <c r="P19" s="319"/>
      <c r="Q19" s="270">
        <f>(Q18-V062A_203031333436353739[[#This Row],[TOTAL ]])+V062A_203031333436353739[[#This Row],[FAENA]]</f>
        <v>114.14000000000001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SUM(V062A_203031333436353739[[#This Row],[MPAL2]:[GI]])</f>
        <v>0</v>
      </c>
      <c r="X19" s="246"/>
      <c r="Y19" s="300">
        <f>(Y18-V062A_203031333436353739[[#This Row],[TOTAL]])+V062A_203031333436353739[[#This Row],[FAENA2]]</f>
        <v>56.67</v>
      </c>
      <c r="Z19" s="245">
        <v>0</v>
      </c>
      <c r="AA19" s="246">
        <v>0</v>
      </c>
      <c r="AB19" s="438">
        <f>(AB18-V062A_203031333436353739[[#This Row],[CYLINDER MP]])+V062A_203031333436353739[[#This Row],[FAENA EN LTS]]</f>
        <v>1930.9600000000003</v>
      </c>
      <c r="AC19" s="246">
        <v>0</v>
      </c>
      <c r="AD19" s="246">
        <v>0</v>
      </c>
      <c r="AE19" s="438">
        <f>(AE18-V062A_203031333436353739[[#This Row],[CARTER MP.]])+V062A_203031333436353739[[#This Row],[FAENA EN LTS2]]</f>
        <v>3500</v>
      </c>
      <c r="AF19" s="246">
        <v>0</v>
      </c>
      <c r="AG19" s="246">
        <v>0</v>
      </c>
      <c r="AH19" s="438">
        <f>(AH18-V062A_203031333436353739[[#This Row],[MOT AUX]])+V062A_203031333436353739[[#This Row],[FAENA EN  LTS]]</f>
        <v>2140</v>
      </c>
      <c r="AI19" s="246">
        <v>0</v>
      </c>
      <c r="AJ19" s="246">
        <v>0</v>
      </c>
      <c r="AK19" s="439">
        <f>(AK18-V062A_203031333436353739[[#This Row],[HIDRAULICO]])+V062A_203031333436353739[[#This Row],[FAENA EN LTS3]]</f>
        <v>1300</v>
      </c>
    </row>
    <row r="20" spans="1:37" x14ac:dyDescent="0.25">
      <c r="A20" s="431" t="s">
        <v>425</v>
      </c>
      <c r="B20" s="48">
        <v>44248</v>
      </c>
      <c r="C20" s="41">
        <v>0.77916666666666667</v>
      </c>
      <c r="D20" s="418">
        <f>IF(V062A_203031333436353739[[#This Row],[FECHA]]-B19=1,((V062A_203031333436353739[[#This Row],[HORA]]-C19)*24)+24,(V062A_203031333436353739[[#This Row],[HORA]]-C19)*24)</f>
        <v>3.2999999999999989</v>
      </c>
      <c r="E20" s="239" t="s">
        <v>45</v>
      </c>
      <c r="F20" s="29" t="s">
        <v>46</v>
      </c>
      <c r="G20" s="324"/>
      <c r="H20" s="306"/>
      <c r="I20" s="259"/>
      <c r="J20" s="242"/>
      <c r="K20" s="325"/>
      <c r="L20" s="483">
        <v>0</v>
      </c>
      <c r="M20" s="246">
        <v>0.21</v>
      </c>
      <c r="N20" s="484">
        <v>0.14000000000000001</v>
      </c>
      <c r="O20" s="246">
        <f>SUM(V062A_203031333436353739[[#This Row],[MPAL]]+V062A_203031333436353739[[#This Row],[AUX.]]+V062A_203031333436353739[[#This Row],[CALDERA]])</f>
        <v>0.35</v>
      </c>
      <c r="P20" s="319"/>
      <c r="Q20" s="270">
        <f>(Q19-V062A_203031333436353739[[#This Row],[TOTAL ]])+V062A_203031333436353739[[#This Row],[FAENA]]</f>
        <v>113.79000000000002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SUM(V062A_203031333436353739[[#This Row],[MPAL2]:[GI]])</f>
        <v>0</v>
      </c>
      <c r="X20" s="246"/>
      <c r="Y20" s="300">
        <f>(Y19-V062A_203031333436353739[[#This Row],[TOTAL]])+V062A_203031333436353739[[#This Row],[FAENA2]]</f>
        <v>56.67</v>
      </c>
      <c r="Z20" s="245">
        <v>0</v>
      </c>
      <c r="AA20" s="246">
        <v>0</v>
      </c>
      <c r="AB20" s="438">
        <f>(AB19-V062A_203031333436353739[[#This Row],[CYLINDER MP]])+V062A_203031333436353739[[#This Row],[FAENA EN LTS]]</f>
        <v>1930.9600000000003</v>
      </c>
      <c r="AC20" s="246">
        <v>0</v>
      </c>
      <c r="AD20" s="246">
        <v>0</v>
      </c>
      <c r="AE20" s="438">
        <f>(AE19-V062A_203031333436353739[[#This Row],[CARTER MP.]])+V062A_203031333436353739[[#This Row],[FAENA EN LTS2]]</f>
        <v>3500</v>
      </c>
      <c r="AF20" s="246">
        <v>0</v>
      </c>
      <c r="AG20" s="246">
        <v>0</v>
      </c>
      <c r="AH20" s="438">
        <f>(AH19-V062A_203031333436353739[[#This Row],[MOT AUX]])+V062A_203031333436353739[[#This Row],[FAENA EN  LTS]]</f>
        <v>2140</v>
      </c>
      <c r="AI20" s="246">
        <v>0</v>
      </c>
      <c r="AJ20" s="246">
        <v>0</v>
      </c>
      <c r="AK20" s="439">
        <f>(AK19-V062A_203031333436353739[[#This Row],[HIDRAULICO]])+V062A_203031333436353739[[#This Row],[FAENA EN LTS3]]</f>
        <v>1300</v>
      </c>
    </row>
    <row r="21" spans="1:37" x14ac:dyDescent="0.25">
      <c r="A21" s="431" t="s">
        <v>425</v>
      </c>
      <c r="B21" s="48">
        <v>44248</v>
      </c>
      <c r="C21" s="41">
        <v>0.79583333333333339</v>
      </c>
      <c r="D21" s="418">
        <f>IF(V062A_203031333436353739[[#This Row],[FECHA]]-B20=1,((V062A_203031333436353739[[#This Row],[HORA]]-C20)*24)+24,(V062A_203031333436353739[[#This Row],[HORA]]-C20)*24)</f>
        <v>0.40000000000000124</v>
      </c>
      <c r="E21" s="239" t="s">
        <v>47</v>
      </c>
      <c r="F21" s="29" t="s">
        <v>212</v>
      </c>
      <c r="G21" s="324"/>
      <c r="H21" s="306"/>
      <c r="I21" s="259"/>
      <c r="J21" s="242"/>
      <c r="K21" s="325"/>
      <c r="L21" s="483">
        <v>0.17</v>
      </c>
      <c r="M21" s="246">
        <v>0.03</v>
      </c>
      <c r="N21" s="484">
        <v>0.02</v>
      </c>
      <c r="O21" s="246">
        <f>SUM(V062A_203031333436353739[[#This Row],[MPAL]]+V062A_203031333436353739[[#This Row],[AUX.]]+V062A_203031333436353739[[#This Row],[CALDERA]])</f>
        <v>0.22</v>
      </c>
      <c r="P21" s="319"/>
      <c r="Q21" s="270">
        <f>(Q20-V062A_203031333436353739[[#This Row],[TOTAL ]])+V062A_203031333436353739[[#This Row],[FAENA]]</f>
        <v>113.57000000000002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f>SUM(V062A_203031333436353739[[#This Row],[MPAL2]:[GI]])</f>
        <v>0</v>
      </c>
      <c r="X21" s="246"/>
      <c r="Y21" s="300">
        <f>(Y20-V062A_203031333436353739[[#This Row],[TOTAL]])+V062A_203031333436353739[[#This Row],[FAENA2]]</f>
        <v>56.67</v>
      </c>
      <c r="Z21" s="245">
        <v>0</v>
      </c>
      <c r="AA21" s="246">
        <v>0</v>
      </c>
      <c r="AB21" s="438">
        <f>(AB20-V062A_203031333436353739[[#This Row],[CYLINDER MP]])+V062A_203031333436353739[[#This Row],[FAENA EN LTS]]</f>
        <v>1930.9600000000003</v>
      </c>
      <c r="AC21" s="246">
        <v>0</v>
      </c>
      <c r="AD21" s="246">
        <v>0</v>
      </c>
      <c r="AE21" s="438">
        <f>(AE20-V062A_203031333436353739[[#This Row],[CARTER MP.]])+V062A_203031333436353739[[#This Row],[FAENA EN LTS2]]</f>
        <v>3500</v>
      </c>
      <c r="AF21" s="246">
        <v>0</v>
      </c>
      <c r="AG21" s="246">
        <v>0</v>
      </c>
      <c r="AH21" s="438">
        <f>(AH20-V062A_203031333436353739[[#This Row],[MOT AUX]])+V062A_203031333436353739[[#This Row],[FAENA EN  LTS]]</f>
        <v>2140</v>
      </c>
      <c r="AI21" s="246">
        <v>0</v>
      </c>
      <c r="AJ21" s="246">
        <v>0</v>
      </c>
      <c r="AK21" s="439">
        <f>(AK20-V062A_203031333436353739[[#This Row],[HIDRAULICO]])+V062A_203031333436353739[[#This Row],[FAENA EN LTS3]]</f>
        <v>1300</v>
      </c>
    </row>
    <row r="22" spans="1:37" x14ac:dyDescent="0.25">
      <c r="A22" s="431" t="s">
        <v>425</v>
      </c>
      <c r="B22" s="48">
        <v>44248</v>
      </c>
      <c r="C22" s="41">
        <v>0.9</v>
      </c>
      <c r="D22" s="418">
        <f>IF(V062A_203031333436353739[[#This Row],[FECHA]]-B21=1,((V062A_203031333436353739[[#This Row],[HORA]]-C21)*24)+24,(V062A_203031333436353739[[#This Row],[HORA]]-C21)*24)</f>
        <v>2.4999999999999991</v>
      </c>
      <c r="E22" s="239" t="s">
        <v>55</v>
      </c>
      <c r="F22" s="29" t="s">
        <v>271</v>
      </c>
      <c r="G22" s="324"/>
      <c r="H22" s="306"/>
      <c r="I22" s="259"/>
      <c r="J22" s="380"/>
      <c r="K22" s="325">
        <v>96</v>
      </c>
      <c r="L22" s="483">
        <v>2.08</v>
      </c>
      <c r="M22" s="246">
        <v>0.16</v>
      </c>
      <c r="N22" s="484">
        <v>0.1</v>
      </c>
      <c r="O22" s="246">
        <f>SUM(V062A_203031333436353739[[#This Row],[MPAL]]+V062A_203031333436353739[[#This Row],[AUX.]]+V062A_203031333436353739[[#This Row],[CALDERA]])</f>
        <v>2.3400000000000003</v>
      </c>
      <c r="P22" s="319"/>
      <c r="Q22" s="270">
        <f>(Q21-V062A_203031333436353739[[#This Row],[TOTAL ]])+V062A_203031333436353739[[#This Row],[FAENA]]</f>
        <v>111.23000000000002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SUM(V062A_203031333436353739[[#This Row],[MPAL2]:[GI]])</f>
        <v>0</v>
      </c>
      <c r="X22" s="246"/>
      <c r="Y22" s="300">
        <f>(Y21-V062A_203031333436353739[[#This Row],[TOTAL]])+V062A_203031333436353739[[#This Row],[FAENA2]]</f>
        <v>56.67</v>
      </c>
      <c r="Z22" s="245">
        <v>20.96</v>
      </c>
      <c r="AA22" s="246">
        <v>0</v>
      </c>
      <c r="AB22" s="438">
        <f>(AB21-V062A_203031333436353739[[#This Row],[CYLINDER MP]])+V062A_203031333436353739[[#This Row],[FAENA EN LTS]]</f>
        <v>1910.0000000000002</v>
      </c>
      <c r="AC22" s="246">
        <v>0</v>
      </c>
      <c r="AD22" s="246">
        <v>0</v>
      </c>
      <c r="AE22" s="438">
        <f>(AE21-V062A_203031333436353739[[#This Row],[CARTER MP.]])+V062A_203031333436353739[[#This Row],[FAENA EN LTS2]]</f>
        <v>3500</v>
      </c>
      <c r="AF22" s="246">
        <v>0</v>
      </c>
      <c r="AG22" s="246">
        <v>0</v>
      </c>
      <c r="AH22" s="438">
        <f>(AH21-V062A_203031333436353739[[#This Row],[MOT AUX]])+V062A_203031333436353739[[#This Row],[FAENA EN  LTS]]</f>
        <v>2140</v>
      </c>
      <c r="AI22" s="246">
        <v>0</v>
      </c>
      <c r="AJ22" s="246">
        <v>0</v>
      </c>
      <c r="AK22" s="439">
        <f>(AK21-V062A_203031333436353739[[#This Row],[HIDRAULICO]])+V062A_203031333436353739[[#This Row],[FAENA EN LTS3]]</f>
        <v>1300</v>
      </c>
    </row>
    <row r="23" spans="1:37" x14ac:dyDescent="0.25">
      <c r="A23" s="431" t="s">
        <v>425</v>
      </c>
      <c r="B23" s="48">
        <v>44248</v>
      </c>
      <c r="C23" s="41">
        <v>0.9916666666666667</v>
      </c>
      <c r="D23" s="418">
        <f>IF(V062A_203031333436353739[[#This Row],[FECHA]]-B22=1,((V062A_203031333436353739[[#This Row],[HORA]]-C22)*24)+24,(V062A_203031333436353739[[#This Row],[HORA]]-C22)*24)</f>
        <v>2.2000000000000002</v>
      </c>
      <c r="E23" s="499" t="s">
        <v>47</v>
      </c>
      <c r="F23" s="29" t="s">
        <v>429</v>
      </c>
      <c r="G23" s="500"/>
      <c r="H23" s="501"/>
      <c r="I23" s="502"/>
      <c r="J23" s="503"/>
      <c r="K23" s="504"/>
      <c r="L23" s="245">
        <v>0.92</v>
      </c>
      <c r="M23" s="246">
        <v>0.14000000000000001</v>
      </c>
      <c r="N23" s="246">
        <v>0.09</v>
      </c>
      <c r="O23" s="246">
        <f>SUM(V062A_203031333436353739[[#This Row],[MPAL]]+V062A_203031333436353739[[#This Row],[AUX.]]+V062A_203031333436353739[[#This Row],[CALDERA]])</f>
        <v>1.1500000000000001</v>
      </c>
      <c r="P23" s="319"/>
      <c r="Q23" s="270">
        <f>(Q22-V062A_203031333436353739[[#This Row],[TOTAL ]])+V062A_203031333436353739[[#This Row],[FAENA]]</f>
        <v>110.08000000000001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SUM(V062A_203031333436353739[[#This Row],[MPAL2]:[GI]])</f>
        <v>0</v>
      </c>
      <c r="X23" s="246"/>
      <c r="Y23" s="300">
        <f>(Y22-V062A_203031333436353739[[#This Row],[TOTAL]])+V062A_203031333436353739[[#This Row],[FAENA2]]</f>
        <v>56.67</v>
      </c>
      <c r="Z23" s="245">
        <v>0</v>
      </c>
      <c r="AA23" s="246">
        <v>0</v>
      </c>
      <c r="AB23" s="438">
        <f>(AB22-V062A_203031333436353739[[#This Row],[CYLINDER MP]])+V062A_203031333436353739[[#This Row],[FAENA EN LTS]]</f>
        <v>1910.0000000000002</v>
      </c>
      <c r="AC23" s="246">
        <v>0</v>
      </c>
      <c r="AD23" s="246">
        <v>0</v>
      </c>
      <c r="AE23" s="438">
        <f>(AE22-V062A_203031333436353739[[#This Row],[CARTER MP.]])+V062A_203031333436353739[[#This Row],[FAENA EN LTS2]]</f>
        <v>3500</v>
      </c>
      <c r="AF23" s="246">
        <v>0</v>
      </c>
      <c r="AG23" s="246">
        <v>0</v>
      </c>
      <c r="AH23" s="438">
        <f>(AH22-V062A_203031333436353739[[#This Row],[MOT AUX]])+V062A_203031333436353739[[#This Row],[FAENA EN  LTS]]</f>
        <v>2140</v>
      </c>
      <c r="AI23" s="246">
        <v>0</v>
      </c>
      <c r="AJ23" s="246">
        <v>0</v>
      </c>
      <c r="AK23" s="439">
        <f>(AK22-V062A_203031333436353739[[#This Row],[HIDRAULICO]])+V062A_203031333436353739[[#This Row],[FAENA EN LTS3]]</f>
        <v>1300</v>
      </c>
    </row>
    <row r="24" spans="1:37" x14ac:dyDescent="0.25">
      <c r="A24" s="431" t="s">
        <v>425</v>
      </c>
      <c r="B24" s="48">
        <v>44249</v>
      </c>
      <c r="C24" s="41">
        <v>0.11666666666666665</v>
      </c>
      <c r="D24" s="418">
        <f>IF(V062A_203031333436353739[[#This Row],[FECHA]]-B23=1,((V062A_203031333436353739[[#This Row],[HORA]]-C23)*24)+24,(V062A_203031333436353739[[#This Row],[HORA]]-C23)*24)</f>
        <v>3</v>
      </c>
      <c r="E24" s="499" t="s">
        <v>49</v>
      </c>
      <c r="F24" s="29" t="s">
        <v>50</v>
      </c>
      <c r="G24" s="500"/>
      <c r="H24" s="501"/>
      <c r="I24" s="502"/>
      <c r="J24" s="503"/>
      <c r="K24" s="504"/>
      <c r="L24" s="245">
        <v>0</v>
      </c>
      <c r="M24" s="246">
        <v>0.19</v>
      </c>
      <c r="N24" s="246">
        <v>0.13</v>
      </c>
      <c r="O24" s="246">
        <f>SUM(V062A_203031333436353739[[#This Row],[MPAL]]+V062A_203031333436353739[[#This Row],[AUX.]]+V062A_203031333436353739[[#This Row],[CALDERA]])</f>
        <v>0.32</v>
      </c>
      <c r="P24" s="319"/>
      <c r="Q24" s="270">
        <f>(Q23-V062A_203031333436353739[[#This Row],[TOTAL ]])+V062A_203031333436353739[[#This Row],[FAENA]]</f>
        <v>109.76000000000002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SUM(V062A_203031333436353739[[#This Row],[MPAL2]:[GI]])</f>
        <v>0</v>
      </c>
      <c r="X24" s="246"/>
      <c r="Y24" s="300">
        <f>(Y23-V062A_203031333436353739[[#This Row],[TOTAL]])+V062A_203031333436353739[[#This Row],[FAENA2]]</f>
        <v>56.67</v>
      </c>
      <c r="Z24" s="245">
        <v>0</v>
      </c>
      <c r="AA24" s="246">
        <v>0</v>
      </c>
      <c r="AB24" s="438">
        <f>(AB23-V062A_203031333436353739[[#This Row],[CYLINDER MP]])+V062A_203031333436353739[[#This Row],[FAENA EN LTS]]</f>
        <v>1910.0000000000002</v>
      </c>
      <c r="AC24" s="246">
        <v>0</v>
      </c>
      <c r="AD24" s="246">
        <v>0</v>
      </c>
      <c r="AE24" s="438">
        <f>(AE23-V062A_203031333436353739[[#This Row],[CARTER MP.]])+V062A_203031333436353739[[#This Row],[FAENA EN LTS2]]</f>
        <v>3500</v>
      </c>
      <c r="AF24" s="246">
        <v>0</v>
      </c>
      <c r="AG24" s="246">
        <v>0</v>
      </c>
      <c r="AH24" s="438">
        <f>(AH23-V062A_203031333436353739[[#This Row],[MOT AUX]])+V062A_203031333436353739[[#This Row],[FAENA EN  LTS]]</f>
        <v>2140</v>
      </c>
      <c r="AI24" s="246">
        <v>0</v>
      </c>
      <c r="AJ24" s="246">
        <v>0</v>
      </c>
      <c r="AK24" s="439">
        <f>(AK23-V062A_203031333436353739[[#This Row],[HIDRAULICO]])+V062A_203031333436353739[[#This Row],[FAENA EN LTS3]]</f>
        <v>1300</v>
      </c>
    </row>
    <row r="25" spans="1:37" x14ac:dyDescent="0.25">
      <c r="A25" s="431" t="s">
        <v>425</v>
      </c>
      <c r="B25" s="48">
        <v>44249</v>
      </c>
      <c r="C25" s="41">
        <v>0.33333333333333331</v>
      </c>
      <c r="D25" s="418">
        <f>IF(V062A_203031333436353739[[#This Row],[FECHA]]-B24=1,((V062A_203031333436353739[[#This Row],[HORA]]-C24)*24)+24,(V062A_203031333436353739[[#This Row],[HORA]]-C24)*24)</f>
        <v>5.2</v>
      </c>
      <c r="E25" s="432" t="s">
        <v>51</v>
      </c>
      <c r="F25" s="29" t="s">
        <v>51</v>
      </c>
      <c r="G25" s="433"/>
      <c r="H25" s="434"/>
      <c r="I25" s="435"/>
      <c r="J25" s="436"/>
      <c r="K25" s="437"/>
      <c r="L25" s="483">
        <v>0</v>
      </c>
      <c r="M25" s="246">
        <v>0.54</v>
      </c>
      <c r="N25" s="484">
        <v>0.15</v>
      </c>
      <c r="O25" s="246">
        <f>SUM(V062A_203031333436353739[[#This Row],[MPAL]]+V062A_203031333436353739[[#This Row],[AUX.]]+V062A_203031333436353739[[#This Row],[CALDERA]])</f>
        <v>0.69000000000000006</v>
      </c>
      <c r="P25" s="319"/>
      <c r="Q25" s="270">
        <f>(Q24-V062A_203031333436353739[[#This Row],[TOTAL ]])+V062A_203031333436353739[[#This Row],[FAENA]]</f>
        <v>109.07000000000002</v>
      </c>
      <c r="R25" s="245">
        <v>0</v>
      </c>
      <c r="S25" s="246">
        <v>0</v>
      </c>
      <c r="T25" s="246">
        <v>0</v>
      </c>
      <c r="U25" s="246">
        <v>0</v>
      </c>
      <c r="V25" s="246">
        <v>1.3</v>
      </c>
      <c r="W25" s="246">
        <f>SUM(V062A_203031333436353739[[#This Row],[MPAL2]:[GI]])</f>
        <v>1.3</v>
      </c>
      <c r="X25" s="246"/>
      <c r="Y25" s="300">
        <f>(Y24-V062A_203031333436353739[[#This Row],[TOTAL]])+V062A_203031333436353739[[#This Row],[FAENA2]]</f>
        <v>55.370000000000005</v>
      </c>
      <c r="Z25" s="245">
        <v>0</v>
      </c>
      <c r="AA25" s="246">
        <v>0</v>
      </c>
      <c r="AB25" s="438">
        <f>(AB24-V062A_203031333436353739[[#This Row],[CYLINDER MP]])+V062A_203031333436353739[[#This Row],[FAENA EN LTS]]</f>
        <v>1910.0000000000002</v>
      </c>
      <c r="AC25" s="246">
        <v>0</v>
      </c>
      <c r="AD25" s="246">
        <v>0</v>
      </c>
      <c r="AE25" s="438">
        <f>(AE24-V062A_203031333436353739[[#This Row],[CARTER MP.]])+V062A_203031333436353739[[#This Row],[FAENA EN LTS2]]</f>
        <v>3500</v>
      </c>
      <c r="AF25" s="246">
        <v>20</v>
      </c>
      <c r="AG25" s="246">
        <v>0</v>
      </c>
      <c r="AH25" s="438">
        <f>(AH24-V062A_203031333436353739[[#This Row],[MOT AUX]])+V062A_203031333436353739[[#This Row],[FAENA EN  LTS]]</f>
        <v>2120</v>
      </c>
      <c r="AI25" s="246">
        <v>50</v>
      </c>
      <c r="AJ25" s="246">
        <v>0</v>
      </c>
      <c r="AK25" s="439">
        <f>(AK24-V062A_203031333436353739[[#This Row],[HIDRAULICO]])+V062A_203031333436353739[[#This Row],[FAENA EN LTS3]]</f>
        <v>1250</v>
      </c>
    </row>
    <row r="26" spans="1:37" x14ac:dyDescent="0.25">
      <c r="A26" s="431" t="s">
        <v>425</v>
      </c>
      <c r="B26" s="48">
        <v>44249</v>
      </c>
      <c r="C26" s="41">
        <v>0.72083333333333333</v>
      </c>
      <c r="D26" s="418">
        <f>IF(V062A_203031333436353739[[#This Row],[FECHA]]-B25=1,((V062A_203031333436353739[[#This Row],[HORA]]-C25)*24)+24,(V062A_203031333436353739[[#This Row],[HORA]]-C25)*24)</f>
        <v>9.3000000000000007</v>
      </c>
      <c r="E26" s="432" t="s">
        <v>51</v>
      </c>
      <c r="F26" s="378" t="s">
        <v>51</v>
      </c>
      <c r="G26" s="433"/>
      <c r="H26" s="434"/>
      <c r="I26" s="435"/>
      <c r="J26" s="436"/>
      <c r="K26" s="437"/>
      <c r="L26" s="483">
        <v>0</v>
      </c>
      <c r="M26" s="246">
        <v>0.62</v>
      </c>
      <c r="N26" s="484">
        <v>0.39</v>
      </c>
      <c r="O26" s="246">
        <f>SUM(V062A_203031333436353739[[#This Row],[MPAL]]+V062A_203031333436353739[[#This Row],[AUX.]]+V062A_203031333436353739[[#This Row],[CALDERA]])</f>
        <v>1.01</v>
      </c>
      <c r="P26" s="319"/>
      <c r="Q26" s="270">
        <f>(Q25-V062A_203031333436353739[[#This Row],[TOTAL ]])+V062A_203031333436353739[[#This Row],[FAENA]]</f>
        <v>108.06000000000002</v>
      </c>
      <c r="R26" s="245">
        <v>0</v>
      </c>
      <c r="S26" s="246">
        <v>0</v>
      </c>
      <c r="T26" s="246">
        <v>0</v>
      </c>
      <c r="U26" s="246">
        <v>0</v>
      </c>
      <c r="V26" s="246">
        <v>2.3199999999999998</v>
      </c>
      <c r="W26" s="246">
        <f>SUM(V062A_203031333436353739[[#This Row],[MPAL2]:[GI]])</f>
        <v>2.3199999999999998</v>
      </c>
      <c r="X26" s="246"/>
      <c r="Y26" s="300">
        <f>(Y25-V062A_203031333436353739[[#This Row],[TOTAL]])+V062A_203031333436353739[[#This Row],[FAENA2]]</f>
        <v>53.050000000000004</v>
      </c>
      <c r="Z26" s="245">
        <v>0</v>
      </c>
      <c r="AA26" s="246">
        <v>0</v>
      </c>
      <c r="AB26" s="438">
        <f>(AB25-V062A_203031333436353739[[#This Row],[CYLINDER MP]])+V062A_203031333436353739[[#This Row],[FAENA EN LTS]]</f>
        <v>1910.0000000000002</v>
      </c>
      <c r="AC26" s="246">
        <v>0</v>
      </c>
      <c r="AD26" s="246">
        <v>0</v>
      </c>
      <c r="AE26" s="438">
        <f>(AE25-V062A_203031333436353739[[#This Row],[CARTER MP.]])+V062A_203031333436353739[[#This Row],[FAENA EN LTS2]]</f>
        <v>3500</v>
      </c>
      <c r="AF26" s="246">
        <v>0</v>
      </c>
      <c r="AG26" s="246">
        <v>0</v>
      </c>
      <c r="AH26" s="438">
        <f>(AH25-V062A_203031333436353739[[#This Row],[MOT AUX]])+V062A_203031333436353739[[#This Row],[FAENA EN  LTS]]</f>
        <v>2120</v>
      </c>
      <c r="AI26" s="246">
        <v>50</v>
      </c>
      <c r="AJ26" s="246">
        <v>0</v>
      </c>
      <c r="AK26" s="439">
        <f>(AK25-V062A_203031333436353739[[#This Row],[HIDRAULICO]])+V062A_203031333436353739[[#This Row],[FAENA EN LTS3]]</f>
        <v>1200</v>
      </c>
    </row>
    <row r="27" spans="1:37" x14ac:dyDescent="0.25">
      <c r="A27" s="431" t="s">
        <v>425</v>
      </c>
      <c r="B27" s="48">
        <v>44250</v>
      </c>
      <c r="C27" s="41">
        <v>0.33333333333333331</v>
      </c>
      <c r="D27" s="418">
        <f>IF(V062A_203031333436353739[[#This Row],[FECHA]]-B26=1,((V062A_203031333436353739[[#This Row],[HORA]]-C26)*24)+24,(V062A_203031333436353739[[#This Row],[HORA]]-C26)*24)</f>
        <v>14.7</v>
      </c>
      <c r="E27" s="432" t="s">
        <v>71</v>
      </c>
      <c r="F27" s="378" t="s">
        <v>71</v>
      </c>
      <c r="G27" s="433"/>
      <c r="H27" s="434"/>
      <c r="I27" s="435"/>
      <c r="J27" s="436"/>
      <c r="K27" s="437"/>
      <c r="L27" s="483">
        <v>0</v>
      </c>
      <c r="M27" s="246">
        <v>0.98</v>
      </c>
      <c r="N27" s="484">
        <v>0.61</v>
      </c>
      <c r="O27" s="246">
        <f>SUM(V062A_203031333436353739[[#This Row],[MPAL]]+V062A_203031333436353739[[#This Row],[AUX.]]+V062A_203031333436353739[[#This Row],[CALDERA]])</f>
        <v>1.5899999999999999</v>
      </c>
      <c r="P27" s="319"/>
      <c r="Q27" s="270">
        <f>(Q26-V062A_203031333436353739[[#This Row],[TOTAL ]])+V062A_203031333436353739[[#This Row],[FAENA]]</f>
        <v>106.47000000000001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SUM(V062A_203031333436353739[[#This Row],[MPAL2]:[GI]])</f>
        <v>0</v>
      </c>
      <c r="X27" s="246"/>
      <c r="Y27" s="300">
        <f>(Y26-V062A_203031333436353739[[#This Row],[TOTAL]])+V062A_203031333436353739[[#This Row],[FAENA2]]</f>
        <v>53.050000000000004</v>
      </c>
      <c r="Z27" s="245">
        <v>0</v>
      </c>
      <c r="AA27" s="246">
        <v>0</v>
      </c>
      <c r="AB27" s="438">
        <f>(AB26-V062A_203031333436353739[[#This Row],[CYLINDER MP]])+V062A_203031333436353739[[#This Row],[FAENA EN LTS]]</f>
        <v>1910.0000000000002</v>
      </c>
      <c r="AC27" s="246">
        <v>0</v>
      </c>
      <c r="AD27" s="246">
        <v>0</v>
      </c>
      <c r="AE27" s="438">
        <f>(AE26-V062A_203031333436353739[[#This Row],[CARTER MP.]])+V062A_203031333436353739[[#This Row],[FAENA EN LTS2]]</f>
        <v>3500</v>
      </c>
      <c r="AF27" s="246">
        <v>20</v>
      </c>
      <c r="AG27" s="246">
        <v>0</v>
      </c>
      <c r="AH27" s="438">
        <f>(AH26-V062A_203031333436353739[[#This Row],[MOT AUX]])+V062A_203031333436353739[[#This Row],[FAENA EN  LTS]]</f>
        <v>2100</v>
      </c>
      <c r="AI27" s="246">
        <v>0</v>
      </c>
      <c r="AJ27" s="246">
        <v>0</v>
      </c>
      <c r="AK27" s="439">
        <f>(AK26-V062A_203031333436353739[[#This Row],[HIDRAULICO]])+V062A_203031333436353739[[#This Row],[FAENA EN LTS3]]</f>
        <v>1200</v>
      </c>
    </row>
    <row r="28" spans="1:37" x14ac:dyDescent="0.25">
      <c r="A28" s="431" t="s">
        <v>425</v>
      </c>
      <c r="B28" s="48">
        <v>44250</v>
      </c>
      <c r="C28" s="41">
        <v>0.625</v>
      </c>
      <c r="D28" s="418">
        <f>IF(V062A_203031333436353739[[#This Row],[FECHA]]-B27=1,((V062A_203031333436353739[[#This Row],[HORA]]-C27)*24)+24,(V062A_203031333436353739[[#This Row],[HORA]]-C27)*24)</f>
        <v>7</v>
      </c>
      <c r="E28" s="432" t="s">
        <v>71</v>
      </c>
      <c r="F28" s="29" t="s">
        <v>430</v>
      </c>
      <c r="G28" s="433"/>
      <c r="H28" s="434"/>
      <c r="I28" s="435"/>
      <c r="J28" s="436"/>
      <c r="K28" s="437"/>
      <c r="L28" s="483">
        <v>0</v>
      </c>
      <c r="M28" s="246">
        <v>0.47</v>
      </c>
      <c r="N28" s="484">
        <v>0.28999999999999998</v>
      </c>
      <c r="O28" s="246">
        <f>SUM(V062A_203031333436353739[[#This Row],[MPAL]]+V062A_203031333436353739[[#This Row],[AUX.]]+V062A_203031333436353739[[#This Row],[CALDERA]])</f>
        <v>0.76</v>
      </c>
      <c r="P28" s="319"/>
      <c r="Q28" s="270">
        <f>(Q27-V062A_203031333436353739[[#This Row],[TOTAL ]])+V062A_203031333436353739[[#This Row],[FAENA]]</f>
        <v>105.71000000000001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SUM(V062A_203031333436353739[[#This Row],[MPAL2]:[GI]])</f>
        <v>0</v>
      </c>
      <c r="X28" s="246"/>
      <c r="Y28" s="300">
        <f>(Y27-V062A_203031333436353739[[#This Row],[TOTAL]])+V062A_203031333436353739[[#This Row],[FAENA2]]</f>
        <v>53.050000000000004</v>
      </c>
      <c r="Z28" s="245">
        <v>0</v>
      </c>
      <c r="AA28" s="246">
        <v>0</v>
      </c>
      <c r="AB28" s="438">
        <f>(AB27-V062A_203031333436353739[[#This Row],[CYLINDER MP]])+V062A_203031333436353739[[#This Row],[FAENA EN LTS]]</f>
        <v>1910.0000000000002</v>
      </c>
      <c r="AC28" s="246">
        <v>0</v>
      </c>
      <c r="AD28" s="246">
        <v>0</v>
      </c>
      <c r="AE28" s="438">
        <f>(AE27-V062A_203031333436353739[[#This Row],[CARTER MP.]])+V062A_203031333436353739[[#This Row],[FAENA EN LTS2]]</f>
        <v>3500</v>
      </c>
      <c r="AF28" s="246">
        <v>0</v>
      </c>
      <c r="AG28" s="246">
        <v>0</v>
      </c>
      <c r="AH28" s="438">
        <f>(AH27-V062A_203031333436353739[[#This Row],[MOT AUX]])+V062A_203031333436353739[[#This Row],[FAENA EN  LTS]]</f>
        <v>2100</v>
      </c>
      <c r="AI28" s="246">
        <v>0</v>
      </c>
      <c r="AJ28" s="246">
        <v>0</v>
      </c>
      <c r="AK28" s="439">
        <f>(AK27-V062A_203031333436353739[[#This Row],[HIDRAULICO]])+V062A_203031333436353739[[#This Row],[FAENA EN LTS3]]</f>
        <v>1200</v>
      </c>
    </row>
    <row r="29" spans="1:37" x14ac:dyDescent="0.25">
      <c r="A29" s="431" t="s">
        <v>425</v>
      </c>
      <c r="B29" s="48">
        <v>44250</v>
      </c>
      <c r="C29" s="41">
        <v>0.70833333333333337</v>
      </c>
      <c r="D29" s="418">
        <f>IF(V062A_203031333436353739[[#This Row],[FECHA]]-B28=1,((V062A_203031333436353739[[#This Row],[HORA]]-C28)*24)+24,(V062A_203031333436353739[[#This Row],[HORA]]-C28)*24)</f>
        <v>2.0000000000000009</v>
      </c>
      <c r="E29" s="432" t="s">
        <v>71</v>
      </c>
      <c r="F29" s="29" t="s">
        <v>431</v>
      </c>
      <c r="G29" s="433"/>
      <c r="H29" s="434"/>
      <c r="I29" s="435"/>
      <c r="J29" s="436"/>
      <c r="K29" s="437"/>
      <c r="L29" s="483">
        <v>0</v>
      </c>
      <c r="M29" s="246">
        <v>0.13</v>
      </c>
      <c r="N29" s="484">
        <v>0.08</v>
      </c>
      <c r="O29" s="246">
        <f>SUM(V062A_203031333436353739[[#This Row],[MPAL]]+V062A_203031333436353739[[#This Row],[AUX.]]+V062A_203031333436353739[[#This Row],[CALDERA]])</f>
        <v>0.21000000000000002</v>
      </c>
      <c r="P29" s="319">
        <v>131.1</v>
      </c>
      <c r="Q29" s="270">
        <f>(Q28-V062A_203031333436353739[[#This Row],[TOTAL ]])+V062A_203031333436353739[[#This Row],[FAENA]]</f>
        <v>236.60000000000002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SUM(V062A_203031333436353739[[#This Row],[MPAL2]:[GI]])</f>
        <v>0</v>
      </c>
      <c r="X29" s="246"/>
      <c r="Y29" s="300">
        <f>(Y28-V062A_203031333436353739[[#This Row],[TOTAL]])+V062A_203031333436353739[[#This Row],[FAENA2]]</f>
        <v>53.050000000000004</v>
      </c>
      <c r="Z29" s="245">
        <v>0</v>
      </c>
      <c r="AA29" s="246">
        <v>0</v>
      </c>
      <c r="AB29" s="438">
        <f>(AB28-V062A_203031333436353739[[#This Row],[CYLINDER MP]])+V062A_203031333436353739[[#This Row],[FAENA EN LTS]]</f>
        <v>1910.0000000000002</v>
      </c>
      <c r="AC29" s="246">
        <v>0</v>
      </c>
      <c r="AD29" s="246">
        <v>0</v>
      </c>
      <c r="AE29" s="438">
        <f>(AE28-V062A_203031333436353739[[#This Row],[CARTER MP.]])+V062A_203031333436353739[[#This Row],[FAENA EN LTS2]]</f>
        <v>3500</v>
      </c>
      <c r="AF29" s="246">
        <v>0</v>
      </c>
      <c r="AG29" s="246">
        <v>0</v>
      </c>
      <c r="AH29" s="438">
        <f>(AH28-V062A_203031333436353739[[#This Row],[MOT AUX]])+V062A_203031333436353739[[#This Row],[FAENA EN  LTS]]</f>
        <v>2100</v>
      </c>
      <c r="AI29" s="246">
        <v>0</v>
      </c>
      <c r="AJ29" s="246">
        <v>0</v>
      </c>
      <c r="AK29" s="439">
        <f>(AK28-V062A_203031333436353739[[#This Row],[HIDRAULICO]])+V062A_203031333436353739[[#This Row],[FAENA EN LTS3]]</f>
        <v>1200</v>
      </c>
    </row>
    <row r="30" spans="1:37" x14ac:dyDescent="0.25">
      <c r="A30" s="431" t="s">
        <v>425</v>
      </c>
      <c r="B30" s="48">
        <v>44251</v>
      </c>
      <c r="C30" s="41">
        <v>0.33333333333333331</v>
      </c>
      <c r="D30" s="418">
        <f>IF(V062A_203031333436353739[[#This Row],[FECHA]]-B29=1,((V062A_203031333436353739[[#This Row],[HORA]]-C29)*24)+24,(V062A_203031333436353739[[#This Row],[HORA]]-C29)*24)</f>
        <v>14.999999999999998</v>
      </c>
      <c r="E30" s="432" t="s">
        <v>71</v>
      </c>
      <c r="F30" s="29" t="s">
        <v>71</v>
      </c>
      <c r="G30" s="433"/>
      <c r="H30" s="434"/>
      <c r="I30" s="435"/>
      <c r="J30" s="436"/>
      <c r="K30" s="437"/>
      <c r="L30" s="483">
        <v>0</v>
      </c>
      <c r="M30" s="246">
        <v>1</v>
      </c>
      <c r="N30" s="484">
        <v>0.63</v>
      </c>
      <c r="O30" s="246">
        <f>SUM(V062A_203031333436353739[[#This Row],[MPAL]]+V062A_203031333436353739[[#This Row],[AUX.]]+V062A_203031333436353739[[#This Row],[CALDERA]])</f>
        <v>1.63</v>
      </c>
      <c r="P30" s="319"/>
      <c r="Q30" s="270">
        <f>(Q29-V062A_203031333436353739[[#This Row],[TOTAL ]])+V062A_203031333436353739[[#This Row],[FAENA]]</f>
        <v>234.97000000000003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SUM(V062A_203031333436353739[[#This Row],[MPAL2]:[GI]])</f>
        <v>0</v>
      </c>
      <c r="X30" s="246"/>
      <c r="Y30" s="300">
        <f>(Y29-V062A_203031333436353739[[#This Row],[TOTAL]])+V062A_203031333436353739[[#This Row],[FAENA2]]</f>
        <v>53.050000000000004</v>
      </c>
      <c r="Z30" s="245">
        <v>0</v>
      </c>
      <c r="AA30" s="246">
        <v>0</v>
      </c>
      <c r="AB30" s="438">
        <f>(AB29-V062A_203031333436353739[[#This Row],[CYLINDER MP]])+V062A_203031333436353739[[#This Row],[FAENA EN LTS]]</f>
        <v>1910.0000000000002</v>
      </c>
      <c r="AC30" s="246">
        <v>0</v>
      </c>
      <c r="AD30" s="246">
        <v>0</v>
      </c>
      <c r="AE30" s="438">
        <f>(AE29-V062A_203031333436353739[[#This Row],[CARTER MP.]])+V062A_203031333436353739[[#This Row],[FAENA EN LTS2]]</f>
        <v>3500</v>
      </c>
      <c r="AF30" s="246">
        <v>0</v>
      </c>
      <c r="AG30" s="246">
        <v>0</v>
      </c>
      <c r="AH30" s="438">
        <f>(AH29-V062A_203031333436353739[[#This Row],[MOT AUX]])+V062A_203031333436353739[[#This Row],[FAENA EN  LTS]]</f>
        <v>2100</v>
      </c>
      <c r="AI30" s="246">
        <v>0</v>
      </c>
      <c r="AJ30" s="246">
        <v>0</v>
      </c>
      <c r="AK30" s="439">
        <f>(AK29-V062A_203031333436353739[[#This Row],[HIDRAULICO]])+V062A_203031333436353739[[#This Row],[FAENA EN LTS3]]</f>
        <v>1200</v>
      </c>
    </row>
    <row r="31" spans="1:37" x14ac:dyDescent="0.25">
      <c r="A31" s="431" t="s">
        <v>425</v>
      </c>
      <c r="B31" s="48">
        <v>44252</v>
      </c>
      <c r="C31" s="41">
        <v>0.33333333333333331</v>
      </c>
      <c r="D31" s="418">
        <f>IF(V062A_203031333436353739[[#This Row],[FECHA]]-B30=1,((V062A_203031333436353739[[#This Row],[HORA]]-C30)*24)+24,(V062A_203031333436353739[[#This Row],[HORA]]-C30)*24)</f>
        <v>24</v>
      </c>
      <c r="E31" s="432" t="s">
        <v>71</v>
      </c>
      <c r="F31" s="29" t="s">
        <v>71</v>
      </c>
      <c r="G31" s="433"/>
      <c r="H31" s="434"/>
      <c r="I31" s="435"/>
      <c r="J31" s="436"/>
      <c r="K31" s="437"/>
      <c r="L31" s="483">
        <v>0</v>
      </c>
      <c r="M31" s="246">
        <v>1.6</v>
      </c>
      <c r="N31" s="484">
        <v>0.97</v>
      </c>
      <c r="O31" s="246">
        <f>SUM(V062A_203031333436353739[[#This Row],[MPAL]]+V062A_203031333436353739[[#This Row],[AUX.]]+V062A_203031333436353739[[#This Row],[CALDERA]])</f>
        <v>2.5700000000000003</v>
      </c>
      <c r="P31" s="319"/>
      <c r="Q31" s="270">
        <f>(Q30-V062A_203031333436353739[[#This Row],[TOTAL ]])+V062A_203031333436353739[[#This Row],[FAENA]]</f>
        <v>232.40000000000003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SUM(V062A_203031333436353739[[#This Row],[MPAL2]:[GI]])</f>
        <v>0</v>
      </c>
      <c r="X31" s="246"/>
      <c r="Y31" s="300">
        <f>(Y30-V062A_203031333436353739[[#This Row],[TOTAL]])+V062A_203031333436353739[[#This Row],[FAENA2]]</f>
        <v>53.050000000000004</v>
      </c>
      <c r="Z31" s="245">
        <v>0</v>
      </c>
      <c r="AA31" s="246">
        <v>0</v>
      </c>
      <c r="AB31" s="438">
        <f>(AB30-V062A_203031333436353739[[#This Row],[CYLINDER MP]])+V062A_203031333436353739[[#This Row],[FAENA EN LTS]]</f>
        <v>1910.0000000000002</v>
      </c>
      <c r="AC31" s="246">
        <v>0</v>
      </c>
      <c r="AD31" s="246">
        <v>0</v>
      </c>
      <c r="AE31" s="438">
        <f>(AE30-V062A_203031333436353739[[#This Row],[CARTER MP.]])+V062A_203031333436353739[[#This Row],[FAENA EN LTS2]]</f>
        <v>3500</v>
      </c>
      <c r="AF31" s="246">
        <v>0</v>
      </c>
      <c r="AG31" s="246">
        <v>0</v>
      </c>
      <c r="AH31" s="438">
        <f>(AH30-V062A_203031333436353739[[#This Row],[MOT AUX]])+V062A_203031333436353739[[#This Row],[FAENA EN  LTS]]</f>
        <v>2100</v>
      </c>
      <c r="AI31" s="246">
        <v>0</v>
      </c>
      <c r="AJ31" s="246">
        <v>0</v>
      </c>
      <c r="AK31" s="439">
        <f>(AK30-V062A_203031333436353739[[#This Row],[HIDRAULICO]])+V062A_203031333436353739[[#This Row],[FAENA EN LTS3]]</f>
        <v>1200</v>
      </c>
    </row>
    <row r="32" spans="1:37" x14ac:dyDescent="0.25">
      <c r="A32" s="431" t="s">
        <v>425</v>
      </c>
      <c r="B32" s="48">
        <v>44252</v>
      </c>
      <c r="C32" s="41">
        <v>0.41666666666666669</v>
      </c>
      <c r="D32" s="418">
        <f>IF(V062A_203031333436353739[[#This Row],[FECHA]]-B31=1,((V062A_203031333436353739[[#This Row],[HORA]]-C31)*24)+24,(V062A_203031333436353739[[#This Row],[HORA]]-C31)*24)</f>
        <v>2.0000000000000009</v>
      </c>
      <c r="E32" s="432" t="s">
        <v>71</v>
      </c>
      <c r="F32" s="29" t="s">
        <v>71</v>
      </c>
      <c r="G32" s="433"/>
      <c r="H32" s="434"/>
      <c r="I32" s="435"/>
      <c r="J32" s="436"/>
      <c r="K32" s="437"/>
      <c r="L32" s="483">
        <v>0</v>
      </c>
      <c r="M32" s="246">
        <v>0.13</v>
      </c>
      <c r="N32" s="484">
        <v>0.08</v>
      </c>
      <c r="O32" s="246">
        <f>SUM(V062A_203031333436353739[[#This Row],[MPAL]]+V062A_203031333436353739[[#This Row],[AUX.]]+V062A_203031333436353739[[#This Row],[CALDERA]])</f>
        <v>0.21000000000000002</v>
      </c>
      <c r="P32" s="319"/>
      <c r="Q32" s="270">
        <f>(Q31-V062A_203031333436353739[[#This Row],[TOTAL ]])+V062A_203031333436353739[[#This Row],[FAENA]]</f>
        <v>232.19000000000003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SUM(V062A_203031333436353739[[#This Row],[MPAL2]:[GI]])</f>
        <v>0</v>
      </c>
      <c r="X32" s="246"/>
      <c r="Y32" s="300">
        <f>(Y31-V062A_203031333436353739[[#This Row],[TOTAL]])+V062A_203031333436353739[[#This Row],[FAENA2]]</f>
        <v>53.050000000000004</v>
      </c>
      <c r="Z32" s="245">
        <v>0</v>
      </c>
      <c r="AA32" s="246">
        <v>0</v>
      </c>
      <c r="AB32" s="320">
        <f>(AB31-V062A_203031333436353739[[#This Row],[CYLINDER MP]])+V062A_203031333436353739[[#This Row],[FAENA EN LTS]]</f>
        <v>1910.0000000000002</v>
      </c>
      <c r="AC32" s="246">
        <v>0</v>
      </c>
      <c r="AD32" s="246">
        <v>0</v>
      </c>
      <c r="AE32" s="438">
        <f>(AE31-V062A_203031333436353739[[#This Row],[CARTER MP.]])+V062A_203031333436353739[[#This Row],[FAENA EN LTS2]]</f>
        <v>3500</v>
      </c>
      <c r="AF32" s="246">
        <v>0</v>
      </c>
      <c r="AG32" s="246">
        <v>0</v>
      </c>
      <c r="AH32" s="438">
        <f>(AH31-V062A_203031333436353739[[#This Row],[MOT AUX]])+V062A_203031333436353739[[#This Row],[FAENA EN  LTS]]</f>
        <v>2100</v>
      </c>
      <c r="AI32" s="246">
        <v>0</v>
      </c>
      <c r="AJ32" s="246">
        <v>0</v>
      </c>
      <c r="AK32" s="439">
        <f>(AK31-V062A_203031333436353739[[#This Row],[HIDRAULICO]])+V062A_203031333436353739[[#This Row],[FAENA EN LTS3]]</f>
        <v>1200</v>
      </c>
    </row>
    <row r="33" spans="1:37" x14ac:dyDescent="0.25">
      <c r="A33" s="431" t="s">
        <v>425</v>
      </c>
      <c r="B33" s="48">
        <v>44253</v>
      </c>
      <c r="C33" s="41">
        <v>6.25E-2</v>
      </c>
      <c r="D33" s="418">
        <f>IF(V062A_203031333436353739[[#This Row],[FECHA]]-B32=1,((V062A_203031333436353739[[#This Row],[HORA]]-C32)*24)+24,(V062A_203031333436353739[[#This Row],[HORA]]-C32)*24)</f>
        <v>15.5</v>
      </c>
      <c r="E33" s="409" t="s">
        <v>51</v>
      </c>
      <c r="F33" s="29" t="s">
        <v>51</v>
      </c>
      <c r="G33" s="433"/>
      <c r="H33" s="434"/>
      <c r="I33" s="435"/>
      <c r="J33" s="436"/>
      <c r="K33" s="437"/>
      <c r="L33" s="483">
        <v>0</v>
      </c>
      <c r="M33" s="246">
        <v>1.03</v>
      </c>
      <c r="N33" s="484">
        <v>0.65</v>
      </c>
      <c r="O33" s="246">
        <f>SUM(V062A_203031333436353739[[#This Row],[MPAL]]+V062A_203031333436353739[[#This Row],[AUX.]]+V062A_203031333436353739[[#This Row],[CALDERA]])</f>
        <v>1.6800000000000002</v>
      </c>
      <c r="P33" s="319"/>
      <c r="Q33" s="270">
        <f>(Q32-V062A_203031333436353739[[#This Row],[TOTAL ]])+V062A_203031333436353739[[#This Row],[FAENA]]</f>
        <v>230.51000000000002</v>
      </c>
      <c r="R33" s="245">
        <v>0</v>
      </c>
      <c r="S33" s="246">
        <v>0</v>
      </c>
      <c r="T33" s="246">
        <v>0</v>
      </c>
      <c r="U33" s="246">
        <v>0</v>
      </c>
      <c r="V33" s="246">
        <v>3.88</v>
      </c>
      <c r="W33" s="246">
        <f>SUM(V062A_203031333436353739[[#This Row],[MPAL2]:[GI]])</f>
        <v>3.88</v>
      </c>
      <c r="X33" s="246"/>
      <c r="Y33" s="300">
        <f>(Y32-V062A_203031333436353739[[#This Row],[TOTAL]])+V062A_203031333436353739[[#This Row],[FAENA2]]</f>
        <v>49.17</v>
      </c>
      <c r="Z33" s="245">
        <v>0</v>
      </c>
      <c r="AA33" s="246">
        <v>0</v>
      </c>
      <c r="AB33" s="320">
        <f>(AB32-V062A_203031333436353739[[#This Row],[CYLINDER MP]])+V062A_203031333436353739[[#This Row],[FAENA EN LTS]]</f>
        <v>1910.0000000000002</v>
      </c>
      <c r="AC33" s="246">
        <v>0</v>
      </c>
      <c r="AD33" s="246">
        <v>0</v>
      </c>
      <c r="AE33" s="438">
        <f>(AE32-V062A_203031333436353739[[#This Row],[CARTER MP.]])+V062A_203031333436353739[[#This Row],[FAENA EN LTS2]]</f>
        <v>3500</v>
      </c>
      <c r="AF33" s="246">
        <v>0</v>
      </c>
      <c r="AG33" s="246">
        <v>0</v>
      </c>
      <c r="AH33" s="438">
        <f>(AH32-V062A_203031333436353739[[#This Row],[MOT AUX]])+V062A_203031333436353739[[#This Row],[FAENA EN  LTS]]</f>
        <v>2100</v>
      </c>
      <c r="AI33" s="246">
        <v>0</v>
      </c>
      <c r="AJ33" s="246">
        <v>0</v>
      </c>
      <c r="AK33" s="439">
        <f>(AK32-V062A_203031333436353739[[#This Row],[HIDRAULICO]])+V062A_203031333436353739[[#This Row],[FAENA EN LTS3]]</f>
        <v>1200</v>
      </c>
    </row>
    <row r="34" spans="1:37" x14ac:dyDescent="0.25">
      <c r="A34" s="431" t="s">
        <v>425</v>
      </c>
      <c r="B34" s="48">
        <v>44253</v>
      </c>
      <c r="C34" s="351">
        <v>0.33333333333333331</v>
      </c>
      <c r="D34" s="418">
        <f>IF(V062A_203031333436353739[[#This Row],[FECHA]]-B33=1,((V062A_203031333436353739[[#This Row],[HORA]]-C33)*24)+24,(V062A_203031333436353739[[#This Row],[HORA]]-C33)*24)</f>
        <v>6.5</v>
      </c>
      <c r="E34" s="409" t="s">
        <v>71</v>
      </c>
      <c r="F34" s="29" t="s">
        <v>71</v>
      </c>
      <c r="G34" s="433"/>
      <c r="H34" s="434"/>
      <c r="I34" s="435"/>
      <c r="J34" s="436"/>
      <c r="K34" s="437"/>
      <c r="L34" s="483">
        <v>0</v>
      </c>
      <c r="M34" s="246">
        <v>0.43</v>
      </c>
      <c r="N34" s="484">
        <v>0.27</v>
      </c>
      <c r="O34" s="246">
        <f>SUM(V062A_203031333436353739[[#This Row],[MPAL]]+V062A_203031333436353739[[#This Row],[AUX.]]+V062A_203031333436353739[[#This Row],[CALDERA]])</f>
        <v>0.7</v>
      </c>
      <c r="P34" s="319"/>
      <c r="Q34" s="270">
        <f>(Q33-V062A_203031333436353739[[#This Row],[TOTAL ]])+V062A_203031333436353739[[#This Row],[FAENA]]</f>
        <v>229.81000000000003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SUM(V062A_203031333436353739[[#This Row],[MPAL2]:[GI]])</f>
        <v>0</v>
      </c>
      <c r="X34" s="246"/>
      <c r="Y34" s="300">
        <f>(Y33-V062A_203031333436353739[[#This Row],[TOTAL]])+V062A_203031333436353739[[#This Row],[FAENA2]]</f>
        <v>49.17</v>
      </c>
      <c r="Z34" s="245">
        <v>0</v>
      </c>
      <c r="AA34" s="246">
        <v>0</v>
      </c>
      <c r="AB34" s="320">
        <f>(AB33-V062A_203031333436353739[[#This Row],[CYLINDER MP]])+V062A_203031333436353739[[#This Row],[FAENA EN LTS]]</f>
        <v>1910.0000000000002</v>
      </c>
      <c r="AC34" s="246">
        <v>0</v>
      </c>
      <c r="AD34" s="246">
        <v>0</v>
      </c>
      <c r="AE34" s="438">
        <f>(AE33-V062A_203031333436353739[[#This Row],[CARTER MP.]])+V062A_203031333436353739[[#This Row],[FAENA EN LTS2]]</f>
        <v>3500</v>
      </c>
      <c r="AF34" s="246">
        <v>0</v>
      </c>
      <c r="AG34" s="246">
        <v>0</v>
      </c>
      <c r="AH34" s="438">
        <f>(AH33-V062A_203031333436353739[[#This Row],[MOT AUX]])+V062A_203031333436353739[[#This Row],[FAENA EN  LTS]]</f>
        <v>2100</v>
      </c>
      <c r="AI34" s="246">
        <v>0</v>
      </c>
      <c r="AJ34" s="246">
        <v>0</v>
      </c>
      <c r="AK34" s="439">
        <f>(AK33-V062A_203031333436353739[[#This Row],[HIDRAULICO]])+V062A_203031333436353739[[#This Row],[FAENA EN LTS3]]</f>
        <v>1200</v>
      </c>
    </row>
    <row r="35" spans="1:37" x14ac:dyDescent="0.25">
      <c r="A35" s="431" t="s">
        <v>425</v>
      </c>
      <c r="B35" s="48">
        <v>44253</v>
      </c>
      <c r="C35" s="41">
        <v>0.51250000000000007</v>
      </c>
      <c r="D35" s="418">
        <f>IF(V062A_203031333436353739[[#This Row],[FECHA]]-B34=1,((V062A_203031333436353739[[#This Row],[HORA]]-C34)*24)+24,(V062A_203031333436353739[[#This Row],[HORA]]-C34)*24)</f>
        <v>4.3000000000000025</v>
      </c>
      <c r="E35" s="409" t="s">
        <v>71</v>
      </c>
      <c r="F35" s="29" t="s">
        <v>71</v>
      </c>
      <c r="G35" s="433"/>
      <c r="H35" s="434"/>
      <c r="I35" s="435"/>
      <c r="J35" s="436"/>
      <c r="K35" s="437"/>
      <c r="L35" s="483">
        <v>0</v>
      </c>
      <c r="M35" s="246">
        <v>0.28666666666666685</v>
      </c>
      <c r="N35" s="484">
        <v>0.17916666666666675</v>
      </c>
      <c r="O35" s="246">
        <f>SUM(V062A_203031333436353739[[#This Row],[MPAL]]+V062A_203031333436353739[[#This Row],[AUX.]]+V062A_203031333436353739[[#This Row],[CALDERA]])</f>
        <v>0.4658333333333336</v>
      </c>
      <c r="P35" s="319"/>
      <c r="Q35" s="270">
        <f>(Q34-V062A_203031333436353739[[#This Row],[TOTAL ]])+V062A_203031333436353739[[#This Row],[FAENA]]</f>
        <v>229.34416666666669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SUM(V062A_203031333436353739[[#This Row],[MPAL2]:[GI]])</f>
        <v>0</v>
      </c>
      <c r="X35" s="246"/>
      <c r="Y35" s="300">
        <f>(Y34-V062A_203031333436353739[[#This Row],[TOTAL]])+V062A_203031333436353739[[#This Row],[FAENA2]]</f>
        <v>49.17</v>
      </c>
      <c r="Z35" s="245">
        <v>0</v>
      </c>
      <c r="AA35" s="246">
        <v>0</v>
      </c>
      <c r="AB35" s="320">
        <f>(AB34-V062A_203031333436353739[[#This Row],[CYLINDER MP]])+V062A_203031333436353739[[#This Row],[FAENA EN LTS]]</f>
        <v>1910.0000000000002</v>
      </c>
      <c r="AC35" s="246">
        <v>0</v>
      </c>
      <c r="AD35" s="246">
        <v>0</v>
      </c>
      <c r="AE35" s="438">
        <f>(AE34-V062A_203031333436353739[[#This Row],[CARTER MP.]])+V062A_203031333436353739[[#This Row],[FAENA EN LTS2]]</f>
        <v>3500</v>
      </c>
      <c r="AF35" s="246">
        <v>0</v>
      </c>
      <c r="AG35" s="246">
        <v>0</v>
      </c>
      <c r="AH35" s="438">
        <f>(AH34-V062A_203031333436353739[[#This Row],[MOT AUX]])+V062A_203031333436353739[[#This Row],[FAENA EN  LTS]]</f>
        <v>2100</v>
      </c>
      <c r="AI35" s="246">
        <v>0</v>
      </c>
      <c r="AJ35" s="246">
        <v>0</v>
      </c>
      <c r="AK35" s="439">
        <f>(AK34-V062A_203031333436353739[[#This Row],[HIDRAULICO]])+V062A_203031333436353739[[#This Row],[FAENA EN LTS3]]</f>
        <v>1200</v>
      </c>
    </row>
    <row r="36" spans="1:37" x14ac:dyDescent="0.25">
      <c r="A36" s="431" t="s">
        <v>425</v>
      </c>
      <c r="B36" s="48">
        <v>44253</v>
      </c>
      <c r="C36" s="41">
        <v>0.59166666666666667</v>
      </c>
      <c r="D36" s="418">
        <f>IF(V062A_203031333436353739[[#This Row],[FECHA]]-B35=1,((V062A_203031333436353739[[#This Row],[HORA]]-C35)*24)+24,(V062A_203031333436353739[[#This Row],[HORA]]-C35)*24)</f>
        <v>1.8999999999999986</v>
      </c>
      <c r="E36" s="409" t="s">
        <v>51</v>
      </c>
      <c r="F36" s="29" t="s">
        <v>51</v>
      </c>
      <c r="G36" s="433"/>
      <c r="H36" s="434"/>
      <c r="I36" s="435"/>
      <c r="J36" s="436"/>
      <c r="K36" s="437"/>
      <c r="L36" s="483">
        <v>0</v>
      </c>
      <c r="M36" s="246">
        <v>0.12666666666666657</v>
      </c>
      <c r="N36" s="484">
        <v>7.9166666666666607E-2</v>
      </c>
      <c r="O36" s="246">
        <f>SUM(V062A_203031333436353739[[#This Row],[MPAL]]+V062A_203031333436353739[[#This Row],[AUX.]]+V062A_203031333436353739[[#This Row],[CALDERA]])</f>
        <v>0.20583333333333317</v>
      </c>
      <c r="P36" s="319"/>
      <c r="Q36" s="270">
        <f>(Q35-V062A_203031333436353739[[#This Row],[TOTAL ]])+V062A_203031333436353739[[#This Row],[FAENA]]</f>
        <v>229.13833333333335</v>
      </c>
      <c r="R36" s="245">
        <v>0</v>
      </c>
      <c r="S36" s="246">
        <v>0</v>
      </c>
      <c r="T36" s="246">
        <v>0</v>
      </c>
      <c r="U36" s="246">
        <v>0</v>
      </c>
      <c r="V36" s="246">
        <v>0.47</v>
      </c>
      <c r="W36" s="246">
        <f>SUM(V062A_203031333436353739[[#This Row],[MPAL2]:[GI]])</f>
        <v>0.47</v>
      </c>
      <c r="X36" s="246"/>
      <c r="Y36" s="300">
        <f>(Y35-V062A_203031333436353739[[#This Row],[TOTAL]])+V062A_203031333436353739[[#This Row],[FAENA2]]</f>
        <v>48.7</v>
      </c>
      <c r="Z36" s="245">
        <v>0</v>
      </c>
      <c r="AA36" s="246">
        <v>0</v>
      </c>
      <c r="AB36" s="320">
        <f>(AB35-V062A_203031333436353739[[#This Row],[CYLINDER MP]])+V062A_203031333436353739[[#This Row],[FAENA EN LTS]]</f>
        <v>1910.0000000000002</v>
      </c>
      <c r="AC36" s="246">
        <v>0</v>
      </c>
      <c r="AD36" s="246">
        <v>0</v>
      </c>
      <c r="AE36" s="438">
        <f>(AE35-V062A_203031333436353739[[#This Row],[CARTER MP.]])+V062A_203031333436353739[[#This Row],[FAENA EN LTS2]]</f>
        <v>3500</v>
      </c>
      <c r="AF36" s="246">
        <v>0</v>
      </c>
      <c r="AG36" s="246">
        <v>0</v>
      </c>
      <c r="AH36" s="438">
        <f>(AH35-V062A_203031333436353739[[#This Row],[MOT AUX]])+V062A_203031333436353739[[#This Row],[FAENA EN  LTS]]</f>
        <v>2100</v>
      </c>
      <c r="AI36" s="246">
        <v>0</v>
      </c>
      <c r="AJ36" s="246">
        <v>0</v>
      </c>
      <c r="AK36" s="439">
        <f>(AK35-V062A_203031333436353739[[#This Row],[HIDRAULICO]])+V062A_203031333436353739[[#This Row],[FAENA EN LTS3]]</f>
        <v>1200</v>
      </c>
    </row>
    <row r="37" spans="1:37" x14ac:dyDescent="0.25">
      <c r="A37" s="431" t="s">
        <v>425</v>
      </c>
      <c r="B37" s="48">
        <v>44254</v>
      </c>
      <c r="C37" s="41">
        <v>0.17500000000000002</v>
      </c>
      <c r="D37" s="418">
        <f>IF(V062A_203031333436353739[[#This Row],[FECHA]]-B36=1,((V062A_203031333436353739[[#This Row],[HORA]]-C36)*24)+24,(V062A_203031333436353739[[#This Row],[HORA]]-C36)*24)</f>
        <v>14</v>
      </c>
      <c r="E37" s="409" t="s">
        <v>71</v>
      </c>
      <c r="F37" s="29" t="s">
        <v>71</v>
      </c>
      <c r="G37" s="433"/>
      <c r="H37" s="434"/>
      <c r="I37" s="435"/>
      <c r="J37" s="436"/>
      <c r="K37" s="437"/>
      <c r="L37" s="483">
        <v>0</v>
      </c>
      <c r="M37" s="246">
        <v>0.93333333333333335</v>
      </c>
      <c r="N37" s="484">
        <v>0.58333333333333326</v>
      </c>
      <c r="O37" s="246">
        <f>SUM(V062A_203031333436353739[[#This Row],[MPAL]]+V062A_203031333436353739[[#This Row],[AUX.]]+V062A_203031333436353739[[#This Row],[CALDERA]])</f>
        <v>1.5166666666666666</v>
      </c>
      <c r="P37" s="319"/>
      <c r="Q37" s="270">
        <f>(Q36-V062A_203031333436353739[[#This Row],[TOTAL ]])+V062A_203031333436353739[[#This Row],[FAENA]]</f>
        <v>227.62166666666667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f>SUM(V062A_203031333436353739[[#This Row],[MPAL2]:[GI]])</f>
        <v>0</v>
      </c>
      <c r="X37" s="246"/>
      <c r="Y37" s="300">
        <f>(Y36-V062A_203031333436353739[[#This Row],[TOTAL]])+V062A_203031333436353739[[#This Row],[FAENA2]]</f>
        <v>48.7</v>
      </c>
      <c r="Z37" s="245">
        <v>0</v>
      </c>
      <c r="AA37" s="246">
        <v>0</v>
      </c>
      <c r="AB37" s="320">
        <f>(AB36-V062A_203031333436353739[[#This Row],[CYLINDER MP]])+V062A_203031333436353739[[#This Row],[FAENA EN LTS]]</f>
        <v>1910.0000000000002</v>
      </c>
      <c r="AC37" s="246">
        <v>0</v>
      </c>
      <c r="AD37" s="246">
        <v>0</v>
      </c>
      <c r="AE37" s="438">
        <f>(AE36-V062A_203031333436353739[[#This Row],[CARTER MP.]])+V062A_203031333436353739[[#This Row],[FAENA EN LTS2]]</f>
        <v>3500</v>
      </c>
      <c r="AF37" s="246">
        <v>0</v>
      </c>
      <c r="AG37" s="246">
        <v>0</v>
      </c>
      <c r="AH37" s="438">
        <f>(AH36-V062A_203031333436353739[[#This Row],[MOT AUX]])+V062A_203031333436353739[[#This Row],[FAENA EN  LTS]]</f>
        <v>2100</v>
      </c>
      <c r="AI37" s="246">
        <v>0</v>
      </c>
      <c r="AJ37" s="246">
        <v>0</v>
      </c>
      <c r="AK37" s="439">
        <f>(AK36-V062A_203031333436353739[[#This Row],[HIDRAULICO]])+V062A_203031333436353739[[#This Row],[FAENA EN LTS3]]</f>
        <v>1200</v>
      </c>
    </row>
    <row r="38" spans="1:37" x14ac:dyDescent="0.25">
      <c r="A38" s="431" t="s">
        <v>425</v>
      </c>
      <c r="B38" s="48">
        <v>44254</v>
      </c>
      <c r="C38" s="41">
        <v>0.33333333333333331</v>
      </c>
      <c r="D38" s="418">
        <f>IF(V062A_203031333436353739[[#This Row],[FECHA]]-B37=1,((V062A_203031333436353739[[#This Row],[HORA]]-C37)*24)+24,(V062A_203031333436353739[[#This Row],[HORA]]-C37)*24)</f>
        <v>3.7999999999999989</v>
      </c>
      <c r="E38" s="409" t="s">
        <v>49</v>
      </c>
      <c r="F38" s="29" t="s">
        <v>429</v>
      </c>
      <c r="G38" s="433"/>
      <c r="H38" s="434"/>
      <c r="I38" s="435"/>
      <c r="J38" s="436"/>
      <c r="K38" s="437"/>
      <c r="L38" s="483">
        <v>0</v>
      </c>
      <c r="M38" s="246">
        <v>0.25333333333333324</v>
      </c>
      <c r="N38" s="484">
        <v>0.15833333333333327</v>
      </c>
      <c r="O38" s="246">
        <f>SUM(V062A_203031333436353739[[#This Row],[MPAL]]+V062A_203031333436353739[[#This Row],[AUX.]]+V062A_203031333436353739[[#This Row],[CALDERA]])</f>
        <v>0.41166666666666651</v>
      </c>
      <c r="P38" s="319"/>
      <c r="Q38" s="270">
        <f>(Q37-V062A_203031333436353739[[#This Row],[TOTAL ]])+V062A_203031333436353739[[#This Row],[FAENA]]</f>
        <v>227.21</v>
      </c>
      <c r="R38" s="484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SUM(V062A_203031333436353739[[#This Row],[MPAL2]:[GI]])</f>
        <v>0</v>
      </c>
      <c r="X38" s="246"/>
      <c r="Y38" s="300">
        <f>(Y37-V062A_203031333436353739[[#This Row],[TOTAL]])+V062A_203031333436353739[[#This Row],[FAENA2]]</f>
        <v>48.7</v>
      </c>
      <c r="Z38" s="245">
        <v>0</v>
      </c>
      <c r="AA38" s="246">
        <v>0</v>
      </c>
      <c r="AB38" s="320">
        <f>(AB37-V062A_203031333436353739[[#This Row],[CYLINDER MP]])+V062A_203031333436353739[[#This Row],[FAENA EN LTS]]</f>
        <v>1910.0000000000002</v>
      </c>
      <c r="AC38" s="246">
        <v>0</v>
      </c>
      <c r="AD38" s="246">
        <v>0</v>
      </c>
      <c r="AE38" s="438">
        <f>(AE37-V062A_203031333436353739[[#This Row],[CARTER MP.]])+V062A_203031333436353739[[#This Row],[FAENA EN LTS2]]</f>
        <v>3500</v>
      </c>
      <c r="AF38" s="246">
        <v>0</v>
      </c>
      <c r="AG38" s="246">
        <v>0</v>
      </c>
      <c r="AH38" s="438">
        <f>(AH37-V062A_203031333436353739[[#This Row],[MOT AUX]])+V062A_203031333436353739[[#This Row],[FAENA EN  LTS]]</f>
        <v>2100</v>
      </c>
      <c r="AI38" s="246">
        <v>0</v>
      </c>
      <c r="AJ38" s="246">
        <v>0</v>
      </c>
      <c r="AK38" s="439">
        <f>(AK37-V062A_203031333436353739[[#This Row],[HIDRAULICO]])+V062A_203031333436353739[[#This Row],[FAENA EN LTS3]]</f>
        <v>1200</v>
      </c>
    </row>
    <row r="39" spans="1:37" x14ac:dyDescent="0.25">
      <c r="A39" s="431" t="s">
        <v>425</v>
      </c>
      <c r="B39" s="48">
        <v>44254</v>
      </c>
      <c r="C39" s="41">
        <v>0.4458333333333333</v>
      </c>
      <c r="D39" s="418">
        <f>IF(V062A_203031333436353739[[#This Row],[FECHA]]-B38=1,((V062A_203031333436353739[[#This Row],[HORA]]-C38)*24)+24,(V062A_203031333436353739[[#This Row],[HORA]]-C38)*24)</f>
        <v>2.6999999999999997</v>
      </c>
      <c r="E39" s="473" t="s">
        <v>49</v>
      </c>
      <c r="F39" s="29" t="s">
        <v>46</v>
      </c>
      <c r="G39" s="475"/>
      <c r="H39" s="476"/>
      <c r="I39" s="477"/>
      <c r="J39" s="478"/>
      <c r="K39" s="479"/>
      <c r="L39" s="483">
        <v>0</v>
      </c>
      <c r="M39" s="246">
        <v>0.18</v>
      </c>
      <c r="N39" s="484">
        <v>0.11249999999999999</v>
      </c>
      <c r="O39" s="246">
        <f>SUM(V062A_203031333436353739[[#This Row],[MPAL]]+V062A_203031333436353739[[#This Row],[AUX.]]+V062A_203031333436353739[[#This Row],[CALDERA]])</f>
        <v>0.29249999999999998</v>
      </c>
      <c r="P39" s="319"/>
      <c r="Q39" s="270">
        <f>(Q38-V062A_203031333436353739[[#This Row],[TOTAL ]])+V062A_203031333436353739[[#This Row],[FAENA]]</f>
        <v>226.91750000000002</v>
      </c>
      <c r="R39" s="484">
        <v>0</v>
      </c>
      <c r="S39" s="246">
        <v>0</v>
      </c>
      <c r="T39" s="246">
        <v>0</v>
      </c>
      <c r="U39" s="246">
        <v>0</v>
      </c>
      <c r="V39" s="484">
        <v>0</v>
      </c>
      <c r="W39" s="246">
        <f>SUM(V062A_203031333436353739[[#This Row],[MPAL2]:[GI]])</f>
        <v>0</v>
      </c>
      <c r="X39" s="246"/>
      <c r="Y39" s="300">
        <f>(Y38-V062A_203031333436353739[[#This Row],[TOTAL]])+V062A_203031333436353739[[#This Row],[FAENA2]]</f>
        <v>48.7</v>
      </c>
      <c r="Z39" s="245">
        <v>0</v>
      </c>
      <c r="AA39" s="246">
        <v>0</v>
      </c>
      <c r="AB39" s="320">
        <f>(AB38-V062A_203031333436353739[[#This Row],[CYLINDER MP]])+V062A_203031333436353739[[#This Row],[FAENA EN LTS]]</f>
        <v>1910.0000000000002</v>
      </c>
      <c r="AC39" s="246">
        <v>0</v>
      </c>
      <c r="AD39" s="246">
        <v>0</v>
      </c>
      <c r="AE39" s="438">
        <f>(AE38-V062A_203031333436353739[[#This Row],[CARTER MP.]])+V062A_203031333436353739[[#This Row],[FAENA EN LTS2]]</f>
        <v>3500</v>
      </c>
      <c r="AF39" s="246">
        <v>0</v>
      </c>
      <c r="AG39" s="246">
        <v>0</v>
      </c>
      <c r="AH39" s="438">
        <f>(AH38-V062A_203031333436353739[[#This Row],[MOT AUX]])+V062A_203031333436353739[[#This Row],[FAENA EN  LTS]]</f>
        <v>2100</v>
      </c>
      <c r="AI39" s="246">
        <v>0</v>
      </c>
      <c r="AJ39" s="246">
        <v>0</v>
      </c>
      <c r="AK39" s="439">
        <f>(AK38-V062A_203031333436353739[[#This Row],[HIDRAULICO]])+V062A_203031333436353739[[#This Row],[FAENA EN LTS3]]</f>
        <v>1200</v>
      </c>
    </row>
    <row r="40" spans="1:37" x14ac:dyDescent="0.25">
      <c r="A40" s="431" t="s">
        <v>425</v>
      </c>
      <c r="B40" s="48">
        <v>44254</v>
      </c>
      <c r="C40" s="41">
        <v>0.46249999999999997</v>
      </c>
      <c r="D40" s="418">
        <f>IF(V062A_203031333436353739[[#This Row],[FECHA]]-B39=1,((V062A_203031333436353739[[#This Row],[HORA]]-C39)*24)+24,(V062A_203031333436353739[[#This Row],[HORA]]-C39)*24)</f>
        <v>0.39999999999999991</v>
      </c>
      <c r="E40" s="473" t="s">
        <v>47</v>
      </c>
      <c r="F40" s="29" t="s">
        <v>272</v>
      </c>
      <c r="G40" s="475"/>
      <c r="H40" s="476"/>
      <c r="I40" s="477"/>
      <c r="J40" s="478"/>
      <c r="K40" s="479"/>
      <c r="L40" s="483">
        <v>0.16666666666666663</v>
      </c>
      <c r="M40" s="246">
        <v>2.6666666666666661E-2</v>
      </c>
      <c r="N40" s="484">
        <v>1.6666666666666663E-2</v>
      </c>
      <c r="O40" s="246">
        <f>SUM(V062A_203031333436353739[[#This Row],[MPAL]]+V062A_203031333436353739[[#This Row],[AUX.]]+V062A_203031333436353739[[#This Row],[CALDERA]])</f>
        <v>0.20999999999999996</v>
      </c>
      <c r="P40" s="319"/>
      <c r="Q40" s="270">
        <f>(Q39-V062A_203031333436353739[[#This Row],[TOTAL ]])+V062A_203031333436353739[[#This Row],[FAENA]]</f>
        <v>226.70750000000001</v>
      </c>
      <c r="R40" s="484">
        <v>0</v>
      </c>
      <c r="S40" s="246">
        <v>0</v>
      </c>
      <c r="T40" s="246">
        <v>0</v>
      </c>
      <c r="U40" s="246">
        <v>0</v>
      </c>
      <c r="V40" s="484">
        <v>0</v>
      </c>
      <c r="W40" s="246">
        <f>SUM(V062A_203031333436353739[[#This Row],[MPAL2]:[GI]])</f>
        <v>0</v>
      </c>
      <c r="X40" s="246"/>
      <c r="Y40" s="300">
        <f>(Y39-V062A_203031333436353739[[#This Row],[TOTAL]])+V062A_203031333436353739[[#This Row],[FAENA2]]</f>
        <v>48.7</v>
      </c>
      <c r="Z40" s="245">
        <v>0</v>
      </c>
      <c r="AA40" s="246">
        <v>0</v>
      </c>
      <c r="AB40" s="320">
        <f>(AB39-V062A_203031333436353739[[#This Row],[CYLINDER MP]])+V062A_203031333436353739[[#This Row],[FAENA EN LTS]]</f>
        <v>1910.0000000000002</v>
      </c>
      <c r="AC40" s="246">
        <v>0</v>
      </c>
      <c r="AD40" s="246">
        <v>0</v>
      </c>
      <c r="AE40" s="438">
        <f>(AE39-V062A_203031333436353739[[#This Row],[CARTER MP.]])+V062A_203031333436353739[[#This Row],[FAENA EN LTS2]]</f>
        <v>3500</v>
      </c>
      <c r="AF40" s="246">
        <v>0</v>
      </c>
      <c r="AG40" s="246">
        <v>0</v>
      </c>
      <c r="AH40" s="438">
        <f>(AH39-V062A_203031333436353739[[#This Row],[MOT AUX]])+V062A_203031333436353739[[#This Row],[FAENA EN  LTS]]</f>
        <v>2100</v>
      </c>
      <c r="AI40" s="246">
        <v>0</v>
      </c>
      <c r="AJ40" s="246">
        <v>0</v>
      </c>
      <c r="AK40" s="439">
        <f>(AK39-V062A_203031333436353739[[#This Row],[HIDRAULICO]])+V062A_203031333436353739[[#This Row],[FAENA EN LTS3]]</f>
        <v>1200</v>
      </c>
    </row>
    <row r="41" spans="1:37" x14ac:dyDescent="0.25">
      <c r="A41" s="431" t="s">
        <v>425</v>
      </c>
      <c r="B41" s="48">
        <v>44254</v>
      </c>
      <c r="C41" s="41">
        <v>0.5625</v>
      </c>
      <c r="D41" s="418">
        <f>IF(V062A_203031333436353739[[#This Row],[FECHA]]-B40=1,((V062A_203031333436353739[[#This Row],[HORA]]-C40)*24)+24,(V062A_203031333436353739[[#This Row],[HORA]]-C40)*24)</f>
        <v>2.4000000000000008</v>
      </c>
      <c r="E41" s="473" t="s">
        <v>55</v>
      </c>
      <c r="F41" s="29" t="s">
        <v>62</v>
      </c>
      <c r="G41" s="475"/>
      <c r="H41" s="476"/>
      <c r="I41" s="477"/>
      <c r="J41" s="478"/>
      <c r="K41" s="479">
        <v>96</v>
      </c>
      <c r="L41" s="483">
        <v>2.3400000000000007</v>
      </c>
      <c r="M41" s="246">
        <v>0.16000000000000006</v>
      </c>
      <c r="N41" s="484">
        <v>0</v>
      </c>
      <c r="O41" s="246">
        <f>SUM(V062A_203031333436353739[[#This Row],[MPAL]]+V062A_203031333436353739[[#This Row],[AUX.]]+V062A_203031333436353739[[#This Row],[CALDERA]])</f>
        <v>2.5000000000000009</v>
      </c>
      <c r="P41" s="319"/>
      <c r="Q41" s="270">
        <f>(Q40-V062A_203031333436353739[[#This Row],[TOTAL ]])+V062A_203031333436353739[[#This Row],[FAENA]]</f>
        <v>224.20750000000001</v>
      </c>
      <c r="R41" s="484">
        <v>0</v>
      </c>
      <c r="S41" s="246">
        <v>0</v>
      </c>
      <c r="T41" s="246">
        <v>0</v>
      </c>
      <c r="U41" s="246">
        <v>0</v>
      </c>
      <c r="V41" s="484">
        <v>0</v>
      </c>
      <c r="W41" s="246">
        <f>SUM(V062A_203031333436353739[[#This Row],[MPAL2]:[GI]])</f>
        <v>0</v>
      </c>
      <c r="X41" s="246"/>
      <c r="Y41" s="300">
        <f>(Y40-V062A_203031333436353739[[#This Row],[TOTAL]])+V062A_203031333436353739[[#This Row],[FAENA2]]</f>
        <v>48.7</v>
      </c>
      <c r="Z41" s="245">
        <v>10</v>
      </c>
      <c r="AA41" s="246">
        <v>0</v>
      </c>
      <c r="AB41" s="320">
        <f>(AB40-V062A_203031333436353739[[#This Row],[CYLINDER MP]])+V062A_203031333436353739[[#This Row],[FAENA EN LTS]]</f>
        <v>1900.0000000000002</v>
      </c>
      <c r="AC41" s="246">
        <v>0</v>
      </c>
      <c r="AD41" s="246">
        <v>0</v>
      </c>
      <c r="AE41" s="438">
        <f>(AE40-V062A_203031333436353739[[#This Row],[CARTER MP.]])+V062A_203031333436353739[[#This Row],[FAENA EN LTS2]]</f>
        <v>3500</v>
      </c>
      <c r="AF41" s="246">
        <v>0</v>
      </c>
      <c r="AG41" s="246">
        <v>0</v>
      </c>
      <c r="AH41" s="438">
        <f>(AH40-V062A_203031333436353739[[#This Row],[MOT AUX]])+V062A_203031333436353739[[#This Row],[FAENA EN  LTS]]</f>
        <v>2100</v>
      </c>
      <c r="AI41" s="246">
        <v>0</v>
      </c>
      <c r="AJ41" s="246">
        <v>0</v>
      </c>
      <c r="AK41" s="439">
        <f>(AK40-V062A_203031333436353739[[#This Row],[HIDRAULICO]])+V062A_203031333436353739[[#This Row],[FAENA EN LTS3]]</f>
        <v>1200</v>
      </c>
    </row>
    <row r="42" spans="1:37" x14ac:dyDescent="0.25">
      <c r="A42" s="431" t="s">
        <v>425</v>
      </c>
      <c r="B42" s="48">
        <v>44254</v>
      </c>
      <c r="C42" s="41">
        <v>0.6958333333333333</v>
      </c>
      <c r="D42" s="418">
        <f>IF(V062A_203031333436353739[[#This Row],[FECHA]]-B41=1,((V062A_203031333436353739[[#This Row],[HORA]]-C41)*24)+24,(V062A_203031333436353739[[#This Row],[HORA]]-C41)*24)</f>
        <v>3.1999999999999993</v>
      </c>
      <c r="E42" s="473" t="s">
        <v>47</v>
      </c>
      <c r="F42" s="29" t="s">
        <v>432</v>
      </c>
      <c r="G42" s="475"/>
      <c r="H42" s="476"/>
      <c r="I42" s="477"/>
      <c r="J42" s="478"/>
      <c r="K42" s="479"/>
      <c r="L42" s="483">
        <v>1.333333333333333</v>
      </c>
      <c r="M42" s="246">
        <v>0.21333333333333329</v>
      </c>
      <c r="N42" s="484">
        <v>0.1333333333333333</v>
      </c>
      <c r="O42" s="246">
        <f>SUM(V062A_203031333436353739[[#This Row],[MPAL]]+V062A_203031333436353739[[#This Row],[AUX.]]+V062A_203031333436353739[[#This Row],[CALDERA]])</f>
        <v>1.6799999999999997</v>
      </c>
      <c r="P42" s="319"/>
      <c r="Q42" s="270">
        <f>(Q41-V062A_203031333436353739[[#This Row],[TOTAL ]])+V062A_203031333436353739[[#This Row],[FAENA]]</f>
        <v>222.5275</v>
      </c>
      <c r="R42" s="484">
        <v>0</v>
      </c>
      <c r="S42" s="246">
        <v>0</v>
      </c>
      <c r="T42" s="246">
        <v>0</v>
      </c>
      <c r="U42" s="246">
        <v>0</v>
      </c>
      <c r="V42" s="484">
        <v>0</v>
      </c>
      <c r="W42" s="246">
        <f>SUM(V062A_203031333436353739[[#This Row],[MPAL2]:[GI]])</f>
        <v>0</v>
      </c>
      <c r="X42" s="246"/>
      <c r="Y42" s="300">
        <f>(Y41-V062A_203031333436353739[[#This Row],[TOTAL]])+V062A_203031333436353739[[#This Row],[FAENA2]]</f>
        <v>48.7</v>
      </c>
      <c r="Z42" s="245">
        <v>0</v>
      </c>
      <c r="AA42" s="246">
        <v>0</v>
      </c>
      <c r="AB42" s="438">
        <f>(AB41-V062A_203031333436353739[[#This Row],[CYLINDER MP]])+V062A_203031333436353739[[#This Row],[FAENA EN LTS]]</f>
        <v>1900.0000000000002</v>
      </c>
      <c r="AC42" s="246">
        <v>0</v>
      </c>
      <c r="AD42" s="246">
        <v>0</v>
      </c>
      <c r="AE42" s="438">
        <f>(AE41-V062A_203031333436353739[[#This Row],[CARTER MP.]])+V062A_203031333436353739[[#This Row],[FAENA EN LTS2]]</f>
        <v>3500</v>
      </c>
      <c r="AF42" s="246">
        <v>0</v>
      </c>
      <c r="AG42" s="246">
        <v>0</v>
      </c>
      <c r="AH42" s="438">
        <f>(AH41-V062A_203031333436353739[[#This Row],[MOT AUX]])+V062A_203031333436353739[[#This Row],[FAENA EN  LTS]]</f>
        <v>2100</v>
      </c>
      <c r="AI42" s="246">
        <v>0</v>
      </c>
      <c r="AJ42" s="246">
        <v>0</v>
      </c>
      <c r="AK42" s="439">
        <f>(AK41-V062A_203031333436353739[[#This Row],[HIDRAULICO]])+V062A_203031333436353739[[#This Row],[FAENA EN LTS3]]</f>
        <v>1200</v>
      </c>
    </row>
    <row r="43" spans="1:37" x14ac:dyDescent="0.25">
      <c r="A43" s="431" t="s">
        <v>425</v>
      </c>
      <c r="B43" s="48">
        <v>44254</v>
      </c>
      <c r="C43" s="41">
        <v>0.8833333333333333</v>
      </c>
      <c r="D43" s="418">
        <f>IF(V062A_203031333436353739[[#This Row],[FECHA]]-B42=1,((V062A_203031333436353739[[#This Row],[HORA]]-C42)*24)+24,(V062A_203031333436353739[[#This Row],[HORA]]-C42)*24)</f>
        <v>4.5</v>
      </c>
      <c r="E43" s="473" t="s">
        <v>49</v>
      </c>
      <c r="F43" s="29" t="s">
        <v>50</v>
      </c>
      <c r="G43" s="475"/>
      <c r="H43" s="476"/>
      <c r="I43" s="477"/>
      <c r="J43" s="478"/>
      <c r="K43" s="479"/>
      <c r="L43" s="483">
        <v>0</v>
      </c>
      <c r="M43" s="246">
        <v>0.3</v>
      </c>
      <c r="N43" s="484">
        <v>0.1875</v>
      </c>
      <c r="O43" s="246">
        <f>SUM(V062A_203031333436353739[[#This Row],[MPAL]]+V062A_203031333436353739[[#This Row],[AUX.]]+V062A_203031333436353739[[#This Row],[CALDERA]])</f>
        <v>0.48749999999999999</v>
      </c>
      <c r="P43" s="319"/>
      <c r="Q43" s="270">
        <f>(Q42-V062A_203031333436353739[[#This Row],[TOTAL ]])+V062A_203031333436353739[[#This Row],[FAENA]]</f>
        <v>222.04</v>
      </c>
      <c r="R43" s="484">
        <v>0</v>
      </c>
      <c r="S43" s="246">
        <v>0</v>
      </c>
      <c r="T43" s="246">
        <v>0</v>
      </c>
      <c r="U43" s="246">
        <v>0</v>
      </c>
      <c r="V43" s="484">
        <v>0</v>
      </c>
      <c r="W43" s="246">
        <f>SUM(V062A_203031333436353739[[#This Row],[MPAL2]:[GI]])</f>
        <v>0</v>
      </c>
      <c r="X43" s="246"/>
      <c r="Y43" s="300">
        <f>(Y42-V062A_203031333436353739[[#This Row],[TOTAL]])+V062A_203031333436353739[[#This Row],[FAENA2]]</f>
        <v>48.7</v>
      </c>
      <c r="Z43" s="245">
        <v>0</v>
      </c>
      <c r="AA43" s="246">
        <v>0</v>
      </c>
      <c r="AB43" s="438">
        <f>(AB42-V062A_203031333436353739[[#This Row],[CYLINDER MP]])+V062A_203031333436353739[[#This Row],[FAENA EN LTS]]</f>
        <v>1900.0000000000002</v>
      </c>
      <c r="AC43" s="246">
        <v>0</v>
      </c>
      <c r="AD43" s="246">
        <v>0</v>
      </c>
      <c r="AE43" s="438">
        <f>(AE42-V062A_203031333436353739[[#This Row],[CARTER MP.]])+V062A_203031333436353739[[#This Row],[FAENA EN LTS2]]</f>
        <v>3500</v>
      </c>
      <c r="AF43" s="246">
        <v>0</v>
      </c>
      <c r="AG43" s="246">
        <v>0</v>
      </c>
      <c r="AH43" s="438">
        <f>(AH42-V062A_203031333436353739[[#This Row],[MOT AUX]])+V062A_203031333436353739[[#This Row],[FAENA EN  LTS]]</f>
        <v>2100</v>
      </c>
      <c r="AI43" s="246">
        <v>0</v>
      </c>
      <c r="AJ43" s="246">
        <v>0</v>
      </c>
      <c r="AK43" s="439">
        <f>(AK42-V062A_203031333436353739[[#This Row],[HIDRAULICO]])+V062A_203031333436353739[[#This Row],[FAENA EN LTS3]]</f>
        <v>1200</v>
      </c>
    </row>
    <row r="44" spans="1:37" x14ac:dyDescent="0.25">
      <c r="A44" s="431" t="s">
        <v>425</v>
      </c>
      <c r="B44" s="48">
        <v>44255</v>
      </c>
      <c r="C44" s="41">
        <v>0.33333333333333331</v>
      </c>
      <c r="D44" s="418">
        <f>IF(V062A_203031333436353739[[#This Row],[FECHA]]-B43=1,((V062A_203031333436353739[[#This Row],[HORA]]-C43)*24)+24,(V062A_203031333436353739[[#This Row],[HORA]]-C43)*24)</f>
        <v>10.799999999999999</v>
      </c>
      <c r="E44" s="473" t="s">
        <v>51</v>
      </c>
      <c r="F44" s="29" t="s">
        <v>51</v>
      </c>
      <c r="G44" s="475"/>
      <c r="H44" s="476"/>
      <c r="I44" s="477"/>
      <c r="J44" s="478"/>
      <c r="K44" s="479"/>
      <c r="L44" s="483">
        <v>0</v>
      </c>
      <c r="M44" s="246">
        <v>0.72</v>
      </c>
      <c r="N44" s="484">
        <v>0.44999999999999996</v>
      </c>
      <c r="O44" s="246">
        <f>SUM(V062A_203031333436353739[[#This Row],[MPAL]]+V062A_203031333436353739[[#This Row],[AUX.]]+V062A_203031333436353739[[#This Row],[CALDERA]])</f>
        <v>1.17</v>
      </c>
      <c r="P44" s="319"/>
      <c r="Q44" s="270">
        <f>(Q43-V062A_203031333436353739[[#This Row],[TOTAL ]])+V062A_203031333436353739[[#This Row],[FAENA]]</f>
        <v>220.87</v>
      </c>
      <c r="R44" s="484">
        <v>0</v>
      </c>
      <c r="S44" s="246">
        <v>0</v>
      </c>
      <c r="T44" s="246">
        <v>0</v>
      </c>
      <c r="U44" s="246">
        <v>0</v>
      </c>
      <c r="V44" s="484">
        <v>2.7</v>
      </c>
      <c r="W44" s="246">
        <f>SUM(V062A_203031333436353739[[#This Row],[MPAL2]:[GI]])</f>
        <v>2.7</v>
      </c>
      <c r="X44" s="246"/>
      <c r="Y44" s="300">
        <f>(Y43-V062A_203031333436353739[[#This Row],[TOTAL]])+V062A_203031333436353739[[#This Row],[FAENA2]]</f>
        <v>46</v>
      </c>
      <c r="Z44" s="245">
        <v>0</v>
      </c>
      <c r="AA44" s="246">
        <v>0</v>
      </c>
      <c r="AB44" s="438">
        <f>(AB43-V062A_203031333436353739[[#This Row],[CYLINDER MP]])+V062A_203031333436353739[[#This Row],[FAENA EN LTS]]</f>
        <v>1900.0000000000002</v>
      </c>
      <c r="AC44" s="246">
        <v>0</v>
      </c>
      <c r="AD44" s="246">
        <v>0</v>
      </c>
      <c r="AE44" s="438">
        <f>(AE43-V062A_203031333436353739[[#This Row],[CARTER MP.]])+V062A_203031333436353739[[#This Row],[FAENA EN LTS2]]</f>
        <v>3500</v>
      </c>
      <c r="AF44" s="246">
        <v>0</v>
      </c>
      <c r="AG44" s="246">
        <v>0</v>
      </c>
      <c r="AH44" s="438">
        <f>(AH43-V062A_203031333436353739[[#This Row],[MOT AUX]])+V062A_203031333436353739[[#This Row],[FAENA EN  LTS]]</f>
        <v>2100</v>
      </c>
      <c r="AI44" s="246">
        <v>0</v>
      </c>
      <c r="AJ44" s="246">
        <v>0</v>
      </c>
      <c r="AK44" s="439">
        <f>(AK43-V062A_203031333436353739[[#This Row],[HIDRAULICO]])+V062A_203031333436353739[[#This Row],[FAENA EN LTS3]]</f>
        <v>1200</v>
      </c>
    </row>
    <row r="45" spans="1:37" x14ac:dyDescent="0.25">
      <c r="A45" s="431" t="s">
        <v>425</v>
      </c>
      <c r="B45" s="48">
        <v>44256</v>
      </c>
      <c r="C45" s="41">
        <v>0</v>
      </c>
      <c r="D45" s="418">
        <f>IF(V062A_203031333436353739[[#This Row],[FECHA]]-B44=1,((V062A_203031333436353739[[#This Row],[HORA]]-C44)*24)+24,(V062A_203031333436353739[[#This Row],[HORA]]-C44)*24)</f>
        <v>16</v>
      </c>
      <c r="E45" s="432" t="s">
        <v>51</v>
      </c>
      <c r="F45" s="29" t="s">
        <v>52</v>
      </c>
      <c r="G45" s="433"/>
      <c r="H45" s="434"/>
      <c r="I45" s="435"/>
      <c r="J45" s="436"/>
      <c r="K45" s="437"/>
      <c r="L45" s="483">
        <v>0</v>
      </c>
      <c r="M45" s="246">
        <v>1.0666666666666667</v>
      </c>
      <c r="N45" s="484">
        <v>0.66666666666666663</v>
      </c>
      <c r="O45" s="246">
        <f>SUM(V062A_203031333436353739[[#This Row],[MPAL]]+V062A_203031333436353739[[#This Row],[AUX.]]+V062A_203031333436353739[[#This Row],[CALDERA]])</f>
        <v>1.7333333333333334</v>
      </c>
      <c r="P45" s="319"/>
      <c r="Q45" s="270">
        <f>(Q44-V062A_203031333436353739[[#This Row],[TOTAL ]])+V062A_203031333436353739[[#This Row],[FAENA]]</f>
        <v>219.13666666666668</v>
      </c>
      <c r="R45" s="245">
        <v>0</v>
      </c>
      <c r="S45" s="246">
        <v>0</v>
      </c>
      <c r="T45" s="246">
        <v>0</v>
      </c>
      <c r="U45" s="246">
        <v>0</v>
      </c>
      <c r="V45" s="246">
        <v>4</v>
      </c>
      <c r="W45" s="246">
        <f>SUM(V062A_203031333436353739[[#This Row],[MPAL2]:[GI]])</f>
        <v>4</v>
      </c>
      <c r="X45" s="246"/>
      <c r="Y45" s="300">
        <f>(Y44-V062A_203031333436353739[[#This Row],[TOTAL]])+V062A_203031333436353739[[#This Row],[FAENA2]]</f>
        <v>42</v>
      </c>
      <c r="Z45" s="245">
        <v>0</v>
      </c>
      <c r="AA45" s="246">
        <v>0</v>
      </c>
      <c r="AB45" s="438">
        <f>(AB44-V062A_203031333436353739[[#This Row],[CYLINDER MP]])+V062A_203031333436353739[[#This Row],[FAENA EN LTS]]</f>
        <v>1900.0000000000002</v>
      </c>
      <c r="AC45" s="246">
        <v>0</v>
      </c>
      <c r="AD45" s="246">
        <v>0</v>
      </c>
      <c r="AE45" s="438">
        <f>(AE44-V062A_203031333436353739[[#This Row],[CARTER MP.]])+V062A_203031333436353739[[#This Row],[FAENA EN LTS2]]</f>
        <v>3500</v>
      </c>
      <c r="AF45" s="246">
        <v>0</v>
      </c>
      <c r="AG45" s="246">
        <v>0</v>
      </c>
      <c r="AH45" s="438">
        <f>(AH44-V062A_203031333436353739[[#This Row],[MOT AUX]])+V062A_203031333436353739[[#This Row],[FAENA EN  LTS]]</f>
        <v>2100</v>
      </c>
      <c r="AI45" s="246">
        <v>0</v>
      </c>
      <c r="AJ45" s="246">
        <v>0</v>
      </c>
      <c r="AK45" s="439">
        <f>(AK44-V062A_203031333436353739[[#This Row],[HIDRAULICO]])+V062A_203031333436353739[[#This Row],[FAENA EN LTS3]]</f>
        <v>1200</v>
      </c>
    </row>
    <row r="46" spans="1:37" x14ac:dyDescent="0.25">
      <c r="A46" s="431" t="s">
        <v>425</v>
      </c>
      <c r="B46" s="48">
        <v>44256</v>
      </c>
      <c r="C46" s="41">
        <v>0.14583333333333334</v>
      </c>
      <c r="D46" s="418">
        <f>IF(V062A_203031333436353739[[#This Row],[FECHA]]-B45=1,((V062A_203031333436353739[[#This Row],[HORA]]-C45)*24)+24,(V062A_203031333436353739[[#This Row],[HORA]]-C45)*24)</f>
        <v>3.5</v>
      </c>
      <c r="E46" s="473" t="s">
        <v>49</v>
      </c>
      <c r="F46" s="29" t="s">
        <v>46</v>
      </c>
      <c r="G46" s="475"/>
      <c r="H46" s="476"/>
      <c r="I46" s="477"/>
      <c r="J46" s="478"/>
      <c r="K46" s="479"/>
      <c r="L46" s="483">
        <v>0</v>
      </c>
      <c r="M46" s="246">
        <v>0.23333333333333334</v>
      </c>
      <c r="N46" s="484">
        <v>0.14583333333333331</v>
      </c>
      <c r="O46" s="246">
        <f>SUM(V062A_203031333436353739[[#This Row],[MPAL]]+V062A_203031333436353739[[#This Row],[AUX.]]+V062A_203031333436353739[[#This Row],[CALDERA]])</f>
        <v>0.37916666666666665</v>
      </c>
      <c r="P46" s="319"/>
      <c r="Q46" s="270">
        <f>(Q45-V062A_203031333436353739[[#This Row],[TOTAL ]])+V062A_203031333436353739[[#This Row],[FAENA]]</f>
        <v>218.75750000000002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f>SUM(V062A_203031333436353739[[#This Row],[MPAL2]:[GI]])</f>
        <v>0</v>
      </c>
      <c r="X46" s="246"/>
      <c r="Y46" s="300">
        <f>(Y45-V062A_203031333436353739[[#This Row],[TOTAL]])+V062A_203031333436353739[[#This Row],[FAENA2]]</f>
        <v>42</v>
      </c>
      <c r="Z46" s="245">
        <v>0</v>
      </c>
      <c r="AA46" s="246">
        <v>0</v>
      </c>
      <c r="AB46" s="438">
        <f>(AB45-V062A_203031333436353739[[#This Row],[CYLINDER MP]])+V062A_203031333436353739[[#This Row],[FAENA EN LTS]]</f>
        <v>1900.0000000000002</v>
      </c>
      <c r="AC46" s="246">
        <v>0</v>
      </c>
      <c r="AD46" s="246">
        <v>0</v>
      </c>
      <c r="AE46" s="438">
        <f>(AE45-V062A_203031333436353739[[#This Row],[CARTER MP.]])+V062A_203031333436353739[[#This Row],[FAENA EN LTS2]]</f>
        <v>3500</v>
      </c>
      <c r="AF46" s="246">
        <v>0</v>
      </c>
      <c r="AG46" s="246">
        <v>0</v>
      </c>
      <c r="AH46" s="438">
        <f>(AH45-V062A_203031333436353739[[#This Row],[MOT AUX]])+V062A_203031333436353739[[#This Row],[FAENA EN  LTS]]</f>
        <v>2100</v>
      </c>
      <c r="AI46" s="246">
        <v>0</v>
      </c>
      <c r="AJ46" s="246">
        <v>0</v>
      </c>
      <c r="AK46" s="439">
        <f>(AK45-V062A_203031333436353739[[#This Row],[HIDRAULICO]])+V062A_203031333436353739[[#This Row],[FAENA EN LTS3]]</f>
        <v>1200</v>
      </c>
    </row>
    <row r="47" spans="1:37" x14ac:dyDescent="0.25">
      <c r="A47" s="431" t="s">
        <v>425</v>
      </c>
      <c r="B47" s="48">
        <v>44256</v>
      </c>
      <c r="C47" s="41">
        <v>0.21666666666666667</v>
      </c>
      <c r="D47" s="418">
        <f>IF(V062A_203031333436353739[[#This Row],[FECHA]]-B46=1,((V062A_203031333436353739[[#This Row],[HORA]]-C46)*24)+24,(V062A_203031333436353739[[#This Row],[HORA]]-C46)*24)</f>
        <v>1.7</v>
      </c>
      <c r="E47" s="473" t="s">
        <v>47</v>
      </c>
      <c r="F47" s="29" t="s">
        <v>433</v>
      </c>
      <c r="G47" s="475"/>
      <c r="H47" s="476"/>
      <c r="I47" s="477"/>
      <c r="J47" s="478"/>
      <c r="K47" s="479"/>
      <c r="L47" s="483">
        <v>0.70833333333333337</v>
      </c>
      <c r="M47" s="246">
        <v>0.11333333333333333</v>
      </c>
      <c r="N47" s="484">
        <v>7.0833333333333331E-2</v>
      </c>
      <c r="O47" s="246">
        <f>SUM(V062A_203031333436353739[[#This Row],[MPAL]]+V062A_203031333436353739[[#This Row],[AUX.]]+V062A_203031333436353739[[#This Row],[CALDERA]])</f>
        <v>0.89249999999999996</v>
      </c>
      <c r="P47" s="246"/>
      <c r="Q47" s="270">
        <f>(Q46-V062A_203031333436353739[[#This Row],[TOTAL ]])+V062A_203031333436353739[[#This Row],[FAENA]]</f>
        <v>217.86500000000001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SUM(V062A_203031333436353739[[#This Row],[MPAL2]:[GI]])</f>
        <v>0</v>
      </c>
      <c r="X47" s="246"/>
      <c r="Y47" s="300">
        <f>(Y46-V062A_203031333436353739[[#This Row],[TOTAL]])+V062A_203031333436353739[[#This Row],[FAENA2]]</f>
        <v>42</v>
      </c>
      <c r="Z47" s="245">
        <v>10</v>
      </c>
      <c r="AA47" s="246">
        <v>0</v>
      </c>
      <c r="AB47" s="438">
        <f>(AB46-V062A_203031333436353739[[#This Row],[CYLINDER MP]])+V062A_203031333436353739[[#This Row],[FAENA EN LTS]]</f>
        <v>1890.0000000000002</v>
      </c>
      <c r="AC47" s="246">
        <v>0</v>
      </c>
      <c r="AD47" s="246">
        <v>0</v>
      </c>
      <c r="AE47" s="438">
        <f>(AE46-V062A_203031333436353739[[#This Row],[CARTER MP.]])+V062A_203031333436353739[[#This Row],[FAENA EN LTS2]]</f>
        <v>3500</v>
      </c>
      <c r="AF47" s="246">
        <v>0</v>
      </c>
      <c r="AG47" s="246">
        <v>0</v>
      </c>
      <c r="AH47" s="438">
        <f>(AH46-V062A_203031333436353739[[#This Row],[MOT AUX]])+V062A_203031333436353739[[#This Row],[FAENA EN  LTS]]</f>
        <v>2100</v>
      </c>
      <c r="AI47" s="246">
        <v>0</v>
      </c>
      <c r="AJ47" s="246">
        <v>0</v>
      </c>
      <c r="AK47" s="439">
        <f>(AK46-V062A_203031333436353739[[#This Row],[HIDRAULICO]])+V062A_203031333436353739[[#This Row],[FAENA EN LTS3]]</f>
        <v>1200</v>
      </c>
    </row>
    <row r="48" spans="1:37" x14ac:dyDescent="0.25">
      <c r="A48" s="431" t="s">
        <v>425</v>
      </c>
      <c r="B48" s="48">
        <v>44256</v>
      </c>
      <c r="C48" s="41">
        <v>0.33333333333333331</v>
      </c>
      <c r="D48" s="418">
        <f>IF(V062A_203031333436353739[[#This Row],[FECHA]]-B47=1,((V062A_203031333436353739[[#This Row],[HORA]]-C47)*24)+24,(V062A_203031333436353739[[#This Row],[HORA]]-C47)*24)</f>
        <v>2.7999999999999994</v>
      </c>
      <c r="E48" s="473" t="s">
        <v>45</v>
      </c>
      <c r="F48" s="29" t="s">
        <v>433</v>
      </c>
      <c r="G48" s="475"/>
      <c r="H48" s="476"/>
      <c r="I48" s="477"/>
      <c r="J48" s="478"/>
      <c r="K48" s="479"/>
      <c r="L48" s="483">
        <v>0</v>
      </c>
      <c r="M48" s="246">
        <v>0.18666666666666662</v>
      </c>
      <c r="N48" s="484">
        <v>0.11666666666666664</v>
      </c>
      <c r="O48" s="246">
        <f>SUM(V062A_203031333436353739[[#This Row],[MPAL]]+V062A_203031333436353739[[#This Row],[AUX.]]+V062A_203031333436353739[[#This Row],[CALDERA]])</f>
        <v>0.30333333333333323</v>
      </c>
      <c r="P48" s="246"/>
      <c r="Q48" s="270">
        <f>(Q47-V062A_203031333436353739[[#This Row],[TOTAL ]])+V062A_203031333436353739[[#This Row],[FAENA]]</f>
        <v>217.56166666666667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SUM(V062A_203031333436353739[[#This Row],[MPAL2]:[GI]])</f>
        <v>0</v>
      </c>
      <c r="X48" s="246"/>
      <c r="Y48" s="300">
        <f>(Y47-V062A_203031333436353739[[#This Row],[TOTAL]])+V062A_203031333436353739[[#This Row],[FAENA2]]</f>
        <v>42</v>
      </c>
      <c r="Z48" s="245">
        <v>0</v>
      </c>
      <c r="AA48" s="246">
        <v>0</v>
      </c>
      <c r="AB48" s="438">
        <f>(AB47-V062A_203031333436353739[[#This Row],[CYLINDER MP]])+V062A_203031333436353739[[#This Row],[FAENA EN LTS]]</f>
        <v>1890.0000000000002</v>
      </c>
      <c r="AC48" s="246">
        <v>0</v>
      </c>
      <c r="AD48" s="246">
        <v>0</v>
      </c>
      <c r="AE48" s="438">
        <f>(AE47-V062A_203031333436353739[[#This Row],[CARTER MP.]])+V062A_203031333436353739[[#This Row],[FAENA EN LTS2]]</f>
        <v>3500</v>
      </c>
      <c r="AF48" s="246">
        <v>0</v>
      </c>
      <c r="AG48" s="246">
        <v>0</v>
      </c>
      <c r="AH48" s="438">
        <f>(AH47-V062A_203031333436353739[[#This Row],[MOT AUX]])+V062A_203031333436353739[[#This Row],[FAENA EN  LTS]]</f>
        <v>2100</v>
      </c>
      <c r="AI48" s="246">
        <v>0</v>
      </c>
      <c r="AJ48" s="246">
        <v>0</v>
      </c>
      <c r="AK48" s="439">
        <f>(AK47-V062A_203031333436353739[[#This Row],[HIDRAULICO]])+V062A_203031333436353739[[#This Row],[FAENA EN LTS3]]</f>
        <v>1200</v>
      </c>
    </row>
    <row r="49" spans="1:37" x14ac:dyDescent="0.25">
      <c r="A49" s="431" t="s">
        <v>425</v>
      </c>
      <c r="B49" s="48">
        <v>44256</v>
      </c>
      <c r="C49" s="41">
        <v>0.375</v>
      </c>
      <c r="D49" s="418">
        <f>IF(V062A_203031333436353739[[#This Row],[FECHA]]-B48=1,((V062A_203031333436353739[[#This Row],[HORA]]-C48)*24)+24,(V062A_203031333436353739[[#This Row],[HORA]]-C48)*24)</f>
        <v>1.0000000000000004</v>
      </c>
      <c r="E49" s="473" t="s">
        <v>47</v>
      </c>
      <c r="F49" s="29" t="s">
        <v>212</v>
      </c>
      <c r="G49" s="475"/>
      <c r="H49" s="476"/>
      <c r="I49" s="477"/>
      <c r="J49" s="478"/>
      <c r="K49" s="479"/>
      <c r="L49" s="483">
        <v>0.41666666666666685</v>
      </c>
      <c r="M49" s="246">
        <v>6.6666666666666693E-2</v>
      </c>
      <c r="N49" s="484">
        <v>0.25000000000000011</v>
      </c>
      <c r="O49" s="246">
        <f>SUM(V062A_203031333436353739[[#This Row],[MPAL]]+V062A_203031333436353739[[#This Row],[AUX.]]+V062A_203031333436353739[[#This Row],[CALDERA]])</f>
        <v>0.73333333333333361</v>
      </c>
      <c r="P49" s="246"/>
      <c r="Q49" s="270">
        <f>(Q48-V062A_203031333436353739[[#This Row],[TOTAL ]])+V062A_203031333436353739[[#This Row],[FAENA]]</f>
        <v>216.82833333333335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SUM(V062A_203031333436353739[[#This Row],[MPAL2]:[GI]])</f>
        <v>0</v>
      </c>
      <c r="X49" s="246"/>
      <c r="Y49" s="300">
        <f>(Y48-V062A_203031333436353739[[#This Row],[TOTAL]])+V062A_203031333436353739[[#This Row],[FAENA2]]</f>
        <v>42</v>
      </c>
      <c r="Z49" s="245">
        <v>0</v>
      </c>
      <c r="AA49" s="246">
        <v>0</v>
      </c>
      <c r="AB49" s="438">
        <f>(AB48-V062A_203031333436353739[[#This Row],[CYLINDER MP]])+V062A_203031333436353739[[#This Row],[FAENA EN LTS]]</f>
        <v>1890.0000000000002</v>
      </c>
      <c r="AC49" s="246">
        <v>0</v>
      </c>
      <c r="AD49" s="246">
        <v>0</v>
      </c>
      <c r="AE49" s="438">
        <f>(AE48-V062A_203031333436353739[[#This Row],[CARTER MP.]])+V062A_203031333436353739[[#This Row],[FAENA EN LTS2]]</f>
        <v>3500</v>
      </c>
      <c r="AF49" s="246">
        <v>0</v>
      </c>
      <c r="AG49" s="246">
        <v>0</v>
      </c>
      <c r="AH49" s="438">
        <f>(AH48-V062A_203031333436353739[[#This Row],[MOT AUX]])+V062A_203031333436353739[[#This Row],[FAENA EN  LTS]]</f>
        <v>2100</v>
      </c>
      <c r="AI49" s="246">
        <v>0</v>
      </c>
      <c r="AJ49" s="246">
        <v>0</v>
      </c>
      <c r="AK49" s="439">
        <f>(AK48-V062A_203031333436353739[[#This Row],[HIDRAULICO]])+V062A_203031333436353739[[#This Row],[FAENA EN LTS3]]</f>
        <v>1200</v>
      </c>
    </row>
    <row r="50" spans="1:37" x14ac:dyDescent="0.25">
      <c r="A50" s="431" t="s">
        <v>425</v>
      </c>
      <c r="B50" s="48">
        <v>44257</v>
      </c>
      <c r="C50" s="41">
        <v>0.26666666666666666</v>
      </c>
      <c r="D50" s="418">
        <f>IF(V062A_203031333436353739[[#This Row],[FECHA]]-B49=1,((V062A_203031333436353739[[#This Row],[HORA]]-C49)*24)+24,(V062A_203031333436353739[[#This Row],[HORA]]-C49)*24)</f>
        <v>21.4</v>
      </c>
      <c r="E50" s="473" t="s">
        <v>55</v>
      </c>
      <c r="F50" s="29" t="s">
        <v>57</v>
      </c>
      <c r="G50" s="475"/>
      <c r="H50" s="476"/>
      <c r="I50" s="477"/>
      <c r="J50" s="478"/>
      <c r="K50" s="479">
        <v>96</v>
      </c>
      <c r="L50" s="483">
        <v>20.864999999999998</v>
      </c>
      <c r="M50" s="246">
        <v>1.4266666666666665</v>
      </c>
      <c r="N50" s="484">
        <v>5.35</v>
      </c>
      <c r="O50" s="246">
        <f>SUM(V062A_203031333436353739[[#This Row],[MPAL]]+V062A_203031333436353739[[#This Row],[AUX.]]+V062A_203031333436353739[[#This Row],[CALDERA]])</f>
        <v>27.641666666666666</v>
      </c>
      <c r="P50" s="319"/>
      <c r="Q50" s="270">
        <f>(Q49-V062A_203031333436353739[[#This Row],[TOTAL ]])+V062A_203031333436353739[[#This Row],[FAENA]]</f>
        <v>189.18666666666667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SUM(V062A_203031333436353739[[#This Row],[MPAL2]:[GI]])</f>
        <v>0</v>
      </c>
      <c r="X50" s="246"/>
      <c r="Y50" s="300">
        <f>(Y49-V062A_203031333436353739[[#This Row],[TOTAL]])+V062A_203031333436353739[[#This Row],[FAENA2]]</f>
        <v>42</v>
      </c>
      <c r="Z50" s="245">
        <v>180</v>
      </c>
      <c r="AA50" s="246">
        <v>0</v>
      </c>
      <c r="AB50" s="438">
        <f>(AB49-V062A_203031333436353739[[#This Row],[CYLINDER MP]])+V062A_203031333436353739[[#This Row],[FAENA EN LTS]]</f>
        <v>1710.0000000000002</v>
      </c>
      <c r="AC50" s="246">
        <v>0</v>
      </c>
      <c r="AD50" s="246">
        <v>0</v>
      </c>
      <c r="AE50" s="438">
        <f>(AE49-V062A_203031333436353739[[#This Row],[CARTER MP.]])+V062A_203031333436353739[[#This Row],[FAENA EN LTS2]]</f>
        <v>3500</v>
      </c>
      <c r="AF50" s="246">
        <v>10</v>
      </c>
      <c r="AG50" s="246">
        <v>0</v>
      </c>
      <c r="AH50" s="438">
        <f>(AH49-V062A_203031333436353739[[#This Row],[MOT AUX]])+V062A_203031333436353739[[#This Row],[FAENA EN  LTS]]</f>
        <v>2090</v>
      </c>
      <c r="AI50" s="246">
        <v>0</v>
      </c>
      <c r="AJ50" s="246">
        <v>0</v>
      </c>
      <c r="AK50" s="439">
        <f>(AK49-V062A_203031333436353739[[#This Row],[HIDRAULICO]])+V062A_203031333436353739[[#This Row],[FAENA EN LTS3]]</f>
        <v>1200</v>
      </c>
    </row>
    <row r="51" spans="1:37" x14ac:dyDescent="0.25">
      <c r="A51" s="431" t="s">
        <v>425</v>
      </c>
      <c r="B51" s="48">
        <v>44257</v>
      </c>
      <c r="C51" s="41">
        <v>0.29583333333333334</v>
      </c>
      <c r="D51" s="418">
        <f>IF(V062A_203031333436353739[[#This Row],[FECHA]]-B50=1,((V062A_203031333436353739[[#This Row],[HORA]]-C50)*24)+24,(V062A_203031333436353739[[#This Row],[HORA]]-C50)*24)</f>
        <v>0.70000000000000018</v>
      </c>
      <c r="E51" s="473" t="s">
        <v>47</v>
      </c>
      <c r="F51" s="29" t="s">
        <v>434</v>
      </c>
      <c r="G51" s="475"/>
      <c r="H51" s="476"/>
      <c r="I51" s="477"/>
      <c r="J51" s="478"/>
      <c r="K51" s="479"/>
      <c r="L51" s="483">
        <v>0.14583333333333337</v>
      </c>
      <c r="M51" s="246">
        <v>4.6666666666666676E-2</v>
      </c>
      <c r="N51" s="484">
        <v>0.17500000000000004</v>
      </c>
      <c r="O51" s="246">
        <f>SUM(V062A_203031333436353739[[#This Row],[MPAL]]+V062A_203031333436353739[[#This Row],[AUX.]]+V062A_203031333436353739[[#This Row],[CALDERA]])</f>
        <v>0.3675000000000001</v>
      </c>
      <c r="P51" s="319"/>
      <c r="Q51" s="270">
        <f>(Q50-V062A_203031333436353739[[#This Row],[TOTAL ]])+V062A_203031333436353739[[#This Row],[FAENA]]</f>
        <v>188.81916666666666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SUM(V062A_203031333436353739[[#This Row],[MPAL2]:[GI]])</f>
        <v>0</v>
      </c>
      <c r="X51" s="246"/>
      <c r="Y51" s="300">
        <f>(Y50-V062A_203031333436353739[[#This Row],[TOTAL]])+V062A_203031333436353739[[#This Row],[FAENA2]]</f>
        <v>42</v>
      </c>
      <c r="Z51" s="245">
        <v>0</v>
      </c>
      <c r="AA51" s="246">
        <v>0</v>
      </c>
      <c r="AB51" s="438">
        <f>(AB50-V062A_203031333436353739[[#This Row],[CYLINDER MP]])+V062A_203031333436353739[[#This Row],[FAENA EN LTS]]</f>
        <v>1710.0000000000002</v>
      </c>
      <c r="AC51" s="246">
        <v>0</v>
      </c>
      <c r="AD51" s="246">
        <v>0</v>
      </c>
      <c r="AE51" s="438">
        <f>(AE50-V062A_203031333436353739[[#This Row],[CARTER MP.]])+V062A_203031333436353739[[#This Row],[FAENA EN LTS2]]</f>
        <v>3500</v>
      </c>
      <c r="AF51" s="246">
        <v>0</v>
      </c>
      <c r="AG51" s="246">
        <v>0</v>
      </c>
      <c r="AH51" s="438">
        <f>(AH50-V062A_203031333436353739[[#This Row],[MOT AUX]])+V062A_203031333436353739[[#This Row],[FAENA EN  LTS]]</f>
        <v>2090</v>
      </c>
      <c r="AI51" s="246">
        <v>0</v>
      </c>
      <c r="AJ51" s="246">
        <v>0</v>
      </c>
      <c r="AK51" s="439">
        <f>(AK50-V062A_203031333436353739[[#This Row],[HIDRAULICO]])+V062A_203031333436353739[[#This Row],[FAENA EN LTS3]]</f>
        <v>1200</v>
      </c>
    </row>
    <row r="52" spans="1:37" x14ac:dyDescent="0.25">
      <c r="A52" s="431" t="s">
        <v>425</v>
      </c>
      <c r="B52" s="48">
        <v>44257</v>
      </c>
      <c r="C52" s="41">
        <v>0.33333333333333331</v>
      </c>
      <c r="D52" s="418">
        <f>IF(V062A_203031333436353739[[#This Row],[FECHA]]-B51=1,((V062A_203031333436353739[[#This Row],[HORA]]-C51)*24)+24,(V062A_203031333436353739[[#This Row],[HORA]]-C51)*24)</f>
        <v>0.89999999999999947</v>
      </c>
      <c r="E52" s="473" t="s">
        <v>49</v>
      </c>
      <c r="F52" s="29" t="s">
        <v>434</v>
      </c>
      <c r="G52" s="475"/>
      <c r="H52" s="476"/>
      <c r="I52" s="477"/>
      <c r="J52" s="478"/>
      <c r="K52" s="479"/>
      <c r="L52" s="483">
        <v>0</v>
      </c>
      <c r="M52" s="246">
        <v>5.9999999999999963E-2</v>
      </c>
      <c r="N52" s="484">
        <v>0.22499999999999987</v>
      </c>
      <c r="O52" s="246">
        <f>SUM(V062A_203031333436353739[[#This Row],[MPAL]]+V062A_203031333436353739[[#This Row],[AUX.]]+V062A_203031333436353739[[#This Row],[CALDERA]])</f>
        <v>0.28499999999999981</v>
      </c>
      <c r="P52" s="319"/>
      <c r="Q52" s="270">
        <f>(Q51-V062A_203031333436353739[[#This Row],[TOTAL ]])+V062A_203031333436353739[[#This Row],[FAENA]]</f>
        <v>188.53416666666666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SUM(V062A_203031333436353739[[#This Row],[MPAL2]:[GI]])</f>
        <v>0</v>
      </c>
      <c r="X52" s="246"/>
      <c r="Y52" s="300">
        <f>(Y51-V062A_203031333436353739[[#This Row],[TOTAL]])+V062A_203031333436353739[[#This Row],[FAENA2]]</f>
        <v>42</v>
      </c>
      <c r="Z52" s="245">
        <v>0</v>
      </c>
      <c r="AA52" s="246">
        <v>0</v>
      </c>
      <c r="AB52" s="438">
        <f>(AB51-V062A_203031333436353739[[#This Row],[CYLINDER MP]])+V062A_203031333436353739[[#This Row],[FAENA EN LTS]]</f>
        <v>1710.0000000000002</v>
      </c>
      <c r="AC52" s="246">
        <v>0</v>
      </c>
      <c r="AD52" s="246">
        <v>0</v>
      </c>
      <c r="AE52" s="438">
        <f>(AE51-V062A_203031333436353739[[#This Row],[CARTER MP.]])+V062A_203031333436353739[[#This Row],[FAENA EN LTS2]]</f>
        <v>3500</v>
      </c>
      <c r="AF52" s="246">
        <v>0</v>
      </c>
      <c r="AG52" s="246">
        <v>0</v>
      </c>
      <c r="AH52" s="438">
        <f>(AH51-V062A_203031333436353739[[#This Row],[MOT AUX]])+V062A_203031333436353739[[#This Row],[FAENA EN  LTS]]</f>
        <v>2090</v>
      </c>
      <c r="AI52" s="246">
        <v>0</v>
      </c>
      <c r="AJ52" s="246">
        <v>0</v>
      </c>
      <c r="AK52" s="439">
        <f>(AK51-V062A_203031333436353739[[#This Row],[HIDRAULICO]])+V062A_203031333436353739[[#This Row],[FAENA EN LTS3]]</f>
        <v>1200</v>
      </c>
    </row>
    <row r="53" spans="1:37" x14ac:dyDescent="0.25">
      <c r="A53" s="431" t="s">
        <v>425</v>
      </c>
      <c r="B53" s="48">
        <v>44257</v>
      </c>
      <c r="C53" s="41">
        <v>0.41666666666666669</v>
      </c>
      <c r="D53" s="418">
        <f>IF(V062A_203031333436353739[[#This Row],[FECHA]]-B52=1,((V062A_203031333436353739[[#This Row],[HORA]]-C52)*24)+24,(V062A_203031333436353739[[#This Row],[HORA]]-C52)*24)</f>
        <v>2.0000000000000009</v>
      </c>
      <c r="E53" s="432" t="s">
        <v>45</v>
      </c>
      <c r="F53" s="29" t="s">
        <v>46</v>
      </c>
      <c r="G53" s="433"/>
      <c r="H53" s="434"/>
      <c r="I53" s="435"/>
      <c r="J53" s="436"/>
      <c r="K53" s="437"/>
      <c r="L53" s="483">
        <v>0</v>
      </c>
      <c r="M53" s="246">
        <v>0.13333333333333339</v>
      </c>
      <c r="N53" s="484">
        <v>0.50000000000000022</v>
      </c>
      <c r="O53" s="246">
        <f>SUM(V062A_203031333436353739[[#This Row],[MPAL]]+V062A_203031333436353739[[#This Row],[AUX.]]+V062A_203031333436353739[[#This Row],[CALDERA]])</f>
        <v>0.63333333333333364</v>
      </c>
      <c r="P53" s="319"/>
      <c r="Q53" s="270">
        <f>(Q52-V062A_203031333436353739[[#This Row],[TOTAL ]])+V062A_203031333436353739[[#This Row],[FAENA]]</f>
        <v>187.90083333333334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SUM(V062A_203031333436353739[[#This Row],[MPAL2]:[GI]])</f>
        <v>0</v>
      </c>
      <c r="X53" s="246"/>
      <c r="Y53" s="300">
        <f>(Y52-V062A_203031333436353739[[#This Row],[TOTAL]])+V062A_203031333436353739[[#This Row],[FAENA2]]</f>
        <v>42</v>
      </c>
      <c r="Z53" s="245">
        <v>0</v>
      </c>
      <c r="AA53" s="246">
        <v>0</v>
      </c>
      <c r="AB53" s="438">
        <f>(AB52-V062A_203031333436353739[[#This Row],[CYLINDER MP]])+V062A_203031333436353739[[#This Row],[FAENA EN LTS]]</f>
        <v>1710.0000000000002</v>
      </c>
      <c r="AC53" s="246">
        <v>0</v>
      </c>
      <c r="AD53" s="246">
        <v>0</v>
      </c>
      <c r="AE53" s="438">
        <f>(AE52-V062A_203031333436353739[[#This Row],[CARTER MP.]])+V062A_203031333436353739[[#This Row],[FAENA EN LTS2]]</f>
        <v>3500</v>
      </c>
      <c r="AF53" s="246">
        <v>0</v>
      </c>
      <c r="AG53" s="246">
        <v>0</v>
      </c>
      <c r="AH53" s="438">
        <f>(AH52-V062A_203031333436353739[[#This Row],[MOT AUX]])+V062A_203031333436353739[[#This Row],[FAENA EN  LTS]]</f>
        <v>2090</v>
      </c>
      <c r="AI53" s="246">
        <v>0</v>
      </c>
      <c r="AJ53" s="246">
        <v>0</v>
      </c>
      <c r="AK53" s="439">
        <f>(AK52-V062A_203031333436353739[[#This Row],[HIDRAULICO]])+V062A_203031333436353739[[#This Row],[FAENA EN LTS3]]</f>
        <v>1200</v>
      </c>
    </row>
    <row r="54" spans="1:37" x14ac:dyDescent="0.25">
      <c r="A54" s="431" t="s">
        <v>425</v>
      </c>
      <c r="B54" s="48">
        <v>44257</v>
      </c>
      <c r="C54" s="41">
        <v>0.47916666666666669</v>
      </c>
      <c r="D54" s="418">
        <f>IF(V062A_203031333436353739[[#This Row],[FECHA]]-B53=1,((V062A_203031333436353739[[#This Row],[HORA]]-C53)*24)+24,(V062A_203031333436353739[[#This Row],[HORA]]-C53)*24)</f>
        <v>1.5</v>
      </c>
      <c r="E54" s="473" t="s">
        <v>47</v>
      </c>
      <c r="F54" s="29" t="s">
        <v>435</v>
      </c>
      <c r="G54" s="475"/>
      <c r="H54" s="476"/>
      <c r="I54" s="477"/>
      <c r="J54" s="478"/>
      <c r="K54" s="479"/>
      <c r="L54" s="483">
        <v>0.3125</v>
      </c>
      <c r="M54" s="246">
        <v>0.1</v>
      </c>
      <c r="N54" s="484">
        <v>0.375</v>
      </c>
      <c r="O54" s="246">
        <f>SUM(V062A_203031333436353739[[#This Row],[MPAL]]+V062A_203031333436353739[[#This Row],[AUX.]]+V062A_203031333436353739[[#This Row],[CALDERA]])</f>
        <v>0.78749999999999998</v>
      </c>
      <c r="P54" s="319"/>
      <c r="Q54" s="270">
        <f>(Q53-V062A_203031333436353739[[#This Row],[TOTAL ]])+V062A_203031333436353739[[#This Row],[FAENA]]</f>
        <v>187.11333333333334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SUM(V062A_203031333436353739[[#This Row],[MPAL2]:[GI]])</f>
        <v>0</v>
      </c>
      <c r="X54" s="246"/>
      <c r="Y54" s="300">
        <f>(Y53-V062A_203031333436353739[[#This Row],[TOTAL]])+V062A_203031333436353739[[#This Row],[FAENA2]]</f>
        <v>42</v>
      </c>
      <c r="Z54" s="245">
        <v>0</v>
      </c>
      <c r="AA54" s="246">
        <v>0</v>
      </c>
      <c r="AB54" s="438">
        <f>(AB53-V062A_203031333436353739[[#This Row],[CYLINDER MP]])+V062A_203031333436353739[[#This Row],[FAENA EN LTS]]</f>
        <v>1710.0000000000002</v>
      </c>
      <c r="AC54" s="246">
        <v>0</v>
      </c>
      <c r="AD54" s="246">
        <v>0</v>
      </c>
      <c r="AE54" s="438">
        <f>(AE53-V062A_203031333436353739[[#This Row],[CARTER MP.]])+V062A_203031333436353739[[#This Row],[FAENA EN LTS2]]</f>
        <v>3500</v>
      </c>
      <c r="AF54" s="246">
        <v>0</v>
      </c>
      <c r="AG54" s="246">
        <v>0</v>
      </c>
      <c r="AH54" s="438">
        <f>(AH53-V062A_203031333436353739[[#This Row],[MOT AUX]])+V062A_203031333436353739[[#This Row],[FAENA EN  LTS]]</f>
        <v>2090</v>
      </c>
      <c r="AI54" s="246">
        <v>0</v>
      </c>
      <c r="AJ54" s="246">
        <v>0</v>
      </c>
      <c r="AK54" s="439">
        <f>(AK53-V062A_203031333436353739[[#This Row],[HIDRAULICO]])+V062A_203031333436353739[[#This Row],[FAENA EN LTS3]]</f>
        <v>1200</v>
      </c>
    </row>
    <row r="55" spans="1:37" x14ac:dyDescent="0.25">
      <c r="A55" s="431" t="s">
        <v>425</v>
      </c>
      <c r="B55" s="48">
        <v>44257</v>
      </c>
      <c r="C55" s="41">
        <v>0.5625</v>
      </c>
      <c r="D55" s="418">
        <f>IF(V062A_203031333436353739[[#This Row],[FECHA]]-B54=1,((V062A_203031333436353739[[#This Row],[HORA]]-C54)*24)+24,(V062A_203031333436353739[[#This Row],[HORA]]-C54)*24)</f>
        <v>1.9999999999999996</v>
      </c>
      <c r="E55" s="473" t="s">
        <v>49</v>
      </c>
      <c r="F55" s="29" t="s">
        <v>50</v>
      </c>
      <c r="G55" s="475"/>
      <c r="H55" s="476"/>
      <c r="I55" s="477"/>
      <c r="J55" s="478"/>
      <c r="K55" s="479"/>
      <c r="L55" s="483">
        <v>0</v>
      </c>
      <c r="M55" s="246">
        <v>0.1333333333333333</v>
      </c>
      <c r="N55" s="484">
        <v>0.49999999999999989</v>
      </c>
      <c r="O55" s="246">
        <f>SUM(V062A_203031333436353739[[#This Row],[MPAL]]+V062A_203031333436353739[[#This Row],[AUX.]]+V062A_203031333436353739[[#This Row],[CALDERA]])</f>
        <v>0.63333333333333319</v>
      </c>
      <c r="P55" s="319"/>
      <c r="Q55" s="270">
        <f>(Q54-V062A_203031333436353739[[#This Row],[TOTAL ]])+V062A_203031333436353739[[#This Row],[FAENA]]</f>
        <v>186.48000000000002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f>SUM(V062A_203031333436353739[[#This Row],[MPAL2]:[GI]])</f>
        <v>0</v>
      </c>
      <c r="X55" s="246"/>
      <c r="Y55" s="300">
        <f>(Y54-V062A_203031333436353739[[#This Row],[TOTAL]])+V062A_203031333436353739[[#This Row],[FAENA2]]</f>
        <v>42</v>
      </c>
      <c r="Z55" s="245">
        <v>0</v>
      </c>
      <c r="AA55" s="246">
        <v>0</v>
      </c>
      <c r="AB55" s="438">
        <f>(AB54-V062A_203031333436353739[[#This Row],[CYLINDER MP]])+V062A_203031333436353739[[#This Row],[FAENA EN LTS]]</f>
        <v>1710.0000000000002</v>
      </c>
      <c r="AC55" s="246">
        <v>0</v>
      </c>
      <c r="AD55" s="246">
        <v>0</v>
      </c>
      <c r="AE55" s="438">
        <f>(AE54-V062A_203031333436353739[[#This Row],[CARTER MP.]])+V062A_203031333436353739[[#This Row],[FAENA EN LTS2]]</f>
        <v>3500</v>
      </c>
      <c r="AF55" s="246">
        <v>0</v>
      </c>
      <c r="AG55" s="246">
        <v>0</v>
      </c>
      <c r="AH55" s="438">
        <f>(AH54-V062A_203031333436353739[[#This Row],[MOT AUX]])+V062A_203031333436353739[[#This Row],[FAENA EN  LTS]]</f>
        <v>2090</v>
      </c>
      <c r="AI55" s="246">
        <v>0</v>
      </c>
      <c r="AJ55" s="246">
        <v>0</v>
      </c>
      <c r="AK55" s="439">
        <f>(AK54-V062A_203031333436353739[[#This Row],[HIDRAULICO]])+V062A_203031333436353739[[#This Row],[FAENA EN LTS3]]</f>
        <v>1200</v>
      </c>
    </row>
    <row r="56" spans="1:37" x14ac:dyDescent="0.25">
      <c r="A56" s="431" t="s">
        <v>425</v>
      </c>
      <c r="B56" s="48">
        <v>44257</v>
      </c>
      <c r="C56" s="41">
        <v>0.9916666666666667</v>
      </c>
      <c r="D56" s="418">
        <f>IF(V062A_203031333436353739[[#This Row],[FECHA]]-B55=1,((V062A_203031333436353739[[#This Row],[HORA]]-C55)*24)+24,(V062A_203031333436353739[[#This Row],[HORA]]-C55)*24)</f>
        <v>10.3</v>
      </c>
      <c r="E56" s="473" t="s">
        <v>51</v>
      </c>
      <c r="F56" s="29" t="s">
        <v>52</v>
      </c>
      <c r="G56" s="475"/>
      <c r="H56" s="476"/>
      <c r="I56" s="477"/>
      <c r="J56" s="478"/>
      <c r="K56" s="479"/>
      <c r="L56" s="483">
        <v>0</v>
      </c>
      <c r="M56" s="246">
        <v>0.68666666666666676</v>
      </c>
      <c r="N56" s="484">
        <v>2.5750000000000002</v>
      </c>
      <c r="O56" s="246">
        <f>SUM(V062A_203031333436353739[[#This Row],[MPAL]]+V062A_203031333436353739[[#This Row],[AUX.]]+V062A_203031333436353739[[#This Row],[CALDERA]])</f>
        <v>3.2616666666666667</v>
      </c>
      <c r="P56" s="319"/>
      <c r="Q56" s="270">
        <f>(Q55-V062A_203031333436353739[[#This Row],[TOTAL ]])+V062A_203031333436353739[[#This Row],[FAENA]]</f>
        <v>183.21833333333336</v>
      </c>
      <c r="R56" s="245">
        <v>0</v>
      </c>
      <c r="S56" s="246">
        <v>0</v>
      </c>
      <c r="T56" s="246">
        <v>0</v>
      </c>
      <c r="U56" s="246">
        <v>0</v>
      </c>
      <c r="V56" s="246">
        <v>2.5</v>
      </c>
      <c r="W56" s="246">
        <f>SUM(V062A_203031333436353739[[#This Row],[MPAL2]:[GI]])</f>
        <v>2.5</v>
      </c>
      <c r="X56" s="246"/>
      <c r="Y56" s="300">
        <f>(Y55-V062A_203031333436353739[[#This Row],[TOTAL]])+V062A_203031333436353739[[#This Row],[FAENA2]]</f>
        <v>39.5</v>
      </c>
      <c r="Z56" s="245">
        <v>0</v>
      </c>
      <c r="AA56" s="246">
        <v>0</v>
      </c>
      <c r="AB56" s="438">
        <f>(AB55-V062A_203031333436353739[[#This Row],[CYLINDER MP]])+V062A_203031333436353739[[#This Row],[FAENA EN LTS]]</f>
        <v>1710.0000000000002</v>
      </c>
      <c r="AC56" s="246">
        <v>0</v>
      </c>
      <c r="AD56" s="246">
        <v>0</v>
      </c>
      <c r="AE56" s="438">
        <f>(AE55-V062A_203031333436353739[[#This Row],[CARTER MP.]])+V062A_203031333436353739[[#This Row],[FAENA EN LTS2]]</f>
        <v>3500</v>
      </c>
      <c r="AF56" s="246">
        <v>0</v>
      </c>
      <c r="AG56" s="246">
        <v>0</v>
      </c>
      <c r="AH56" s="438">
        <f>(AH55-V062A_203031333436353739[[#This Row],[MOT AUX]])+V062A_203031333436353739[[#This Row],[FAENA EN  LTS]]</f>
        <v>2090</v>
      </c>
      <c r="AI56" s="246">
        <v>0</v>
      </c>
      <c r="AJ56" s="246">
        <v>0</v>
      </c>
      <c r="AK56" s="439">
        <f>(AK55-V062A_203031333436353739[[#This Row],[HIDRAULICO]])+V062A_203031333436353739[[#This Row],[FAENA EN LTS3]]</f>
        <v>1200</v>
      </c>
    </row>
    <row r="57" spans="1:37" x14ac:dyDescent="0.25">
      <c r="A57" s="431" t="s">
        <v>425</v>
      </c>
      <c r="B57" s="48">
        <v>44258</v>
      </c>
      <c r="C57" s="41">
        <v>0.15</v>
      </c>
      <c r="D57" s="418">
        <f>IF(V062A_203031333436353739[[#This Row],[FECHA]]-B56=1,((V062A_203031333436353739[[#This Row],[HORA]]-C56)*24)+24,(V062A_203031333436353739[[#This Row],[HORA]]-C56)*24)</f>
        <v>3.8000000000000007</v>
      </c>
      <c r="E57" s="473" t="s">
        <v>49</v>
      </c>
      <c r="F57" s="29" t="s">
        <v>46</v>
      </c>
      <c r="G57" s="475"/>
      <c r="H57" s="476"/>
      <c r="I57" s="477"/>
      <c r="J57" s="478"/>
      <c r="K57" s="479"/>
      <c r="L57" s="483">
        <v>0</v>
      </c>
      <c r="M57" s="246">
        <v>0.25333333333333335</v>
      </c>
      <c r="N57" s="484">
        <v>0.95000000000000018</v>
      </c>
      <c r="O57" s="246">
        <f>SUM(V062A_203031333436353739[[#This Row],[MPAL]]+V062A_203031333436353739[[#This Row],[AUX.]]+V062A_203031333436353739[[#This Row],[CALDERA]])</f>
        <v>1.2033333333333336</v>
      </c>
      <c r="P57" s="319"/>
      <c r="Q57" s="270">
        <f>(Q56-V062A_203031333436353739[[#This Row],[TOTAL ]])+V062A_203031333436353739[[#This Row],[FAENA]]</f>
        <v>182.01500000000001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f>SUM(V062A_203031333436353739[[#This Row],[MPAL2]:[GI]])</f>
        <v>0</v>
      </c>
      <c r="X57" s="246"/>
      <c r="Y57" s="300">
        <f>(Y56-V062A_203031333436353739[[#This Row],[TOTAL]])+V062A_203031333436353739[[#This Row],[FAENA2]]</f>
        <v>39.5</v>
      </c>
      <c r="Z57" s="245">
        <v>0</v>
      </c>
      <c r="AA57" s="246">
        <v>0</v>
      </c>
      <c r="AB57" s="438">
        <f>(AB56-V062A_203031333436353739[[#This Row],[CYLINDER MP]])+V062A_203031333436353739[[#This Row],[FAENA EN LTS]]</f>
        <v>1710.0000000000002</v>
      </c>
      <c r="AC57" s="246">
        <v>0</v>
      </c>
      <c r="AD57" s="246">
        <v>0</v>
      </c>
      <c r="AE57" s="438">
        <f>(AE56-V062A_203031333436353739[[#This Row],[CARTER MP.]])+V062A_203031333436353739[[#This Row],[FAENA EN LTS2]]</f>
        <v>3500</v>
      </c>
      <c r="AF57" s="246">
        <v>0</v>
      </c>
      <c r="AG57" s="246">
        <v>0</v>
      </c>
      <c r="AH57" s="438">
        <f>(AH56-V062A_203031333436353739[[#This Row],[MOT AUX]])+V062A_203031333436353739[[#This Row],[FAENA EN  LTS]]</f>
        <v>2090</v>
      </c>
      <c r="AI57" s="246">
        <v>0</v>
      </c>
      <c r="AJ57" s="246">
        <v>0</v>
      </c>
      <c r="AK57" s="439">
        <f>(AK56-V062A_203031333436353739[[#This Row],[HIDRAULICO]])+V062A_203031333436353739[[#This Row],[FAENA EN LTS3]]</f>
        <v>1200</v>
      </c>
    </row>
    <row r="58" spans="1:37" x14ac:dyDescent="0.25">
      <c r="A58" s="431" t="s">
        <v>425</v>
      </c>
      <c r="B58" s="48">
        <v>44258</v>
      </c>
      <c r="C58" s="41">
        <v>0.16666666666666666</v>
      </c>
      <c r="D58" s="418">
        <f>IF(V062A_203031333436353739[[#This Row],[FECHA]]-B57=1,((V062A_203031333436353739[[#This Row],[HORA]]-C57)*24)+24,(V062A_203031333436353739[[#This Row],[HORA]]-C57)*24)</f>
        <v>0.39999999999999991</v>
      </c>
      <c r="E58" s="473" t="s">
        <v>47</v>
      </c>
      <c r="F58" s="29" t="s">
        <v>273</v>
      </c>
      <c r="G58" s="475"/>
      <c r="H58" s="476"/>
      <c r="I58" s="477"/>
      <c r="J58" s="478"/>
      <c r="K58" s="479"/>
      <c r="L58" s="483">
        <v>8.3333333333333315E-2</v>
      </c>
      <c r="M58" s="246">
        <v>2.6666666666666661E-2</v>
      </c>
      <c r="N58" s="484">
        <v>9.9999999999999978E-2</v>
      </c>
      <c r="O58" s="246">
        <f>SUM(V062A_203031333436353739[[#This Row],[MPAL]]+V062A_203031333436353739[[#This Row],[AUX.]]+V062A_203031333436353739[[#This Row],[CALDERA]])</f>
        <v>0.20999999999999996</v>
      </c>
      <c r="P58" s="319"/>
      <c r="Q58" s="270">
        <f>(Q57-V062A_203031333436353739[[#This Row],[TOTAL ]])+V062A_203031333436353739[[#This Row],[FAENA]]</f>
        <v>181.80500000000001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SUM(V062A_203031333436353739[[#This Row],[MPAL2]:[GI]])</f>
        <v>0</v>
      </c>
      <c r="X58" s="246"/>
      <c r="Y58" s="300">
        <f>(Y57-V062A_203031333436353739[[#This Row],[TOTAL]])+V062A_203031333436353739[[#This Row],[FAENA2]]</f>
        <v>39.5</v>
      </c>
      <c r="Z58" s="245">
        <v>0</v>
      </c>
      <c r="AA58" s="246">
        <v>0</v>
      </c>
      <c r="AB58" s="438">
        <f>(AB57-V062A_203031333436353739[[#This Row],[CYLINDER MP]])+V062A_203031333436353739[[#This Row],[FAENA EN LTS]]</f>
        <v>1710.0000000000002</v>
      </c>
      <c r="AC58" s="246">
        <v>0</v>
      </c>
      <c r="AD58" s="246">
        <v>0</v>
      </c>
      <c r="AE58" s="438">
        <f>(AE57-V062A_203031333436353739[[#This Row],[CARTER MP.]])+V062A_203031333436353739[[#This Row],[FAENA EN LTS2]]</f>
        <v>3500</v>
      </c>
      <c r="AF58" s="246">
        <v>0</v>
      </c>
      <c r="AG58" s="246">
        <v>0</v>
      </c>
      <c r="AH58" s="438">
        <f>(AH57-V062A_203031333436353739[[#This Row],[MOT AUX]])+V062A_203031333436353739[[#This Row],[FAENA EN  LTS]]</f>
        <v>2090</v>
      </c>
      <c r="AI58" s="246">
        <v>0</v>
      </c>
      <c r="AJ58" s="246">
        <v>0</v>
      </c>
      <c r="AK58" s="439">
        <f>(AK57-V062A_203031333436353739[[#This Row],[HIDRAULICO]])+V062A_203031333436353739[[#This Row],[FAENA EN LTS3]]</f>
        <v>1200</v>
      </c>
    </row>
    <row r="59" spans="1:37" x14ac:dyDescent="0.25">
      <c r="A59" s="431" t="s">
        <v>425</v>
      </c>
      <c r="B59" s="48">
        <v>44258</v>
      </c>
      <c r="C59" s="41">
        <v>0.33333333333333331</v>
      </c>
      <c r="D59" s="418">
        <f>IF(V062A_203031333436353739[[#This Row],[FECHA]]-B58=1,((V062A_203031333436353739[[#This Row],[HORA]]-C58)*24)+24,(V062A_203031333436353739[[#This Row],[HORA]]-C58)*24)</f>
        <v>4</v>
      </c>
      <c r="E59" s="473" t="s">
        <v>55</v>
      </c>
      <c r="F59" s="29" t="s">
        <v>436</v>
      </c>
      <c r="G59" s="475"/>
      <c r="H59" s="476"/>
      <c r="I59" s="477"/>
      <c r="J59" s="478"/>
      <c r="K59" s="479">
        <v>96</v>
      </c>
      <c r="L59" s="483">
        <v>3.9</v>
      </c>
      <c r="M59" s="246">
        <v>0.26666666666666666</v>
      </c>
      <c r="N59" s="484">
        <v>1</v>
      </c>
      <c r="O59" s="246">
        <f>SUM(V062A_203031333436353739[[#This Row],[MPAL]]+V062A_203031333436353739[[#This Row],[AUX.]]+V062A_203031333436353739[[#This Row],[CALDERA]])</f>
        <v>5.166666666666667</v>
      </c>
      <c r="P59" s="319"/>
      <c r="Q59" s="270">
        <f>(Q58-V062A_203031333436353739[[#This Row],[TOTAL ]])+V062A_203031333436353739[[#This Row],[FAENA]]</f>
        <v>176.63833333333335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SUM(V062A_203031333436353739[[#This Row],[MPAL2]:[GI]])</f>
        <v>0</v>
      </c>
      <c r="X59" s="246"/>
      <c r="Y59" s="300">
        <f>(Y58-V062A_203031333436353739[[#This Row],[TOTAL]])+V062A_203031333436353739[[#This Row],[FAENA2]]</f>
        <v>39.5</v>
      </c>
      <c r="Z59" s="245">
        <v>10</v>
      </c>
      <c r="AA59" s="246">
        <v>0</v>
      </c>
      <c r="AB59" s="438">
        <f>(AB58-V062A_203031333436353739[[#This Row],[CYLINDER MP]])+V062A_203031333436353739[[#This Row],[FAENA EN LTS]]</f>
        <v>1700.0000000000002</v>
      </c>
      <c r="AC59" s="246">
        <v>0</v>
      </c>
      <c r="AD59" s="246">
        <v>0</v>
      </c>
      <c r="AE59" s="438">
        <f>(AE58-V062A_203031333436353739[[#This Row],[CARTER MP.]])+V062A_203031333436353739[[#This Row],[FAENA EN LTS2]]</f>
        <v>3500</v>
      </c>
      <c r="AF59" s="246">
        <v>20</v>
      </c>
      <c r="AG59" s="246">
        <v>0</v>
      </c>
      <c r="AH59" s="438">
        <f>(AH58-V062A_203031333436353739[[#This Row],[MOT AUX]])+V062A_203031333436353739[[#This Row],[FAENA EN  LTS]]</f>
        <v>2070</v>
      </c>
      <c r="AI59" s="246">
        <v>0</v>
      </c>
      <c r="AJ59" s="246">
        <v>0</v>
      </c>
      <c r="AK59" s="439">
        <f>(AK58-V062A_203031333436353739[[#This Row],[HIDRAULICO]])+V062A_203031333436353739[[#This Row],[FAENA EN LTS3]]</f>
        <v>1200</v>
      </c>
    </row>
    <row r="60" spans="1:37" x14ac:dyDescent="0.25">
      <c r="A60" s="431" t="s">
        <v>425</v>
      </c>
      <c r="B60" s="48">
        <v>44258</v>
      </c>
      <c r="C60" s="41">
        <v>0.47500000000000003</v>
      </c>
      <c r="D60" s="418">
        <f>IF(V062A_203031333436353739[[#This Row],[FECHA]]-B59=1,((V062A_203031333436353739[[#This Row],[HORA]]-C59)*24)+24,(V062A_203031333436353739[[#This Row],[HORA]]-C59)*24)</f>
        <v>3.4000000000000012</v>
      </c>
      <c r="E60" s="473" t="s">
        <v>55</v>
      </c>
      <c r="F60" s="29" t="s">
        <v>437</v>
      </c>
      <c r="G60" s="475"/>
      <c r="H60" s="476"/>
      <c r="I60" s="477"/>
      <c r="J60" s="478"/>
      <c r="K60" s="479">
        <v>96</v>
      </c>
      <c r="L60" s="483">
        <v>3.3150000000000013</v>
      </c>
      <c r="M60" s="246">
        <v>0.22666666666666674</v>
      </c>
      <c r="N60" s="484">
        <v>0.85000000000000031</v>
      </c>
      <c r="O60" s="246">
        <f>SUM(V062A_203031333436353739[[#This Row],[MPAL]]+V062A_203031333436353739[[#This Row],[AUX.]]+V062A_203031333436353739[[#This Row],[CALDERA]])</f>
        <v>4.3916666666666684</v>
      </c>
      <c r="P60" s="319"/>
      <c r="Q60" s="270">
        <f>(Q59-V062A_203031333436353739[[#This Row],[TOTAL ]])+V062A_203031333436353739[[#This Row],[FAENA]]</f>
        <v>172.24666666666667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SUM(V062A_203031333436353739[[#This Row],[MPAL2]:[GI]])</f>
        <v>0</v>
      </c>
      <c r="X60" s="246"/>
      <c r="Y60" s="300">
        <f>(Y59-V062A_203031333436353739[[#This Row],[TOTAL]])+V062A_203031333436353739[[#This Row],[FAENA2]]</f>
        <v>39.5</v>
      </c>
      <c r="Z60" s="245">
        <v>20</v>
      </c>
      <c r="AA60" s="246">
        <v>0</v>
      </c>
      <c r="AB60" s="438">
        <f>(AB59-V062A_203031333436353739[[#This Row],[CYLINDER MP]])+V062A_203031333436353739[[#This Row],[FAENA EN LTS]]</f>
        <v>1680.0000000000002</v>
      </c>
      <c r="AC60" s="246">
        <v>0</v>
      </c>
      <c r="AD60" s="246">
        <v>0</v>
      </c>
      <c r="AE60" s="438">
        <f>(AE59-V062A_203031333436353739[[#This Row],[CARTER MP.]])+V062A_203031333436353739[[#This Row],[FAENA EN LTS2]]</f>
        <v>3500</v>
      </c>
      <c r="AF60" s="246">
        <v>0</v>
      </c>
      <c r="AG60" s="246">
        <v>0</v>
      </c>
      <c r="AH60" s="438">
        <f>(AH59-V062A_203031333436353739[[#This Row],[MOT AUX]])+V062A_203031333436353739[[#This Row],[FAENA EN  LTS]]</f>
        <v>2070</v>
      </c>
      <c r="AI60" s="246">
        <v>0</v>
      </c>
      <c r="AJ60" s="246">
        <v>0</v>
      </c>
      <c r="AK60" s="439">
        <f>(AK59-V062A_203031333436353739[[#This Row],[HIDRAULICO]])+V062A_203031333436353739[[#This Row],[FAENA EN LTS3]]</f>
        <v>1200</v>
      </c>
    </row>
    <row r="61" spans="1:37" x14ac:dyDescent="0.25">
      <c r="A61" s="431" t="s">
        <v>425</v>
      </c>
      <c r="B61" s="48">
        <v>44258</v>
      </c>
      <c r="C61" s="41">
        <v>0.4916666666666667</v>
      </c>
      <c r="D61" s="418">
        <f>IF(V062A_203031333436353739[[#This Row],[FECHA]]-B60=1,((V062A_203031333436353739[[#This Row],[HORA]]-C60)*24)+24,(V062A_203031333436353739[[#This Row],[HORA]]-C60)*24)</f>
        <v>0.39999999999999991</v>
      </c>
      <c r="E61" s="473" t="s">
        <v>47</v>
      </c>
      <c r="F61" s="29" t="s">
        <v>438</v>
      </c>
      <c r="G61" s="475"/>
      <c r="H61" s="476"/>
      <c r="I61" s="477"/>
      <c r="J61" s="478"/>
      <c r="K61" s="479"/>
      <c r="L61" s="483">
        <v>8.3333333333333315E-2</v>
      </c>
      <c r="M61" s="246">
        <v>2.6666666666666661E-2</v>
      </c>
      <c r="N61" s="484">
        <v>9.9999999999999978E-2</v>
      </c>
      <c r="O61" s="246">
        <f>SUM(V062A_203031333436353739[[#This Row],[MPAL]]+V062A_203031333436353739[[#This Row],[AUX.]]+V062A_203031333436353739[[#This Row],[CALDERA]])</f>
        <v>0.20999999999999996</v>
      </c>
      <c r="P61" s="319"/>
      <c r="Q61" s="270">
        <f>(Q60-V062A_203031333436353739[[#This Row],[TOTAL ]])+V062A_203031333436353739[[#This Row],[FAENA]]</f>
        <v>172.03666666666666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SUM(V062A_203031333436353739[[#This Row],[MPAL2]:[GI]])</f>
        <v>0</v>
      </c>
      <c r="X61" s="246"/>
      <c r="Y61" s="300">
        <f>(Y60-V062A_203031333436353739[[#This Row],[TOTAL]])+V062A_203031333436353739[[#This Row],[FAENA2]]</f>
        <v>39.5</v>
      </c>
      <c r="Z61" s="245">
        <v>0</v>
      </c>
      <c r="AA61" s="246">
        <v>0</v>
      </c>
      <c r="AB61" s="438">
        <f>(AB60-V062A_203031333436353739[[#This Row],[CYLINDER MP]])+V062A_203031333436353739[[#This Row],[FAENA EN LTS]]</f>
        <v>1680.0000000000002</v>
      </c>
      <c r="AC61" s="246">
        <v>0</v>
      </c>
      <c r="AD61" s="246">
        <v>0</v>
      </c>
      <c r="AE61" s="438">
        <f>(AE60-V062A_203031333436353739[[#This Row],[CARTER MP.]])+V062A_203031333436353739[[#This Row],[FAENA EN LTS2]]</f>
        <v>3500</v>
      </c>
      <c r="AF61" s="246">
        <v>0</v>
      </c>
      <c r="AG61" s="246">
        <v>0</v>
      </c>
      <c r="AH61" s="438">
        <f>(AH60-V062A_203031333436353739[[#This Row],[MOT AUX]])+V062A_203031333436353739[[#This Row],[FAENA EN  LTS]]</f>
        <v>2070</v>
      </c>
      <c r="AI61" s="246">
        <v>0</v>
      </c>
      <c r="AJ61" s="246">
        <v>0</v>
      </c>
      <c r="AK61" s="439">
        <f>(AK60-V062A_203031333436353739[[#This Row],[HIDRAULICO]])+V062A_203031333436353739[[#This Row],[FAENA EN LTS3]]</f>
        <v>1200</v>
      </c>
    </row>
    <row r="62" spans="1:37" x14ac:dyDescent="0.25">
      <c r="A62" s="431" t="s">
        <v>425</v>
      </c>
      <c r="B62" s="48">
        <v>44258</v>
      </c>
      <c r="C62" s="41">
        <v>0.6875</v>
      </c>
      <c r="D62" s="418">
        <f>IF(V062A_203031333436353739[[#This Row],[FECHA]]-B61=1,((V062A_203031333436353739[[#This Row],[HORA]]-C61)*24)+24,(V062A_203031333436353739[[#This Row],[HORA]]-C61)*24)</f>
        <v>4.6999999999999993</v>
      </c>
      <c r="E62" s="473" t="s">
        <v>45</v>
      </c>
      <c r="F62" s="29" t="s">
        <v>46</v>
      </c>
      <c r="G62" s="475"/>
      <c r="H62" s="476"/>
      <c r="I62" s="477"/>
      <c r="J62" s="478"/>
      <c r="K62" s="479"/>
      <c r="L62" s="483">
        <v>0</v>
      </c>
      <c r="M62" s="246">
        <v>0.3133333333333333</v>
      </c>
      <c r="N62" s="484">
        <v>1.1749999999999998</v>
      </c>
      <c r="O62" s="246">
        <f>SUM(V062A_203031333436353739[[#This Row],[MPAL]]+V062A_203031333436353739[[#This Row],[AUX.]]+V062A_203031333436353739[[#This Row],[CALDERA]])</f>
        <v>1.4883333333333331</v>
      </c>
      <c r="P62" s="319"/>
      <c r="Q62" s="270">
        <f>(Q61-V062A_203031333436353739[[#This Row],[TOTAL ]])+V062A_203031333436353739[[#This Row],[FAENA]]</f>
        <v>170.54833333333332</v>
      </c>
      <c r="R62" s="245">
        <v>0</v>
      </c>
      <c r="S62" s="246">
        <v>0</v>
      </c>
      <c r="T62" s="246">
        <v>0</v>
      </c>
      <c r="U62" s="246">
        <v>0</v>
      </c>
      <c r="V62" s="246">
        <v>0</v>
      </c>
      <c r="W62" s="246">
        <f>SUM(V062A_203031333436353739[[#This Row],[MPAL2]:[GI]])</f>
        <v>0</v>
      </c>
      <c r="X62" s="246"/>
      <c r="Y62" s="300">
        <f>(Y61-V062A_203031333436353739[[#This Row],[TOTAL]])+V062A_203031333436353739[[#This Row],[FAENA2]]</f>
        <v>39.5</v>
      </c>
      <c r="Z62" s="245">
        <v>0</v>
      </c>
      <c r="AA62" s="246">
        <v>0</v>
      </c>
      <c r="AB62" s="438">
        <f>(AB61-V062A_203031333436353739[[#This Row],[CYLINDER MP]])+V062A_203031333436353739[[#This Row],[FAENA EN LTS]]</f>
        <v>1680.0000000000002</v>
      </c>
      <c r="AC62" s="246">
        <v>0</v>
      </c>
      <c r="AD62" s="246">
        <v>0</v>
      </c>
      <c r="AE62" s="438">
        <f>(AE61-V062A_203031333436353739[[#This Row],[CARTER MP.]])+V062A_203031333436353739[[#This Row],[FAENA EN LTS2]]</f>
        <v>3500</v>
      </c>
      <c r="AF62" s="246">
        <v>0</v>
      </c>
      <c r="AG62" s="246">
        <v>0</v>
      </c>
      <c r="AH62" s="438">
        <f>(AH61-V062A_203031333436353739[[#This Row],[MOT AUX]])+V062A_203031333436353739[[#This Row],[FAENA EN  LTS]]</f>
        <v>2070</v>
      </c>
      <c r="AI62" s="246">
        <v>0</v>
      </c>
      <c r="AJ62" s="246">
        <v>0</v>
      </c>
      <c r="AK62" s="439">
        <f>(AK61-V062A_203031333436353739[[#This Row],[HIDRAULICO]])+V062A_203031333436353739[[#This Row],[FAENA EN LTS3]]</f>
        <v>1200</v>
      </c>
    </row>
    <row r="63" spans="1:37" x14ac:dyDescent="0.25">
      <c r="A63" s="431" t="s">
        <v>425</v>
      </c>
      <c r="B63" s="48">
        <v>44258</v>
      </c>
      <c r="C63" s="41">
        <v>0.72916666666666663</v>
      </c>
      <c r="D63" s="418">
        <f>IF(V062A_203031333436353739[[#This Row],[FECHA]]-B62=1,((V062A_203031333436353739[[#This Row],[HORA]]-C62)*24)+24,(V062A_203031333436353739[[#This Row],[HORA]]-C62)*24)</f>
        <v>0.99999999999999911</v>
      </c>
      <c r="E63" s="473" t="s">
        <v>47</v>
      </c>
      <c r="F63" s="29" t="s">
        <v>439</v>
      </c>
      <c r="G63" s="475"/>
      <c r="H63" s="476"/>
      <c r="I63" s="477"/>
      <c r="J63" s="478"/>
      <c r="K63" s="479"/>
      <c r="L63" s="483">
        <v>0.20833333333333315</v>
      </c>
      <c r="M63" s="246">
        <v>6.666666666666661E-2</v>
      </c>
      <c r="N63" s="484">
        <v>0.24999999999999978</v>
      </c>
      <c r="O63" s="246">
        <f>SUM(V062A_203031333436353739[[#This Row],[MPAL]]+V062A_203031333436353739[[#This Row],[AUX.]]+V062A_203031333436353739[[#This Row],[CALDERA]])</f>
        <v>0.52499999999999947</v>
      </c>
      <c r="P63" s="319"/>
      <c r="Q63" s="270">
        <f>(Q62-V062A_203031333436353739[[#This Row],[TOTAL ]])+V062A_203031333436353739[[#This Row],[FAENA]]</f>
        <v>170.02333333333331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SUM(V062A_203031333436353739[[#This Row],[MPAL2]:[GI]])</f>
        <v>0</v>
      </c>
      <c r="X63" s="246"/>
      <c r="Y63" s="300">
        <f>(Y62-V062A_203031333436353739[[#This Row],[TOTAL]])+V062A_203031333436353739[[#This Row],[FAENA2]]</f>
        <v>39.5</v>
      </c>
      <c r="Z63" s="245">
        <v>0</v>
      </c>
      <c r="AA63" s="246">
        <v>0</v>
      </c>
      <c r="AB63" s="438">
        <f>(AB62-V062A_203031333436353739[[#This Row],[CYLINDER MP]])+V062A_203031333436353739[[#This Row],[FAENA EN LTS]]</f>
        <v>1680.0000000000002</v>
      </c>
      <c r="AC63" s="246">
        <v>0</v>
      </c>
      <c r="AD63" s="246">
        <v>0</v>
      </c>
      <c r="AE63" s="438">
        <f>(AE62-V062A_203031333436353739[[#This Row],[CARTER MP.]])+V062A_203031333436353739[[#This Row],[FAENA EN LTS2]]</f>
        <v>3500</v>
      </c>
      <c r="AF63" s="246">
        <v>0</v>
      </c>
      <c r="AG63" s="246">
        <v>0</v>
      </c>
      <c r="AH63" s="438">
        <f>(AH62-V062A_203031333436353739[[#This Row],[MOT AUX]])+V062A_203031333436353739[[#This Row],[FAENA EN  LTS]]</f>
        <v>2070</v>
      </c>
      <c r="AI63" s="246">
        <v>0</v>
      </c>
      <c r="AJ63" s="246">
        <v>0</v>
      </c>
      <c r="AK63" s="439">
        <f>(AK62-V062A_203031333436353739[[#This Row],[HIDRAULICO]])+V062A_203031333436353739[[#This Row],[FAENA EN LTS3]]</f>
        <v>1200</v>
      </c>
    </row>
    <row r="64" spans="1:37" x14ac:dyDescent="0.25">
      <c r="A64" s="431" t="s">
        <v>425</v>
      </c>
      <c r="B64" s="48">
        <v>44258</v>
      </c>
      <c r="C64" s="41">
        <v>0.83750000000000002</v>
      </c>
      <c r="D64" s="418">
        <f>IF(V062A_203031333436353739[[#This Row],[FECHA]]-B63=1,((V062A_203031333436353739[[#This Row],[HORA]]-C63)*24)+24,(V062A_203031333436353739[[#This Row],[HORA]]-C63)*24)</f>
        <v>2.6000000000000014</v>
      </c>
      <c r="E64" s="473" t="s">
        <v>49</v>
      </c>
      <c r="F64" s="29" t="s">
        <v>50</v>
      </c>
      <c r="G64" s="475"/>
      <c r="H64" s="476"/>
      <c r="I64" s="477"/>
      <c r="J64" s="478"/>
      <c r="K64" s="479"/>
      <c r="L64" s="483">
        <v>0</v>
      </c>
      <c r="M64" s="246">
        <v>0.17333333333333342</v>
      </c>
      <c r="N64" s="484">
        <v>0.65000000000000036</v>
      </c>
      <c r="O64" s="246">
        <f>SUM(V062A_203031333436353739[[#This Row],[MPAL]]+V062A_203031333436353739[[#This Row],[AUX.]]+V062A_203031333436353739[[#This Row],[CALDERA]])</f>
        <v>0.82333333333333381</v>
      </c>
      <c r="P64" s="319"/>
      <c r="Q64" s="270">
        <f>(Q63-V062A_203031333436353739[[#This Row],[TOTAL ]])+V062A_203031333436353739[[#This Row],[FAENA]]</f>
        <v>169.2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SUM(V062A_203031333436353739[[#This Row],[MPAL2]:[GI]])</f>
        <v>0</v>
      </c>
      <c r="X64" s="246"/>
      <c r="Y64" s="300">
        <f>(Y63-V062A_203031333436353739[[#This Row],[TOTAL]])+V062A_203031333436353739[[#This Row],[FAENA2]]</f>
        <v>39.5</v>
      </c>
      <c r="Z64" s="245">
        <v>0</v>
      </c>
      <c r="AA64" s="246">
        <v>0</v>
      </c>
      <c r="AB64" s="438">
        <f>(AB63-V062A_203031333436353739[[#This Row],[CYLINDER MP]])+V062A_203031333436353739[[#This Row],[FAENA EN LTS]]</f>
        <v>1680.0000000000002</v>
      </c>
      <c r="AC64" s="246">
        <v>0</v>
      </c>
      <c r="AD64" s="246">
        <v>0</v>
      </c>
      <c r="AE64" s="438">
        <f>(AE63-V062A_203031333436353739[[#This Row],[CARTER MP.]])+V062A_203031333436353739[[#This Row],[FAENA EN LTS2]]</f>
        <v>3500</v>
      </c>
      <c r="AF64" s="246">
        <v>0</v>
      </c>
      <c r="AG64" s="246">
        <v>0</v>
      </c>
      <c r="AH64" s="438">
        <f>(AH63-V062A_203031333436353739[[#This Row],[MOT AUX]])+V062A_203031333436353739[[#This Row],[FAENA EN  LTS]]</f>
        <v>2070</v>
      </c>
      <c r="AI64" s="246">
        <v>0</v>
      </c>
      <c r="AJ64" s="246">
        <v>0</v>
      </c>
      <c r="AK64" s="439">
        <f>(AK63-V062A_203031333436353739[[#This Row],[HIDRAULICO]])+V062A_203031333436353739[[#This Row],[FAENA EN LTS3]]</f>
        <v>1200</v>
      </c>
    </row>
    <row r="65" spans="1:37" x14ac:dyDescent="0.25">
      <c r="A65" s="431" t="s">
        <v>425</v>
      </c>
      <c r="B65" s="48">
        <v>44259</v>
      </c>
      <c r="C65" s="41">
        <v>0.1125</v>
      </c>
      <c r="D65" s="418">
        <f>IF(V062A_203031333436353739[[#This Row],[FECHA]]-B64=1,((V062A_203031333436353739[[#This Row],[HORA]]-C64)*24)+24,(V062A_203031333436353739[[#This Row],[HORA]]-C64)*24)</f>
        <v>6.6000000000000014</v>
      </c>
      <c r="E65" s="444" t="s">
        <v>51</v>
      </c>
      <c r="F65" s="29" t="s">
        <v>52</v>
      </c>
      <c r="G65" s="446"/>
      <c r="H65" s="447"/>
      <c r="I65" s="448"/>
      <c r="J65" s="449"/>
      <c r="K65" s="450"/>
      <c r="L65" s="483">
        <v>0</v>
      </c>
      <c r="M65" s="246">
        <v>0.44000000000000011</v>
      </c>
      <c r="N65" s="484">
        <v>1.6500000000000004</v>
      </c>
      <c r="O65" s="246">
        <f>SUM(V062A_203031333436353739[[#This Row],[MPAL]]+V062A_203031333436353739[[#This Row],[AUX.]]+V062A_203031333436353739[[#This Row],[CALDERA]])</f>
        <v>2.0900000000000003</v>
      </c>
      <c r="P65" s="452"/>
      <c r="Q65" s="270">
        <f>(Q64-V062A_203031333436353739[[#This Row],[TOTAL ]])+V062A_203031333436353739[[#This Row],[FAENA]]</f>
        <v>167.10999999999999</v>
      </c>
      <c r="R65" s="245">
        <v>0</v>
      </c>
      <c r="S65" s="246">
        <v>0</v>
      </c>
      <c r="T65" s="246">
        <v>0</v>
      </c>
      <c r="U65" s="246">
        <v>0</v>
      </c>
      <c r="V65" s="246">
        <v>1.65</v>
      </c>
      <c r="W65" s="443">
        <f>SUM(V062A_203031333436353739[[#This Row],[MPAL2]:[GI]])</f>
        <v>1.65</v>
      </c>
      <c r="X65" s="443"/>
      <c r="Y65" s="300">
        <f>(Y64-V062A_203031333436353739[[#This Row],[TOTAL]])+V062A_203031333436353739[[#This Row],[FAENA2]]</f>
        <v>37.85</v>
      </c>
      <c r="Z65" s="245">
        <v>0</v>
      </c>
      <c r="AA65" s="246">
        <v>0</v>
      </c>
      <c r="AB65" s="438">
        <f>(AB64-V062A_203031333436353739[[#This Row],[CYLINDER MP]])+V062A_203031333436353739[[#This Row],[FAENA EN LTS]]</f>
        <v>1680.0000000000002</v>
      </c>
      <c r="AC65" s="246">
        <v>0</v>
      </c>
      <c r="AD65" s="246">
        <v>0</v>
      </c>
      <c r="AE65" s="438">
        <f>(AE64-V062A_203031333436353739[[#This Row],[CARTER MP.]])+V062A_203031333436353739[[#This Row],[FAENA EN LTS2]]</f>
        <v>3500</v>
      </c>
      <c r="AF65" s="246">
        <v>0</v>
      </c>
      <c r="AG65" s="246">
        <v>0</v>
      </c>
      <c r="AH65" s="438">
        <f>(AH64-V062A_203031333436353739[[#This Row],[MOT AUX]])+V062A_203031333436353739[[#This Row],[FAENA EN  LTS]]</f>
        <v>2070</v>
      </c>
      <c r="AI65" s="246">
        <v>0</v>
      </c>
      <c r="AJ65" s="246">
        <v>0</v>
      </c>
      <c r="AK65" s="439">
        <f>(AK64-V062A_203031333436353739[[#This Row],[HIDRAULICO]])+V062A_203031333436353739[[#This Row],[FAENA EN LTS3]]</f>
        <v>1200</v>
      </c>
    </row>
    <row r="66" spans="1:37" x14ac:dyDescent="0.25">
      <c r="A66" s="431" t="s">
        <v>425</v>
      </c>
      <c r="B66" s="48">
        <v>44259</v>
      </c>
      <c r="C66" s="41">
        <v>0.25416666666666665</v>
      </c>
      <c r="D66" s="418">
        <f>IF(V062A_203031333436353739[[#This Row],[FECHA]]-B65=1,((V062A_203031333436353739[[#This Row],[HORA]]-C65)*24)+24,(V062A_203031333436353739[[#This Row],[HORA]]-C65)*24)</f>
        <v>3.4</v>
      </c>
      <c r="E66" s="473" t="s">
        <v>49</v>
      </c>
      <c r="F66" s="29" t="s">
        <v>46</v>
      </c>
      <c r="G66" s="475"/>
      <c r="H66" s="476"/>
      <c r="I66" s="477"/>
      <c r="J66" s="478"/>
      <c r="K66" s="479"/>
      <c r="L66" s="483">
        <v>0</v>
      </c>
      <c r="M66" s="246">
        <v>0.22666666666666666</v>
      </c>
      <c r="N66" s="484">
        <v>0.85</v>
      </c>
      <c r="O66" s="246">
        <f>SUM(V062A_203031333436353739[[#This Row],[MPAL]]+V062A_203031333436353739[[#This Row],[AUX.]]+V062A_203031333436353739[[#This Row],[CALDERA]])</f>
        <v>1.0766666666666667</v>
      </c>
      <c r="P66" s="319"/>
      <c r="Q66" s="270">
        <f>(Q65-V062A_203031333436353739[[#This Row],[TOTAL ]])+V062A_203031333436353739[[#This Row],[FAENA]]</f>
        <v>166.03333333333333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SUM(V062A_203031333436353739[[#This Row],[MPAL2]:[GI]])</f>
        <v>0</v>
      </c>
      <c r="X66" s="246"/>
      <c r="Y66" s="300">
        <f>(Y65-V062A_203031333436353739[[#This Row],[TOTAL]])+V062A_203031333436353739[[#This Row],[FAENA2]]</f>
        <v>37.85</v>
      </c>
      <c r="Z66" s="245">
        <v>0</v>
      </c>
      <c r="AA66" s="246">
        <v>0</v>
      </c>
      <c r="AB66" s="438">
        <f>(AB65-V062A_203031333436353739[[#This Row],[CYLINDER MP]])+V062A_203031333436353739[[#This Row],[FAENA EN LTS]]</f>
        <v>1680.0000000000002</v>
      </c>
      <c r="AC66" s="246">
        <v>0</v>
      </c>
      <c r="AD66" s="246">
        <v>0</v>
      </c>
      <c r="AE66" s="438">
        <f>(AE65-V062A_203031333436353739[[#This Row],[CARTER MP.]])+V062A_203031333436353739[[#This Row],[FAENA EN LTS2]]</f>
        <v>3500</v>
      </c>
      <c r="AF66" s="246">
        <v>0</v>
      </c>
      <c r="AG66" s="246">
        <v>0</v>
      </c>
      <c r="AH66" s="438">
        <f>(AH65-V062A_203031333436353739[[#This Row],[MOT AUX]])+V062A_203031333436353739[[#This Row],[FAENA EN  LTS]]</f>
        <v>2070</v>
      </c>
      <c r="AI66" s="246">
        <v>0</v>
      </c>
      <c r="AJ66" s="246">
        <v>0</v>
      </c>
      <c r="AK66" s="439">
        <f>(AK65-V062A_203031333436353739[[#This Row],[HIDRAULICO]])+V062A_203031333436353739[[#This Row],[FAENA EN LTS3]]</f>
        <v>1200</v>
      </c>
    </row>
    <row r="67" spans="1:37" x14ac:dyDescent="0.25">
      <c r="A67" s="431" t="s">
        <v>425</v>
      </c>
      <c r="B67" s="48">
        <v>44259</v>
      </c>
      <c r="C67" s="41">
        <v>0.29166666666666669</v>
      </c>
      <c r="D67" s="418">
        <f>IF(V062A_203031333436353739[[#This Row],[FECHA]]-B66=1,((V062A_203031333436353739[[#This Row],[HORA]]-C66)*24)+24,(V062A_203031333436353739[[#This Row],[HORA]]-C66)*24)</f>
        <v>0.9000000000000008</v>
      </c>
      <c r="E67" s="473" t="s">
        <v>47</v>
      </c>
      <c r="F67" s="29" t="s">
        <v>440</v>
      </c>
      <c r="G67" s="475"/>
      <c r="H67" s="476"/>
      <c r="I67" s="477"/>
      <c r="J67" s="478"/>
      <c r="K67" s="479"/>
      <c r="L67" s="483">
        <v>0.18750000000000017</v>
      </c>
      <c r="M67" s="246">
        <v>6.0000000000000053E-2</v>
      </c>
      <c r="N67" s="484">
        <v>0.2250000000000002</v>
      </c>
      <c r="O67" s="246">
        <f>SUM(V062A_203031333436353739[[#This Row],[MPAL]]+V062A_203031333436353739[[#This Row],[AUX.]]+V062A_203031333436353739[[#This Row],[CALDERA]])</f>
        <v>0.47250000000000042</v>
      </c>
      <c r="P67" s="319"/>
      <c r="Q67" s="270">
        <f>(Q66-V062A_203031333436353739[[#This Row],[TOTAL ]])+V062A_203031333436353739[[#This Row],[FAENA]]</f>
        <v>165.56083333333333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f>SUM(V062A_203031333436353739[[#This Row],[MPAL2]:[GI]])</f>
        <v>0</v>
      </c>
      <c r="X67" s="246"/>
      <c r="Y67" s="300">
        <f>(Y66-V062A_203031333436353739[[#This Row],[TOTAL]])+V062A_203031333436353739[[#This Row],[FAENA2]]</f>
        <v>37.85</v>
      </c>
      <c r="Z67" s="245">
        <v>0</v>
      </c>
      <c r="AA67" s="246">
        <v>0</v>
      </c>
      <c r="AB67" s="438">
        <f>(AB66-V062A_203031333436353739[[#This Row],[CYLINDER MP]])+V062A_203031333436353739[[#This Row],[FAENA EN LTS]]</f>
        <v>1680.0000000000002</v>
      </c>
      <c r="AC67" s="246">
        <v>0</v>
      </c>
      <c r="AD67" s="246">
        <v>0</v>
      </c>
      <c r="AE67" s="438">
        <f>(AE66-V062A_203031333436353739[[#This Row],[CARTER MP.]])+V062A_203031333436353739[[#This Row],[FAENA EN LTS2]]</f>
        <v>3500</v>
      </c>
      <c r="AF67" s="246">
        <v>0</v>
      </c>
      <c r="AG67" s="246">
        <v>0</v>
      </c>
      <c r="AH67" s="438">
        <f>(AH66-V062A_203031333436353739[[#This Row],[MOT AUX]])+V062A_203031333436353739[[#This Row],[FAENA EN  LTS]]</f>
        <v>2070</v>
      </c>
      <c r="AI67" s="246">
        <v>0</v>
      </c>
      <c r="AJ67" s="246">
        <v>0</v>
      </c>
      <c r="AK67" s="439">
        <f>(AK66-V062A_203031333436353739[[#This Row],[HIDRAULICO]])+V062A_203031333436353739[[#This Row],[FAENA EN LTS3]]</f>
        <v>1200</v>
      </c>
    </row>
    <row r="68" spans="1:37" x14ac:dyDescent="0.25">
      <c r="A68" s="431" t="s">
        <v>425</v>
      </c>
      <c r="B68" s="48">
        <v>44259</v>
      </c>
      <c r="C68" s="41">
        <v>0.33333333333333331</v>
      </c>
      <c r="D68" s="418">
        <f>IF(V062A_203031333436353739[[#This Row],[FECHA]]-B67=1,((V062A_203031333436353739[[#This Row],[HORA]]-C67)*24)+24,(V062A_203031333436353739[[#This Row],[HORA]]-C67)*24)</f>
        <v>0.99999999999999911</v>
      </c>
      <c r="E68" s="473" t="s">
        <v>55</v>
      </c>
      <c r="F68" s="29" t="s">
        <v>436</v>
      </c>
      <c r="G68" s="475"/>
      <c r="H68" s="476"/>
      <c r="I68" s="477"/>
      <c r="J68" s="478"/>
      <c r="K68" s="479">
        <v>96</v>
      </c>
      <c r="L68" s="483">
        <v>0.97499999999999909</v>
      </c>
      <c r="M68" s="246">
        <v>6.666666666666661E-2</v>
      </c>
      <c r="N68" s="484">
        <v>0.24999999999999978</v>
      </c>
      <c r="O68" s="246">
        <f>SUM(V062A_203031333436353739[[#This Row],[MPAL]]+V062A_203031333436353739[[#This Row],[AUX.]]+V062A_203031333436353739[[#This Row],[CALDERA]])</f>
        <v>1.2916666666666654</v>
      </c>
      <c r="P68" s="319"/>
      <c r="Q68" s="270">
        <f>(Q67-V062A_203031333436353739[[#This Row],[TOTAL ]])+V062A_203031333436353739[[#This Row],[FAENA]]</f>
        <v>164.26916666666668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SUM(V062A_203031333436353739[[#This Row],[MPAL2]:[GI]])</f>
        <v>0</v>
      </c>
      <c r="X68" s="246"/>
      <c r="Y68" s="300">
        <f>(Y67-V062A_203031333436353739[[#This Row],[TOTAL]])+V062A_203031333436353739[[#This Row],[FAENA2]]</f>
        <v>37.85</v>
      </c>
      <c r="Z68" s="245">
        <v>0</v>
      </c>
      <c r="AA68" s="246">
        <v>0</v>
      </c>
      <c r="AB68" s="438">
        <f>(AB67-V062A_203031333436353739[[#This Row],[CYLINDER MP]])+V062A_203031333436353739[[#This Row],[FAENA EN LTS]]</f>
        <v>1680.0000000000002</v>
      </c>
      <c r="AC68" s="246">
        <v>0</v>
      </c>
      <c r="AD68" s="246">
        <v>0</v>
      </c>
      <c r="AE68" s="438">
        <f>(AE67-V062A_203031333436353739[[#This Row],[CARTER MP.]])+V062A_203031333436353739[[#This Row],[FAENA EN LTS2]]</f>
        <v>3500</v>
      </c>
      <c r="AF68" s="246">
        <v>0</v>
      </c>
      <c r="AG68" s="246">
        <v>0</v>
      </c>
      <c r="AH68" s="438">
        <f>(AH67-V062A_203031333436353739[[#This Row],[MOT AUX]])+V062A_203031333436353739[[#This Row],[FAENA EN  LTS]]</f>
        <v>2070</v>
      </c>
      <c r="AI68" s="246">
        <v>50</v>
      </c>
      <c r="AJ68" s="246">
        <v>0</v>
      </c>
      <c r="AK68" s="439">
        <f>(AK67-V062A_203031333436353739[[#This Row],[HIDRAULICO]])+V062A_203031333436353739[[#This Row],[FAENA EN LTS3]]</f>
        <v>1150</v>
      </c>
    </row>
    <row r="69" spans="1:37" x14ac:dyDescent="0.25">
      <c r="A69" s="431" t="s">
        <v>425</v>
      </c>
      <c r="B69" s="48">
        <v>44259</v>
      </c>
      <c r="C69" s="41">
        <v>0.90833333333333333</v>
      </c>
      <c r="D69" s="418">
        <f>IF(V062A_203031333436353739[[#This Row],[FECHA]]-B68=1,((V062A_203031333436353739[[#This Row],[HORA]]-C68)*24)+24,(V062A_203031333436353739[[#This Row],[HORA]]-C68)*24)</f>
        <v>13.799999999999999</v>
      </c>
      <c r="E69" s="473" t="s">
        <v>55</v>
      </c>
      <c r="F69" s="29" t="s">
        <v>416</v>
      </c>
      <c r="G69" s="475"/>
      <c r="H69" s="476"/>
      <c r="I69" s="477"/>
      <c r="J69" s="478"/>
      <c r="K69" s="479">
        <v>96</v>
      </c>
      <c r="L69" s="483">
        <v>13.454999999999998</v>
      </c>
      <c r="M69" s="246">
        <v>0.91999999999999993</v>
      </c>
      <c r="N69" s="484">
        <v>0</v>
      </c>
      <c r="O69" s="246">
        <f>SUM(V062A_203031333436353739[[#This Row],[MPAL]]+V062A_203031333436353739[[#This Row],[AUX.]]+V062A_203031333436353739[[#This Row],[CALDERA]])</f>
        <v>14.374999999999998</v>
      </c>
      <c r="P69" s="319"/>
      <c r="Q69" s="270">
        <f>(Q68-V062A_203031333436353739[[#This Row],[TOTAL ]])+V062A_203031333436353739[[#This Row],[FAENA]]</f>
        <v>149.89416666666668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SUM(V062A_203031333436353739[[#This Row],[MPAL2]:[GI]])</f>
        <v>0</v>
      </c>
      <c r="X69" s="246"/>
      <c r="Y69" s="300">
        <f>(Y68-V062A_203031333436353739[[#This Row],[TOTAL]])+V062A_203031333436353739[[#This Row],[FAENA2]]</f>
        <v>37.85</v>
      </c>
      <c r="Z69" s="245">
        <v>110</v>
      </c>
      <c r="AA69" s="246">
        <v>0</v>
      </c>
      <c r="AB69" s="438">
        <f>(AB68-V062A_203031333436353739[[#This Row],[CYLINDER MP]])+V062A_203031333436353739[[#This Row],[FAENA EN LTS]]</f>
        <v>1570.0000000000002</v>
      </c>
      <c r="AC69" s="246">
        <v>0</v>
      </c>
      <c r="AD69" s="246">
        <v>0</v>
      </c>
      <c r="AE69" s="438">
        <f>(AE68-V062A_203031333436353739[[#This Row],[CARTER MP.]])+V062A_203031333436353739[[#This Row],[FAENA EN LTS2]]</f>
        <v>3500</v>
      </c>
      <c r="AF69" s="246">
        <v>0</v>
      </c>
      <c r="AG69" s="246">
        <v>0</v>
      </c>
      <c r="AH69" s="438">
        <f>(AH68-V062A_203031333436353739[[#This Row],[MOT AUX]])+V062A_203031333436353739[[#This Row],[FAENA EN  LTS]]</f>
        <v>2070</v>
      </c>
      <c r="AI69" s="246">
        <v>0</v>
      </c>
      <c r="AJ69" s="246">
        <v>0</v>
      </c>
      <c r="AK69" s="439">
        <f>(AK68-V062A_203031333436353739[[#This Row],[HIDRAULICO]])+V062A_203031333436353739[[#This Row],[FAENA EN LTS3]]</f>
        <v>1150</v>
      </c>
    </row>
    <row r="70" spans="1:37" x14ac:dyDescent="0.25">
      <c r="A70" s="431" t="s">
        <v>425</v>
      </c>
      <c r="B70" s="48">
        <v>44259</v>
      </c>
      <c r="C70" s="41">
        <v>0.93333333333333324</v>
      </c>
      <c r="D70" s="418">
        <f>IF(V062A_203031333436353739[[#This Row],[FECHA]]-B69=1,((V062A_203031333436353739[[#This Row],[HORA]]-C69)*24)+24,(V062A_203031333436353739[[#This Row],[HORA]]-C69)*24)</f>
        <v>0.59999999999999787</v>
      </c>
      <c r="E70" s="473" t="s">
        <v>47</v>
      </c>
      <c r="F70" s="29" t="s">
        <v>441</v>
      </c>
      <c r="G70" s="475"/>
      <c r="H70" s="476"/>
      <c r="I70" s="477"/>
      <c r="J70" s="478"/>
      <c r="K70" s="479"/>
      <c r="L70" s="483">
        <v>2.4999999999999911E-2</v>
      </c>
      <c r="M70" s="246">
        <v>3.9999999999999855E-2</v>
      </c>
      <c r="N70" s="484">
        <v>0</v>
      </c>
      <c r="O70" s="246">
        <f>SUM(V062A_203031333436353739[[#This Row],[MPAL]]+V062A_203031333436353739[[#This Row],[AUX.]]+V062A_203031333436353739[[#This Row],[CALDERA]])</f>
        <v>6.4999999999999766E-2</v>
      </c>
      <c r="P70" s="319"/>
      <c r="Q70" s="270">
        <f>(Q69-V062A_203031333436353739[[#This Row],[TOTAL ]])+V062A_203031333436353739[[#This Row],[FAENA]]</f>
        <v>149.82916666666668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SUM(V062A_203031333436353739[[#This Row],[MPAL2]:[GI]])</f>
        <v>0</v>
      </c>
      <c r="X70" s="246"/>
      <c r="Y70" s="300">
        <f>(Y69-V062A_203031333436353739[[#This Row],[TOTAL]])+V062A_203031333436353739[[#This Row],[FAENA2]]</f>
        <v>37.85</v>
      </c>
      <c r="Z70" s="245">
        <v>0</v>
      </c>
      <c r="AA70" s="246">
        <v>0</v>
      </c>
      <c r="AB70" s="438">
        <f>(AB69-V062A_203031333436353739[[#This Row],[CYLINDER MP]])+V062A_203031333436353739[[#This Row],[FAENA EN LTS]]</f>
        <v>1570.0000000000002</v>
      </c>
      <c r="AC70" s="246">
        <v>0</v>
      </c>
      <c r="AD70" s="246">
        <v>0</v>
      </c>
      <c r="AE70" s="438">
        <f>(AE69-V062A_203031333436353739[[#This Row],[CARTER MP.]])+V062A_203031333436353739[[#This Row],[FAENA EN LTS2]]</f>
        <v>3500</v>
      </c>
      <c r="AF70" s="246">
        <v>0</v>
      </c>
      <c r="AG70" s="246">
        <v>0</v>
      </c>
      <c r="AH70" s="438">
        <f>(AH69-V062A_203031333436353739[[#This Row],[MOT AUX]])+V062A_203031333436353739[[#This Row],[FAENA EN  LTS]]</f>
        <v>2070</v>
      </c>
      <c r="AI70" s="246">
        <v>0</v>
      </c>
      <c r="AJ70" s="246">
        <v>0</v>
      </c>
      <c r="AK70" s="439">
        <f>(AK69-V062A_203031333436353739[[#This Row],[HIDRAULICO]])+V062A_203031333436353739[[#This Row],[FAENA EN LTS3]]</f>
        <v>1150</v>
      </c>
    </row>
    <row r="71" spans="1:37" x14ac:dyDescent="0.25">
      <c r="A71" s="431" t="s">
        <v>425</v>
      </c>
      <c r="B71" s="48">
        <v>44260</v>
      </c>
      <c r="C71" s="41">
        <v>0.33333333333333331</v>
      </c>
      <c r="D71" s="418">
        <f>IF(V062A_203031333436353739[[#This Row],[FECHA]]-B70=1,((V062A_203031333436353739[[#This Row],[HORA]]-C70)*24)+24,(V062A_203031333436353739[[#This Row],[HORA]]-C70)*24)</f>
        <v>9.6000000000000032</v>
      </c>
      <c r="E71" s="409" t="s">
        <v>45</v>
      </c>
      <c r="F71" s="378" t="s">
        <v>45</v>
      </c>
      <c r="G71" s="475"/>
      <c r="H71" s="476"/>
      <c r="I71" s="477"/>
      <c r="J71" s="478"/>
      <c r="K71" s="479"/>
      <c r="L71" s="245">
        <v>0</v>
      </c>
      <c r="M71" s="246">
        <v>0.64000000000000024</v>
      </c>
      <c r="N71" s="246">
        <v>0.49</v>
      </c>
      <c r="O71" s="246">
        <f>SUM(V062A_203031333436353739[[#This Row],[MPAL]]+V062A_203031333436353739[[#This Row],[AUX.]]+V062A_203031333436353739[[#This Row],[CALDERA]])</f>
        <v>1.1300000000000003</v>
      </c>
      <c r="P71" s="319"/>
      <c r="Q71" s="270">
        <f>(Q70-V062A_203031333436353739[[#This Row],[TOTAL ]])+V062A_203031333436353739[[#This Row],[FAENA]]</f>
        <v>148.69916666666668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SUM(V062A_203031333436353739[[#This Row],[MPAL2]:[GI]])</f>
        <v>0</v>
      </c>
      <c r="X71" s="246"/>
      <c r="Y71" s="300">
        <f>(Y70-V062A_203031333436353739[[#This Row],[TOTAL]])+V062A_203031333436353739[[#This Row],[FAENA2]]</f>
        <v>37.85</v>
      </c>
      <c r="Z71" s="245">
        <v>0</v>
      </c>
      <c r="AA71" s="246">
        <v>0</v>
      </c>
      <c r="AB71" s="438">
        <f>(AB70-V062A_203031333436353739[[#This Row],[CYLINDER MP]])+V062A_203031333436353739[[#This Row],[FAENA EN LTS]]</f>
        <v>1570.0000000000002</v>
      </c>
      <c r="AC71" s="246">
        <v>0</v>
      </c>
      <c r="AD71" s="246">
        <v>0</v>
      </c>
      <c r="AE71" s="438">
        <f>(AE70-V062A_203031333436353739[[#This Row],[CARTER MP.]])+V062A_203031333436353739[[#This Row],[FAENA EN LTS2]]</f>
        <v>3500</v>
      </c>
      <c r="AF71" s="246">
        <v>0</v>
      </c>
      <c r="AG71" s="246">
        <v>0</v>
      </c>
      <c r="AH71" s="438">
        <f>(AH70-V062A_203031333436353739[[#This Row],[MOT AUX]])+V062A_203031333436353739[[#This Row],[FAENA EN  LTS]]</f>
        <v>2070</v>
      </c>
      <c r="AI71" s="246">
        <v>0</v>
      </c>
      <c r="AJ71" s="246">
        <v>0</v>
      </c>
      <c r="AK71" s="439">
        <f>(AK70-V062A_203031333436353739[[#This Row],[HIDRAULICO]])+V062A_203031333436353739[[#This Row],[FAENA EN LTS3]]</f>
        <v>1150</v>
      </c>
    </row>
    <row r="72" spans="1:37" x14ac:dyDescent="0.25">
      <c r="A72" s="431" t="s">
        <v>425</v>
      </c>
      <c r="B72" s="48">
        <v>44260</v>
      </c>
      <c r="C72" s="237">
        <v>0.67083333333333339</v>
      </c>
      <c r="D72" s="418">
        <f>IF(V062A_203031333436353739[[#This Row],[FECHA]]-B71=1,((V062A_203031333436353739[[#This Row],[HORA]]-C71)*24)+24,(V062A_203031333436353739[[#This Row],[HORA]]-C71)*24)</f>
        <v>8.1000000000000014</v>
      </c>
      <c r="E72" s="473" t="s">
        <v>45</v>
      </c>
      <c r="F72" s="378" t="s">
        <v>46</v>
      </c>
      <c r="G72" s="475"/>
      <c r="H72" s="476"/>
      <c r="I72" s="477"/>
      <c r="J72" s="478"/>
      <c r="K72" s="479"/>
      <c r="L72" s="245">
        <v>0</v>
      </c>
      <c r="M72" s="246">
        <v>0.54</v>
      </c>
      <c r="N72" s="246">
        <v>0.33750000000000002</v>
      </c>
      <c r="O72" s="246">
        <f>SUM(V062A_203031333436353739[[#This Row],[MPAL]]+V062A_203031333436353739[[#This Row],[AUX.]]+V062A_203031333436353739[[#This Row],[CALDERA]])</f>
        <v>0.87750000000000006</v>
      </c>
      <c r="P72" s="319"/>
      <c r="Q72" s="270">
        <f>(Q71-V062A_203031333436353739[[#This Row],[TOTAL ]])+V062A_203031333436353739[[#This Row],[FAENA]]</f>
        <v>147.82166666666669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SUM(V062A_203031333436353739[[#This Row],[MPAL2]:[GI]])</f>
        <v>0</v>
      </c>
      <c r="X72" s="246"/>
      <c r="Y72" s="300">
        <f>(Y71-V062A_203031333436353739[[#This Row],[TOTAL]])+V062A_203031333436353739[[#This Row],[FAENA2]]</f>
        <v>37.85</v>
      </c>
      <c r="Z72" s="245">
        <v>0</v>
      </c>
      <c r="AA72" s="246">
        <v>0</v>
      </c>
      <c r="AB72" s="438">
        <f>(AB71-V062A_203031333436353739[[#This Row],[CYLINDER MP]])+V062A_203031333436353739[[#This Row],[FAENA EN LTS]]</f>
        <v>1570.0000000000002</v>
      </c>
      <c r="AC72" s="246">
        <v>0</v>
      </c>
      <c r="AD72" s="246">
        <v>0</v>
      </c>
      <c r="AE72" s="438">
        <f>(AE71-V062A_203031333436353739[[#This Row],[CARTER MP.]])+V062A_203031333436353739[[#This Row],[FAENA EN LTS2]]</f>
        <v>3500</v>
      </c>
      <c r="AF72" s="246">
        <v>0</v>
      </c>
      <c r="AG72" s="246">
        <v>0</v>
      </c>
      <c r="AH72" s="438">
        <f>(AH71-V062A_203031333436353739[[#This Row],[MOT AUX]])+V062A_203031333436353739[[#This Row],[FAENA EN  LTS]]</f>
        <v>2070</v>
      </c>
      <c r="AI72" s="246">
        <v>0</v>
      </c>
      <c r="AJ72" s="246">
        <v>0</v>
      </c>
      <c r="AK72" s="439">
        <f>(AK71-V062A_203031333436353739[[#This Row],[HIDRAULICO]])+V062A_203031333436353739[[#This Row],[FAENA EN LTS3]]</f>
        <v>1150</v>
      </c>
    </row>
    <row r="73" spans="1:37" x14ac:dyDescent="0.25">
      <c r="A73" s="431" t="s">
        <v>425</v>
      </c>
      <c r="B73" s="48">
        <v>44260</v>
      </c>
      <c r="C73" s="237">
        <v>0.7416666666666667</v>
      </c>
      <c r="D73" s="418">
        <f>IF(V062A_203031333436353739[[#This Row],[FECHA]]-B72=1,((V062A_203031333436353739[[#This Row],[HORA]]-C72)*24)+24,(V062A_203031333436353739[[#This Row],[HORA]]-C72)*24)</f>
        <v>1.6999999999999993</v>
      </c>
      <c r="E73" s="506" t="s">
        <v>47</v>
      </c>
      <c r="F73" s="507" t="s">
        <v>300</v>
      </c>
      <c r="G73" s="508"/>
      <c r="H73" s="509"/>
      <c r="I73" s="510"/>
      <c r="J73" s="511"/>
      <c r="K73" s="512"/>
      <c r="L73" s="245">
        <v>7.0833333333333304E-2</v>
      </c>
      <c r="M73" s="246">
        <v>0.11333333333333329</v>
      </c>
      <c r="N73" s="246">
        <v>0</v>
      </c>
      <c r="O73" s="246">
        <f>SUM(V062A_203031333436353739[[#This Row],[MPAL]]+V062A_203031333436353739[[#This Row],[AUX.]]+V062A_203031333436353739[[#This Row],[CALDERA]])</f>
        <v>0.18416666666666659</v>
      </c>
      <c r="P73" s="319"/>
      <c r="Q73" s="270">
        <f>(Q72-V062A_203031333436353739[[#This Row],[TOTAL ]])+V062A_203031333436353739[[#This Row],[FAENA]]</f>
        <v>147.63750000000002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SUM(V062A_203031333436353739[[#This Row],[MPAL2]:[GI]])</f>
        <v>0</v>
      </c>
      <c r="X73" s="246"/>
      <c r="Y73" s="300">
        <f>(Y72-V062A_203031333436353739[[#This Row],[TOTAL]])+V062A_203031333436353739[[#This Row],[FAENA2]]</f>
        <v>37.85</v>
      </c>
      <c r="Z73" s="245">
        <v>0</v>
      </c>
      <c r="AA73" s="246">
        <v>0</v>
      </c>
      <c r="AB73" s="438">
        <f>(AB72-V062A_203031333436353739[[#This Row],[CYLINDER MP]])+V062A_203031333436353739[[#This Row],[FAENA EN LTS]]</f>
        <v>1570.0000000000002</v>
      </c>
      <c r="AC73" s="246">
        <v>0</v>
      </c>
      <c r="AD73" s="246">
        <v>0</v>
      </c>
      <c r="AE73" s="438">
        <f>(AE72-V062A_203031333436353739[[#This Row],[CARTER MP.]])+V062A_203031333436353739[[#This Row],[FAENA EN LTS2]]</f>
        <v>3500</v>
      </c>
      <c r="AF73" s="246">
        <v>0</v>
      </c>
      <c r="AG73" s="246">
        <v>0</v>
      </c>
      <c r="AH73" s="438">
        <f>(AH72-V062A_203031333436353739[[#This Row],[MOT AUX]])+V062A_203031333436353739[[#This Row],[FAENA EN  LTS]]</f>
        <v>2070</v>
      </c>
      <c r="AI73" s="246">
        <v>0</v>
      </c>
      <c r="AJ73" s="246">
        <v>0</v>
      </c>
      <c r="AK73" s="439">
        <f>(AK72-V062A_203031333436353739[[#This Row],[HIDRAULICO]])+V062A_203031333436353739[[#This Row],[FAENA EN LTS3]]</f>
        <v>1150</v>
      </c>
    </row>
    <row r="74" spans="1:37" x14ac:dyDescent="0.25">
      <c r="A74" s="431" t="s">
        <v>425</v>
      </c>
      <c r="B74" s="48">
        <v>44260</v>
      </c>
      <c r="C74" s="237">
        <v>0.9</v>
      </c>
      <c r="D74" s="418">
        <f>IF(V062A_203031333436353739[[#This Row],[FECHA]]-B73=1,((V062A_203031333436353739[[#This Row],[HORA]]-C73)*24)+24,(V062A_203031333436353739[[#This Row],[HORA]]-C73)*24)</f>
        <v>3.8</v>
      </c>
      <c r="E74" s="506" t="s">
        <v>49</v>
      </c>
      <c r="F74" s="507" t="s">
        <v>442</v>
      </c>
      <c r="G74" s="508"/>
      <c r="H74" s="509"/>
      <c r="I74" s="510"/>
      <c r="J74" s="511"/>
      <c r="K74" s="512"/>
      <c r="L74" s="245">
        <v>0</v>
      </c>
      <c r="M74" s="246">
        <v>0.2533333333333333</v>
      </c>
      <c r="N74" s="246">
        <v>0.15833333333333333</v>
      </c>
      <c r="O74" s="246">
        <f>SUM(V062A_203031333436353739[[#This Row],[MPAL]]+V062A_203031333436353739[[#This Row],[AUX.]]+V062A_203031333436353739[[#This Row],[CALDERA]])</f>
        <v>0.41166666666666663</v>
      </c>
      <c r="P74" s="319"/>
      <c r="Q74" s="270">
        <f>(Q73-V062A_203031333436353739[[#This Row],[TOTAL ]])+V062A_203031333436353739[[#This Row],[FAENA]]</f>
        <v>147.22583333333336</v>
      </c>
      <c r="R74" s="245">
        <v>0</v>
      </c>
      <c r="S74" s="246">
        <v>0</v>
      </c>
      <c r="T74" s="246">
        <v>0</v>
      </c>
      <c r="U74" s="246">
        <v>0</v>
      </c>
      <c r="V74" s="246">
        <v>0</v>
      </c>
      <c r="W74" s="246">
        <f>SUM(V062A_203031333436353739[[#This Row],[MPAL2]:[GI]])</f>
        <v>0</v>
      </c>
      <c r="X74" s="246"/>
      <c r="Y74" s="300">
        <f>(Y73-V062A_203031333436353739[[#This Row],[TOTAL]])+V062A_203031333436353739[[#This Row],[FAENA2]]</f>
        <v>37.85</v>
      </c>
      <c r="Z74" s="245">
        <v>0</v>
      </c>
      <c r="AA74" s="246">
        <v>0</v>
      </c>
      <c r="AB74" s="438">
        <f>(AB73-V062A_203031333436353739[[#This Row],[CYLINDER MP]])+V062A_203031333436353739[[#This Row],[FAENA EN LTS]]</f>
        <v>1570.0000000000002</v>
      </c>
      <c r="AC74" s="246">
        <v>0</v>
      </c>
      <c r="AD74" s="246">
        <v>0</v>
      </c>
      <c r="AE74" s="438">
        <f>(AE73-V062A_203031333436353739[[#This Row],[CARTER MP.]])+V062A_203031333436353739[[#This Row],[FAENA EN LTS2]]</f>
        <v>3500</v>
      </c>
      <c r="AF74" s="246">
        <v>0</v>
      </c>
      <c r="AG74" s="246">
        <v>0</v>
      </c>
      <c r="AH74" s="438">
        <f>(AH73-V062A_203031333436353739[[#This Row],[MOT AUX]])+V062A_203031333436353739[[#This Row],[FAENA EN  LTS]]</f>
        <v>2070</v>
      </c>
      <c r="AI74" s="246">
        <v>0</v>
      </c>
      <c r="AJ74" s="246">
        <v>0</v>
      </c>
      <c r="AK74" s="439">
        <f>(AK73-V062A_203031333436353739[[#This Row],[HIDRAULICO]])+V062A_203031333436353739[[#This Row],[FAENA EN LTS3]]</f>
        <v>1150</v>
      </c>
    </row>
    <row r="75" spans="1:37" x14ac:dyDescent="0.25">
      <c r="A75" s="431" t="s">
        <v>425</v>
      </c>
      <c r="B75" s="48">
        <v>44261</v>
      </c>
      <c r="C75" s="237">
        <v>0.33333333333333331</v>
      </c>
      <c r="D75" s="418">
        <f>IF(V062A_203031333436353739[[#This Row],[FECHA]]-B74=1,((V062A_203031333436353739[[#This Row],[HORA]]-C74)*24)+24,(V062A_203031333436353739[[#This Row],[HORA]]-C74)*24)</f>
        <v>10.4</v>
      </c>
      <c r="E75" s="506" t="s">
        <v>51</v>
      </c>
      <c r="F75" s="507" t="s">
        <v>51</v>
      </c>
      <c r="G75" s="508"/>
      <c r="H75" s="509"/>
      <c r="I75" s="510"/>
      <c r="J75" s="511"/>
      <c r="K75" s="512"/>
      <c r="L75" s="245">
        <v>0</v>
      </c>
      <c r="M75" s="246">
        <v>0.69333333333333336</v>
      </c>
      <c r="N75" s="246">
        <v>0.43333333333333335</v>
      </c>
      <c r="O75" s="246">
        <f>SUM(V062A_203031333436353739[[#This Row],[MPAL]]+V062A_203031333436353739[[#This Row],[AUX.]]+V062A_203031333436353739[[#This Row],[CALDERA]])</f>
        <v>1.1266666666666667</v>
      </c>
      <c r="P75" s="319"/>
      <c r="Q75" s="270">
        <f>(Q74-V062A_203031333436353739[[#This Row],[TOTAL ]])+V062A_203031333436353739[[#This Row],[FAENA]]</f>
        <v>146.09916666666669</v>
      </c>
      <c r="R75" s="245">
        <v>0</v>
      </c>
      <c r="S75" s="246">
        <v>0</v>
      </c>
      <c r="T75" s="246">
        <v>0</v>
      </c>
      <c r="U75" s="246">
        <v>0</v>
      </c>
      <c r="V75" s="246">
        <v>2.54</v>
      </c>
      <c r="W75" s="246">
        <f>SUM(V062A_203031333436353739[[#This Row],[MPAL2]:[GI]])</f>
        <v>2.54</v>
      </c>
      <c r="X75" s="246"/>
      <c r="Y75" s="300">
        <f>(Y74-V062A_203031333436353739[[#This Row],[TOTAL]])+V062A_203031333436353739[[#This Row],[FAENA2]]</f>
        <v>35.31</v>
      </c>
      <c r="Z75" s="245">
        <v>0</v>
      </c>
      <c r="AA75" s="246">
        <v>0</v>
      </c>
      <c r="AB75" s="438">
        <f>(AB74-V062A_203031333436353739[[#This Row],[CYLINDER MP]])+V062A_203031333436353739[[#This Row],[FAENA EN LTS]]</f>
        <v>1570.0000000000002</v>
      </c>
      <c r="AC75" s="246">
        <v>0</v>
      </c>
      <c r="AD75" s="246">
        <v>0</v>
      </c>
      <c r="AE75" s="438">
        <f>(AE74-V062A_203031333436353739[[#This Row],[CARTER MP.]])+V062A_203031333436353739[[#This Row],[FAENA EN LTS2]]</f>
        <v>3500</v>
      </c>
      <c r="AF75" s="246">
        <v>20</v>
      </c>
      <c r="AG75" s="246">
        <v>0</v>
      </c>
      <c r="AH75" s="438">
        <f>(AH74-V062A_203031333436353739[[#This Row],[MOT AUX]])+V062A_203031333436353739[[#This Row],[FAENA EN  LTS]]</f>
        <v>2050</v>
      </c>
      <c r="AI75" s="246">
        <v>0</v>
      </c>
      <c r="AJ75" s="246">
        <v>0</v>
      </c>
      <c r="AK75" s="439">
        <f>(AK74-V062A_203031333436353739[[#This Row],[HIDRAULICO]])+V062A_203031333436353739[[#This Row],[FAENA EN LTS3]]</f>
        <v>1150</v>
      </c>
    </row>
    <row r="76" spans="1:37" x14ac:dyDescent="0.25">
      <c r="A76" s="431" t="s">
        <v>425</v>
      </c>
      <c r="B76" s="48">
        <v>44261</v>
      </c>
      <c r="C76" s="237">
        <v>0.66666666666666663</v>
      </c>
      <c r="D76" s="418">
        <f>IF(V062A_203031333436353739[[#This Row],[FECHA]]-B75=1,((V062A_203031333436353739[[#This Row],[HORA]]-C75)*24)+24,(V062A_203031333436353739[[#This Row],[HORA]]-C75)*24)</f>
        <v>8</v>
      </c>
      <c r="E76" s="506" t="s">
        <v>51</v>
      </c>
      <c r="F76" s="29" t="s">
        <v>52</v>
      </c>
      <c r="G76" s="508"/>
      <c r="H76" s="509"/>
      <c r="I76" s="510"/>
      <c r="J76" s="511"/>
      <c r="K76" s="512"/>
      <c r="L76" s="245">
        <v>0</v>
      </c>
      <c r="M76" s="246">
        <v>0.53333333333333333</v>
      </c>
      <c r="N76" s="246">
        <v>0.33333333333333331</v>
      </c>
      <c r="O76" s="246">
        <f>SUM(V062A_203031333436353739[[#This Row],[MPAL]]+V062A_203031333436353739[[#This Row],[AUX.]]+V062A_203031333436353739[[#This Row],[CALDERA]])</f>
        <v>0.8666666666666667</v>
      </c>
      <c r="P76" s="319"/>
      <c r="Q76" s="270">
        <f>(Q75-V062A_203031333436353739[[#This Row],[TOTAL ]])+V062A_203031333436353739[[#This Row],[FAENA]]</f>
        <v>145.23250000000002</v>
      </c>
      <c r="R76" s="245">
        <v>0</v>
      </c>
      <c r="S76" s="246">
        <v>0</v>
      </c>
      <c r="T76" s="246">
        <v>0</v>
      </c>
      <c r="U76" s="246">
        <v>0</v>
      </c>
      <c r="V76" s="246">
        <v>2</v>
      </c>
      <c r="W76" s="246">
        <f>SUM(V062A_203031333436353739[[#This Row],[MPAL2]:[GI]])</f>
        <v>2</v>
      </c>
      <c r="X76" s="246"/>
      <c r="Y76" s="300">
        <f>(Y75-V062A_203031333436353739[[#This Row],[TOTAL]])+V062A_203031333436353739[[#This Row],[FAENA2]]</f>
        <v>33.31</v>
      </c>
      <c r="Z76" s="245">
        <v>0</v>
      </c>
      <c r="AA76" s="246">
        <v>0</v>
      </c>
      <c r="AB76" s="438">
        <f>(AB75-V062A_203031333436353739[[#This Row],[CYLINDER MP]])+V062A_203031333436353739[[#This Row],[FAENA EN LTS]]</f>
        <v>1570.0000000000002</v>
      </c>
      <c r="AC76" s="246">
        <v>0</v>
      </c>
      <c r="AD76" s="246">
        <v>0</v>
      </c>
      <c r="AE76" s="438">
        <f>(AE75-V062A_203031333436353739[[#This Row],[CARTER MP.]])+V062A_203031333436353739[[#This Row],[FAENA EN LTS2]]</f>
        <v>3500</v>
      </c>
      <c r="AF76" s="246">
        <v>0</v>
      </c>
      <c r="AG76" s="246">
        <v>0</v>
      </c>
      <c r="AH76" s="438">
        <f>(AH75-V062A_203031333436353739[[#This Row],[MOT AUX]])+V062A_203031333436353739[[#This Row],[FAENA EN  LTS]]</f>
        <v>2050</v>
      </c>
      <c r="AI76" s="246">
        <v>0</v>
      </c>
      <c r="AJ76" s="246">
        <v>0</v>
      </c>
      <c r="AK76" s="439">
        <f>(AK75-V062A_203031333436353739[[#This Row],[HIDRAULICO]])+V062A_203031333436353739[[#This Row],[FAENA EN LTS3]]</f>
        <v>1150</v>
      </c>
    </row>
    <row r="77" spans="1:37" x14ac:dyDescent="0.25">
      <c r="A77" s="431" t="s">
        <v>425</v>
      </c>
      <c r="B77" s="48">
        <v>44261</v>
      </c>
      <c r="C77" s="237">
        <v>0.83333333333333337</v>
      </c>
      <c r="D77" s="418">
        <f>IF(V062A_203031333436353739[[#This Row],[FECHA]]-B76=1,((V062A_203031333436353739[[#This Row],[HORA]]-C76)*24)+24,(V062A_203031333436353739[[#This Row],[HORA]]-C76)*24)</f>
        <v>4.0000000000000018</v>
      </c>
      <c r="E77" s="506" t="s">
        <v>49</v>
      </c>
      <c r="F77" s="29" t="s">
        <v>46</v>
      </c>
      <c r="G77" s="508"/>
      <c r="H77" s="509"/>
      <c r="I77" s="510"/>
      <c r="J77" s="511"/>
      <c r="K77" s="512"/>
      <c r="L77" s="245">
        <v>0</v>
      </c>
      <c r="M77" s="246">
        <v>0.26666666666666677</v>
      </c>
      <c r="N77" s="246">
        <v>0.16666666666666674</v>
      </c>
      <c r="O77" s="246">
        <f>SUM(V062A_203031333436353739[[#This Row],[MPAL]]+V062A_203031333436353739[[#This Row],[AUX.]]+V062A_203031333436353739[[#This Row],[CALDERA]])</f>
        <v>0.43333333333333351</v>
      </c>
      <c r="P77" s="319"/>
      <c r="Q77" s="270">
        <f>(Q76-V062A_203031333436353739[[#This Row],[TOTAL ]])+V062A_203031333436353739[[#This Row],[FAENA]]</f>
        <v>144.79916666666668</v>
      </c>
      <c r="R77" s="245">
        <v>0</v>
      </c>
      <c r="S77" s="246">
        <v>0</v>
      </c>
      <c r="T77" s="246">
        <v>0</v>
      </c>
      <c r="U77" s="246">
        <v>0</v>
      </c>
      <c r="V77" s="246">
        <v>0</v>
      </c>
      <c r="W77" s="246">
        <f>SUM(V062A_203031333436353739[[#This Row],[MPAL2]:[GI]])</f>
        <v>0</v>
      </c>
      <c r="X77" s="246"/>
      <c r="Y77" s="300">
        <f>(Y76-V062A_203031333436353739[[#This Row],[TOTAL]])+V062A_203031333436353739[[#This Row],[FAENA2]]</f>
        <v>33.31</v>
      </c>
      <c r="Z77" s="245">
        <v>0</v>
      </c>
      <c r="AA77" s="246">
        <v>0</v>
      </c>
      <c r="AB77" s="438">
        <f>(AB76-V062A_203031333436353739[[#This Row],[CYLINDER MP]])+V062A_203031333436353739[[#This Row],[FAENA EN LTS]]</f>
        <v>1570.0000000000002</v>
      </c>
      <c r="AC77" s="246">
        <v>0</v>
      </c>
      <c r="AD77" s="246">
        <v>0</v>
      </c>
      <c r="AE77" s="438">
        <f>(AE76-V062A_203031333436353739[[#This Row],[CARTER MP.]])+V062A_203031333436353739[[#This Row],[FAENA EN LTS2]]</f>
        <v>3500</v>
      </c>
      <c r="AF77" s="246">
        <v>0</v>
      </c>
      <c r="AG77" s="246">
        <v>0</v>
      </c>
      <c r="AH77" s="438">
        <f>(AH76-V062A_203031333436353739[[#This Row],[MOT AUX]])+V062A_203031333436353739[[#This Row],[FAENA EN  LTS]]</f>
        <v>2050</v>
      </c>
      <c r="AI77" s="246">
        <v>0</v>
      </c>
      <c r="AJ77" s="246">
        <v>0</v>
      </c>
      <c r="AK77" s="439">
        <f>(AK76-V062A_203031333436353739[[#This Row],[HIDRAULICO]])+V062A_203031333436353739[[#This Row],[FAENA EN LTS3]]</f>
        <v>1150</v>
      </c>
    </row>
    <row r="78" spans="1:37" x14ac:dyDescent="0.25">
      <c r="A78" s="431" t="s">
        <v>425</v>
      </c>
      <c r="B78" s="48">
        <v>44261</v>
      </c>
      <c r="C78" s="237">
        <v>0.85416666666666663</v>
      </c>
      <c r="D78" s="418">
        <f>IF(V062A_203031333436353739[[#This Row],[FECHA]]-B77=1,((V062A_203031333436353739[[#This Row],[HORA]]-C77)*24)+24,(V062A_203031333436353739[[#This Row],[HORA]]-C77)*24)</f>
        <v>0.49999999999999822</v>
      </c>
      <c r="E78" s="506" t="s">
        <v>47</v>
      </c>
      <c r="F78" s="29" t="s">
        <v>441</v>
      </c>
      <c r="G78" s="508"/>
      <c r="H78" s="509"/>
      <c r="I78" s="510"/>
      <c r="J78" s="511"/>
      <c r="K78" s="512"/>
      <c r="L78" s="245">
        <v>0.20833333333333259</v>
      </c>
      <c r="M78" s="246">
        <v>3.3333333333333215E-2</v>
      </c>
      <c r="N78" s="246">
        <v>1.458333333333328E-2</v>
      </c>
      <c r="O78" s="246">
        <f>SUM(V062A_203031333436353739[[#This Row],[MPAL]]+V062A_203031333436353739[[#This Row],[AUX.]]+V062A_203031333436353739[[#This Row],[CALDERA]])</f>
        <v>0.25624999999999909</v>
      </c>
      <c r="P78" s="319"/>
      <c r="Q78" s="270">
        <f>(Q77-V062A_203031333436353739[[#This Row],[TOTAL ]])+V062A_203031333436353739[[#This Row],[FAENA]]</f>
        <v>144.54291666666668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SUM(V062A_203031333436353739[[#This Row],[MPAL2]:[GI]])</f>
        <v>0</v>
      </c>
      <c r="X78" s="246"/>
      <c r="Y78" s="300">
        <f>(Y77-V062A_203031333436353739[[#This Row],[TOTAL]])+V062A_203031333436353739[[#This Row],[FAENA2]]</f>
        <v>33.31</v>
      </c>
      <c r="Z78" s="245">
        <v>0</v>
      </c>
      <c r="AA78" s="246">
        <v>0</v>
      </c>
      <c r="AB78" s="438">
        <f>(AB77-V062A_203031333436353739[[#This Row],[CYLINDER MP]])+V062A_203031333436353739[[#This Row],[FAENA EN LTS]]</f>
        <v>1570.0000000000002</v>
      </c>
      <c r="AC78" s="246">
        <v>0</v>
      </c>
      <c r="AD78" s="246">
        <v>0</v>
      </c>
      <c r="AE78" s="438">
        <f>(AE77-V062A_203031333436353739[[#This Row],[CARTER MP.]])+V062A_203031333436353739[[#This Row],[FAENA EN LTS2]]</f>
        <v>3500</v>
      </c>
      <c r="AF78" s="246">
        <v>0</v>
      </c>
      <c r="AG78" s="246">
        <v>0</v>
      </c>
      <c r="AH78" s="438">
        <f>(AH77-V062A_203031333436353739[[#This Row],[MOT AUX]])+V062A_203031333436353739[[#This Row],[FAENA EN  LTS]]</f>
        <v>2050</v>
      </c>
      <c r="AI78" s="246">
        <v>0</v>
      </c>
      <c r="AJ78" s="246">
        <v>0</v>
      </c>
      <c r="AK78" s="439">
        <f>(AK77-V062A_203031333436353739[[#This Row],[HIDRAULICO]])+V062A_203031333436353739[[#This Row],[FAENA EN LTS3]]</f>
        <v>1150</v>
      </c>
    </row>
    <row r="79" spans="1:37" x14ac:dyDescent="0.25">
      <c r="A79" s="431" t="s">
        <v>425</v>
      </c>
      <c r="B79" s="48">
        <v>44261</v>
      </c>
      <c r="C79" s="237">
        <v>0.90972222222222221</v>
      </c>
      <c r="D79" s="418">
        <f>IF(V062A_203031333436353739[[#This Row],[FECHA]]-B78=1,((V062A_203031333436353739[[#This Row],[HORA]]-C78)*24)+24,(V062A_203031333436353739[[#This Row],[HORA]]-C78)*24)</f>
        <v>1.3333333333333339</v>
      </c>
      <c r="E79" s="506" t="s">
        <v>49</v>
      </c>
      <c r="F79" s="29" t="s">
        <v>261</v>
      </c>
      <c r="G79" s="508"/>
      <c r="H79" s="509"/>
      <c r="I79" s="510"/>
      <c r="J79" s="511"/>
      <c r="K79" s="512"/>
      <c r="L79" s="245">
        <v>0</v>
      </c>
      <c r="M79" s="246">
        <v>8.6666666666666711E-2</v>
      </c>
      <c r="N79" s="246">
        <v>0.6</v>
      </c>
      <c r="O79" s="246">
        <f>SUM(V062A_203031333436353739[[#This Row],[MPAL]]+V062A_203031333436353739[[#This Row],[AUX.]]+V062A_203031333436353739[[#This Row],[CALDERA]])</f>
        <v>0.68666666666666665</v>
      </c>
      <c r="P79" s="319"/>
      <c r="Q79" s="270">
        <f>(Q78-V062A_203031333436353739[[#This Row],[TOTAL ]])+V062A_203031333436353739[[#This Row],[FAENA]]</f>
        <v>143.85625000000002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SUM(V062A_203031333436353739[[#This Row],[MPAL2]:[GI]])</f>
        <v>0</v>
      </c>
      <c r="X79" s="246"/>
      <c r="Y79" s="300">
        <f>(Y78-V062A_203031333436353739[[#This Row],[TOTAL]])+V062A_203031333436353739[[#This Row],[FAENA2]]</f>
        <v>33.31</v>
      </c>
      <c r="Z79" s="245">
        <v>0</v>
      </c>
      <c r="AA79" s="246">
        <v>0</v>
      </c>
      <c r="AB79" s="438">
        <f>(AB78-V062A_203031333436353739[[#This Row],[CYLINDER MP]])+V062A_203031333436353739[[#This Row],[FAENA EN LTS]]</f>
        <v>1570.0000000000002</v>
      </c>
      <c r="AC79" s="246">
        <v>0</v>
      </c>
      <c r="AD79" s="246">
        <v>0</v>
      </c>
      <c r="AE79" s="438">
        <f>(AE78-V062A_203031333436353739[[#This Row],[CARTER MP.]])+V062A_203031333436353739[[#This Row],[FAENA EN LTS2]]</f>
        <v>3500</v>
      </c>
      <c r="AF79" s="246">
        <v>0</v>
      </c>
      <c r="AG79" s="246">
        <v>0</v>
      </c>
      <c r="AH79" s="438">
        <f>(AH78-V062A_203031333436353739[[#This Row],[MOT AUX]])+V062A_203031333436353739[[#This Row],[FAENA EN  LTS]]</f>
        <v>2050</v>
      </c>
      <c r="AI79" s="246">
        <v>0</v>
      </c>
      <c r="AJ79" s="246">
        <v>0</v>
      </c>
      <c r="AK79" s="439">
        <f>(AK78-V062A_203031333436353739[[#This Row],[HIDRAULICO]])+V062A_203031333436353739[[#This Row],[FAENA EN LTS3]]</f>
        <v>1150</v>
      </c>
    </row>
    <row r="80" spans="1:37" x14ac:dyDescent="0.25">
      <c r="A80" s="453"/>
      <c r="B80" s="454"/>
      <c r="C80" s="455"/>
      <c r="D80" s="481"/>
      <c r="E80" s="457"/>
      <c r="F80" s="458"/>
      <c r="G80" s="459"/>
      <c r="H80" s="460"/>
      <c r="I80" s="461"/>
      <c r="J80" s="459"/>
      <c r="K80" s="459"/>
      <c r="L80" s="68"/>
      <c r="M80" s="68"/>
      <c r="N80" s="68"/>
      <c r="P80" s="462"/>
      <c r="Q80" s="456"/>
      <c r="R80" s="456"/>
      <c r="S80" s="456"/>
      <c r="T80" s="456"/>
      <c r="U80" s="456"/>
      <c r="V80" s="456"/>
      <c r="W80" s="456"/>
      <c r="X80" s="456"/>
      <c r="Y80" s="463"/>
      <c r="Z80" s="463"/>
      <c r="AA80" s="463"/>
      <c r="AB80" s="464"/>
      <c r="AC80" s="463"/>
      <c r="AD80" s="463"/>
      <c r="AE80" s="464"/>
      <c r="AF80" s="456"/>
      <c r="AG80" s="456"/>
      <c r="AH80" s="465"/>
      <c r="AI80" s="456"/>
      <c r="AJ80" s="456"/>
      <c r="AK80" s="465"/>
    </row>
    <row r="81" spans="1:37" x14ac:dyDescent="0.25">
      <c r="A81" s="453"/>
      <c r="B81" s="454"/>
      <c r="C81" s="455"/>
      <c r="D81" s="456"/>
      <c r="E81" s="457"/>
      <c r="F81" s="458"/>
      <c r="G81" s="459"/>
      <c r="H81" s="460"/>
      <c r="I81" s="461"/>
      <c r="J81" s="459"/>
      <c r="K81" s="459"/>
      <c r="O81" s="67">
        <f>SUM(L80:N80)</f>
        <v>0</v>
      </c>
      <c r="P81" s="462"/>
      <c r="Q81" s="456"/>
      <c r="R81" s="456"/>
      <c r="S81" s="456"/>
      <c r="T81" s="456"/>
      <c r="U81" s="456"/>
      <c r="V81" s="456"/>
      <c r="W81" s="456"/>
      <c r="X81" s="456"/>
      <c r="Y81" s="463"/>
      <c r="Z81" s="463"/>
      <c r="AA81" s="463"/>
      <c r="AB81" s="464"/>
      <c r="AC81" s="463"/>
      <c r="AD81" s="463"/>
      <c r="AE81" s="464"/>
      <c r="AF81" s="456"/>
      <c r="AG81" s="456"/>
      <c r="AH81" s="465"/>
      <c r="AI81" s="456"/>
      <c r="AJ81" s="456"/>
      <c r="AK81" s="465"/>
    </row>
    <row r="82" spans="1:37" x14ac:dyDescent="0.25">
      <c r="A82" s="453"/>
      <c r="B82" s="454"/>
      <c r="C82" s="455"/>
      <c r="D82" s="456"/>
      <c r="E82" s="457"/>
      <c r="F82" s="458"/>
      <c r="G82" s="459"/>
      <c r="H82" s="460"/>
      <c r="I82" s="461"/>
      <c r="J82" s="459"/>
      <c r="K82" s="459"/>
      <c r="L82" s="456"/>
      <c r="M82" s="456"/>
      <c r="N82" s="456"/>
      <c r="O82" s="456"/>
      <c r="P82" s="462"/>
      <c r="Q82" s="456"/>
      <c r="R82" s="456"/>
      <c r="S82" s="456"/>
      <c r="T82" s="456"/>
      <c r="U82" s="456"/>
      <c r="V82" s="456"/>
      <c r="W82" s="456"/>
      <c r="X82" s="456"/>
      <c r="Y82" s="463"/>
      <c r="Z82" s="463"/>
      <c r="AA82" s="463"/>
      <c r="AB82" s="464"/>
      <c r="AC82" s="463"/>
      <c r="AD82" s="463"/>
      <c r="AE82" s="464"/>
      <c r="AF82" s="456"/>
      <c r="AG82" s="456"/>
      <c r="AH82" s="465"/>
      <c r="AI82" s="456"/>
      <c r="AJ82" s="456"/>
      <c r="AK82" s="465"/>
    </row>
    <row r="83" spans="1:37" x14ac:dyDescent="0.25">
      <c r="A83" s="453"/>
      <c r="B83" s="454"/>
      <c r="C83" s="455"/>
      <c r="D83" s="456"/>
      <c r="E83" s="457"/>
      <c r="F83" s="458"/>
      <c r="G83" s="459"/>
      <c r="H83" s="460"/>
      <c r="I83" s="461"/>
      <c r="J83" s="459"/>
      <c r="K83" s="459"/>
      <c r="L83" s="456"/>
      <c r="M83" s="456"/>
      <c r="N83" s="456"/>
      <c r="O83" s="456"/>
      <c r="P83" s="462"/>
      <c r="Q83" s="456"/>
      <c r="R83" s="456"/>
      <c r="S83" s="456"/>
      <c r="T83" s="456"/>
      <c r="U83" s="456"/>
      <c r="V83" s="456"/>
      <c r="W83" s="456"/>
      <c r="X83" s="456"/>
      <c r="Y83" s="463"/>
      <c r="Z83" s="463"/>
      <c r="AA83" s="463"/>
      <c r="AB83" s="464"/>
      <c r="AC83" s="463"/>
      <c r="AD83" s="463"/>
      <c r="AE83" s="464"/>
      <c r="AF83" s="456"/>
      <c r="AG83" s="456"/>
      <c r="AH83" s="465"/>
      <c r="AI83" s="456"/>
      <c r="AJ83" s="456"/>
      <c r="AK83" s="465"/>
    </row>
    <row r="84" spans="1:37" ht="19.5" thickBot="1" x14ac:dyDescent="0.35">
      <c r="C84" s="69" t="s">
        <v>187</v>
      </c>
      <c r="D84" s="69"/>
      <c r="E84" s="69"/>
      <c r="F84" s="467"/>
      <c r="G84" s="69"/>
      <c r="N84" s="69"/>
      <c r="O84" s="69"/>
      <c r="Q84" s="466"/>
      <c r="S84" s="70" t="s">
        <v>188</v>
      </c>
      <c r="AF84" s="466"/>
      <c r="AG84" s="466"/>
      <c r="AH84" s="466"/>
      <c r="AI84" s="466"/>
      <c r="AJ84" s="466"/>
      <c r="AK84" s="466"/>
    </row>
    <row r="85" spans="1:37" ht="19.5" thickBot="1" x14ac:dyDescent="0.35">
      <c r="C85" s="69"/>
      <c r="D85" s="69"/>
      <c r="E85" s="69"/>
      <c r="F85" s="69"/>
      <c r="G85" s="69"/>
      <c r="N85" s="69"/>
      <c r="O85" s="69"/>
      <c r="S85" s="70"/>
    </row>
    <row r="86" spans="1:37" ht="45.75" thickBot="1" x14ac:dyDescent="0.3">
      <c r="C86" s="71" t="s">
        <v>11</v>
      </c>
      <c r="D86" s="71" t="s">
        <v>90</v>
      </c>
      <c r="E86" s="72" t="s">
        <v>91</v>
      </c>
      <c r="F86" s="72" t="s">
        <v>92</v>
      </c>
      <c r="G86" s="72" t="s">
        <v>93</v>
      </c>
      <c r="H86" s="71" t="s">
        <v>94</v>
      </c>
      <c r="I86" s="71" t="s">
        <v>95</v>
      </c>
      <c r="J86" s="71" t="s">
        <v>96</v>
      </c>
      <c r="K86" s="71" t="s">
        <v>97</v>
      </c>
      <c r="L86" s="71" t="s">
        <v>98</v>
      </c>
      <c r="M86" s="377" t="s">
        <v>99</v>
      </c>
      <c r="N86" s="75" t="s">
        <v>100</v>
      </c>
      <c r="R86" s="111" t="s">
        <v>101</v>
      </c>
      <c r="S86" s="111" t="s">
        <v>94</v>
      </c>
      <c r="T86" s="111" t="s">
        <v>102</v>
      </c>
      <c r="U86" s="111" t="s">
        <v>96</v>
      </c>
      <c r="V86" s="111" t="s">
        <v>103</v>
      </c>
      <c r="W86" s="111" t="s">
        <v>104</v>
      </c>
    </row>
    <row r="87" spans="1:37" x14ac:dyDescent="0.25">
      <c r="C87" s="77" t="s">
        <v>71</v>
      </c>
      <c r="D87" s="376">
        <f t="shared" ref="D87:D94" si="0">SUMIF($E$6:$E$79,C87,$D$6:$D$79)</f>
        <v>107</v>
      </c>
      <c r="E87" s="279"/>
      <c r="F87" s="288"/>
      <c r="G87" s="137"/>
      <c r="H87" s="84">
        <f>SUMIF($E$6:$E$67,C87,$L$6:$L$67)+SUMIF($E$6:$E$67,C87,$M$6:$M$67)+SUMIF($E$6:$E$67,C87,$N$6:$N$67)</f>
        <v>11.482499999999998</v>
      </c>
      <c r="I87" s="139">
        <f t="shared" ref="I87:I94" si="1">IF(ISERROR(H87*24/D87),0,H87*24/D87)</f>
        <v>2.5755140186915879</v>
      </c>
      <c r="J87" s="137">
        <v>6</v>
      </c>
      <c r="K87" s="80"/>
      <c r="L87" s="38">
        <f>D87*J87/24</f>
        <v>26.75</v>
      </c>
      <c r="M87" s="80">
        <f t="shared" ref="M87:M94" si="2">L87-H87</f>
        <v>15.267500000000002</v>
      </c>
      <c r="N87" s="86"/>
      <c r="Q87" s="82"/>
      <c r="R87" s="83" t="s">
        <v>105</v>
      </c>
      <c r="S87" s="228">
        <f>SUM(V5:V67)</f>
        <v>18.82</v>
      </c>
      <c r="T87" s="84">
        <f>S87*24/($D$88+$D$94)</f>
        <v>3.0226187820655812</v>
      </c>
      <c r="U87" s="84">
        <v>6</v>
      </c>
      <c r="V87" s="85">
        <f>($D$88+$D$94)*U87/24</f>
        <v>37.358333333333334</v>
      </c>
      <c r="W87" s="86">
        <f>V87-S87</f>
        <v>18.538333333333334</v>
      </c>
    </row>
    <row r="88" spans="1:37" x14ac:dyDescent="0.25">
      <c r="C88" s="87" t="s">
        <v>51</v>
      </c>
      <c r="D88" s="264">
        <f t="shared" si="0"/>
        <v>94</v>
      </c>
      <c r="E88" s="264"/>
      <c r="F88" s="289"/>
      <c r="G88" s="139"/>
      <c r="H88" s="88">
        <f>SUMIF($E$6:$E$67,C88,$L$6:$L$67)+SUMIF($E$6:$E$67,C88,$M$6:$M$67)+SUMIF($E$6:$E$67,C88,$N$6:$N$67)</f>
        <v>11.840833333333334</v>
      </c>
      <c r="I88" s="139">
        <f t="shared" si="1"/>
        <v>3.023191489361702</v>
      </c>
      <c r="J88" s="139">
        <v>6</v>
      </c>
      <c r="K88" s="88"/>
      <c r="L88" s="418">
        <f t="shared" ref="L88:L94" si="3">D88*J88/24</f>
        <v>23.5</v>
      </c>
      <c r="M88" s="88">
        <f t="shared" si="2"/>
        <v>11.659166666666666</v>
      </c>
      <c r="N88" s="121"/>
      <c r="R88" s="90" t="s">
        <v>106</v>
      </c>
      <c r="S88" s="286">
        <f>SUM(S5:S22)</f>
        <v>0</v>
      </c>
      <c r="T88" s="84">
        <f>S88*24/($D$88+$D$94)</f>
        <v>0</v>
      </c>
      <c r="U88" s="88"/>
      <c r="V88" s="88"/>
      <c r="W88" s="121"/>
    </row>
    <row r="89" spans="1:37" x14ac:dyDescent="0.25">
      <c r="C89" s="87" t="s">
        <v>61</v>
      </c>
      <c r="D89" s="264">
        <f t="shared" si="0"/>
        <v>0</v>
      </c>
      <c r="E89" s="264">
        <f>SUMIF($E$6:$E$79,C89,$G$6:$G$79)</f>
        <v>0</v>
      </c>
      <c r="F89" s="289" t="e">
        <f>E89/D89</f>
        <v>#DIV/0!</v>
      </c>
      <c r="G89" s="139">
        <v>12</v>
      </c>
      <c r="H89" s="88">
        <f>SUMIF($E$6:$E$67,C89,$L$6:$L$67)+SUMIF($E$6:$E$67,C89,$M$6:$M$67)+SUMIF($E$6:$E$67,C89,$N$6:$N$67)</f>
        <v>0</v>
      </c>
      <c r="I89" s="139">
        <f t="shared" si="1"/>
        <v>0</v>
      </c>
      <c r="J89" s="139">
        <v>27</v>
      </c>
      <c r="K89" s="88">
        <f>E89/G89</f>
        <v>0</v>
      </c>
      <c r="L89" s="418">
        <f>K89*J89/24</f>
        <v>0</v>
      </c>
      <c r="M89" s="88">
        <f t="shared" si="2"/>
        <v>0</v>
      </c>
      <c r="N89" s="121">
        <f>K89-D89</f>
        <v>0</v>
      </c>
      <c r="R89" s="90" t="s">
        <v>20</v>
      </c>
      <c r="S89" s="286">
        <f>SUM(T5:T65)</f>
        <v>0</v>
      </c>
      <c r="T89" s="84">
        <f>S89*24/($D$88+$D$94)</f>
        <v>0</v>
      </c>
      <c r="U89" s="88"/>
      <c r="V89" s="88"/>
      <c r="W89" s="121"/>
    </row>
    <row r="90" spans="1:37" x14ac:dyDescent="0.25">
      <c r="C90" s="87" t="s">
        <v>55</v>
      </c>
      <c r="D90" s="264">
        <f t="shared" si="0"/>
        <v>91.5</v>
      </c>
      <c r="E90" s="264">
        <f>SUMIF($E$6:$E$79,C90,$G$6:$G$79)</f>
        <v>0</v>
      </c>
      <c r="F90" s="289">
        <f>E90/D90</f>
        <v>0</v>
      </c>
      <c r="G90" s="139">
        <v>12</v>
      </c>
      <c r="H90" s="88">
        <f>SUMIF($E$6:$E$79,C90,$L$6:$L$79)+SUMIF($E$6:$E$79,C90,$M$6:$M$79)+SUMIF($E$6:$E$79,C90,$N$6:$N$79)</f>
        <v>95.836666666666659</v>
      </c>
      <c r="I90" s="139">
        <f t="shared" si="1"/>
        <v>25.137486338797814</v>
      </c>
      <c r="J90" s="139">
        <v>27</v>
      </c>
      <c r="K90" s="88">
        <f>E90/G90</f>
        <v>0</v>
      </c>
      <c r="L90" s="418">
        <f>K90*J90/24</f>
        <v>0</v>
      </c>
      <c r="M90" s="88">
        <f t="shared" si="2"/>
        <v>-95.836666666666659</v>
      </c>
      <c r="N90" s="121">
        <f>K90-D90</f>
        <v>-91.5</v>
      </c>
      <c r="R90" s="90" t="s">
        <v>107</v>
      </c>
      <c r="S90" s="286">
        <f>SUM(U5:U79)</f>
        <v>0</v>
      </c>
      <c r="T90" s="84">
        <f>S90*24/($D$88+$D$94)</f>
        <v>0</v>
      </c>
      <c r="U90" s="88"/>
      <c r="V90" s="88"/>
      <c r="W90" s="121"/>
    </row>
    <row r="91" spans="1:37" ht="15.75" thickBot="1" x14ac:dyDescent="0.3">
      <c r="C91" s="87" t="s">
        <v>108</v>
      </c>
      <c r="D91" s="264">
        <f t="shared" si="0"/>
        <v>0</v>
      </c>
      <c r="E91" s="264">
        <f>SUMIF($E$6:$E$79,C91,$G$6:$G$79)</f>
        <v>0</v>
      </c>
      <c r="F91" s="289">
        <f>IF(ISERROR(E91/D91),0,E91/D91)</f>
        <v>0</v>
      </c>
      <c r="G91" s="139">
        <v>12</v>
      </c>
      <c r="H91" s="88">
        <f>SUMIF($E$6:$E$79,C91,$L$6:$L$79)+SUMIF($E$6:$E$79,C91,$M$6:$M$79)+SUMIF($E$6:$E$79,C91,$N$6:$N$79)</f>
        <v>0</v>
      </c>
      <c r="I91" s="139">
        <f>IF(ISERROR(H91*24/D91),0,H91*24/D91)</f>
        <v>0</v>
      </c>
      <c r="J91" s="139">
        <v>27</v>
      </c>
      <c r="K91" s="88">
        <f>E91/G91</f>
        <v>0</v>
      </c>
      <c r="L91" s="418">
        <f>K91*J91/24</f>
        <v>0</v>
      </c>
      <c r="M91" s="88">
        <f t="shared" si="2"/>
        <v>0</v>
      </c>
      <c r="N91" s="121">
        <f>K91-D91</f>
        <v>0</v>
      </c>
      <c r="R91" s="92" t="s">
        <v>24</v>
      </c>
      <c r="S91" s="287">
        <f>SUM(R5:R79)</f>
        <v>0</v>
      </c>
      <c r="T91" s="84">
        <f>S91*24/($D$88+$D$94)</f>
        <v>0</v>
      </c>
      <c r="U91" s="98"/>
      <c r="V91" s="98"/>
      <c r="W91" s="122"/>
    </row>
    <row r="92" spans="1:37" x14ac:dyDescent="0.25">
      <c r="C92" s="87" t="s">
        <v>45</v>
      </c>
      <c r="D92" s="264">
        <f t="shared" si="0"/>
        <v>69.8</v>
      </c>
      <c r="E92" s="264"/>
      <c r="F92" s="289"/>
      <c r="G92" s="139"/>
      <c r="H92" s="88">
        <f>SUMIF($E$6:$E$79,C92,$L$6:$L$79)+SUMIF($E$6:$E$79,C92,$M$6:$M$79)+SUMIF($E$6:$E$79,C92,$N$6:$N$79)</f>
        <v>7.7125000000000004</v>
      </c>
      <c r="I92" s="139">
        <f t="shared" si="1"/>
        <v>2.6518624641833815</v>
      </c>
      <c r="J92" s="139">
        <v>6</v>
      </c>
      <c r="K92" s="88"/>
      <c r="L92" s="418">
        <f t="shared" si="3"/>
        <v>17.45</v>
      </c>
      <c r="M92" s="88">
        <f t="shared" si="2"/>
        <v>9.7374999999999989</v>
      </c>
      <c r="N92" s="121"/>
      <c r="S92" s="68"/>
      <c r="T92" s="143"/>
      <c r="U92" s="68"/>
      <c r="V92" s="68"/>
      <c r="W92" s="68"/>
    </row>
    <row r="93" spans="1:37" x14ac:dyDescent="0.25">
      <c r="C93" s="87" t="s">
        <v>47</v>
      </c>
      <c r="D93" s="264">
        <f t="shared" si="0"/>
        <v>20.100000000000001</v>
      </c>
      <c r="E93" s="264"/>
      <c r="F93" s="289"/>
      <c r="G93" s="139"/>
      <c r="H93" s="88">
        <f>SUMIF($E$6:$E$79,C93,$L$6:$L$79)+SUMIF($E$6:$E$79,C93,$M$6:$M$79)+SUMIF($E$6:$E$79,C93,$N$6:$N$79)</f>
        <v>9.8537499999999962</v>
      </c>
      <c r="I93" s="139">
        <f t="shared" si="1"/>
        <v>11.765671641791039</v>
      </c>
      <c r="J93" s="139">
        <v>6</v>
      </c>
      <c r="K93" s="88"/>
      <c r="L93" s="418">
        <f t="shared" si="3"/>
        <v>5.0250000000000004</v>
      </c>
      <c r="M93" s="88">
        <f t="shared" si="2"/>
        <v>-4.8287499999999959</v>
      </c>
      <c r="N93" s="121"/>
      <c r="S93" s="68"/>
      <c r="T93" s="68"/>
      <c r="U93" s="68"/>
      <c r="V93" s="68"/>
      <c r="W93" s="68"/>
    </row>
    <row r="94" spans="1:37" ht="15.75" thickBot="1" x14ac:dyDescent="0.3">
      <c r="C94" s="97" t="s">
        <v>49</v>
      </c>
      <c r="D94" s="290">
        <f t="shared" si="0"/>
        <v>55.43333333333333</v>
      </c>
      <c r="E94" s="290"/>
      <c r="F94" s="291"/>
      <c r="G94" s="140"/>
      <c r="H94" s="98">
        <f>SUMIF($E$6:$E$79,C94,$L$6:$L$79)+SUMIF($E$6:$E$79,C94,$M$6:$M$79)+SUMIF($E$6:$E$79,C94,$N$6:$N$79)</f>
        <v>9.1741666666666664</v>
      </c>
      <c r="I94" s="141">
        <f t="shared" si="1"/>
        <v>3.9719783523752259</v>
      </c>
      <c r="J94" s="141">
        <v>8</v>
      </c>
      <c r="K94" s="98"/>
      <c r="L94" s="99">
        <f t="shared" si="3"/>
        <v>18.477777777777778</v>
      </c>
      <c r="M94" s="98">
        <f t="shared" si="2"/>
        <v>9.3036111111111115</v>
      </c>
      <c r="N94" s="122"/>
      <c r="O94" s="68"/>
      <c r="S94" s="68"/>
      <c r="T94" s="68"/>
      <c r="U94" s="68"/>
      <c r="V94" s="68"/>
      <c r="W94" s="68"/>
    </row>
    <row r="95" spans="1:37" ht="15.75" thickBot="1" x14ac:dyDescent="0.3">
      <c r="C95" s="124"/>
      <c r="D95" s="327"/>
      <c r="E95" s="292"/>
      <c r="F95" s="293"/>
      <c r="G95" s="134"/>
      <c r="H95" s="328"/>
      <c r="I95" s="144"/>
      <c r="J95" s="144"/>
      <c r="K95" s="68"/>
      <c r="L95" s="102"/>
      <c r="M95" s="68"/>
      <c r="N95" s="145"/>
      <c r="O95" s="68"/>
      <c r="S95" s="68"/>
      <c r="T95" s="68"/>
      <c r="U95" s="68"/>
      <c r="V95" s="68"/>
      <c r="W95" s="68"/>
    </row>
    <row r="96" spans="1:37" ht="15.75" thickBot="1" x14ac:dyDescent="0.3">
      <c r="C96" s="103" t="s">
        <v>29</v>
      </c>
      <c r="D96" s="284">
        <f>SUM(D87:D94)</f>
        <v>437.83333333333337</v>
      </c>
      <c r="E96" s="284">
        <f>SUM(E87:E93)</f>
        <v>0</v>
      </c>
      <c r="F96" s="284" t="e">
        <f>SUM(F87:F93)/2</f>
        <v>#DIV/0!</v>
      </c>
      <c r="H96" s="101">
        <f>SUM(H87:H94)</f>
        <v>145.90041666666667</v>
      </c>
      <c r="K96" s="142"/>
      <c r="L96" s="104">
        <f>SUM(L87:L94)</f>
        <v>91.202777777777783</v>
      </c>
      <c r="M96" s="101">
        <f>SUM(M87:M94)</f>
        <v>-54.697638888888889</v>
      </c>
      <c r="N96" s="101">
        <f>SUM(N87:N94)</f>
        <v>-91.5</v>
      </c>
      <c r="R96" s="100" t="s">
        <v>29</v>
      </c>
      <c r="S96" s="101">
        <f>SUM(S87:S91)</f>
        <v>18.82</v>
      </c>
      <c r="T96" s="101">
        <f>SUM(T87:T91)</f>
        <v>3.0226187820655812</v>
      </c>
      <c r="U96" s="68"/>
      <c r="V96" s="68"/>
      <c r="W96" s="68"/>
    </row>
    <row r="97" spans="9:25" x14ac:dyDescent="0.25">
      <c r="T97">
        <v>0</v>
      </c>
      <c r="Y97">
        <v>0</v>
      </c>
    </row>
    <row r="105" spans="9:25" x14ac:dyDescent="0.25">
      <c r="I105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83" name="Rango12"/>
    <protectedRange sqref="AC6:AD83" name="Rango10"/>
    <protectedRange sqref="Z80:AA83 Z6:AA8" name="Rango8"/>
    <protectedRange sqref="X6:X83" name="Rango6"/>
    <protectedRange sqref="R6:V83" name="Rango5"/>
    <protectedRange sqref="P6:P83" name="Rango3"/>
    <protectedRange sqref="J82:N83 J80:K81 J6:N79 E6:H83" name="Rango2"/>
    <protectedRange sqref="A6:C83" name="Rango1"/>
    <protectedRange sqref="B4:C4" name="Rango16"/>
    <protectedRange sqref="Z9:AA79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83">
    <cfRule type="cellIs" dxfId="275" priority="6" operator="greaterThan">
      <formula>"S5"</formula>
    </cfRule>
  </conditionalFormatting>
  <conditionalFormatting sqref="I9:I68 I70:I83">
    <cfRule type="cellIs" dxfId="274" priority="5" operator="greaterThan">
      <formula>0</formula>
    </cfRule>
  </conditionalFormatting>
  <conditionalFormatting sqref="J69">
    <cfRule type="cellIs" dxfId="273" priority="4" operator="greaterThan">
      <formula>"S5"</formula>
    </cfRule>
  </conditionalFormatting>
  <conditionalFormatting sqref="I69">
    <cfRule type="cellIs" dxfId="272" priority="3" operator="greaterThan">
      <formula>0</formula>
    </cfRule>
  </conditionalFormatting>
  <conditionalFormatting sqref="J6:J8">
    <cfRule type="cellIs" dxfId="271" priority="2" operator="greaterThan">
      <formula>"S5"</formula>
    </cfRule>
  </conditionalFormatting>
  <conditionalFormatting sqref="I6:I8">
    <cfRule type="cellIs" dxfId="270" priority="1" operator="greaterThan">
      <formula>0</formula>
    </cfRule>
  </conditionalFormatting>
  <dataValidations count="1">
    <dataValidation type="list" showInputMessage="1" showErrorMessage="1" sqref="E6:E83">
      <formula1>$C$87:$C$95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44"/>
  <sheetViews>
    <sheetView zoomScale="90" zoomScaleNormal="90" workbookViewId="0">
      <pane xSplit="6" ySplit="5" topLeftCell="L10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O20" sqref="O20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1.140625" customWidth="1"/>
    <col min="6" max="6" width="24.8554687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44261</v>
      </c>
      <c r="C4" s="341">
        <v>0.90972222222222221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143.86000000000001</v>
      </c>
      <c r="R4" s="553" t="s">
        <v>183</v>
      </c>
      <c r="S4" s="554"/>
      <c r="T4" s="554"/>
      <c r="U4" s="554"/>
      <c r="V4" s="554"/>
      <c r="W4" s="554"/>
      <c r="X4" s="555"/>
      <c r="Y4" s="283">
        <v>33.31</v>
      </c>
      <c r="Z4" s="6"/>
      <c r="AA4" s="7" t="s">
        <v>184</v>
      </c>
      <c r="AB4" s="304">
        <v>1570</v>
      </c>
      <c r="AC4" s="9"/>
      <c r="AD4" s="7" t="s">
        <v>184</v>
      </c>
      <c r="AE4" s="304">
        <v>3500</v>
      </c>
      <c r="AG4" s="7" t="s">
        <v>184</v>
      </c>
      <c r="AH4" s="304">
        <v>2050</v>
      </c>
      <c r="AJ4" s="7" t="s">
        <v>184</v>
      </c>
      <c r="AK4" s="304">
        <v>1150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443</v>
      </c>
      <c r="B6" s="48">
        <v>44262</v>
      </c>
      <c r="C6" s="237">
        <v>0.33333333333333331</v>
      </c>
      <c r="D6" s="418">
        <f>IF(V062A_20303133343635373940[[#This Row],[FECHA]]-B4=1,((V062A_20303133343635373940[[#This Row],[HORA]]-C4)*24)+24,(V062A_20303133343635373940[[#This Row],[HORA]]-C4)*24)</f>
        <v>10.166666666666668</v>
      </c>
      <c r="E6" s="506" t="s">
        <v>45</v>
      </c>
      <c r="F6" s="29" t="s">
        <v>444</v>
      </c>
      <c r="G6" s="508"/>
      <c r="H6" s="509"/>
      <c r="I6" s="510"/>
      <c r="J6" s="511"/>
      <c r="K6" s="512"/>
      <c r="L6" s="245">
        <v>0</v>
      </c>
      <c r="M6" s="246">
        <v>0.36</v>
      </c>
      <c r="N6" s="246">
        <v>0.1</v>
      </c>
      <c r="O6" s="246">
        <f>SUM(V062A_20303133343635373940[[#This Row],[MPAL]]+V062A_20303133343635373940[[#This Row],[AUX.]]+V062A_20303133343635373940[[#This Row],[CALDERA]])</f>
        <v>0.45999999999999996</v>
      </c>
      <c r="P6" s="319"/>
      <c r="Q6" s="270">
        <f>(Q4-V062A_20303133343635373940[[#This Row],[TOTAL ]])+V062A_20303133343635373940[[#This Row],[FAENA]]</f>
        <v>143.4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SUM(V062A_20303133343635373940[[#This Row],[MPAL2]:[GI]])</f>
        <v>0</v>
      </c>
      <c r="X6" s="246"/>
      <c r="Y6" s="300">
        <f>(Y4-V062A_20303133343635373940[[#This Row],[TOTAL]])+V062A_20303133343635373940[[#This Row],[FAENA2]]</f>
        <v>33.31</v>
      </c>
      <c r="Z6" s="245">
        <v>0</v>
      </c>
      <c r="AA6" s="246">
        <v>0</v>
      </c>
      <c r="AB6" s="438">
        <f>(AB4-V062A_20303133343635373940[[#This Row],[CYLINDER MP]])+V062A_20303133343635373940[[#This Row],[FAENA EN LTS]]</f>
        <v>1570</v>
      </c>
      <c r="AC6" s="246">
        <v>0</v>
      </c>
      <c r="AD6" s="246">
        <v>0</v>
      </c>
      <c r="AE6" s="438">
        <f>(AE4-V062A_20303133343635373940[[#This Row],[CARTER MP.]])+V062A_20303133343635373940[[#This Row],[FAENA EN LTS2]]</f>
        <v>3500</v>
      </c>
      <c r="AF6" s="246">
        <v>0</v>
      </c>
      <c r="AG6" s="246">
        <v>0</v>
      </c>
      <c r="AH6" s="438">
        <f>(AH4-V062A_20303133343635373940[[#This Row],[MOT AUX]])+V062A_20303133343635373940[[#This Row],[FAENA EN  LTS]]</f>
        <v>2050</v>
      </c>
      <c r="AI6" s="246">
        <v>0</v>
      </c>
      <c r="AJ6" s="246">
        <v>0</v>
      </c>
      <c r="AK6" s="439">
        <f>(AK4-V062A_20303133343635373940[[#This Row],[HIDRAULICO]])+V062A_20303133343635373940[[#This Row],[FAENA EN LTS3]]</f>
        <v>1150</v>
      </c>
    </row>
    <row r="7" spans="1:37" x14ac:dyDescent="0.25">
      <c r="A7" s="431" t="s">
        <v>443</v>
      </c>
      <c r="B7" s="48">
        <v>44263</v>
      </c>
      <c r="C7" s="237">
        <v>0.33333333333333331</v>
      </c>
      <c r="D7" s="418">
        <f>IF(V062A_20303133343635373940[[#This Row],[FECHA]]-B6=1,((V062A_20303133343635373940[[#This Row],[HORA]]-C6)*24)+24,(V062A_20303133343635373940[[#This Row],[HORA]]-C6)*24)</f>
        <v>24</v>
      </c>
      <c r="E7" s="506" t="s">
        <v>45</v>
      </c>
      <c r="F7" s="29" t="s">
        <v>444</v>
      </c>
      <c r="G7" s="508"/>
      <c r="H7" s="509"/>
      <c r="I7" s="510"/>
      <c r="J7" s="511"/>
      <c r="K7" s="512"/>
      <c r="L7" s="245">
        <v>0</v>
      </c>
      <c r="M7" s="246">
        <v>1.45</v>
      </c>
      <c r="N7" s="246">
        <v>0</v>
      </c>
      <c r="O7" s="246">
        <f>SUM(V062A_20303133343635373940[[#This Row],[MPAL]]+V062A_20303133343635373940[[#This Row],[AUX.]]+V062A_20303133343635373940[[#This Row],[CALDERA]])</f>
        <v>1.45</v>
      </c>
      <c r="P7" s="319"/>
      <c r="Q7" s="270">
        <f>(Q6-V062A_20303133343635373940[[#This Row],[TOTAL ]])+V062A_20303133343635373940[[#This Row],[FAENA]]</f>
        <v>141.95000000000002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SUM(V062A_20303133343635373940[[#This Row],[MPAL2]:[GI]])</f>
        <v>0</v>
      </c>
      <c r="X7" s="246"/>
      <c r="Y7" s="300">
        <f>(Y6-V062A_20303133343635373940[[#This Row],[TOTAL]])+V062A_20303133343635373940[[#This Row],[FAENA2]]</f>
        <v>33.31</v>
      </c>
      <c r="Z7" s="245">
        <v>0</v>
      </c>
      <c r="AA7" s="246">
        <v>0</v>
      </c>
      <c r="AB7" s="438">
        <f>(AB6-V062A_20303133343635373940[[#This Row],[CYLINDER MP]])+V062A_20303133343635373940[[#This Row],[FAENA EN LTS]]</f>
        <v>1570</v>
      </c>
      <c r="AC7" s="246">
        <v>0</v>
      </c>
      <c r="AD7" s="246">
        <v>0</v>
      </c>
      <c r="AE7" s="438">
        <f>(AE6-V062A_20303133343635373940[[#This Row],[CARTER MP.]])+V062A_20303133343635373940[[#This Row],[FAENA EN LTS2]]</f>
        <v>3500</v>
      </c>
      <c r="AF7" s="246">
        <v>0</v>
      </c>
      <c r="AG7" s="246">
        <v>0</v>
      </c>
      <c r="AH7" s="438">
        <f>(AH6-V062A_20303133343635373940[[#This Row],[MOT AUX]])+V062A_20303133343635373940[[#This Row],[FAENA EN  LTS]]</f>
        <v>2050</v>
      </c>
      <c r="AI7" s="246">
        <v>0</v>
      </c>
      <c r="AJ7" s="246">
        <v>0</v>
      </c>
      <c r="AK7" s="439">
        <f>(AK6-V062A_20303133343635373940[[#This Row],[HIDRAULICO]])+V062A_20303133343635373940[[#This Row],[FAENA EN LTS3]]</f>
        <v>1150</v>
      </c>
    </row>
    <row r="8" spans="1:37" x14ac:dyDescent="0.25">
      <c r="A8" s="431" t="s">
        <v>443</v>
      </c>
      <c r="B8" s="526">
        <v>44264</v>
      </c>
      <c r="C8" s="237">
        <v>0.33333333333333331</v>
      </c>
      <c r="D8" s="418">
        <f>IF(V062A_20303133343635373940[[#This Row],[FECHA]]-B7=1,((V062A_20303133343635373940[[#This Row],[HORA]]-C7)*24)+24,(V062A_20303133343635373940[[#This Row],[HORA]]-C7)*24)</f>
        <v>24</v>
      </c>
      <c r="E8" s="506" t="s">
        <v>45</v>
      </c>
      <c r="F8" s="29" t="s">
        <v>444</v>
      </c>
      <c r="G8" s="508"/>
      <c r="H8" s="509"/>
      <c r="I8" s="510"/>
      <c r="J8" s="511"/>
      <c r="K8" s="512"/>
      <c r="L8" s="245">
        <v>0</v>
      </c>
      <c r="M8" s="246">
        <v>1.45</v>
      </c>
      <c r="N8" s="246">
        <v>0</v>
      </c>
      <c r="O8" s="246">
        <f>SUM(V062A_20303133343635373940[[#This Row],[MPAL]]+V062A_20303133343635373940[[#This Row],[AUX.]]+V062A_20303133343635373940[[#This Row],[CALDERA]])</f>
        <v>1.45</v>
      </c>
      <c r="P8" s="319"/>
      <c r="Q8" s="270">
        <f>(Q7-V062A_20303133343635373940[[#This Row],[TOTAL ]])+V062A_20303133343635373940[[#This Row],[FAENA]]</f>
        <v>140.50000000000003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SUM(V062A_20303133343635373940[[#This Row],[MPAL2]:[GI]])</f>
        <v>0</v>
      </c>
      <c r="X8" s="246"/>
      <c r="Y8" s="300">
        <f>(Y7-V062A_20303133343635373940[[#This Row],[TOTAL]])+V062A_20303133343635373940[[#This Row],[FAENA2]]</f>
        <v>33.31</v>
      </c>
      <c r="Z8" s="245">
        <v>0</v>
      </c>
      <c r="AA8" s="246">
        <v>0</v>
      </c>
      <c r="AB8" s="438">
        <f>(AB7-V062A_20303133343635373940[[#This Row],[CYLINDER MP]])+V062A_20303133343635373940[[#This Row],[FAENA EN LTS]]</f>
        <v>1570</v>
      </c>
      <c r="AC8" s="246">
        <v>0</v>
      </c>
      <c r="AD8" s="246">
        <v>0</v>
      </c>
      <c r="AE8" s="438">
        <f>(AE7-V062A_20303133343635373940[[#This Row],[CARTER MP.]])+V062A_20303133343635373940[[#This Row],[FAENA EN LTS2]]</f>
        <v>3500</v>
      </c>
      <c r="AF8" s="246">
        <v>20</v>
      </c>
      <c r="AG8" s="246">
        <v>0</v>
      </c>
      <c r="AH8" s="438">
        <f>(AH7-V062A_20303133343635373940[[#This Row],[MOT AUX]])+V062A_20303133343635373940[[#This Row],[FAENA EN  LTS]]</f>
        <v>2030</v>
      </c>
      <c r="AI8" s="246">
        <v>0</v>
      </c>
      <c r="AJ8" s="246">
        <v>0</v>
      </c>
      <c r="AK8" s="439">
        <f>(AK7-V062A_20303133343635373940[[#This Row],[HIDRAULICO]])+V062A_20303133343635373940[[#This Row],[FAENA EN LTS3]]</f>
        <v>1150</v>
      </c>
    </row>
    <row r="9" spans="1:37" x14ac:dyDescent="0.25">
      <c r="A9" s="431" t="s">
        <v>443</v>
      </c>
      <c r="B9" s="48">
        <v>44265</v>
      </c>
      <c r="C9" s="41">
        <v>0.33333333333333331</v>
      </c>
      <c r="D9" s="418">
        <f>IF(V062A_20303133343635373940[[#This Row],[FECHA]]-B8=1,((V062A_20303133343635373940[[#This Row],[HORA]]-C8)*24)+24,(V062A_20303133343635373940[[#This Row],[HORA]]-C8)*24)</f>
        <v>24</v>
      </c>
      <c r="E9" s="409" t="s">
        <v>45</v>
      </c>
      <c r="F9" s="29" t="s">
        <v>444</v>
      </c>
      <c r="G9" s="324"/>
      <c r="H9" s="306"/>
      <c r="I9" s="259"/>
      <c r="J9" s="242"/>
      <c r="K9" s="325"/>
      <c r="L9" s="483">
        <v>0</v>
      </c>
      <c r="M9" s="246">
        <v>1.5</v>
      </c>
      <c r="N9" s="484">
        <v>0</v>
      </c>
      <c r="O9" s="246">
        <f>SUM(V062A_20303133343635373940[[#This Row],[MPAL]]+V062A_20303133343635373940[[#This Row],[AUX.]]+V062A_20303133343635373940[[#This Row],[CALDERA]])</f>
        <v>1.5</v>
      </c>
      <c r="P9" s="319"/>
      <c r="Q9" s="270">
        <f>(Q8-V062A_20303133343635373940[[#This Row],[TOTAL ]])+V062A_20303133343635373940[[#This Row],[FAENA]]</f>
        <v>139.00000000000003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SUM(V062A_20303133343635373940[[#This Row],[MPAL2]:[GI]])</f>
        <v>0</v>
      </c>
      <c r="X9" s="246"/>
      <c r="Y9" s="300">
        <f>(Y8-V062A_20303133343635373940[[#This Row],[TOTAL]])+V062A_20303133343635373940[[#This Row],[FAENA2]]</f>
        <v>33.31</v>
      </c>
      <c r="Z9" s="245">
        <v>0</v>
      </c>
      <c r="AA9" s="246">
        <v>0</v>
      </c>
      <c r="AB9" s="438">
        <f>(AB8-V062A_20303133343635373940[[#This Row],[CYLINDER MP]])+V062A_20303133343635373940[[#This Row],[FAENA EN LTS]]</f>
        <v>1570</v>
      </c>
      <c r="AC9" s="246">
        <v>0</v>
      </c>
      <c r="AD9" s="246">
        <v>0</v>
      </c>
      <c r="AE9" s="438">
        <f>(AE8-V062A_20303133343635373940[[#This Row],[CARTER MP.]])+V062A_20303133343635373940[[#This Row],[FAENA EN LTS2]]</f>
        <v>3500</v>
      </c>
      <c r="AF9" s="246">
        <v>0</v>
      </c>
      <c r="AG9" s="246">
        <v>0</v>
      </c>
      <c r="AH9" s="438">
        <f>(AH8-V062A_20303133343635373940[[#This Row],[MOT AUX]])+V062A_20303133343635373940[[#This Row],[FAENA EN  LTS]]</f>
        <v>2030</v>
      </c>
      <c r="AI9" s="246">
        <v>0</v>
      </c>
      <c r="AJ9" s="246">
        <v>0</v>
      </c>
      <c r="AK9" s="439">
        <f>(AK8-V062A_20303133343635373940[[#This Row],[HIDRAULICO]])+V062A_20303133343635373940[[#This Row],[FAENA EN LTS3]]</f>
        <v>1150</v>
      </c>
    </row>
    <row r="10" spans="1:37" x14ac:dyDescent="0.25">
      <c r="A10" s="431" t="s">
        <v>443</v>
      </c>
      <c r="B10" s="526">
        <v>44266</v>
      </c>
      <c r="C10" s="41">
        <v>0.33333333333333331</v>
      </c>
      <c r="D10" s="418">
        <f>IF(V062A_20303133343635373940[[#This Row],[FECHA]]-B9=1,((V062A_20303133343635373940[[#This Row],[HORA]]-C9)*24)+24,(V062A_20303133343635373940[[#This Row],[HORA]]-C9)*24)</f>
        <v>24</v>
      </c>
      <c r="E10" s="409" t="s">
        <v>45</v>
      </c>
      <c r="F10" s="29" t="s">
        <v>444</v>
      </c>
      <c r="G10" s="324"/>
      <c r="H10" s="306"/>
      <c r="I10" s="259"/>
      <c r="J10" s="242"/>
      <c r="K10" s="325"/>
      <c r="L10" s="483">
        <v>0</v>
      </c>
      <c r="M10" s="246">
        <v>1.2</v>
      </c>
      <c r="N10" s="484">
        <v>0</v>
      </c>
      <c r="O10" s="246">
        <f>SUM(V062A_20303133343635373940[[#This Row],[MPAL]]+V062A_20303133343635373940[[#This Row],[AUX.]]+V062A_20303133343635373940[[#This Row],[CALDERA]])</f>
        <v>1.2</v>
      </c>
      <c r="P10" s="319"/>
      <c r="Q10" s="270">
        <f>(Q9-V062A_20303133343635373940[[#This Row],[TOTAL ]])+V062A_20303133343635373940[[#This Row],[FAENA]]</f>
        <v>137.80000000000004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SUM(V062A_20303133343635373940[[#This Row],[MPAL2]:[GI]])</f>
        <v>0</v>
      </c>
      <c r="X10" s="246"/>
      <c r="Y10" s="300">
        <f>(Y9-V062A_20303133343635373940[[#This Row],[TOTAL]])+V062A_20303133343635373940[[#This Row],[FAENA2]]</f>
        <v>33.31</v>
      </c>
      <c r="Z10" s="245">
        <v>0</v>
      </c>
      <c r="AA10" s="246">
        <v>0</v>
      </c>
      <c r="AB10" s="438">
        <f>(AB9-V062A_20303133343635373940[[#This Row],[CYLINDER MP]])+V062A_20303133343635373940[[#This Row],[FAENA EN LTS]]</f>
        <v>1570</v>
      </c>
      <c r="AC10" s="246">
        <v>0</v>
      </c>
      <c r="AD10" s="246">
        <v>0</v>
      </c>
      <c r="AE10" s="438">
        <f>(AE9-V062A_20303133343635373940[[#This Row],[CARTER MP.]])+V062A_20303133343635373940[[#This Row],[FAENA EN LTS2]]</f>
        <v>3500</v>
      </c>
      <c r="AF10" s="246">
        <v>20</v>
      </c>
      <c r="AG10" s="246">
        <v>0</v>
      </c>
      <c r="AH10" s="438">
        <f>(AH9-V062A_20303133343635373940[[#This Row],[MOT AUX]])+V062A_20303133343635373940[[#This Row],[FAENA EN  LTS]]</f>
        <v>2010</v>
      </c>
      <c r="AI10" s="246">
        <v>0</v>
      </c>
      <c r="AJ10" s="246">
        <v>0</v>
      </c>
      <c r="AK10" s="439">
        <f>(AK9-V062A_20303133343635373940[[#This Row],[HIDRAULICO]])+V062A_20303133343635373940[[#This Row],[FAENA EN LTS3]]</f>
        <v>1150</v>
      </c>
    </row>
    <row r="11" spans="1:37" x14ac:dyDescent="0.25">
      <c r="A11" s="431" t="s">
        <v>443</v>
      </c>
      <c r="B11" s="526">
        <v>44267</v>
      </c>
      <c r="C11" s="41">
        <v>0.33333333333333331</v>
      </c>
      <c r="D11" s="418">
        <f>IF(V062A_20303133343635373940[[#This Row],[FECHA]]-B10=1,((V062A_20303133343635373940[[#This Row],[HORA]]-C10)*24)+24,(V062A_20303133343635373940[[#This Row],[HORA]]-C10)*24)</f>
        <v>24</v>
      </c>
      <c r="E11" s="239" t="s">
        <v>45</v>
      </c>
      <c r="F11" s="29" t="s">
        <v>444</v>
      </c>
      <c r="G11" s="324"/>
      <c r="H11" s="306"/>
      <c r="I11" s="259"/>
      <c r="J11" s="380"/>
      <c r="K11" s="325"/>
      <c r="L11" s="483">
        <v>0</v>
      </c>
      <c r="M11" s="246">
        <v>1.2</v>
      </c>
      <c r="N11" s="484">
        <v>0</v>
      </c>
      <c r="O11" s="246">
        <f>SUM(V062A_20303133343635373940[[#This Row],[MPAL]]+V062A_20303133343635373940[[#This Row],[AUX.]]+V062A_20303133343635373940[[#This Row],[CALDERA]])</f>
        <v>1.2</v>
      </c>
      <c r="P11" s="319"/>
      <c r="Q11" s="270">
        <f>(Q10-V062A_20303133343635373940[[#This Row],[TOTAL ]])+V062A_20303133343635373940[[#This Row],[FAENA]]</f>
        <v>136.60000000000005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SUM(V062A_20303133343635373940[[#This Row],[MPAL2]:[GI]])</f>
        <v>0</v>
      </c>
      <c r="X11" s="246"/>
      <c r="Y11" s="300">
        <f>(Y10-V062A_20303133343635373940[[#This Row],[TOTAL]])+V062A_20303133343635373940[[#This Row],[FAENA2]]</f>
        <v>33.31</v>
      </c>
      <c r="Z11" s="245">
        <v>0</v>
      </c>
      <c r="AA11" s="246">
        <v>0</v>
      </c>
      <c r="AB11" s="438">
        <f>(AB10-V062A_20303133343635373940[[#This Row],[CYLINDER MP]])+V062A_20303133343635373940[[#This Row],[FAENA EN LTS]]</f>
        <v>1570</v>
      </c>
      <c r="AC11" s="246">
        <v>0</v>
      </c>
      <c r="AD11" s="246">
        <v>0</v>
      </c>
      <c r="AE11" s="438">
        <f>(AE10-V062A_20303133343635373940[[#This Row],[CARTER MP.]])+V062A_20303133343635373940[[#This Row],[FAENA EN LTS2]]</f>
        <v>3500</v>
      </c>
      <c r="AF11" s="246">
        <v>20</v>
      </c>
      <c r="AG11" s="246">
        <v>0</v>
      </c>
      <c r="AH11" s="438">
        <f>(AH10-V062A_20303133343635373940[[#This Row],[MOT AUX]])+V062A_20303133343635373940[[#This Row],[FAENA EN  LTS]]</f>
        <v>1990</v>
      </c>
      <c r="AI11" s="246">
        <v>0</v>
      </c>
      <c r="AJ11" s="246">
        <v>0</v>
      </c>
      <c r="AK11" s="439">
        <f>(AK10-V062A_20303133343635373940[[#This Row],[HIDRAULICO]])+V062A_20303133343635373940[[#This Row],[FAENA EN LTS3]]</f>
        <v>1150</v>
      </c>
    </row>
    <row r="12" spans="1:37" x14ac:dyDescent="0.25">
      <c r="A12" s="431" t="s">
        <v>443</v>
      </c>
      <c r="B12" s="526">
        <v>44268</v>
      </c>
      <c r="C12" s="41">
        <v>0.33333333333333331</v>
      </c>
      <c r="D12" s="418">
        <f>IF(V062A_20303133343635373940[[#This Row],[FECHA]]-B11=1,((V062A_20303133343635373940[[#This Row],[HORA]]-C11)*24)+24,(V062A_20303133343635373940[[#This Row],[HORA]]-C11)*24)</f>
        <v>24</v>
      </c>
      <c r="E12" s="239" t="s">
        <v>45</v>
      </c>
      <c r="F12" s="29" t="s">
        <v>444</v>
      </c>
      <c r="G12" s="324"/>
      <c r="H12" s="306"/>
      <c r="I12" s="259"/>
      <c r="J12" s="242"/>
      <c r="K12" s="325"/>
      <c r="L12" s="483">
        <v>0</v>
      </c>
      <c r="M12" s="246">
        <v>1.2</v>
      </c>
      <c r="N12" s="484">
        <v>0</v>
      </c>
      <c r="O12" s="246">
        <f>SUM(V062A_20303133343635373940[[#This Row],[MPAL]]+V062A_20303133343635373940[[#This Row],[AUX.]]+V062A_20303133343635373940[[#This Row],[CALDERA]])</f>
        <v>1.2</v>
      </c>
      <c r="P12" s="319"/>
      <c r="Q12" s="270">
        <f>(Q11-V062A_20303133343635373940[[#This Row],[TOTAL ]])+V062A_20303133343635373940[[#This Row],[FAENA]]</f>
        <v>135.40000000000006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SUM(V062A_20303133343635373940[[#This Row],[MPAL2]:[GI]])</f>
        <v>0</v>
      </c>
      <c r="X12" s="246"/>
      <c r="Y12" s="300">
        <f>(Y11-V062A_20303133343635373940[[#This Row],[TOTAL]])+V062A_20303133343635373940[[#This Row],[FAENA2]]</f>
        <v>33.31</v>
      </c>
      <c r="Z12" s="245">
        <v>0</v>
      </c>
      <c r="AA12" s="246">
        <v>0</v>
      </c>
      <c r="AB12" s="438">
        <f>(AB11-V062A_20303133343635373940[[#This Row],[CYLINDER MP]])+V062A_20303133343635373940[[#This Row],[FAENA EN LTS]]</f>
        <v>1570</v>
      </c>
      <c r="AC12" s="246">
        <v>0</v>
      </c>
      <c r="AD12" s="246">
        <v>0</v>
      </c>
      <c r="AE12" s="438">
        <f>(AE11-V062A_20303133343635373940[[#This Row],[CARTER MP.]])+V062A_20303133343635373940[[#This Row],[FAENA EN LTS2]]</f>
        <v>3500</v>
      </c>
      <c r="AF12" s="246">
        <v>20</v>
      </c>
      <c r="AG12" s="246">
        <v>0</v>
      </c>
      <c r="AH12" s="438">
        <f>(AH11-V062A_20303133343635373940[[#This Row],[MOT AUX]])+V062A_20303133343635373940[[#This Row],[FAENA EN  LTS]]</f>
        <v>1970</v>
      </c>
      <c r="AI12" s="246">
        <v>0</v>
      </c>
      <c r="AJ12" s="246">
        <v>0</v>
      </c>
      <c r="AK12" s="439">
        <f>(AK11-V062A_20303133343635373940[[#This Row],[HIDRAULICO]])+V062A_20303133343635373940[[#This Row],[FAENA EN LTS3]]</f>
        <v>1150</v>
      </c>
    </row>
    <row r="13" spans="1:37" x14ac:dyDescent="0.25">
      <c r="A13" s="431" t="s">
        <v>443</v>
      </c>
      <c r="B13" s="48">
        <v>44269</v>
      </c>
      <c r="C13" s="41">
        <v>0.33333333333333331</v>
      </c>
      <c r="D13" s="418">
        <f>IF(V062A_20303133343635373940[[#This Row],[FECHA]]-B12=1,((V062A_20303133343635373940[[#This Row],[HORA]]-C12)*24)+24,(V062A_20303133343635373940[[#This Row],[HORA]]-C12)*24)</f>
        <v>24</v>
      </c>
      <c r="E13" s="409" t="s">
        <v>45</v>
      </c>
      <c r="F13" s="29" t="s">
        <v>444</v>
      </c>
      <c r="G13" s="324"/>
      <c r="H13" s="306"/>
      <c r="I13" s="259"/>
      <c r="J13" s="242"/>
      <c r="K13" s="325"/>
      <c r="L13" s="483">
        <v>0</v>
      </c>
      <c r="M13" s="246">
        <v>1.2</v>
      </c>
      <c r="N13" s="484">
        <v>0</v>
      </c>
      <c r="O13" s="246">
        <f>SUM(V062A_20303133343635373940[[#This Row],[MPAL]]+V062A_20303133343635373940[[#This Row],[AUX.]]+V062A_20303133343635373940[[#This Row],[CALDERA]])</f>
        <v>1.2</v>
      </c>
      <c r="P13" s="319"/>
      <c r="Q13" s="270">
        <f>(Q12-V062A_20303133343635373940[[#This Row],[TOTAL ]])+V062A_20303133343635373940[[#This Row],[FAENA]]</f>
        <v>134.20000000000007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SUM(V062A_20303133343635373940[[#This Row],[MPAL2]:[GI]])</f>
        <v>0</v>
      </c>
      <c r="X13" s="246"/>
      <c r="Y13" s="300">
        <f>(Y12-V062A_20303133343635373940[[#This Row],[TOTAL]])+V062A_20303133343635373940[[#This Row],[FAENA2]]</f>
        <v>33.31</v>
      </c>
      <c r="Z13" s="245">
        <v>0</v>
      </c>
      <c r="AA13" s="246">
        <v>0</v>
      </c>
      <c r="AB13" s="438">
        <f>(AB12-V062A_20303133343635373940[[#This Row],[CYLINDER MP]])+V062A_20303133343635373940[[#This Row],[FAENA EN LTS]]</f>
        <v>1570</v>
      </c>
      <c r="AC13" s="246">
        <v>0</v>
      </c>
      <c r="AD13" s="246">
        <v>0</v>
      </c>
      <c r="AE13" s="438">
        <f>(AE12-V062A_20303133343635373940[[#This Row],[CARTER MP.]])+V062A_20303133343635373940[[#This Row],[FAENA EN LTS2]]</f>
        <v>3500</v>
      </c>
      <c r="AF13" s="246">
        <v>0</v>
      </c>
      <c r="AG13" s="246">
        <v>0</v>
      </c>
      <c r="AH13" s="438">
        <f>(AH12-V062A_20303133343635373940[[#This Row],[MOT AUX]])+V062A_20303133343635373940[[#This Row],[FAENA EN  LTS]]</f>
        <v>1970</v>
      </c>
      <c r="AI13" s="246">
        <v>0</v>
      </c>
      <c r="AJ13" s="246">
        <v>0</v>
      </c>
      <c r="AK13" s="439">
        <f>(AK12-V062A_20303133343635373940[[#This Row],[HIDRAULICO]])+V062A_20303133343635373940[[#This Row],[FAENA EN LTS3]]</f>
        <v>1150</v>
      </c>
    </row>
    <row r="14" spans="1:37" x14ac:dyDescent="0.25">
      <c r="A14" s="431" t="s">
        <v>443</v>
      </c>
      <c r="B14" s="526">
        <v>44270</v>
      </c>
      <c r="C14" s="237">
        <v>0.33333333333333331</v>
      </c>
      <c r="D14" s="418">
        <f>IF(V062A_20303133343635373940[[#This Row],[FECHA]]-B13=1,((V062A_20303133343635373940[[#This Row],[HORA]]-C13)*24)+24,(V062A_20303133343635373940[[#This Row],[HORA]]-C13)*24)</f>
        <v>24</v>
      </c>
      <c r="E14" s="499" t="s">
        <v>45</v>
      </c>
      <c r="F14" s="29" t="s">
        <v>444</v>
      </c>
      <c r="G14" s="500"/>
      <c r="H14" s="501"/>
      <c r="I14" s="502"/>
      <c r="J14" s="503"/>
      <c r="K14" s="504"/>
      <c r="L14" s="245">
        <v>0</v>
      </c>
      <c r="M14" s="246">
        <v>1.2</v>
      </c>
      <c r="N14" s="246">
        <v>0</v>
      </c>
      <c r="O14" s="246">
        <f>SUM(V062A_20303133343635373940[[#This Row],[MPAL]]+V062A_20303133343635373940[[#This Row],[AUX.]]+V062A_20303133343635373940[[#This Row],[CALDERA]])</f>
        <v>1.2</v>
      </c>
      <c r="P14" s="319"/>
      <c r="Q14" s="270">
        <f>(Q13-V062A_20303133343635373940[[#This Row],[TOTAL ]])+V062A_20303133343635373940[[#This Row],[FAENA]]</f>
        <v>133.00000000000009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SUM(V062A_20303133343635373940[[#This Row],[MPAL2]:[GI]])</f>
        <v>0</v>
      </c>
      <c r="X14" s="246"/>
      <c r="Y14" s="300">
        <f>(Y13-V062A_20303133343635373940[[#This Row],[TOTAL]])+V062A_20303133343635373940[[#This Row],[FAENA2]]</f>
        <v>33.31</v>
      </c>
      <c r="Z14" s="245">
        <v>0</v>
      </c>
      <c r="AA14" s="246">
        <v>0</v>
      </c>
      <c r="AB14" s="438">
        <f>(AB13-V062A_20303133343635373940[[#This Row],[CYLINDER MP]])+V062A_20303133343635373940[[#This Row],[FAENA EN LTS]]</f>
        <v>1570</v>
      </c>
      <c r="AC14" s="246">
        <v>0</v>
      </c>
      <c r="AD14" s="246">
        <v>0</v>
      </c>
      <c r="AE14" s="438">
        <f>(AE13-V062A_20303133343635373940[[#This Row],[CARTER MP.]])+V062A_20303133343635373940[[#This Row],[FAENA EN LTS2]]</f>
        <v>3500</v>
      </c>
      <c r="AF14" s="246">
        <v>20</v>
      </c>
      <c r="AG14" s="246">
        <v>0</v>
      </c>
      <c r="AH14" s="438">
        <f>(AH13-V062A_20303133343635373940[[#This Row],[MOT AUX]])+V062A_20303133343635373940[[#This Row],[FAENA EN  LTS]]</f>
        <v>1950</v>
      </c>
      <c r="AI14" s="246">
        <v>0</v>
      </c>
      <c r="AJ14" s="246">
        <v>0</v>
      </c>
      <c r="AK14" s="439">
        <f>(AK13-V062A_20303133343635373940[[#This Row],[HIDRAULICO]])+V062A_20303133343635373940[[#This Row],[FAENA EN LTS3]]</f>
        <v>1150</v>
      </c>
    </row>
    <row r="15" spans="1:37" x14ac:dyDescent="0.25">
      <c r="A15" s="431" t="s">
        <v>443</v>
      </c>
      <c r="B15" s="526">
        <v>44271</v>
      </c>
      <c r="C15" s="41">
        <v>0.33333333333333331</v>
      </c>
      <c r="D15" s="418">
        <f>IF(V062A_20303133343635373940[[#This Row],[FECHA]]-B14=1,((V062A_20303133343635373940[[#This Row],[HORA]]-C14)*24)+24,(V062A_20303133343635373940[[#This Row],[HORA]]-C14)*24)</f>
        <v>24</v>
      </c>
      <c r="E15" s="409" t="s">
        <v>45</v>
      </c>
      <c r="F15" s="29" t="s">
        <v>444</v>
      </c>
      <c r="G15" s="324"/>
      <c r="H15" s="306"/>
      <c r="I15" s="259"/>
      <c r="J15" s="242"/>
      <c r="K15" s="325"/>
      <c r="L15" s="483">
        <v>0</v>
      </c>
      <c r="M15" s="246">
        <v>1.2</v>
      </c>
      <c r="N15" s="484">
        <v>0</v>
      </c>
      <c r="O15" s="246">
        <f>SUM(V062A_20303133343635373940[[#This Row],[MPAL]]+V062A_20303133343635373940[[#This Row],[AUX.]]+V062A_20303133343635373940[[#This Row],[CALDERA]])</f>
        <v>1.2</v>
      </c>
      <c r="P15" s="319"/>
      <c r="Q15" s="270">
        <f>(Q14-V062A_20303133343635373940[[#This Row],[TOTAL ]])+V062A_20303133343635373940[[#This Row],[FAENA]]</f>
        <v>131.8000000000001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SUM(V062A_20303133343635373940[[#This Row],[MPAL2]:[GI]])</f>
        <v>0</v>
      </c>
      <c r="X15" s="246"/>
      <c r="Y15" s="300">
        <f>(Y14-V062A_20303133343635373940[[#This Row],[TOTAL]])+V062A_20303133343635373940[[#This Row],[FAENA2]]</f>
        <v>33.31</v>
      </c>
      <c r="Z15" s="245">
        <v>0</v>
      </c>
      <c r="AA15" s="246">
        <v>0</v>
      </c>
      <c r="AB15" s="438">
        <f>(AB14-V062A_20303133343635373940[[#This Row],[CYLINDER MP]])+V062A_20303133343635373940[[#This Row],[FAENA EN LTS]]</f>
        <v>1570</v>
      </c>
      <c r="AC15" s="246">
        <v>0</v>
      </c>
      <c r="AD15" s="246">
        <v>0</v>
      </c>
      <c r="AE15" s="438">
        <f>(AE14-V062A_20303133343635373940[[#This Row],[CARTER MP.]])+V062A_20303133343635373940[[#This Row],[FAENA EN LTS2]]</f>
        <v>3500</v>
      </c>
      <c r="AF15" s="246">
        <v>20</v>
      </c>
      <c r="AG15" s="246">
        <v>0</v>
      </c>
      <c r="AH15" s="438">
        <f>(AH14-V062A_20303133343635373940[[#This Row],[MOT AUX]])+V062A_20303133343635373940[[#This Row],[FAENA EN  LTS]]</f>
        <v>1930</v>
      </c>
      <c r="AI15" s="246">
        <v>0</v>
      </c>
      <c r="AJ15" s="246">
        <v>0</v>
      </c>
      <c r="AK15" s="439">
        <f>(AK14-V062A_20303133343635373940[[#This Row],[HIDRAULICO]])+V062A_20303133343635373940[[#This Row],[FAENA EN LTS3]]</f>
        <v>1150</v>
      </c>
    </row>
    <row r="16" spans="1:37" x14ac:dyDescent="0.25">
      <c r="A16" s="431" t="s">
        <v>443</v>
      </c>
      <c r="B16" s="526">
        <v>44272</v>
      </c>
      <c r="C16" s="41">
        <v>0.33333333333333331</v>
      </c>
      <c r="D16" s="418">
        <f>IF(V062A_20303133343635373940[[#This Row],[FECHA]]-B15=1,((V062A_20303133343635373940[[#This Row],[HORA]]-C15)*24)+24,(V062A_20303133343635373940[[#This Row],[HORA]]-C15)*24)</f>
        <v>24</v>
      </c>
      <c r="E16" s="409" t="s">
        <v>45</v>
      </c>
      <c r="F16" s="29" t="s">
        <v>444</v>
      </c>
      <c r="G16" s="324"/>
      <c r="H16" s="306"/>
      <c r="I16" s="259"/>
      <c r="J16" s="242"/>
      <c r="K16" s="325"/>
      <c r="L16" s="483">
        <v>0</v>
      </c>
      <c r="M16" s="246">
        <v>1.6</v>
      </c>
      <c r="N16" s="484">
        <v>1</v>
      </c>
      <c r="O16" s="246">
        <f>SUM(V062A_20303133343635373940[[#This Row],[MPAL]]+V062A_20303133343635373940[[#This Row],[AUX.]]+V062A_20303133343635373940[[#This Row],[CALDERA]])</f>
        <v>2.6</v>
      </c>
      <c r="P16" s="319"/>
      <c r="Q16" s="270">
        <f>(Q15-V062A_20303133343635373940[[#This Row],[TOTAL ]])+V062A_20303133343635373940[[#This Row],[FAENA]]</f>
        <v>129.2000000000001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SUM(V062A_20303133343635373940[[#This Row],[MPAL2]:[GI]])</f>
        <v>0</v>
      </c>
      <c r="X16" s="246"/>
      <c r="Y16" s="300">
        <f>(Y15-V062A_20303133343635373940[[#This Row],[TOTAL]])+V062A_20303133343635373940[[#This Row],[FAENA2]]</f>
        <v>33.31</v>
      </c>
      <c r="Z16" s="245">
        <v>0</v>
      </c>
      <c r="AA16" s="246">
        <v>0</v>
      </c>
      <c r="AB16" s="438">
        <f>(AB15-V062A_20303133343635373940[[#This Row],[CYLINDER MP]])+V062A_20303133343635373940[[#This Row],[FAENA EN LTS]]</f>
        <v>1570</v>
      </c>
      <c r="AC16" s="246">
        <v>0</v>
      </c>
      <c r="AD16" s="246">
        <v>0</v>
      </c>
      <c r="AE16" s="438">
        <f>(AE15-V062A_20303133343635373940[[#This Row],[CARTER MP.]])+V062A_20303133343635373940[[#This Row],[FAENA EN LTS2]]</f>
        <v>3500</v>
      </c>
      <c r="AF16" s="246">
        <v>0</v>
      </c>
      <c r="AG16" s="246">
        <v>0</v>
      </c>
      <c r="AH16" s="438">
        <f>(AH15-V062A_20303133343635373940[[#This Row],[MOT AUX]])+V062A_20303133343635373940[[#This Row],[FAENA EN  LTS]]</f>
        <v>1930</v>
      </c>
      <c r="AI16" s="246">
        <v>0</v>
      </c>
      <c r="AJ16" s="246">
        <v>0</v>
      </c>
      <c r="AK16" s="439">
        <f>(AK15-V062A_20303133343635373940[[#This Row],[HIDRAULICO]])+V062A_20303133343635373940[[#This Row],[FAENA EN LTS3]]</f>
        <v>1150</v>
      </c>
    </row>
    <row r="17" spans="1:37" x14ac:dyDescent="0.25">
      <c r="A17" s="431" t="s">
        <v>443</v>
      </c>
      <c r="B17" s="526">
        <v>44273</v>
      </c>
      <c r="C17" s="41">
        <v>0.33333333333333331</v>
      </c>
      <c r="D17" s="418">
        <f>IF(V062A_20303133343635373940[[#This Row],[FECHA]]-B16=1,((V062A_20303133343635373940[[#This Row],[HORA]]-C16)*24)+24,(V062A_20303133343635373940[[#This Row],[HORA]]-C16)*24)</f>
        <v>24</v>
      </c>
      <c r="E17" s="409" t="s">
        <v>45</v>
      </c>
      <c r="F17" s="29" t="s">
        <v>444</v>
      </c>
      <c r="G17" s="324"/>
      <c r="H17" s="306"/>
      <c r="I17" s="259"/>
      <c r="J17" s="242"/>
      <c r="K17" s="325"/>
      <c r="L17" s="483">
        <v>0</v>
      </c>
      <c r="M17" s="246">
        <v>1.2</v>
      </c>
      <c r="N17" s="484">
        <v>1</v>
      </c>
      <c r="O17" s="246">
        <f>SUM(V062A_20303133343635373940[[#This Row],[MPAL]]+V062A_20303133343635373940[[#This Row],[AUX.]]+V062A_20303133343635373940[[#This Row],[CALDERA]])</f>
        <v>2.2000000000000002</v>
      </c>
      <c r="P17" s="319"/>
      <c r="Q17" s="270">
        <f>(Q16-V062A_20303133343635373940[[#This Row],[TOTAL ]])+V062A_20303133343635373940[[#This Row],[FAENA]]</f>
        <v>127.0000000000001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SUM(V062A_20303133343635373940[[#This Row],[MPAL2]:[GI]])</f>
        <v>0</v>
      </c>
      <c r="X17" s="246"/>
      <c r="Y17" s="300">
        <f>(Y16-V062A_20303133343635373940[[#This Row],[TOTAL]])+V062A_20303133343635373940[[#This Row],[FAENA2]]</f>
        <v>33.31</v>
      </c>
      <c r="Z17" s="245">
        <v>0</v>
      </c>
      <c r="AA17" s="246">
        <v>0</v>
      </c>
      <c r="AB17" s="438">
        <f>(AB16-V062A_20303133343635373940[[#This Row],[CYLINDER MP]])+V062A_20303133343635373940[[#This Row],[FAENA EN LTS]]</f>
        <v>1570</v>
      </c>
      <c r="AC17" s="246">
        <v>0</v>
      </c>
      <c r="AD17" s="246">
        <v>0</v>
      </c>
      <c r="AE17" s="438">
        <f>(AE16-V062A_20303133343635373940[[#This Row],[CARTER MP.]])+V062A_20303133343635373940[[#This Row],[FAENA EN LTS2]]</f>
        <v>3500</v>
      </c>
      <c r="AF17" s="246">
        <v>20</v>
      </c>
      <c r="AG17" s="246">
        <v>0</v>
      </c>
      <c r="AH17" s="438">
        <f>(AH16-V062A_20303133343635373940[[#This Row],[MOT AUX]])+V062A_20303133343635373940[[#This Row],[FAENA EN  LTS]]</f>
        <v>1910</v>
      </c>
      <c r="AI17" s="246">
        <v>150</v>
      </c>
      <c r="AJ17" s="246">
        <v>0</v>
      </c>
      <c r="AK17" s="439">
        <f>(AK16-V062A_20303133343635373940[[#This Row],[HIDRAULICO]])+V062A_20303133343635373940[[#This Row],[FAENA EN LTS3]]</f>
        <v>1000</v>
      </c>
    </row>
    <row r="18" spans="1:37" x14ac:dyDescent="0.25">
      <c r="A18" s="431" t="s">
        <v>443</v>
      </c>
      <c r="B18" s="526">
        <v>44274</v>
      </c>
      <c r="C18" s="41">
        <v>0</v>
      </c>
      <c r="D18" s="418">
        <f>IF(V062A_20303133343635373940[[#This Row],[FECHA]]-B17=1,((V062A_20303133343635373940[[#This Row],[HORA]]-C17)*24)+24,(V062A_20303133343635373940[[#This Row],[HORA]]-C17)*24)</f>
        <v>16</v>
      </c>
      <c r="E18" s="409" t="s">
        <v>45</v>
      </c>
      <c r="F18" s="29" t="s">
        <v>261</v>
      </c>
      <c r="G18" s="324"/>
      <c r="H18" s="306"/>
      <c r="I18" s="259"/>
      <c r="J18" s="242"/>
      <c r="K18" s="325"/>
      <c r="L18" s="483">
        <v>0</v>
      </c>
      <c r="M18" s="246">
        <v>0.93</v>
      </c>
      <c r="N18" s="484">
        <v>0.67</v>
      </c>
      <c r="O18" s="246">
        <f>SUM(V062A_20303133343635373940[[#This Row],[MPAL]]+V062A_20303133343635373940[[#This Row],[AUX.]]+V062A_20303133343635373940[[#This Row],[CALDERA]])</f>
        <v>1.6</v>
      </c>
      <c r="P18" s="319"/>
      <c r="Q18" s="270">
        <f>(Q17-V062A_20303133343635373940[[#This Row],[TOTAL ]])+V062A_20303133343635373940[[#This Row],[FAENA]]</f>
        <v>125.40000000000011</v>
      </c>
      <c r="R18" s="245">
        <v>0</v>
      </c>
      <c r="S18" s="246">
        <v>0.01</v>
      </c>
      <c r="T18" s="246">
        <v>0</v>
      </c>
      <c r="U18" s="246">
        <v>0</v>
      </c>
      <c r="V18" s="246">
        <v>0</v>
      </c>
      <c r="W18" s="246">
        <f>SUM(V062A_20303133343635373940[[#This Row],[MPAL2]:[GI]])</f>
        <v>0.01</v>
      </c>
      <c r="X18" s="246"/>
      <c r="Y18" s="300">
        <f>(Y17-V062A_20303133343635373940[[#This Row],[TOTAL]])+V062A_20303133343635373940[[#This Row],[FAENA2]]</f>
        <v>33.300000000000004</v>
      </c>
      <c r="Z18" s="245">
        <v>0</v>
      </c>
      <c r="AA18" s="246">
        <v>0</v>
      </c>
      <c r="AB18" s="438">
        <f>(AB17-V062A_20303133343635373940[[#This Row],[CYLINDER MP]])+V062A_20303133343635373940[[#This Row],[FAENA EN LTS]]</f>
        <v>1570</v>
      </c>
      <c r="AC18" s="246">
        <v>0</v>
      </c>
      <c r="AD18" s="246">
        <v>0</v>
      </c>
      <c r="AE18" s="438">
        <f>(AE17-V062A_20303133343635373940[[#This Row],[CARTER MP.]])+V062A_20303133343635373940[[#This Row],[FAENA EN LTS2]]</f>
        <v>3500</v>
      </c>
      <c r="AF18" s="246">
        <v>20</v>
      </c>
      <c r="AG18" s="246">
        <v>0</v>
      </c>
      <c r="AH18" s="438">
        <f>(AH17-V062A_20303133343635373940[[#This Row],[MOT AUX]])+V062A_20303133343635373940[[#This Row],[FAENA EN  LTS]]</f>
        <v>1890</v>
      </c>
      <c r="AI18" s="246">
        <v>0</v>
      </c>
      <c r="AJ18" s="246">
        <v>0</v>
      </c>
      <c r="AK18" s="439">
        <f>(AK17-V062A_20303133343635373940[[#This Row],[HIDRAULICO]])+V062A_20303133343635373940[[#This Row],[FAENA EN LTS3]]</f>
        <v>1000</v>
      </c>
    </row>
    <row r="19" spans="1:37" x14ac:dyDescent="0.25">
      <c r="A19" s="453"/>
      <c r="B19" s="454"/>
      <c r="C19" s="455"/>
      <c r="D19" s="481"/>
      <c r="E19" s="457"/>
      <c r="F19" s="458"/>
      <c r="G19" s="459"/>
      <c r="H19" s="460"/>
      <c r="I19" s="461"/>
      <c r="J19" s="459"/>
      <c r="K19" s="459"/>
      <c r="L19" s="68"/>
      <c r="M19" s="68"/>
      <c r="N19" s="68"/>
      <c r="P19" s="462"/>
      <c r="Q19" s="456"/>
      <c r="R19" s="456"/>
      <c r="S19" s="456"/>
      <c r="T19" s="456"/>
      <c r="U19" s="456"/>
      <c r="V19" s="456"/>
      <c r="W19" s="456"/>
      <c r="X19" s="456"/>
      <c r="Y19" s="463"/>
      <c r="Z19" s="463"/>
      <c r="AA19" s="463"/>
      <c r="AB19" s="464"/>
      <c r="AC19" s="463"/>
      <c r="AD19" s="463"/>
      <c r="AE19" s="464"/>
      <c r="AF19" s="456"/>
      <c r="AG19" s="456"/>
      <c r="AH19" s="465"/>
      <c r="AI19" s="456"/>
      <c r="AJ19" s="456"/>
      <c r="AK19" s="465"/>
    </row>
    <row r="20" spans="1:37" x14ac:dyDescent="0.25">
      <c r="A20" s="453"/>
      <c r="B20" s="454"/>
      <c r="C20" s="455"/>
      <c r="D20" s="456"/>
      <c r="E20" s="457"/>
      <c r="F20" s="458"/>
      <c r="G20" s="459"/>
      <c r="H20" s="460"/>
      <c r="I20" s="461"/>
      <c r="J20" s="459"/>
      <c r="K20" s="459"/>
      <c r="O20" s="67">
        <f>SUM(L19:N19)</f>
        <v>0</v>
      </c>
      <c r="P20" s="462"/>
      <c r="Q20" s="456"/>
      <c r="R20" s="456"/>
      <c r="S20" s="456"/>
      <c r="T20" s="456"/>
      <c r="U20" s="456"/>
      <c r="V20" s="456"/>
      <c r="W20" s="456"/>
      <c r="X20" s="456"/>
      <c r="Y20" s="463"/>
      <c r="Z20" s="463"/>
      <c r="AA20" s="463"/>
      <c r="AB20" s="464"/>
      <c r="AC20" s="463"/>
      <c r="AD20" s="463"/>
      <c r="AE20" s="464"/>
      <c r="AF20" s="456"/>
      <c r="AG20" s="456"/>
      <c r="AH20" s="465"/>
      <c r="AI20" s="456"/>
      <c r="AJ20" s="456"/>
      <c r="AK20" s="465"/>
    </row>
    <row r="21" spans="1:37" x14ac:dyDescent="0.25">
      <c r="A21" s="453"/>
      <c r="B21" s="454"/>
      <c r="C21" s="455"/>
      <c r="D21" s="456"/>
      <c r="E21" s="457"/>
      <c r="F21" s="458"/>
      <c r="G21" s="459"/>
      <c r="H21" s="460"/>
      <c r="I21" s="461"/>
      <c r="J21" s="459"/>
      <c r="K21" s="459"/>
      <c r="L21" s="456"/>
      <c r="M21" s="456"/>
      <c r="N21" s="456"/>
      <c r="O21" s="456"/>
      <c r="P21" s="462"/>
      <c r="Q21" s="456"/>
      <c r="R21" s="456"/>
      <c r="S21" s="456"/>
      <c r="T21" s="456"/>
      <c r="U21" s="456"/>
      <c r="V21" s="456"/>
      <c r="W21" s="456"/>
      <c r="X21" s="456"/>
      <c r="Y21" s="463"/>
      <c r="Z21" s="463"/>
      <c r="AA21" s="463"/>
      <c r="AB21" s="464"/>
      <c r="AC21" s="463"/>
      <c r="AD21" s="463"/>
      <c r="AE21" s="464"/>
      <c r="AF21" s="456"/>
      <c r="AG21" s="456"/>
      <c r="AH21" s="465"/>
      <c r="AI21" s="456"/>
      <c r="AJ21" s="456"/>
      <c r="AK21" s="465"/>
    </row>
    <row r="22" spans="1:37" x14ac:dyDescent="0.25">
      <c r="A22" s="453"/>
      <c r="B22" s="454"/>
      <c r="C22" s="455"/>
      <c r="D22" s="456"/>
      <c r="E22" s="457"/>
      <c r="F22" s="458"/>
      <c r="G22" s="459"/>
      <c r="H22" s="460"/>
      <c r="I22" s="461"/>
      <c r="J22" s="459"/>
      <c r="K22" s="459"/>
      <c r="L22" s="456"/>
      <c r="M22" s="456"/>
      <c r="N22" s="456"/>
      <c r="O22" s="456"/>
      <c r="P22" s="462"/>
      <c r="Q22" s="456"/>
      <c r="R22" s="456"/>
      <c r="S22" s="456"/>
      <c r="T22" s="456"/>
      <c r="U22" s="456"/>
      <c r="V22" s="456"/>
      <c r="W22" s="456"/>
      <c r="X22" s="456"/>
      <c r="Y22" s="463"/>
      <c r="Z22" s="463"/>
      <c r="AA22" s="463"/>
      <c r="AB22" s="464"/>
      <c r="AC22" s="463"/>
      <c r="AD22" s="463"/>
      <c r="AE22" s="464"/>
      <c r="AF22" s="456"/>
      <c r="AG22" s="456"/>
      <c r="AH22" s="465"/>
      <c r="AI22" s="456"/>
      <c r="AJ22" s="456"/>
      <c r="AK22" s="465"/>
    </row>
    <row r="23" spans="1:37" ht="19.5" thickBot="1" x14ac:dyDescent="0.35">
      <c r="C23" s="69" t="s">
        <v>187</v>
      </c>
      <c r="D23" s="69"/>
      <c r="E23" s="69"/>
      <c r="F23" s="467"/>
      <c r="G23" s="69"/>
      <c r="N23" s="69"/>
      <c r="O23" s="69"/>
      <c r="Q23" s="466"/>
      <c r="S23" s="70" t="s">
        <v>188</v>
      </c>
      <c r="AF23" s="466"/>
      <c r="AG23" s="466"/>
      <c r="AH23" s="466"/>
      <c r="AI23" s="466"/>
      <c r="AJ23" s="466"/>
      <c r="AK23" s="466"/>
    </row>
    <row r="24" spans="1:37" ht="19.5" thickBot="1" x14ac:dyDescent="0.35">
      <c r="C24" s="69"/>
      <c r="D24" s="69"/>
      <c r="E24" s="69"/>
      <c r="F24" s="69"/>
      <c r="G24" s="69"/>
      <c r="N24" s="69"/>
      <c r="O24" s="69"/>
      <c r="S24" s="70"/>
    </row>
    <row r="25" spans="1:37" ht="45.75" thickBot="1" x14ac:dyDescent="0.3">
      <c r="C25" s="71" t="s">
        <v>11</v>
      </c>
      <c r="D25" s="71" t="s">
        <v>90</v>
      </c>
      <c r="E25" s="72" t="s">
        <v>91</v>
      </c>
      <c r="F25" s="72" t="s">
        <v>92</v>
      </c>
      <c r="G25" s="72" t="s">
        <v>93</v>
      </c>
      <c r="H25" s="71" t="s">
        <v>94</v>
      </c>
      <c r="I25" s="71" t="s">
        <v>95</v>
      </c>
      <c r="J25" s="71" t="s">
        <v>96</v>
      </c>
      <c r="K25" s="71" t="s">
        <v>97</v>
      </c>
      <c r="L25" s="71" t="s">
        <v>98</v>
      </c>
      <c r="M25" s="377" t="s">
        <v>99</v>
      </c>
      <c r="N25" s="75" t="s">
        <v>100</v>
      </c>
      <c r="R25" s="111" t="s">
        <v>101</v>
      </c>
      <c r="S25" s="111" t="s">
        <v>94</v>
      </c>
      <c r="T25" s="111" t="s">
        <v>102</v>
      </c>
      <c r="U25" s="111" t="s">
        <v>96</v>
      </c>
      <c r="V25" s="111" t="s">
        <v>103</v>
      </c>
      <c r="W25" s="111" t="s">
        <v>104</v>
      </c>
    </row>
    <row r="26" spans="1:37" x14ac:dyDescent="0.25">
      <c r="C26" s="77" t="s">
        <v>71</v>
      </c>
      <c r="D26" s="376">
        <f t="shared" ref="D26:D33" si="0">SUMIF($E$6:$E$18,C26,$D$6:$D$18)</f>
        <v>0</v>
      </c>
      <c r="E26" s="279"/>
      <c r="F26" s="288"/>
      <c r="G26" s="137"/>
      <c r="H26" s="84">
        <f t="shared" ref="H26:H33" si="1">SUMIF($E$6:$E$18,C26,$L$6:$L$18)+SUMIF($E$6:$E$18,C26,$M$6:$M$18)+SUMIF($E$6:$E$18,C26,$N$6:$N$18)</f>
        <v>0</v>
      </c>
      <c r="I26" s="139">
        <f t="shared" ref="I26:I33" si="2">IF(ISERROR(H26*24/D26),0,H26*24/D26)</f>
        <v>0</v>
      </c>
      <c r="J26" s="137">
        <v>6</v>
      </c>
      <c r="K26" s="80"/>
      <c r="L26" s="38">
        <f>D26*J26/24</f>
        <v>0</v>
      </c>
      <c r="M26" s="80">
        <f t="shared" ref="M26:M33" si="3">L26-H26</f>
        <v>0</v>
      </c>
      <c r="N26" s="86"/>
      <c r="Q26" s="82"/>
      <c r="R26" s="83" t="s">
        <v>105</v>
      </c>
      <c r="S26" s="228">
        <f>SUM(V5:V18)</f>
        <v>0</v>
      </c>
      <c r="T26" s="84" t="e">
        <f>S26*24/($D$27+$D$33)</f>
        <v>#DIV/0!</v>
      </c>
      <c r="U26" s="84">
        <v>6</v>
      </c>
      <c r="V26" s="85">
        <f>($D$27+$D$33)*U26/24</f>
        <v>0</v>
      </c>
      <c r="W26" s="86">
        <f>V26-S26</f>
        <v>0</v>
      </c>
    </row>
    <row r="27" spans="1:37" x14ac:dyDescent="0.25">
      <c r="C27" s="87" t="s">
        <v>51</v>
      </c>
      <c r="D27" s="264">
        <f t="shared" si="0"/>
        <v>0</v>
      </c>
      <c r="E27" s="264"/>
      <c r="F27" s="289"/>
      <c r="G27" s="139"/>
      <c r="H27" s="88">
        <f t="shared" si="1"/>
        <v>0</v>
      </c>
      <c r="I27" s="139">
        <f t="shared" si="2"/>
        <v>0</v>
      </c>
      <c r="J27" s="139">
        <v>6</v>
      </c>
      <c r="K27" s="88"/>
      <c r="L27" s="418">
        <f t="shared" ref="L27:L33" si="4">D27*J27/24</f>
        <v>0</v>
      </c>
      <c r="M27" s="88">
        <f t="shared" si="3"/>
        <v>0</v>
      </c>
      <c r="N27" s="121"/>
      <c r="R27" s="90" t="s">
        <v>106</v>
      </c>
      <c r="S27" s="286">
        <f>SUM(S5:S18)</f>
        <v>0.01</v>
      </c>
      <c r="T27" s="84" t="e">
        <f>S27*24/($D$27+$D$33)</f>
        <v>#DIV/0!</v>
      </c>
      <c r="U27" s="88"/>
      <c r="V27" s="88"/>
      <c r="W27" s="121"/>
    </row>
    <row r="28" spans="1:37" x14ac:dyDescent="0.25">
      <c r="C28" s="87" t="s">
        <v>61</v>
      </c>
      <c r="D28" s="264">
        <f t="shared" si="0"/>
        <v>0</v>
      </c>
      <c r="E28" s="264">
        <f>SUMIF($E$6:$E$18,C28,$G$6:$G$18)</f>
        <v>0</v>
      </c>
      <c r="F28" s="289" t="e">
        <f>E28/D28</f>
        <v>#DIV/0!</v>
      </c>
      <c r="G28" s="139">
        <v>12</v>
      </c>
      <c r="H28" s="88">
        <f t="shared" si="1"/>
        <v>0</v>
      </c>
      <c r="I28" s="139">
        <f t="shared" si="2"/>
        <v>0</v>
      </c>
      <c r="J28" s="139">
        <v>27</v>
      </c>
      <c r="K28" s="88">
        <f>E28/G28</f>
        <v>0</v>
      </c>
      <c r="L28" s="418">
        <f>K28*J28/24</f>
        <v>0</v>
      </c>
      <c r="M28" s="88">
        <f t="shared" si="3"/>
        <v>0</v>
      </c>
      <c r="N28" s="121">
        <f>K28-D28</f>
        <v>0</v>
      </c>
      <c r="R28" s="90" t="s">
        <v>20</v>
      </c>
      <c r="S28" s="286">
        <f>SUM(T5:T18)</f>
        <v>0</v>
      </c>
      <c r="T28" s="84" t="e">
        <f>S28*24/($D$27+$D$33)</f>
        <v>#DIV/0!</v>
      </c>
      <c r="U28" s="88"/>
      <c r="V28" s="88"/>
      <c r="W28" s="121"/>
    </row>
    <row r="29" spans="1:37" x14ac:dyDescent="0.25">
      <c r="C29" s="87" t="s">
        <v>55</v>
      </c>
      <c r="D29" s="264">
        <f t="shared" si="0"/>
        <v>0</v>
      </c>
      <c r="E29" s="264">
        <f>SUMIF($E$6:$E$18,C29,$G$6:$G$18)</f>
        <v>0</v>
      </c>
      <c r="F29" s="289" t="e">
        <f>E29/D29</f>
        <v>#DIV/0!</v>
      </c>
      <c r="G29" s="139">
        <v>12</v>
      </c>
      <c r="H29" s="88">
        <f t="shared" si="1"/>
        <v>0</v>
      </c>
      <c r="I29" s="139">
        <f t="shared" si="2"/>
        <v>0</v>
      </c>
      <c r="J29" s="139">
        <v>27</v>
      </c>
      <c r="K29" s="88">
        <f>E29/G29</f>
        <v>0</v>
      </c>
      <c r="L29" s="418">
        <f>K29*J29/24</f>
        <v>0</v>
      </c>
      <c r="M29" s="88">
        <f t="shared" si="3"/>
        <v>0</v>
      </c>
      <c r="N29" s="121">
        <f>K29-D29</f>
        <v>0</v>
      </c>
      <c r="R29" s="90" t="s">
        <v>107</v>
      </c>
      <c r="S29" s="286">
        <f>SUM(U5:U18)</f>
        <v>0</v>
      </c>
      <c r="T29" s="84" t="e">
        <f>S29*24/($D$27+$D$33)</f>
        <v>#DIV/0!</v>
      </c>
      <c r="U29" s="88"/>
      <c r="V29" s="88"/>
      <c r="W29" s="121"/>
    </row>
    <row r="30" spans="1:37" ht="15.75" thickBot="1" x14ac:dyDescent="0.3">
      <c r="C30" s="87" t="s">
        <v>108</v>
      </c>
      <c r="D30" s="264">
        <f t="shared" si="0"/>
        <v>0</v>
      </c>
      <c r="E30" s="264">
        <f>SUMIF($E$6:$E$18,C30,$G$6:$G$18)</f>
        <v>0</v>
      </c>
      <c r="F30" s="289">
        <f>IF(ISERROR(E30/D30),0,E30/D30)</f>
        <v>0</v>
      </c>
      <c r="G30" s="139">
        <v>12</v>
      </c>
      <c r="H30" s="88">
        <f t="shared" si="1"/>
        <v>0</v>
      </c>
      <c r="I30" s="139">
        <f>IF(ISERROR(H30*24/D30),0,H30*24/D30)</f>
        <v>0</v>
      </c>
      <c r="J30" s="139">
        <v>27</v>
      </c>
      <c r="K30" s="88">
        <f>E30/G30</f>
        <v>0</v>
      </c>
      <c r="L30" s="418">
        <f>K30*J30/24</f>
        <v>0</v>
      </c>
      <c r="M30" s="88">
        <f t="shared" si="3"/>
        <v>0</v>
      </c>
      <c r="N30" s="121">
        <f>K30-D30</f>
        <v>0</v>
      </c>
      <c r="R30" s="92" t="s">
        <v>24</v>
      </c>
      <c r="S30" s="287">
        <f>SUM(R5:R18)</f>
        <v>0</v>
      </c>
      <c r="T30" s="84" t="e">
        <f>S30*24/($D$27+$D$33)</f>
        <v>#DIV/0!</v>
      </c>
      <c r="U30" s="98"/>
      <c r="V30" s="98"/>
      <c r="W30" s="122"/>
    </row>
    <row r="31" spans="1:37" x14ac:dyDescent="0.25">
      <c r="C31" s="87" t="s">
        <v>45</v>
      </c>
      <c r="D31" s="264">
        <f t="shared" si="0"/>
        <v>290.16666666666669</v>
      </c>
      <c r="E31" s="264"/>
      <c r="F31" s="289"/>
      <c r="G31" s="139"/>
      <c r="H31" s="88">
        <f t="shared" si="1"/>
        <v>18.459999999999997</v>
      </c>
      <c r="I31" s="139">
        <f t="shared" si="2"/>
        <v>1.5268466398621479</v>
      </c>
      <c r="J31" s="139">
        <v>6</v>
      </c>
      <c r="K31" s="88"/>
      <c r="L31" s="418">
        <f t="shared" si="4"/>
        <v>72.541666666666671</v>
      </c>
      <c r="M31" s="88">
        <f t="shared" si="3"/>
        <v>54.081666666666678</v>
      </c>
      <c r="N31" s="121"/>
      <c r="S31" s="68"/>
      <c r="T31" s="143"/>
      <c r="U31" s="68"/>
      <c r="V31" s="68"/>
      <c r="W31" s="68"/>
    </row>
    <row r="32" spans="1:37" x14ac:dyDescent="0.25">
      <c r="C32" s="87" t="s">
        <v>47</v>
      </c>
      <c r="D32" s="264">
        <f t="shared" si="0"/>
        <v>0</v>
      </c>
      <c r="E32" s="264"/>
      <c r="F32" s="289"/>
      <c r="G32" s="139"/>
      <c r="H32" s="88">
        <f t="shared" si="1"/>
        <v>0</v>
      </c>
      <c r="I32" s="139">
        <f t="shared" si="2"/>
        <v>0</v>
      </c>
      <c r="J32" s="139">
        <v>6</v>
      </c>
      <c r="K32" s="88"/>
      <c r="L32" s="418">
        <f t="shared" si="4"/>
        <v>0</v>
      </c>
      <c r="M32" s="88">
        <f t="shared" si="3"/>
        <v>0</v>
      </c>
      <c r="N32" s="121"/>
      <c r="S32" s="68"/>
      <c r="T32" s="68"/>
      <c r="U32" s="68"/>
      <c r="V32" s="68"/>
      <c r="W32" s="68"/>
    </row>
    <row r="33" spans="3:25" ht="15.75" thickBot="1" x14ac:dyDescent="0.3">
      <c r="C33" s="97" t="s">
        <v>49</v>
      </c>
      <c r="D33" s="290">
        <f t="shared" si="0"/>
        <v>0</v>
      </c>
      <c r="E33" s="290"/>
      <c r="F33" s="291"/>
      <c r="G33" s="140"/>
      <c r="H33" s="98">
        <f t="shared" si="1"/>
        <v>0</v>
      </c>
      <c r="I33" s="141">
        <f t="shared" si="2"/>
        <v>0</v>
      </c>
      <c r="J33" s="141">
        <v>8</v>
      </c>
      <c r="K33" s="98"/>
      <c r="L33" s="99">
        <f t="shared" si="4"/>
        <v>0</v>
      </c>
      <c r="M33" s="98">
        <f t="shared" si="3"/>
        <v>0</v>
      </c>
      <c r="N33" s="122"/>
      <c r="O33" s="68"/>
      <c r="S33" s="68"/>
      <c r="T33" s="68"/>
      <c r="U33" s="68"/>
      <c r="V33" s="68"/>
      <c r="W33" s="68"/>
    </row>
    <row r="34" spans="3:25" ht="15.75" thickBot="1" x14ac:dyDescent="0.3">
      <c r="C34" s="124"/>
      <c r="D34" s="327"/>
      <c r="E34" s="292"/>
      <c r="F34" s="293"/>
      <c r="G34" s="134"/>
      <c r="H34" s="328"/>
      <c r="I34" s="144"/>
      <c r="J34" s="144"/>
      <c r="K34" s="68"/>
      <c r="L34" s="102"/>
      <c r="M34" s="68"/>
      <c r="N34" s="145"/>
      <c r="O34" s="68"/>
      <c r="S34" s="68"/>
      <c r="T34" s="68"/>
      <c r="U34" s="68"/>
      <c r="V34" s="68"/>
      <c r="W34" s="68"/>
    </row>
    <row r="35" spans="3:25" ht="15.75" thickBot="1" x14ac:dyDescent="0.3">
      <c r="C35" s="103" t="s">
        <v>29</v>
      </c>
      <c r="D35" s="284">
        <f>SUM(D26:D33)</f>
        <v>290.16666666666669</v>
      </c>
      <c r="E35" s="284">
        <f>SUM(E26:E32)</f>
        <v>0</v>
      </c>
      <c r="F35" s="284" t="e">
        <f>SUM(F26:F32)/2</f>
        <v>#DIV/0!</v>
      </c>
      <c r="H35" s="101">
        <f>SUM(H26:H33)</f>
        <v>18.459999999999997</v>
      </c>
      <c r="K35" s="142"/>
      <c r="L35" s="104">
        <f>SUM(L26:L33)</f>
        <v>72.541666666666671</v>
      </c>
      <c r="M35" s="101">
        <f>SUM(M26:M33)</f>
        <v>54.081666666666678</v>
      </c>
      <c r="N35" s="101">
        <f>SUM(N26:N33)</f>
        <v>0</v>
      </c>
      <c r="R35" s="100" t="s">
        <v>29</v>
      </c>
      <c r="S35" s="101">
        <f>SUM(S26:S30)</f>
        <v>0.01</v>
      </c>
      <c r="T35" s="101" t="e">
        <f>SUM(T26:T30)</f>
        <v>#DIV/0!</v>
      </c>
      <c r="U35" s="68"/>
      <c r="V35" s="68"/>
      <c r="W35" s="68"/>
    </row>
    <row r="36" spans="3:25" x14ac:dyDescent="0.25">
      <c r="T36">
        <v>0</v>
      </c>
      <c r="Y36">
        <v>0</v>
      </c>
    </row>
    <row r="44" spans="3:25" x14ac:dyDescent="0.25">
      <c r="I44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22" name="Rango12"/>
    <protectedRange sqref="AC6:AD22" name="Rango10"/>
    <protectedRange sqref="Z19:AA22 Z6:AA8" name="Rango8"/>
    <protectedRange sqref="X6:X22" name="Rango6"/>
    <protectedRange sqref="R6:V22" name="Rango5"/>
    <protectedRange sqref="P6:P22" name="Rango3"/>
    <protectedRange sqref="J21:N22 J19:K20 E6:H22 J6:N18" name="Rango2"/>
    <protectedRange sqref="A6:C22" name="Rango1"/>
    <protectedRange sqref="B4:C4" name="Rango16"/>
    <protectedRange sqref="Z9:AA18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22">
    <cfRule type="cellIs" dxfId="228" priority="6" operator="greaterThan">
      <formula>"S5"</formula>
    </cfRule>
  </conditionalFormatting>
  <conditionalFormatting sqref="I9:I22">
    <cfRule type="cellIs" dxfId="227" priority="5" operator="greaterThan">
      <formula>0</formula>
    </cfRule>
  </conditionalFormatting>
  <conditionalFormatting sqref="J6:J8">
    <cfRule type="cellIs" dxfId="226" priority="2" operator="greaterThan">
      <formula>"S5"</formula>
    </cfRule>
  </conditionalFormatting>
  <conditionalFormatting sqref="I6:I8">
    <cfRule type="cellIs" dxfId="225" priority="1" operator="greaterThan">
      <formula>0</formula>
    </cfRule>
  </conditionalFormatting>
  <dataValidations count="1">
    <dataValidation type="list" showInputMessage="1" showErrorMessage="1" sqref="E6:E22">
      <formula1>$C$26:$C$34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44"/>
  <sheetViews>
    <sheetView zoomScaleNormal="100" workbookViewId="0">
      <pane xSplit="6" ySplit="5" topLeftCell="V91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B115" sqref="B115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2.140625" customWidth="1"/>
    <col min="6" max="6" width="33.57031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44274</v>
      </c>
      <c r="C4" s="341">
        <v>0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125.4</v>
      </c>
      <c r="R4" s="553" t="s">
        <v>183</v>
      </c>
      <c r="S4" s="554"/>
      <c r="T4" s="554"/>
      <c r="U4" s="554"/>
      <c r="V4" s="554"/>
      <c r="W4" s="554"/>
      <c r="X4" s="555"/>
      <c r="Y4" s="283">
        <v>33.299999999999997</v>
      </c>
      <c r="Z4" s="6"/>
      <c r="AA4" s="7" t="s">
        <v>184</v>
      </c>
      <c r="AB4" s="304">
        <v>1570</v>
      </c>
      <c r="AC4" s="9"/>
      <c r="AD4" s="7" t="s">
        <v>184</v>
      </c>
      <c r="AE4" s="304">
        <v>3500</v>
      </c>
      <c r="AG4" s="7" t="s">
        <v>184</v>
      </c>
      <c r="AH4" s="304">
        <v>1910</v>
      </c>
      <c r="AJ4" s="7" t="s">
        <v>184</v>
      </c>
      <c r="AK4" s="304">
        <v>1000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443</v>
      </c>
      <c r="B6" s="526">
        <v>44274</v>
      </c>
      <c r="C6" s="237">
        <v>0.33333333333333331</v>
      </c>
      <c r="D6" s="418">
        <f>IF(V062A_2030313334363537394041[[#This Row],[FECHA]]-B4=1,((V062A_2030313334363537394041[[#This Row],[HORA]]-C4)*24)+24,(V062A_2030313334363537394041[[#This Row],[HORA]]-C4)*24)</f>
        <v>8</v>
      </c>
      <c r="E6" s="506" t="s">
        <v>45</v>
      </c>
      <c r="F6" s="29" t="s">
        <v>444</v>
      </c>
      <c r="G6" s="508"/>
      <c r="H6" s="509"/>
      <c r="I6" s="510"/>
      <c r="J6" s="511"/>
      <c r="K6" s="512"/>
      <c r="L6" s="245">
        <v>0</v>
      </c>
      <c r="M6" s="246">
        <v>0.55000000000000004</v>
      </c>
      <c r="N6" s="246">
        <v>0.35</v>
      </c>
      <c r="O6" s="246">
        <f>SUM(V062A_2030313334363537394041[[#This Row],[MPAL]]+V062A_2030313334363537394041[[#This Row],[AUX.]]+V062A_2030313334363537394041[[#This Row],[CALDERA]])</f>
        <v>0.9</v>
      </c>
      <c r="P6" s="319"/>
      <c r="Q6" s="270">
        <f>(Q4-V062A_2030313334363537394041[[#This Row],[TOTAL ]])+V062A_2030313334363537394041[[#This Row],[FAENA]]</f>
        <v>124.5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SUM(V062A_2030313334363537394041[[#This Row],[MPAL2]:[GI]])</f>
        <v>0</v>
      </c>
      <c r="X6" s="246"/>
      <c r="Y6" s="300">
        <f>(Y4-V062A_2030313334363537394041[[#This Row],[TOTAL]])+V062A_2030313334363537394041[[#This Row],[FAENA2]]</f>
        <v>33.299999999999997</v>
      </c>
      <c r="Z6" s="245">
        <v>0</v>
      </c>
      <c r="AA6" s="246">
        <v>0</v>
      </c>
      <c r="AB6" s="438">
        <f>(AB4-V062A_2030313334363537394041[[#This Row],[CYLINDER MP]])+V062A_2030313334363537394041[[#This Row],[FAENA EN LTS]]</f>
        <v>1570</v>
      </c>
      <c r="AC6" s="246">
        <v>0</v>
      </c>
      <c r="AD6" s="246">
        <v>0</v>
      </c>
      <c r="AE6" s="438">
        <f>(AE4-V062A_2030313334363537394041[[#This Row],[CARTER MP.]])+V062A_2030313334363537394041[[#This Row],[FAENA EN LTS2]]</f>
        <v>3500</v>
      </c>
      <c r="AF6" s="246">
        <v>20</v>
      </c>
      <c r="AG6" s="246">
        <v>0</v>
      </c>
      <c r="AH6" s="438">
        <f>(AH4-V062A_2030313334363537394041[[#This Row],[MOT AUX]])+V062A_2030313334363537394041[[#This Row],[FAENA EN  LTS]]</f>
        <v>1890</v>
      </c>
      <c r="AI6" s="246">
        <v>0</v>
      </c>
      <c r="AJ6" s="246">
        <v>0</v>
      </c>
      <c r="AK6" s="439">
        <f>(AK4-V062A_2030313334363537394041[[#This Row],[HIDRAULICO]])+V062A_2030313334363537394041[[#This Row],[FAENA EN LTS3]]</f>
        <v>1000</v>
      </c>
    </row>
    <row r="7" spans="1:37" x14ac:dyDescent="0.25">
      <c r="A7" s="431" t="s">
        <v>443</v>
      </c>
      <c r="B7" s="526">
        <v>44275</v>
      </c>
      <c r="C7" s="237">
        <v>0.33333333333333331</v>
      </c>
      <c r="D7" s="418">
        <f>IF(V062A_2030313334363537394041[[#This Row],[FECHA]]-B6=1,((V062A_2030313334363537394041[[#This Row],[HORA]]-C6)*24)+24,(V062A_2030313334363537394041[[#This Row],[HORA]]-C6)*24)</f>
        <v>24</v>
      </c>
      <c r="E7" s="506" t="s">
        <v>45</v>
      </c>
      <c r="F7" s="29" t="s">
        <v>444</v>
      </c>
      <c r="G7" s="508"/>
      <c r="H7" s="509"/>
      <c r="I7" s="510"/>
      <c r="J7" s="511"/>
      <c r="K7" s="512"/>
      <c r="L7" s="245">
        <v>0</v>
      </c>
      <c r="M7" s="246">
        <v>1.6</v>
      </c>
      <c r="N7" s="246">
        <v>1</v>
      </c>
      <c r="O7" s="246">
        <f>SUM(V062A_2030313334363537394041[[#This Row],[MPAL]]+V062A_2030313334363537394041[[#This Row],[AUX.]]+V062A_2030313334363537394041[[#This Row],[CALDERA]])</f>
        <v>2.6</v>
      </c>
      <c r="P7" s="319"/>
      <c r="Q7" s="270">
        <f>(Q6-V062A_2030313334363537394041[[#This Row],[TOTAL ]])+V062A_2030313334363537394041[[#This Row],[FAENA]]</f>
        <v>121.9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SUM(V062A_2030313334363537394041[[#This Row],[MPAL2]:[GI]])</f>
        <v>0</v>
      </c>
      <c r="X7" s="246"/>
      <c r="Y7" s="300">
        <f>(Y6-V062A_2030313334363537394041[[#This Row],[TOTAL]])+V062A_2030313334363537394041[[#This Row],[FAENA2]]</f>
        <v>33.299999999999997</v>
      </c>
      <c r="Z7" s="245">
        <v>0</v>
      </c>
      <c r="AA7" s="246">
        <v>0</v>
      </c>
      <c r="AB7" s="438">
        <f>(AB6-V062A_2030313334363537394041[[#This Row],[CYLINDER MP]])+V062A_2030313334363537394041[[#This Row],[FAENA EN LTS]]</f>
        <v>1570</v>
      </c>
      <c r="AC7" s="246">
        <v>0</v>
      </c>
      <c r="AD7" s="246">
        <v>0</v>
      </c>
      <c r="AE7" s="438">
        <f>(AE6-V062A_2030313334363537394041[[#This Row],[CARTER MP.]])+V062A_2030313334363537394041[[#This Row],[FAENA EN LTS2]]</f>
        <v>3500</v>
      </c>
      <c r="AF7" s="246">
        <v>0</v>
      </c>
      <c r="AG7" s="246">
        <v>0</v>
      </c>
      <c r="AH7" s="438">
        <f>(AH6-V062A_2030313334363537394041[[#This Row],[MOT AUX]])+V062A_2030313334363537394041[[#This Row],[FAENA EN  LTS]]</f>
        <v>1890</v>
      </c>
      <c r="AI7" s="246">
        <v>0</v>
      </c>
      <c r="AJ7" s="246">
        <v>0</v>
      </c>
      <c r="AK7" s="439">
        <f>(AK6-V062A_2030313334363537394041[[#This Row],[HIDRAULICO]])+V062A_2030313334363537394041[[#This Row],[FAENA EN LTS3]]</f>
        <v>1000</v>
      </c>
    </row>
    <row r="8" spans="1:37" x14ac:dyDescent="0.25">
      <c r="A8" s="431" t="s">
        <v>443</v>
      </c>
      <c r="B8" s="526">
        <v>44276</v>
      </c>
      <c r="C8" s="237">
        <v>0.33333333333333331</v>
      </c>
      <c r="D8" s="418">
        <f>IF(V062A_2030313334363537394041[[#This Row],[FECHA]]-B7=1,((V062A_2030313334363537394041[[#This Row],[HORA]]-C7)*24)+24,(V062A_2030313334363537394041[[#This Row],[HORA]]-C7)*24)</f>
        <v>24</v>
      </c>
      <c r="E8" s="506" t="s">
        <v>45</v>
      </c>
      <c r="F8" s="29" t="s">
        <v>444</v>
      </c>
      <c r="G8" s="508"/>
      <c r="H8" s="509"/>
      <c r="I8" s="510"/>
      <c r="J8" s="511"/>
      <c r="K8" s="512"/>
      <c r="L8" s="245">
        <v>0</v>
      </c>
      <c r="M8" s="246">
        <v>1.6</v>
      </c>
      <c r="N8" s="246">
        <v>1</v>
      </c>
      <c r="O8" s="246">
        <f>SUM(V062A_2030313334363537394041[[#This Row],[MPAL]]+V062A_2030313334363537394041[[#This Row],[AUX.]]+V062A_2030313334363537394041[[#This Row],[CALDERA]])</f>
        <v>2.6</v>
      </c>
      <c r="P8" s="319"/>
      <c r="Q8" s="270">
        <f>(Q7-V062A_2030313334363537394041[[#This Row],[TOTAL ]])+V062A_2030313334363537394041[[#This Row],[FAENA]]</f>
        <v>119.30000000000001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SUM(V062A_2030313334363537394041[[#This Row],[MPAL2]:[GI]])</f>
        <v>0</v>
      </c>
      <c r="X8" s="246"/>
      <c r="Y8" s="300">
        <f>(Y7-V062A_2030313334363537394041[[#This Row],[TOTAL]])+V062A_2030313334363537394041[[#This Row],[FAENA2]]</f>
        <v>33.299999999999997</v>
      </c>
      <c r="Z8" s="245">
        <v>0</v>
      </c>
      <c r="AA8" s="246">
        <v>0</v>
      </c>
      <c r="AB8" s="438">
        <f>(AB7-V062A_2030313334363537394041[[#This Row],[CYLINDER MP]])+V062A_2030313334363537394041[[#This Row],[FAENA EN LTS]]</f>
        <v>1570</v>
      </c>
      <c r="AC8" s="246">
        <v>0</v>
      </c>
      <c r="AD8" s="246">
        <v>0</v>
      </c>
      <c r="AE8" s="438">
        <f>(AE7-V062A_2030313334363537394041[[#This Row],[CARTER MP.]])+V062A_2030313334363537394041[[#This Row],[FAENA EN LTS2]]</f>
        <v>3500</v>
      </c>
      <c r="AF8" s="246">
        <v>0</v>
      </c>
      <c r="AG8" s="246">
        <v>0</v>
      </c>
      <c r="AH8" s="438">
        <f>(AH7-V062A_2030313334363537394041[[#This Row],[MOT AUX]])+V062A_2030313334363537394041[[#This Row],[FAENA EN  LTS]]</f>
        <v>1890</v>
      </c>
      <c r="AI8" s="246">
        <v>0</v>
      </c>
      <c r="AJ8" s="246">
        <v>0</v>
      </c>
      <c r="AK8" s="439">
        <f>(AK7-V062A_2030313334363537394041[[#This Row],[HIDRAULICO]])+V062A_2030313334363537394041[[#This Row],[FAENA EN LTS3]]</f>
        <v>1000</v>
      </c>
    </row>
    <row r="9" spans="1:37" x14ac:dyDescent="0.25">
      <c r="A9" s="431" t="s">
        <v>443</v>
      </c>
      <c r="B9" s="526">
        <v>44277</v>
      </c>
      <c r="C9" s="41">
        <v>0.28750000000000003</v>
      </c>
      <c r="D9" s="418">
        <f>IF(V062A_2030313334363537394041[[#This Row],[FECHA]]-B8=1,((V062A_2030313334363537394041[[#This Row],[HORA]]-C8)*24)+24,(V062A_2030313334363537394041[[#This Row],[HORA]]-C8)*24)</f>
        <v>22.900000000000002</v>
      </c>
      <c r="E9" s="409" t="s">
        <v>45</v>
      </c>
      <c r="F9" s="29" t="s">
        <v>444</v>
      </c>
      <c r="G9" s="324"/>
      <c r="H9" s="306"/>
      <c r="I9" s="259"/>
      <c r="J9" s="242"/>
      <c r="K9" s="325"/>
      <c r="L9" s="483">
        <v>0</v>
      </c>
      <c r="M9" s="246">
        <v>1.5266666666666668</v>
      </c>
      <c r="N9" s="484">
        <v>0.95416666666666672</v>
      </c>
      <c r="O9" s="246">
        <f>SUM(V062A_2030313334363537394041[[#This Row],[MPAL]]+V062A_2030313334363537394041[[#This Row],[AUX.]]+V062A_2030313334363537394041[[#This Row],[CALDERA]])</f>
        <v>2.4808333333333334</v>
      </c>
      <c r="P9" s="319"/>
      <c r="Q9" s="270">
        <f>(Q8-V062A_2030313334363537394041[[#This Row],[TOTAL ]])+V062A_2030313334363537394041[[#This Row],[FAENA]]</f>
        <v>116.81916666666667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SUM(V062A_2030313334363537394041[[#This Row],[MPAL2]:[GI]])</f>
        <v>0</v>
      </c>
      <c r="X9" s="246"/>
      <c r="Y9" s="300">
        <f>(Y8-V062A_2030313334363537394041[[#This Row],[TOTAL]])+V062A_2030313334363537394041[[#This Row],[FAENA2]]</f>
        <v>33.299999999999997</v>
      </c>
      <c r="Z9" s="245">
        <v>0</v>
      </c>
      <c r="AA9" s="246">
        <v>0</v>
      </c>
      <c r="AB9" s="438">
        <f>(AB8-V062A_2030313334363537394041[[#This Row],[CYLINDER MP]])+V062A_2030313334363537394041[[#This Row],[FAENA EN LTS]]</f>
        <v>1570</v>
      </c>
      <c r="AC9" s="246">
        <v>0</v>
      </c>
      <c r="AD9" s="246">
        <v>0</v>
      </c>
      <c r="AE9" s="438">
        <f>(AE8-V062A_2030313334363537394041[[#This Row],[CARTER MP.]])+V062A_2030313334363537394041[[#This Row],[FAENA EN LTS2]]</f>
        <v>3500</v>
      </c>
      <c r="AF9" s="246">
        <v>0</v>
      </c>
      <c r="AG9" s="246">
        <v>0</v>
      </c>
      <c r="AH9" s="438">
        <f>(AH8-V062A_2030313334363537394041[[#This Row],[MOT AUX]])+V062A_2030313334363537394041[[#This Row],[FAENA EN  LTS]]</f>
        <v>1890</v>
      </c>
      <c r="AI9" s="246">
        <v>0</v>
      </c>
      <c r="AJ9" s="246">
        <v>0</v>
      </c>
      <c r="AK9" s="439">
        <f>(AK8-V062A_2030313334363537394041[[#This Row],[HIDRAULICO]])+V062A_2030313334363537394041[[#This Row],[FAENA EN LTS3]]</f>
        <v>1000</v>
      </c>
    </row>
    <row r="10" spans="1:37" x14ac:dyDescent="0.25">
      <c r="A10" s="431" t="s">
        <v>443</v>
      </c>
      <c r="B10" s="526">
        <v>44277</v>
      </c>
      <c r="C10" s="41">
        <v>0.33333333333333331</v>
      </c>
      <c r="D10" s="418">
        <f>IF(V062A_2030313334363537394041[[#This Row],[FECHA]]-B9=1,((V062A_2030313334363537394041[[#This Row],[HORA]]-C9)*24)+24,(V062A_2030313334363537394041[[#This Row],[HORA]]-C9)*24)</f>
        <v>1.0999999999999988</v>
      </c>
      <c r="E10" s="409" t="s">
        <v>47</v>
      </c>
      <c r="F10" s="29" t="s">
        <v>47</v>
      </c>
      <c r="G10" s="324"/>
      <c r="H10" s="306"/>
      <c r="I10" s="259"/>
      <c r="J10" s="242"/>
      <c r="K10" s="325"/>
      <c r="L10" s="483">
        <v>0.22916666666666641</v>
      </c>
      <c r="M10" s="246">
        <v>7.333333333333325E-2</v>
      </c>
      <c r="N10" s="484">
        <v>4.5833333333333282E-2</v>
      </c>
      <c r="O10" s="246">
        <f>SUM(V062A_2030313334363537394041[[#This Row],[MPAL]]+V062A_2030313334363537394041[[#This Row],[AUX.]]+V062A_2030313334363537394041[[#This Row],[CALDERA]])</f>
        <v>0.34833333333333294</v>
      </c>
      <c r="P10" s="319"/>
      <c r="Q10" s="270">
        <f>(Q9-V062A_2030313334363537394041[[#This Row],[TOTAL ]])+V062A_2030313334363537394041[[#This Row],[FAENA]]</f>
        <v>116.47083333333335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SUM(V062A_2030313334363537394041[[#This Row],[MPAL2]:[GI]])</f>
        <v>0</v>
      </c>
      <c r="X10" s="246"/>
      <c r="Y10" s="300">
        <f>(Y9-V062A_2030313334363537394041[[#This Row],[TOTAL]])+V062A_2030313334363537394041[[#This Row],[FAENA2]]</f>
        <v>33.299999999999997</v>
      </c>
      <c r="Z10" s="245">
        <v>0</v>
      </c>
      <c r="AA10" s="246">
        <v>0</v>
      </c>
      <c r="AB10" s="438">
        <f>(AB9-V062A_2030313334363537394041[[#This Row],[CYLINDER MP]])+V062A_2030313334363537394041[[#This Row],[FAENA EN LTS]]</f>
        <v>1570</v>
      </c>
      <c r="AC10" s="246">
        <v>0</v>
      </c>
      <c r="AD10" s="246">
        <v>0</v>
      </c>
      <c r="AE10" s="438">
        <f>(AE9-V062A_2030313334363537394041[[#This Row],[CARTER MP.]])+V062A_2030313334363537394041[[#This Row],[FAENA EN LTS2]]</f>
        <v>3500</v>
      </c>
      <c r="AF10" s="246">
        <v>20</v>
      </c>
      <c r="AG10" s="246">
        <v>0</v>
      </c>
      <c r="AH10" s="438">
        <f>(AH9-V062A_2030313334363537394041[[#This Row],[MOT AUX]])+V062A_2030313334363537394041[[#This Row],[FAENA EN  LTS]]</f>
        <v>1870</v>
      </c>
      <c r="AI10" s="246">
        <v>0</v>
      </c>
      <c r="AJ10" s="246">
        <v>0</v>
      </c>
      <c r="AK10" s="439">
        <f>(AK9-V062A_2030313334363537394041[[#This Row],[HIDRAULICO]])+V062A_2030313334363537394041[[#This Row],[FAENA EN LTS3]]</f>
        <v>1000</v>
      </c>
    </row>
    <row r="11" spans="1:37" x14ac:dyDescent="0.25">
      <c r="A11" s="431" t="s">
        <v>443</v>
      </c>
      <c r="B11" s="526">
        <v>44277</v>
      </c>
      <c r="C11" s="41">
        <v>0.3666666666666667</v>
      </c>
      <c r="D11" s="418">
        <f>IF(V062A_2030313334363537394041[[#This Row],[FECHA]]-B10=1,((V062A_2030313334363537394041[[#This Row],[HORA]]-C10)*24)+24,(V062A_2030313334363537394041[[#This Row],[HORA]]-C10)*24)</f>
        <v>0.80000000000000115</v>
      </c>
      <c r="E11" s="239" t="s">
        <v>47</v>
      </c>
      <c r="F11" s="29" t="s">
        <v>445</v>
      </c>
      <c r="G11" s="324"/>
      <c r="H11" s="306"/>
      <c r="I11" s="259"/>
      <c r="J11" s="380"/>
      <c r="K11" s="325"/>
      <c r="L11" s="483">
        <v>0.16666666666666691</v>
      </c>
      <c r="M11" s="246">
        <v>5.3333333333333406E-2</v>
      </c>
      <c r="N11" s="484">
        <v>3.3333333333333381E-2</v>
      </c>
      <c r="O11" s="246">
        <f>SUM(V062A_2030313334363537394041[[#This Row],[MPAL]]+V062A_2030313334363537394041[[#This Row],[AUX.]]+V062A_2030313334363537394041[[#This Row],[CALDERA]])</f>
        <v>0.25333333333333369</v>
      </c>
      <c r="P11" s="319"/>
      <c r="Q11" s="270">
        <f>(Q10-V062A_2030313334363537394041[[#This Row],[TOTAL ]])+V062A_2030313334363537394041[[#This Row],[FAENA]]</f>
        <v>116.21750000000002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SUM(V062A_2030313334363537394041[[#This Row],[MPAL2]:[GI]])</f>
        <v>0</v>
      </c>
      <c r="X11" s="246"/>
      <c r="Y11" s="300">
        <f>(Y10-V062A_2030313334363537394041[[#This Row],[TOTAL]])+V062A_2030313334363537394041[[#This Row],[FAENA2]]</f>
        <v>33.299999999999997</v>
      </c>
      <c r="Z11" s="245">
        <v>0</v>
      </c>
      <c r="AA11" s="246">
        <v>0</v>
      </c>
      <c r="AB11" s="438">
        <f>(AB10-V062A_2030313334363537394041[[#This Row],[CYLINDER MP]])+V062A_2030313334363537394041[[#This Row],[FAENA EN LTS]]</f>
        <v>1570</v>
      </c>
      <c r="AC11" s="246">
        <v>300</v>
      </c>
      <c r="AD11" s="246">
        <v>0</v>
      </c>
      <c r="AE11" s="438">
        <f>(AE10-V062A_2030313334363537394041[[#This Row],[CARTER MP.]])+V062A_2030313334363537394041[[#This Row],[FAENA EN LTS2]]</f>
        <v>3200</v>
      </c>
      <c r="AF11" s="246">
        <v>0</v>
      </c>
      <c r="AG11" s="246">
        <v>0</v>
      </c>
      <c r="AH11" s="438">
        <f>(AH10-V062A_2030313334363537394041[[#This Row],[MOT AUX]])+V062A_2030313334363537394041[[#This Row],[FAENA EN  LTS]]</f>
        <v>1870</v>
      </c>
      <c r="AI11" s="246">
        <v>0</v>
      </c>
      <c r="AJ11" s="246">
        <v>0</v>
      </c>
      <c r="AK11" s="439">
        <f>(AK10-V062A_2030313334363537394041[[#This Row],[HIDRAULICO]])+V062A_2030313334363537394041[[#This Row],[FAENA EN LTS3]]</f>
        <v>1000</v>
      </c>
    </row>
    <row r="12" spans="1:37" x14ac:dyDescent="0.25">
      <c r="A12" s="431" t="s">
        <v>443</v>
      </c>
      <c r="B12" s="526">
        <v>44277</v>
      </c>
      <c r="C12" s="41">
        <v>0.5708333333333333</v>
      </c>
      <c r="D12" s="418">
        <f>IF(V062A_2030313334363537394041[[#This Row],[FECHA]]-B11=1,((V062A_2030313334363537394041[[#This Row],[HORA]]-C11)*24)+24,(V062A_2030313334363537394041[[#This Row],[HORA]]-C11)*24)</f>
        <v>4.8999999999999986</v>
      </c>
      <c r="E12" s="239" t="s">
        <v>49</v>
      </c>
      <c r="F12" s="29" t="s">
        <v>387</v>
      </c>
      <c r="G12" s="324"/>
      <c r="H12" s="306"/>
      <c r="I12" s="259"/>
      <c r="J12" s="242"/>
      <c r="K12" s="325"/>
      <c r="L12" s="483">
        <v>0</v>
      </c>
      <c r="M12" s="246">
        <v>0.32666666666666655</v>
      </c>
      <c r="N12" s="484">
        <v>0.20416666666666661</v>
      </c>
      <c r="O12" s="246">
        <f>SUM(V062A_2030313334363537394041[[#This Row],[MPAL]]+V062A_2030313334363537394041[[#This Row],[AUX.]]+V062A_2030313334363537394041[[#This Row],[CALDERA]])</f>
        <v>0.53083333333333316</v>
      </c>
      <c r="P12" s="319"/>
      <c r="Q12" s="270">
        <f>(Q11-V062A_2030313334363537394041[[#This Row],[TOTAL ]])+V062A_2030313334363537394041[[#This Row],[FAENA]]</f>
        <v>115.68666666666668</v>
      </c>
      <c r="R12" s="245">
        <v>0</v>
      </c>
      <c r="S12" s="246">
        <v>0</v>
      </c>
      <c r="T12" s="246">
        <v>0</v>
      </c>
      <c r="U12" s="246">
        <v>0</v>
      </c>
      <c r="V12" s="246">
        <v>0</v>
      </c>
      <c r="W12" s="246">
        <f>SUM(V062A_2030313334363537394041[[#This Row],[MPAL2]:[GI]])</f>
        <v>0</v>
      </c>
      <c r="X12" s="246"/>
      <c r="Y12" s="300">
        <f>(Y11-V062A_2030313334363537394041[[#This Row],[TOTAL]])+V062A_2030313334363537394041[[#This Row],[FAENA2]]</f>
        <v>33.299999999999997</v>
      </c>
      <c r="Z12" s="245">
        <v>0</v>
      </c>
      <c r="AA12" s="246">
        <v>0</v>
      </c>
      <c r="AB12" s="438">
        <f>(AB11-V062A_2030313334363537394041[[#This Row],[CYLINDER MP]])+V062A_2030313334363537394041[[#This Row],[FAENA EN LTS]]</f>
        <v>1570</v>
      </c>
      <c r="AC12" s="246">
        <v>0</v>
      </c>
      <c r="AD12" s="246">
        <v>0</v>
      </c>
      <c r="AE12" s="438">
        <f>(AE11-V062A_2030313334363537394041[[#This Row],[CARTER MP.]])+V062A_2030313334363537394041[[#This Row],[FAENA EN LTS2]]</f>
        <v>3200</v>
      </c>
      <c r="AF12" s="246">
        <v>0</v>
      </c>
      <c r="AG12" s="246">
        <v>0</v>
      </c>
      <c r="AH12" s="438">
        <f>(AH11-V062A_2030313334363537394041[[#This Row],[MOT AUX]])+V062A_2030313334363537394041[[#This Row],[FAENA EN  LTS]]</f>
        <v>1870</v>
      </c>
      <c r="AI12" s="246">
        <v>0</v>
      </c>
      <c r="AJ12" s="246">
        <v>0</v>
      </c>
      <c r="AK12" s="439">
        <f>(AK11-V062A_2030313334363537394041[[#This Row],[HIDRAULICO]])+V062A_2030313334363537394041[[#This Row],[FAENA EN LTS3]]</f>
        <v>1000</v>
      </c>
    </row>
    <row r="13" spans="1:37" x14ac:dyDescent="0.25">
      <c r="A13" s="431" t="s">
        <v>443</v>
      </c>
      <c r="B13" s="526">
        <v>44278</v>
      </c>
      <c r="C13" s="41">
        <v>0.33333333333333331</v>
      </c>
      <c r="D13" s="418">
        <f>IF(V062A_2030313334363537394041[[#This Row],[FECHA]]-B12=1,((V062A_2030313334363537394041[[#This Row],[HORA]]-C12)*24)+24,(V062A_2030313334363537394041[[#This Row],[HORA]]-C12)*24)</f>
        <v>18.3</v>
      </c>
      <c r="E13" s="409" t="s">
        <v>71</v>
      </c>
      <c r="F13" s="29" t="s">
        <v>71</v>
      </c>
      <c r="G13" s="324"/>
      <c r="H13" s="306"/>
      <c r="I13" s="259"/>
      <c r="J13" s="242"/>
      <c r="K13" s="325"/>
      <c r="L13" s="483">
        <v>0</v>
      </c>
      <c r="M13" s="246">
        <v>1.22</v>
      </c>
      <c r="N13" s="484">
        <v>0.76249999999999996</v>
      </c>
      <c r="O13" s="246">
        <f>SUM(V062A_2030313334363537394041[[#This Row],[MPAL]]+V062A_2030313334363537394041[[#This Row],[AUX.]]+V062A_2030313334363537394041[[#This Row],[CALDERA]])</f>
        <v>1.9824999999999999</v>
      </c>
      <c r="P13" s="319"/>
      <c r="Q13" s="270">
        <f>(Q12-V062A_2030313334363537394041[[#This Row],[TOTAL ]])+V062A_2030313334363537394041[[#This Row],[FAENA]]</f>
        <v>113.70416666666668</v>
      </c>
      <c r="R13" s="245">
        <v>0</v>
      </c>
      <c r="S13" s="246">
        <v>0</v>
      </c>
      <c r="T13" s="246">
        <v>0</v>
      </c>
      <c r="U13" s="246">
        <v>0</v>
      </c>
      <c r="V13" s="246">
        <v>0.3</v>
      </c>
      <c r="W13" s="246">
        <f>SUM(V062A_2030313334363537394041[[#This Row],[MPAL2]:[GI]])</f>
        <v>0.3</v>
      </c>
      <c r="X13" s="246"/>
      <c r="Y13" s="300">
        <f>(Y12-V062A_2030313334363537394041[[#This Row],[TOTAL]])+V062A_2030313334363537394041[[#This Row],[FAENA2]]</f>
        <v>33</v>
      </c>
      <c r="Z13" s="245">
        <v>0</v>
      </c>
      <c r="AA13" s="246">
        <v>0</v>
      </c>
      <c r="AB13" s="438">
        <f>(AB12-V062A_2030313334363537394041[[#This Row],[CYLINDER MP]])+V062A_2030313334363537394041[[#This Row],[FAENA EN LTS]]</f>
        <v>1570</v>
      </c>
      <c r="AC13" s="246">
        <v>0</v>
      </c>
      <c r="AD13" s="246">
        <v>0</v>
      </c>
      <c r="AE13" s="438">
        <f>(AE12-V062A_2030313334363537394041[[#This Row],[CARTER MP.]])+V062A_2030313334363537394041[[#This Row],[FAENA EN LTS2]]</f>
        <v>3200</v>
      </c>
      <c r="AF13" s="246">
        <v>20</v>
      </c>
      <c r="AG13" s="246">
        <v>0</v>
      </c>
      <c r="AH13" s="438">
        <f>(AH12-V062A_2030313334363537394041[[#This Row],[MOT AUX]])+V062A_2030313334363537394041[[#This Row],[FAENA EN  LTS]]</f>
        <v>1850</v>
      </c>
      <c r="AI13" s="246">
        <v>0</v>
      </c>
      <c r="AJ13" s="246">
        <v>0</v>
      </c>
      <c r="AK13" s="439">
        <f>(AK12-V062A_2030313334363537394041[[#This Row],[HIDRAULICO]])+V062A_2030313334363537394041[[#This Row],[FAENA EN LTS3]]</f>
        <v>1000</v>
      </c>
    </row>
    <row r="14" spans="1:37" x14ac:dyDescent="0.25">
      <c r="A14" s="431" t="s">
        <v>443</v>
      </c>
      <c r="B14" s="526">
        <v>44279</v>
      </c>
      <c r="C14" s="237">
        <v>0.33333333333333331</v>
      </c>
      <c r="D14" s="418">
        <f>IF(V062A_2030313334363537394041[[#This Row],[FECHA]]-B13=1,((V062A_2030313334363537394041[[#This Row],[HORA]]-C13)*24)+24,(V062A_2030313334363537394041[[#This Row],[HORA]]-C13)*24)</f>
        <v>24</v>
      </c>
      <c r="E14" s="499" t="s">
        <v>51</v>
      </c>
      <c r="F14" s="29" t="s">
        <v>446</v>
      </c>
      <c r="G14" s="500"/>
      <c r="H14" s="501"/>
      <c r="I14" s="502"/>
      <c r="J14" s="503"/>
      <c r="K14" s="504"/>
      <c r="L14" s="245">
        <v>0</v>
      </c>
      <c r="M14" s="246">
        <v>1.6</v>
      </c>
      <c r="N14" s="246">
        <v>1</v>
      </c>
      <c r="O14" s="246">
        <f>SUM(V062A_2030313334363537394041[[#This Row],[MPAL]]+V062A_2030313334363537394041[[#This Row],[AUX.]]+V062A_2030313334363537394041[[#This Row],[CALDERA]])</f>
        <v>2.6</v>
      </c>
      <c r="P14" s="319"/>
      <c r="Q14" s="270">
        <f>(Q13-V062A_2030313334363537394041[[#This Row],[TOTAL ]])+V062A_2030313334363537394041[[#This Row],[FAENA]]</f>
        <v>111.10416666666669</v>
      </c>
      <c r="R14" s="245">
        <v>0</v>
      </c>
      <c r="S14" s="246">
        <v>0</v>
      </c>
      <c r="T14" s="246">
        <v>0</v>
      </c>
      <c r="U14" s="246">
        <v>0</v>
      </c>
      <c r="V14" s="246">
        <v>1.8</v>
      </c>
      <c r="W14" s="246">
        <f>SUM(V062A_2030313334363537394041[[#This Row],[MPAL2]:[GI]])</f>
        <v>1.8</v>
      </c>
      <c r="X14" s="246"/>
      <c r="Y14" s="300">
        <f>(Y13-V062A_2030313334363537394041[[#This Row],[TOTAL]])+V062A_2030313334363537394041[[#This Row],[FAENA2]]</f>
        <v>31.2</v>
      </c>
      <c r="Z14" s="245">
        <v>0</v>
      </c>
      <c r="AA14" s="246">
        <v>0</v>
      </c>
      <c r="AB14" s="438">
        <f>(AB13-V062A_2030313334363537394041[[#This Row],[CYLINDER MP]])+V062A_2030313334363537394041[[#This Row],[FAENA EN LTS]]</f>
        <v>1570</v>
      </c>
      <c r="AC14" s="246">
        <v>0</v>
      </c>
      <c r="AD14" s="246">
        <v>0</v>
      </c>
      <c r="AE14" s="438">
        <f>(AE13-V062A_2030313334363537394041[[#This Row],[CARTER MP.]])+V062A_2030313334363537394041[[#This Row],[FAENA EN LTS2]]</f>
        <v>3200</v>
      </c>
      <c r="AF14" s="246">
        <v>0</v>
      </c>
      <c r="AG14" s="246">
        <v>0</v>
      </c>
      <c r="AH14" s="438">
        <f>(AH13-V062A_2030313334363537394041[[#This Row],[MOT AUX]])+V062A_2030313334363537394041[[#This Row],[FAENA EN  LTS]]</f>
        <v>1850</v>
      </c>
      <c r="AI14" s="246">
        <v>0</v>
      </c>
      <c r="AJ14" s="246">
        <v>0</v>
      </c>
      <c r="AK14" s="439">
        <f>(AK13-V062A_2030313334363537394041[[#This Row],[HIDRAULICO]])+V062A_2030313334363537394041[[#This Row],[FAENA EN LTS3]]</f>
        <v>1000</v>
      </c>
    </row>
    <row r="15" spans="1:37" x14ac:dyDescent="0.25">
      <c r="A15" s="431" t="s">
        <v>443</v>
      </c>
      <c r="B15" s="526">
        <v>44279</v>
      </c>
      <c r="C15" s="41">
        <v>0.41666666666666669</v>
      </c>
      <c r="D15" s="418">
        <f>IF(V062A_2030313334363537394041[[#This Row],[FECHA]]-B14=1,((V062A_2030313334363537394041[[#This Row],[HORA]]-C14)*24)+24,(V062A_2030313334363537394041[[#This Row],[HORA]]-C14)*24)</f>
        <v>2.0000000000000009</v>
      </c>
      <c r="E15" s="409" t="s">
        <v>71</v>
      </c>
      <c r="F15" s="29" t="s">
        <v>447</v>
      </c>
      <c r="G15" s="324"/>
      <c r="H15" s="306"/>
      <c r="I15" s="259"/>
      <c r="J15" s="242"/>
      <c r="K15" s="325"/>
      <c r="L15" s="483">
        <v>0</v>
      </c>
      <c r="M15" s="246">
        <v>0.13333333333333339</v>
      </c>
      <c r="N15" s="484">
        <v>8.333333333333337E-2</v>
      </c>
      <c r="O15" s="246">
        <f>SUM(V062A_2030313334363537394041[[#This Row],[MPAL]]+V062A_2030313334363537394041[[#This Row],[AUX.]]+V062A_2030313334363537394041[[#This Row],[CALDERA]])</f>
        <v>0.21666666666666676</v>
      </c>
      <c r="P15" s="319"/>
      <c r="Q15" s="270">
        <f>(Q14-V062A_2030313334363537394041[[#This Row],[TOTAL ]])+V062A_2030313334363537394041[[#This Row],[FAENA]]</f>
        <v>110.88750000000002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SUM(V062A_2030313334363537394041[[#This Row],[MPAL2]:[GI]])</f>
        <v>0</v>
      </c>
      <c r="X15" s="246"/>
      <c r="Y15" s="300">
        <f>(Y14-V062A_2030313334363537394041[[#This Row],[TOTAL]])+V062A_2030313334363537394041[[#This Row],[FAENA2]]</f>
        <v>31.2</v>
      </c>
      <c r="Z15" s="245">
        <v>0</v>
      </c>
      <c r="AA15" s="246">
        <v>0</v>
      </c>
      <c r="AB15" s="438">
        <f>(AB14-V062A_2030313334363537394041[[#This Row],[CYLINDER MP]])+V062A_2030313334363537394041[[#This Row],[FAENA EN LTS]]</f>
        <v>1570</v>
      </c>
      <c r="AC15" s="246">
        <v>0</v>
      </c>
      <c r="AD15" s="246">
        <v>0</v>
      </c>
      <c r="AE15" s="438">
        <f>(AE14-V062A_2030313334363537394041[[#This Row],[CARTER MP.]])+V062A_2030313334363537394041[[#This Row],[FAENA EN LTS2]]</f>
        <v>3200</v>
      </c>
      <c r="AF15" s="246">
        <v>0</v>
      </c>
      <c r="AG15" s="246">
        <v>0</v>
      </c>
      <c r="AH15" s="438">
        <f>(AH14-V062A_2030313334363537394041[[#This Row],[MOT AUX]])+V062A_2030313334363537394041[[#This Row],[FAENA EN  LTS]]</f>
        <v>1850</v>
      </c>
      <c r="AI15" s="246">
        <v>0</v>
      </c>
      <c r="AJ15" s="246">
        <v>0</v>
      </c>
      <c r="AK15" s="439">
        <f>(AK14-V062A_2030313334363537394041[[#This Row],[HIDRAULICO]])+V062A_2030313334363537394041[[#This Row],[FAENA EN LTS3]]</f>
        <v>1000</v>
      </c>
    </row>
    <row r="16" spans="1:37" x14ac:dyDescent="0.25">
      <c r="A16" s="431" t="s">
        <v>443</v>
      </c>
      <c r="B16" s="526">
        <v>44279</v>
      </c>
      <c r="C16" s="41">
        <v>0.43333333333333335</v>
      </c>
      <c r="D16" s="418">
        <f>IF(V062A_2030313334363537394041[[#This Row],[FECHA]]-B15=1,((V062A_2030313334363537394041[[#This Row],[HORA]]-C15)*24)+24,(V062A_2030313334363537394041[[#This Row],[HORA]]-C15)*24)</f>
        <v>0.39999999999999991</v>
      </c>
      <c r="E16" s="409" t="s">
        <v>51</v>
      </c>
      <c r="F16" s="29" t="s">
        <v>448</v>
      </c>
      <c r="G16" s="324"/>
      <c r="H16" s="306"/>
      <c r="I16" s="259"/>
      <c r="J16" s="242"/>
      <c r="K16" s="325"/>
      <c r="L16" s="483">
        <v>0</v>
      </c>
      <c r="M16" s="246">
        <v>2.6666666666666661E-2</v>
      </c>
      <c r="N16" s="484">
        <v>1.6666666666666663E-2</v>
      </c>
      <c r="O16" s="246">
        <f>SUM(V062A_2030313334363537394041[[#This Row],[MPAL]]+V062A_2030313334363537394041[[#This Row],[AUX.]]+V062A_2030313334363537394041[[#This Row],[CALDERA]])</f>
        <v>4.3333333333333321E-2</v>
      </c>
      <c r="P16" s="319"/>
      <c r="Q16" s="270">
        <f>(Q15-V062A_2030313334363537394041[[#This Row],[TOTAL ]])+V062A_2030313334363537394041[[#This Row],[FAENA]]</f>
        <v>110.84416666666668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SUM(V062A_2030313334363537394041[[#This Row],[MPAL2]:[GI]])</f>
        <v>0</v>
      </c>
      <c r="X16" s="246">
        <v>49.48</v>
      </c>
      <c r="Y16" s="300">
        <f>(Y15-V062A_2030313334363537394041[[#This Row],[TOTAL]])+V062A_2030313334363537394041[[#This Row],[FAENA2]]</f>
        <v>80.679999999999993</v>
      </c>
      <c r="Z16" s="245">
        <v>0</v>
      </c>
      <c r="AA16" s="246">
        <v>0</v>
      </c>
      <c r="AB16" s="438">
        <f>(AB15-V062A_2030313334363537394041[[#This Row],[CYLINDER MP]])+V062A_2030313334363537394041[[#This Row],[FAENA EN LTS]]</f>
        <v>1570</v>
      </c>
      <c r="AC16" s="246">
        <v>0</v>
      </c>
      <c r="AD16" s="246">
        <v>0</v>
      </c>
      <c r="AE16" s="438">
        <f>(AE15-V062A_2030313334363537394041[[#This Row],[CARTER MP.]])+V062A_2030313334363537394041[[#This Row],[FAENA EN LTS2]]</f>
        <v>3200</v>
      </c>
      <c r="AF16" s="246">
        <v>0</v>
      </c>
      <c r="AG16" s="246">
        <v>0</v>
      </c>
      <c r="AH16" s="438">
        <f>(AH15-V062A_2030313334363537394041[[#This Row],[MOT AUX]])+V062A_2030313334363537394041[[#This Row],[FAENA EN  LTS]]</f>
        <v>1850</v>
      </c>
      <c r="AI16" s="246">
        <v>0</v>
      </c>
      <c r="AJ16" s="246">
        <v>0</v>
      </c>
      <c r="AK16" s="439">
        <f>(AK15-V062A_2030313334363537394041[[#This Row],[HIDRAULICO]])+V062A_2030313334363537394041[[#This Row],[FAENA EN LTS3]]</f>
        <v>1000</v>
      </c>
    </row>
    <row r="17" spans="1:37" x14ac:dyDescent="0.25">
      <c r="A17" s="431" t="s">
        <v>443</v>
      </c>
      <c r="B17" s="526">
        <v>44280</v>
      </c>
      <c r="C17" s="41">
        <v>0.33333333333333331</v>
      </c>
      <c r="D17" s="418">
        <f>IF(V062A_2030313334363537394041[[#This Row],[FECHA]]-B16=1,((V062A_2030313334363537394041[[#This Row],[HORA]]-C16)*24)+24,(V062A_2030313334363537394041[[#This Row],[HORA]]-C16)*24)</f>
        <v>21.599999999999998</v>
      </c>
      <c r="E17" s="409" t="s">
        <v>71</v>
      </c>
      <c r="F17" s="29" t="s">
        <v>446</v>
      </c>
      <c r="G17" s="324"/>
      <c r="H17" s="306"/>
      <c r="I17" s="259"/>
      <c r="J17" s="242"/>
      <c r="K17" s="325"/>
      <c r="L17" s="483">
        <v>0</v>
      </c>
      <c r="M17" s="246">
        <v>1.44</v>
      </c>
      <c r="N17" s="484">
        <v>0.89999999999999991</v>
      </c>
      <c r="O17" s="246">
        <f>SUM(V062A_2030313334363537394041[[#This Row],[MPAL]]+V062A_2030313334363537394041[[#This Row],[AUX.]]+V062A_2030313334363537394041[[#This Row],[CALDERA]])</f>
        <v>2.34</v>
      </c>
      <c r="P17" s="319"/>
      <c r="Q17" s="270">
        <f>(Q16-V062A_2030313334363537394041[[#This Row],[TOTAL ]])+V062A_2030313334363537394041[[#This Row],[FAENA]]</f>
        <v>108.50416666666668</v>
      </c>
      <c r="R17" s="245">
        <v>0</v>
      </c>
      <c r="S17" s="246">
        <v>0</v>
      </c>
      <c r="T17" s="246">
        <v>0</v>
      </c>
      <c r="U17" s="246">
        <v>0</v>
      </c>
      <c r="V17" s="246">
        <v>2</v>
      </c>
      <c r="W17" s="246">
        <f>SUM(V062A_2030313334363537394041[[#This Row],[MPAL2]:[GI]])</f>
        <v>2</v>
      </c>
      <c r="X17" s="246"/>
      <c r="Y17" s="300">
        <f>(Y16-V062A_2030313334363537394041[[#This Row],[TOTAL]])+V062A_2030313334363537394041[[#This Row],[FAENA2]]</f>
        <v>78.679999999999993</v>
      </c>
      <c r="Z17" s="245">
        <v>0</v>
      </c>
      <c r="AA17" s="246">
        <v>0</v>
      </c>
      <c r="AB17" s="438">
        <f>(AB16-V062A_2030313334363537394041[[#This Row],[CYLINDER MP]])+V062A_2030313334363537394041[[#This Row],[FAENA EN LTS]]</f>
        <v>1570</v>
      </c>
      <c r="AC17" s="246">
        <v>0</v>
      </c>
      <c r="AD17" s="246">
        <v>0</v>
      </c>
      <c r="AE17" s="438">
        <f>(AE16-V062A_2030313334363537394041[[#This Row],[CARTER MP.]])+V062A_2030313334363537394041[[#This Row],[FAENA EN LTS2]]</f>
        <v>3200</v>
      </c>
      <c r="AF17" s="246">
        <v>20</v>
      </c>
      <c r="AG17" s="246">
        <v>0</v>
      </c>
      <c r="AH17" s="438">
        <f>(AH16-V062A_2030313334363537394041[[#This Row],[MOT AUX]])+V062A_2030313334363537394041[[#This Row],[FAENA EN  LTS]]</f>
        <v>1830</v>
      </c>
      <c r="AI17" s="246">
        <v>0</v>
      </c>
      <c r="AJ17" s="246">
        <v>0</v>
      </c>
      <c r="AK17" s="439">
        <f>(AK16-V062A_2030313334363537394041[[#This Row],[HIDRAULICO]])+V062A_2030313334363537394041[[#This Row],[FAENA EN LTS3]]</f>
        <v>1000</v>
      </c>
    </row>
    <row r="18" spans="1:37" x14ac:dyDescent="0.25">
      <c r="A18" s="431" t="s">
        <v>443</v>
      </c>
      <c r="B18" s="526">
        <v>44280</v>
      </c>
      <c r="C18" s="41">
        <v>0.5708333333333333</v>
      </c>
      <c r="D18" s="418">
        <f>IF(V062A_2030313334363537394041[[#This Row],[FECHA]]-B17=1,((V062A_2030313334363537394041[[#This Row],[HORA]]-C17)*24)+24,(V062A_2030313334363537394041[[#This Row],[HORA]]-C17)*24)</f>
        <v>5.6999999999999993</v>
      </c>
      <c r="E18" s="409" t="s">
        <v>51</v>
      </c>
      <c r="F18" s="29" t="s">
        <v>449</v>
      </c>
      <c r="G18" s="324"/>
      <c r="H18" s="306"/>
      <c r="I18" s="259"/>
      <c r="J18" s="242"/>
      <c r="K18" s="325"/>
      <c r="L18" s="483">
        <v>0</v>
      </c>
      <c r="M18" s="246">
        <v>0.37999999999999995</v>
      </c>
      <c r="N18" s="484">
        <v>0.23749999999999996</v>
      </c>
      <c r="O18" s="246">
        <f>SUM(V062A_2030313334363537394041[[#This Row],[MPAL]]+V062A_2030313334363537394041[[#This Row],[AUX.]]+V062A_2030313334363537394041[[#This Row],[CALDERA]])</f>
        <v>0.61749999999999994</v>
      </c>
      <c r="P18" s="319"/>
      <c r="Q18" s="270">
        <f>(Q17-V062A_2030313334363537394041[[#This Row],[TOTAL ]])+V062A_2030313334363537394041[[#This Row],[FAENA]]</f>
        <v>107.88666666666667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SUM(V062A_2030313334363537394041[[#This Row],[MPAL2]:[GI]])</f>
        <v>0</v>
      </c>
      <c r="X18" s="246"/>
      <c r="Y18" s="300">
        <f>(Y17-V062A_2030313334363537394041[[#This Row],[TOTAL]])+V062A_2030313334363537394041[[#This Row],[FAENA2]]</f>
        <v>78.679999999999993</v>
      </c>
      <c r="Z18" s="245">
        <v>0</v>
      </c>
      <c r="AA18" s="246">
        <v>0</v>
      </c>
      <c r="AB18" s="438">
        <f>(AB17-V062A_2030313334363537394041[[#This Row],[CYLINDER MP]])+V062A_2030313334363537394041[[#This Row],[FAENA EN LTS]]</f>
        <v>1570</v>
      </c>
      <c r="AC18" s="246">
        <v>0</v>
      </c>
      <c r="AD18" s="246">
        <v>0</v>
      </c>
      <c r="AE18" s="438">
        <f>(AE17-V062A_2030313334363537394041[[#This Row],[CARTER MP.]])+V062A_2030313334363537394041[[#This Row],[FAENA EN LTS2]]</f>
        <v>3200</v>
      </c>
      <c r="AF18" s="246">
        <v>0</v>
      </c>
      <c r="AG18" s="246">
        <v>0</v>
      </c>
      <c r="AH18" s="438">
        <f>(AH17-V062A_2030313334363537394041[[#This Row],[MOT AUX]])+V062A_2030313334363537394041[[#This Row],[FAENA EN  LTS]]</f>
        <v>1830</v>
      </c>
      <c r="AI18" s="246">
        <v>0</v>
      </c>
      <c r="AJ18" s="246">
        <v>0</v>
      </c>
      <c r="AK18" s="439">
        <f>(AK17-V062A_2030313334363537394041[[#This Row],[HIDRAULICO]])+V062A_2030313334363537394041[[#This Row],[FAENA EN LTS3]]</f>
        <v>1000</v>
      </c>
    </row>
    <row r="19" spans="1:37" x14ac:dyDescent="0.25">
      <c r="A19" s="431" t="s">
        <v>443</v>
      </c>
      <c r="B19" s="526">
        <v>44280</v>
      </c>
      <c r="C19" s="41">
        <v>0.65833333333333333</v>
      </c>
      <c r="D19" s="418">
        <f>IF(V062A_2030313334363537394041[[#This Row],[FECHA]]-B18=1,((V062A_2030313334363537394041[[#This Row],[HORA]]-C18)*24)+24,(V062A_2030313334363537394041[[#This Row],[HORA]]-C18)*24)</f>
        <v>2.1000000000000005</v>
      </c>
      <c r="E19" s="239" t="s">
        <v>49</v>
      </c>
      <c r="F19" s="29" t="s">
        <v>46</v>
      </c>
      <c r="G19" s="324"/>
      <c r="H19" s="306"/>
      <c r="I19" s="259"/>
      <c r="J19" s="242"/>
      <c r="K19" s="325"/>
      <c r="L19" s="483">
        <v>0</v>
      </c>
      <c r="M19" s="246">
        <v>0.14000000000000004</v>
      </c>
      <c r="N19" s="484">
        <v>8.7500000000000022E-2</v>
      </c>
      <c r="O19" s="246">
        <f>SUM(V062A_2030313334363537394041[[#This Row],[MPAL]]+V062A_2030313334363537394041[[#This Row],[AUX.]]+V062A_2030313334363537394041[[#This Row],[CALDERA]])</f>
        <v>0.22750000000000006</v>
      </c>
      <c r="P19" s="319"/>
      <c r="Q19" s="270">
        <f>(Q18-V062A_2030313334363537394041[[#This Row],[TOTAL ]])+V062A_2030313334363537394041[[#This Row],[FAENA]]</f>
        <v>107.65916666666666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SUM(V062A_2030313334363537394041[[#This Row],[MPAL2]:[GI]])</f>
        <v>0</v>
      </c>
      <c r="X19" s="246"/>
      <c r="Y19" s="300">
        <f>(Y18-V062A_2030313334363537394041[[#This Row],[TOTAL]])+V062A_2030313334363537394041[[#This Row],[FAENA2]]</f>
        <v>78.679999999999993</v>
      </c>
      <c r="Z19" s="245">
        <v>0</v>
      </c>
      <c r="AA19" s="246">
        <v>0</v>
      </c>
      <c r="AB19" s="438">
        <f>(AB18-V062A_2030313334363537394041[[#This Row],[CYLINDER MP]])+V062A_2030313334363537394041[[#This Row],[FAENA EN LTS]]</f>
        <v>1570</v>
      </c>
      <c r="AC19" s="246">
        <v>0</v>
      </c>
      <c r="AD19" s="246">
        <v>0</v>
      </c>
      <c r="AE19" s="438">
        <f>(AE18-V062A_2030313334363537394041[[#This Row],[CARTER MP.]])+V062A_2030313334363537394041[[#This Row],[FAENA EN LTS2]]</f>
        <v>3200</v>
      </c>
      <c r="AF19" s="246">
        <v>0</v>
      </c>
      <c r="AG19" s="246">
        <v>0</v>
      </c>
      <c r="AH19" s="438">
        <f>(AH18-V062A_2030313334363537394041[[#This Row],[MOT AUX]])+V062A_2030313334363537394041[[#This Row],[FAENA EN  LTS]]</f>
        <v>1830</v>
      </c>
      <c r="AI19" s="246">
        <v>0</v>
      </c>
      <c r="AJ19" s="246">
        <v>0</v>
      </c>
      <c r="AK19" s="439">
        <f>(AK18-V062A_2030313334363537394041[[#This Row],[HIDRAULICO]])+V062A_2030313334363537394041[[#This Row],[FAENA EN LTS3]]</f>
        <v>1000</v>
      </c>
    </row>
    <row r="20" spans="1:37" x14ac:dyDescent="0.25">
      <c r="A20" s="431" t="s">
        <v>443</v>
      </c>
      <c r="B20" s="526">
        <v>44280</v>
      </c>
      <c r="C20" s="41">
        <v>0.6958333333333333</v>
      </c>
      <c r="D20" s="418">
        <f>IF(V062A_2030313334363537394041[[#This Row],[FECHA]]-B19=1,((V062A_2030313334363537394041[[#This Row],[HORA]]-C19)*24)+24,(V062A_2030313334363537394041[[#This Row],[HORA]]-C19)*24)</f>
        <v>0.89999999999999947</v>
      </c>
      <c r="E20" s="239" t="s">
        <v>47</v>
      </c>
      <c r="F20" s="29" t="s">
        <v>277</v>
      </c>
      <c r="G20" s="324"/>
      <c r="H20" s="306"/>
      <c r="I20" s="259"/>
      <c r="J20" s="242"/>
      <c r="K20" s="325"/>
      <c r="L20" s="483">
        <v>0.18749999999999989</v>
      </c>
      <c r="M20" s="246">
        <v>5.9999999999999963E-2</v>
      </c>
      <c r="N20" s="484">
        <v>7.0000000000000007E-2</v>
      </c>
      <c r="O20" s="246">
        <f>SUM(V062A_2030313334363537394041[[#This Row],[MPAL]]+V062A_2030313334363537394041[[#This Row],[AUX.]]+V062A_2030313334363537394041[[#This Row],[CALDERA]])</f>
        <v>0.31749999999999989</v>
      </c>
      <c r="P20" s="319"/>
      <c r="Q20" s="270">
        <f>(Q19-V062A_2030313334363537394041[[#This Row],[TOTAL ]])+V062A_2030313334363537394041[[#This Row],[FAENA]]</f>
        <v>107.34166666666667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SUM(V062A_2030313334363537394041[[#This Row],[MPAL2]:[GI]])</f>
        <v>0</v>
      </c>
      <c r="X20" s="246"/>
      <c r="Y20" s="300">
        <f>(Y19-V062A_2030313334363537394041[[#This Row],[TOTAL]])+V062A_2030313334363537394041[[#This Row],[FAENA2]]</f>
        <v>78.679999999999993</v>
      </c>
      <c r="Z20" s="245">
        <v>0</v>
      </c>
      <c r="AA20" s="246">
        <v>0</v>
      </c>
      <c r="AB20" s="438">
        <f>(AB19-V062A_2030313334363537394041[[#This Row],[CYLINDER MP]])+V062A_2030313334363537394041[[#This Row],[FAENA EN LTS]]</f>
        <v>1570</v>
      </c>
      <c r="AC20" s="246">
        <v>0</v>
      </c>
      <c r="AD20" s="246">
        <v>0</v>
      </c>
      <c r="AE20" s="438">
        <f>(AE19-V062A_2030313334363537394041[[#This Row],[CARTER MP.]])+V062A_2030313334363537394041[[#This Row],[FAENA EN LTS2]]</f>
        <v>3200</v>
      </c>
      <c r="AF20" s="246">
        <v>0</v>
      </c>
      <c r="AG20" s="246">
        <v>0</v>
      </c>
      <c r="AH20" s="438">
        <f>(AH19-V062A_2030313334363537394041[[#This Row],[MOT AUX]])+V062A_2030313334363537394041[[#This Row],[FAENA EN  LTS]]</f>
        <v>1830</v>
      </c>
      <c r="AI20" s="246">
        <v>0</v>
      </c>
      <c r="AJ20" s="246">
        <v>0</v>
      </c>
      <c r="AK20" s="439">
        <f>(AK19-V062A_2030313334363537394041[[#This Row],[HIDRAULICO]])+V062A_2030313334363537394041[[#This Row],[FAENA EN LTS3]]</f>
        <v>1000</v>
      </c>
    </row>
    <row r="21" spans="1:37" x14ac:dyDescent="0.25">
      <c r="A21" s="431" t="s">
        <v>443</v>
      </c>
      <c r="B21" s="526">
        <v>44281</v>
      </c>
      <c r="C21" s="41">
        <v>0</v>
      </c>
      <c r="D21" s="418">
        <f>IF(V062A_2030313334363537394041[[#This Row],[FECHA]]-B20=1,((V062A_2030313334363537394041[[#This Row],[HORA]]-C20)*24)+24,(V062A_2030313334363537394041[[#This Row],[HORA]]-C20)*24)</f>
        <v>7.3000000000000007</v>
      </c>
      <c r="E21" s="239" t="s">
        <v>55</v>
      </c>
      <c r="F21" s="29" t="s">
        <v>56</v>
      </c>
      <c r="G21" s="324"/>
      <c r="H21" s="306"/>
      <c r="I21" s="259"/>
      <c r="J21" s="242"/>
      <c r="K21" s="325">
        <v>97</v>
      </c>
      <c r="L21" s="483">
        <v>7.1175000000000006</v>
      </c>
      <c r="M21" s="246">
        <v>0.48666666666666669</v>
      </c>
      <c r="N21" s="484">
        <v>0</v>
      </c>
      <c r="O21" s="246">
        <f>SUM(V062A_2030313334363537394041[[#This Row],[MPAL]]+V062A_2030313334363537394041[[#This Row],[AUX.]]+V062A_2030313334363537394041[[#This Row],[CALDERA]])</f>
        <v>7.604166666666667</v>
      </c>
      <c r="P21" s="319"/>
      <c r="Q21" s="270">
        <f>(Q20-V062A_2030313334363537394041[[#This Row],[TOTAL ]])+V062A_2030313334363537394041[[#This Row],[FAENA]]</f>
        <v>99.737499999999997</v>
      </c>
      <c r="R21" s="245">
        <v>0</v>
      </c>
      <c r="S21" s="246">
        <v>0</v>
      </c>
      <c r="T21" s="246">
        <v>0</v>
      </c>
      <c r="U21" s="246">
        <v>0</v>
      </c>
      <c r="V21" s="246">
        <v>0</v>
      </c>
      <c r="W21" s="246">
        <f>SUM(V062A_2030313334363537394041[[#This Row],[MPAL2]:[GI]])</f>
        <v>0</v>
      </c>
      <c r="X21" s="246"/>
      <c r="Y21" s="300">
        <f>(Y20-V062A_2030313334363537394041[[#This Row],[TOTAL]])+V062A_2030313334363537394041[[#This Row],[FAENA2]]</f>
        <v>78.679999999999993</v>
      </c>
      <c r="Z21" s="245">
        <v>70</v>
      </c>
      <c r="AA21" s="246">
        <v>0</v>
      </c>
      <c r="AB21" s="438">
        <f>(AB20-V062A_2030313334363537394041[[#This Row],[CYLINDER MP]])+V062A_2030313334363537394041[[#This Row],[FAENA EN LTS]]</f>
        <v>1500</v>
      </c>
      <c r="AC21" s="246">
        <v>0</v>
      </c>
      <c r="AD21" s="246">
        <v>0</v>
      </c>
      <c r="AE21" s="438">
        <f>(AE20-V062A_2030313334363537394041[[#This Row],[CARTER MP.]])+V062A_2030313334363537394041[[#This Row],[FAENA EN LTS2]]</f>
        <v>3200</v>
      </c>
      <c r="AF21" s="246">
        <v>0</v>
      </c>
      <c r="AG21" s="246">
        <v>0</v>
      </c>
      <c r="AH21" s="438">
        <f>(AH20-V062A_2030313334363537394041[[#This Row],[MOT AUX]])+V062A_2030313334363537394041[[#This Row],[FAENA EN  LTS]]</f>
        <v>1830</v>
      </c>
      <c r="AI21" s="246">
        <v>0</v>
      </c>
      <c r="AJ21" s="246">
        <v>0</v>
      </c>
      <c r="AK21" s="439">
        <f>(AK20-V062A_2030313334363537394041[[#This Row],[HIDRAULICO]])+V062A_2030313334363537394041[[#This Row],[FAENA EN LTS3]]</f>
        <v>1000</v>
      </c>
    </row>
    <row r="22" spans="1:37" x14ac:dyDescent="0.25">
      <c r="A22" s="431" t="s">
        <v>443</v>
      </c>
      <c r="B22" s="526">
        <v>44281</v>
      </c>
      <c r="C22" s="41">
        <v>0.33333333333333331</v>
      </c>
      <c r="D22" s="418">
        <f>IF(V062A_2030313334363537394041[[#This Row],[FECHA]]-B21=1,((V062A_2030313334363537394041[[#This Row],[HORA]]-C21)*24)+24,(V062A_2030313334363537394041[[#This Row],[HORA]]-C21)*24)</f>
        <v>8</v>
      </c>
      <c r="E22" s="239" t="s">
        <v>55</v>
      </c>
      <c r="F22" s="29" t="s">
        <v>56</v>
      </c>
      <c r="G22" s="324"/>
      <c r="H22" s="306"/>
      <c r="I22" s="259"/>
      <c r="J22" s="380"/>
      <c r="K22" s="325">
        <v>97</v>
      </c>
      <c r="L22" s="483">
        <v>7.8</v>
      </c>
      <c r="M22" s="246">
        <v>0.53333333333333333</v>
      </c>
      <c r="N22" s="484">
        <v>0</v>
      </c>
      <c r="O22" s="246">
        <f>SUM(V062A_2030313334363537394041[[#This Row],[MPAL]]+V062A_2030313334363537394041[[#This Row],[AUX.]]+V062A_2030313334363537394041[[#This Row],[CALDERA]])</f>
        <v>8.3333333333333339</v>
      </c>
      <c r="P22" s="319"/>
      <c r="Q22" s="270">
        <f>(Q21-V062A_2030313334363537394041[[#This Row],[TOTAL ]])+V062A_2030313334363537394041[[#This Row],[FAENA]]</f>
        <v>91.404166666666669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SUM(V062A_2030313334363537394041[[#This Row],[MPAL2]:[GI]])</f>
        <v>0</v>
      </c>
      <c r="X22" s="246"/>
      <c r="Y22" s="300">
        <f>(Y21-V062A_2030313334363537394041[[#This Row],[TOTAL]])+V062A_2030313334363537394041[[#This Row],[FAENA2]]</f>
        <v>78.679999999999993</v>
      </c>
      <c r="Z22" s="245">
        <v>80</v>
      </c>
      <c r="AA22" s="246">
        <v>0</v>
      </c>
      <c r="AB22" s="438">
        <f>(AB21-V062A_2030313334363537394041[[#This Row],[CYLINDER MP]])+V062A_2030313334363537394041[[#This Row],[FAENA EN LTS]]</f>
        <v>1420</v>
      </c>
      <c r="AC22" s="246">
        <v>0</v>
      </c>
      <c r="AD22" s="246">
        <v>0</v>
      </c>
      <c r="AE22" s="438">
        <f>(AE21-V062A_2030313334363537394041[[#This Row],[CARTER MP.]])+V062A_2030313334363537394041[[#This Row],[FAENA EN LTS2]]</f>
        <v>3200</v>
      </c>
      <c r="AF22" s="246">
        <v>20</v>
      </c>
      <c r="AG22" s="246">
        <v>0</v>
      </c>
      <c r="AH22" s="438">
        <f>(AH21-V062A_2030313334363537394041[[#This Row],[MOT AUX]])+V062A_2030313334363537394041[[#This Row],[FAENA EN  LTS]]</f>
        <v>1810</v>
      </c>
      <c r="AI22" s="246">
        <v>0</v>
      </c>
      <c r="AJ22" s="246">
        <v>0</v>
      </c>
      <c r="AK22" s="439">
        <f>(AK21-V062A_2030313334363537394041[[#This Row],[HIDRAULICO]])+V062A_2030313334363537394041[[#This Row],[FAENA EN LTS3]]</f>
        <v>1000</v>
      </c>
    </row>
    <row r="23" spans="1:37" x14ac:dyDescent="0.25">
      <c r="A23" s="431" t="s">
        <v>443</v>
      </c>
      <c r="B23" s="526">
        <v>44281</v>
      </c>
      <c r="C23" s="41">
        <v>0.3833333333333333</v>
      </c>
      <c r="D23" s="418">
        <f>IF(V062A_2030313334363537394041[[#This Row],[FECHA]]-B22=1,((V062A_2030313334363537394041[[#This Row],[HORA]]-C22)*24)+24,(V062A_2030313334363537394041[[#This Row],[HORA]]-C22)*24)</f>
        <v>1.1999999999999997</v>
      </c>
      <c r="E23" s="499" t="s">
        <v>55</v>
      </c>
      <c r="F23" s="29" t="s">
        <v>437</v>
      </c>
      <c r="G23" s="500"/>
      <c r="H23" s="501"/>
      <c r="I23" s="502"/>
      <c r="J23" s="503"/>
      <c r="K23" s="504">
        <v>97</v>
      </c>
      <c r="L23" s="245">
        <v>1.1699999999999997</v>
      </c>
      <c r="M23" s="246">
        <v>7.9999999999999988E-2</v>
      </c>
      <c r="N23" s="246">
        <v>0</v>
      </c>
      <c r="O23" s="246">
        <f>SUM(V062A_2030313334363537394041[[#This Row],[MPAL]]+V062A_2030313334363537394041[[#This Row],[AUX.]]+V062A_2030313334363537394041[[#This Row],[CALDERA]])</f>
        <v>1.2499999999999998</v>
      </c>
      <c r="P23" s="319"/>
      <c r="Q23" s="270">
        <f>(Q22-V062A_2030313334363537394041[[#This Row],[TOTAL ]])+V062A_2030313334363537394041[[#This Row],[FAENA]]</f>
        <v>90.154166666666669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SUM(V062A_2030313334363537394041[[#This Row],[MPAL2]:[GI]])</f>
        <v>0</v>
      </c>
      <c r="X23" s="246"/>
      <c r="Y23" s="300">
        <f>(Y22-V062A_2030313334363537394041[[#This Row],[TOTAL]])+V062A_2030313334363537394041[[#This Row],[FAENA2]]</f>
        <v>78.679999999999993</v>
      </c>
      <c r="Z23" s="245">
        <v>10</v>
      </c>
      <c r="AA23" s="246">
        <v>0</v>
      </c>
      <c r="AB23" s="438">
        <f>(AB22-V062A_2030313334363537394041[[#This Row],[CYLINDER MP]])+V062A_2030313334363537394041[[#This Row],[FAENA EN LTS]]</f>
        <v>1410</v>
      </c>
      <c r="AC23" s="246">
        <v>0</v>
      </c>
      <c r="AD23" s="246">
        <v>0</v>
      </c>
      <c r="AE23" s="438">
        <f>(AE22-V062A_2030313334363537394041[[#This Row],[CARTER MP.]])+V062A_2030313334363537394041[[#This Row],[FAENA EN LTS2]]</f>
        <v>3200</v>
      </c>
      <c r="AF23" s="246">
        <v>0</v>
      </c>
      <c r="AG23" s="246">
        <v>0</v>
      </c>
      <c r="AH23" s="438">
        <f>(AH22-V062A_2030313334363537394041[[#This Row],[MOT AUX]])+V062A_2030313334363537394041[[#This Row],[FAENA EN  LTS]]</f>
        <v>1810</v>
      </c>
      <c r="AI23" s="246">
        <v>0</v>
      </c>
      <c r="AJ23" s="246">
        <v>0</v>
      </c>
      <c r="AK23" s="439">
        <f>(AK22-V062A_2030313334363537394041[[#This Row],[HIDRAULICO]])+V062A_2030313334363537394041[[#This Row],[FAENA EN LTS3]]</f>
        <v>1000</v>
      </c>
    </row>
    <row r="24" spans="1:37" x14ac:dyDescent="0.25">
      <c r="A24" s="431" t="s">
        <v>443</v>
      </c>
      <c r="B24" s="526">
        <v>44281</v>
      </c>
      <c r="C24" s="41">
        <v>0.40416666666666662</v>
      </c>
      <c r="D24" s="418">
        <f>IF(V062A_2030313334363537394041[[#This Row],[FECHA]]-B23=1,((V062A_2030313334363537394041[[#This Row],[HORA]]-C23)*24)+24,(V062A_2030313334363537394041[[#This Row],[HORA]]-C23)*24)</f>
        <v>0.49999999999999956</v>
      </c>
      <c r="E24" s="499" t="s">
        <v>47</v>
      </c>
      <c r="F24" s="29" t="s">
        <v>450</v>
      </c>
      <c r="G24" s="500"/>
      <c r="H24" s="501"/>
      <c r="I24" s="502"/>
      <c r="J24" s="503"/>
      <c r="K24" s="504"/>
      <c r="L24" s="245">
        <v>0.10416666666666657</v>
      </c>
      <c r="M24" s="246">
        <v>3.3333333333333305E-2</v>
      </c>
      <c r="N24" s="246">
        <v>2.0833333333333315E-2</v>
      </c>
      <c r="O24" s="246">
        <f>SUM(V062A_2030313334363537394041[[#This Row],[MPAL]]+V062A_2030313334363537394041[[#This Row],[AUX.]]+V062A_2030313334363537394041[[#This Row],[CALDERA]])</f>
        <v>0.15833333333333319</v>
      </c>
      <c r="P24" s="319"/>
      <c r="Q24" s="270">
        <f>(Q23-V062A_2030313334363537394041[[#This Row],[TOTAL ]])+V062A_2030313334363537394041[[#This Row],[FAENA]]</f>
        <v>89.995833333333337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SUM(V062A_2030313334363537394041[[#This Row],[MPAL2]:[GI]])</f>
        <v>0</v>
      </c>
      <c r="X24" s="246"/>
      <c r="Y24" s="300">
        <f>(Y23-V062A_2030313334363537394041[[#This Row],[TOTAL]])+V062A_2030313334363537394041[[#This Row],[FAENA2]]</f>
        <v>78.679999999999993</v>
      </c>
      <c r="Z24" s="245">
        <v>0</v>
      </c>
      <c r="AA24" s="246">
        <v>0</v>
      </c>
      <c r="AB24" s="438">
        <f>(AB23-V062A_2030313334363537394041[[#This Row],[CYLINDER MP]])+V062A_2030313334363537394041[[#This Row],[FAENA EN LTS]]</f>
        <v>1410</v>
      </c>
      <c r="AC24" s="246">
        <v>0</v>
      </c>
      <c r="AD24" s="246">
        <v>0</v>
      </c>
      <c r="AE24" s="438">
        <f>(AE23-V062A_2030313334363537394041[[#This Row],[CARTER MP.]])+V062A_2030313334363537394041[[#This Row],[FAENA EN LTS2]]</f>
        <v>3200</v>
      </c>
      <c r="AF24" s="246">
        <v>0</v>
      </c>
      <c r="AG24" s="246">
        <v>0</v>
      </c>
      <c r="AH24" s="438">
        <f>(AH23-V062A_2030313334363537394041[[#This Row],[MOT AUX]])+V062A_2030313334363537394041[[#This Row],[FAENA EN  LTS]]</f>
        <v>1810</v>
      </c>
      <c r="AI24" s="246">
        <v>0</v>
      </c>
      <c r="AJ24" s="246">
        <v>0</v>
      </c>
      <c r="AK24" s="439">
        <f>(AK23-V062A_2030313334363537394041[[#This Row],[HIDRAULICO]])+V062A_2030313334363537394041[[#This Row],[FAENA EN LTS3]]</f>
        <v>1000</v>
      </c>
    </row>
    <row r="25" spans="1:37" x14ac:dyDescent="0.25">
      <c r="A25" s="431" t="s">
        <v>443</v>
      </c>
      <c r="B25" s="526">
        <v>44282</v>
      </c>
      <c r="C25" s="41">
        <v>0.33333333333333331</v>
      </c>
      <c r="D25" s="418">
        <f>IF(V062A_2030313334363537394041[[#This Row],[FECHA]]-B24=1,((V062A_2030313334363537394041[[#This Row],[HORA]]-C24)*24)+24,(V062A_2030313334363537394041[[#This Row],[HORA]]-C24)*24)</f>
        <v>22.3</v>
      </c>
      <c r="E25" s="432" t="s">
        <v>45</v>
      </c>
      <c r="F25" s="29" t="s">
        <v>451</v>
      </c>
      <c r="G25" s="433"/>
      <c r="H25" s="434"/>
      <c r="I25" s="435"/>
      <c r="J25" s="436"/>
      <c r="K25" s="437"/>
      <c r="L25" s="483">
        <v>0</v>
      </c>
      <c r="M25" s="246">
        <v>1.4866666666666668</v>
      </c>
      <c r="N25" s="484">
        <v>0.91</v>
      </c>
      <c r="O25" s="246">
        <f>SUM(V062A_2030313334363537394041[[#This Row],[MPAL]]+V062A_2030313334363537394041[[#This Row],[AUX.]]+V062A_2030313334363537394041[[#This Row],[CALDERA]])</f>
        <v>2.3966666666666669</v>
      </c>
      <c r="P25" s="319"/>
      <c r="Q25" s="270">
        <f>(Q24-V062A_2030313334363537394041[[#This Row],[TOTAL ]])+V062A_2030313334363537394041[[#This Row],[FAENA]]</f>
        <v>87.599166666666676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SUM(V062A_2030313334363537394041[[#This Row],[MPAL2]:[GI]])</f>
        <v>0</v>
      </c>
      <c r="X25" s="246"/>
      <c r="Y25" s="300">
        <f>(Y24-V062A_2030313334363537394041[[#This Row],[TOTAL]])+V062A_2030313334363537394041[[#This Row],[FAENA2]]</f>
        <v>78.679999999999993</v>
      </c>
      <c r="Z25" s="245">
        <v>0</v>
      </c>
      <c r="AA25" s="246">
        <v>0</v>
      </c>
      <c r="AB25" s="438">
        <f>(AB24-V062A_2030313334363537394041[[#This Row],[CYLINDER MP]])+V062A_2030313334363537394041[[#This Row],[FAENA EN LTS]]</f>
        <v>1410</v>
      </c>
      <c r="AC25" s="246">
        <v>0</v>
      </c>
      <c r="AD25" s="246">
        <v>0</v>
      </c>
      <c r="AE25" s="438">
        <f>(AE24-V062A_2030313334363537394041[[#This Row],[CARTER MP.]])+V062A_2030313334363537394041[[#This Row],[FAENA EN LTS2]]</f>
        <v>3200</v>
      </c>
      <c r="AF25" s="246">
        <v>20</v>
      </c>
      <c r="AG25" s="246">
        <v>0</v>
      </c>
      <c r="AH25" s="438">
        <f>(AH24-V062A_2030313334363537394041[[#This Row],[MOT AUX]])+V062A_2030313334363537394041[[#This Row],[FAENA EN  LTS]]</f>
        <v>1790</v>
      </c>
      <c r="AI25" s="246">
        <v>0</v>
      </c>
      <c r="AJ25" s="246">
        <v>0</v>
      </c>
      <c r="AK25" s="439">
        <f>(AK24-V062A_2030313334363537394041[[#This Row],[HIDRAULICO]])+V062A_2030313334363537394041[[#This Row],[FAENA EN LTS3]]</f>
        <v>1000</v>
      </c>
    </row>
    <row r="26" spans="1:37" x14ac:dyDescent="0.25">
      <c r="A26" s="431" t="s">
        <v>443</v>
      </c>
      <c r="B26" s="526">
        <v>44283</v>
      </c>
      <c r="C26" s="41">
        <v>0.33333333333333331</v>
      </c>
      <c r="D26" s="418">
        <f>IF(V062A_2030313334363537394041[[#This Row],[FECHA]]-B25=1,((V062A_2030313334363537394041[[#This Row],[HORA]]-C25)*24)+24,(V062A_2030313334363537394041[[#This Row],[HORA]]-C25)*24)</f>
        <v>24</v>
      </c>
      <c r="E26" s="432" t="s">
        <v>45</v>
      </c>
      <c r="F26" s="29" t="s">
        <v>451</v>
      </c>
      <c r="G26" s="433"/>
      <c r="H26" s="434"/>
      <c r="I26" s="435"/>
      <c r="J26" s="436"/>
      <c r="K26" s="437"/>
      <c r="L26" s="483">
        <v>0</v>
      </c>
      <c r="M26" s="246">
        <v>1.6</v>
      </c>
      <c r="N26" s="484">
        <v>1</v>
      </c>
      <c r="O26" s="246">
        <f>SUM(V062A_2030313334363537394041[[#This Row],[MPAL]]+V062A_2030313334363537394041[[#This Row],[AUX.]]+V062A_2030313334363537394041[[#This Row],[CALDERA]])</f>
        <v>2.6</v>
      </c>
      <c r="P26" s="319"/>
      <c r="Q26" s="270">
        <f>(Q25-V062A_2030313334363537394041[[#This Row],[TOTAL ]])+V062A_2030313334363537394041[[#This Row],[FAENA]]</f>
        <v>84.999166666666682</v>
      </c>
      <c r="R26" s="245">
        <v>0</v>
      </c>
      <c r="S26" s="246">
        <v>0</v>
      </c>
      <c r="T26" s="246">
        <v>0</v>
      </c>
      <c r="U26" s="246">
        <v>0</v>
      </c>
      <c r="V26" s="246">
        <v>2.68</v>
      </c>
      <c r="W26" s="246">
        <f>SUM(V062A_2030313334363537394041[[#This Row],[MPAL2]:[GI]])</f>
        <v>2.68</v>
      </c>
      <c r="X26" s="246"/>
      <c r="Y26" s="300">
        <f>(Y25-V062A_2030313334363537394041[[#This Row],[TOTAL]])+V062A_2030313334363537394041[[#This Row],[FAENA2]]</f>
        <v>75.999999999999986</v>
      </c>
      <c r="Z26" s="245">
        <v>0</v>
      </c>
      <c r="AA26" s="246">
        <v>0</v>
      </c>
      <c r="AB26" s="438">
        <f>(AB25-V062A_2030313334363537394041[[#This Row],[CYLINDER MP]])+V062A_2030313334363537394041[[#This Row],[FAENA EN LTS]]</f>
        <v>1410</v>
      </c>
      <c r="AC26" s="246">
        <v>0</v>
      </c>
      <c r="AD26" s="246">
        <v>0</v>
      </c>
      <c r="AE26" s="438">
        <f>(AE25-V062A_2030313334363537394041[[#This Row],[CARTER MP.]])+V062A_2030313334363537394041[[#This Row],[FAENA EN LTS2]]</f>
        <v>3200</v>
      </c>
      <c r="AF26" s="246">
        <v>0</v>
      </c>
      <c r="AG26" s="246">
        <v>0</v>
      </c>
      <c r="AH26" s="438">
        <f>(AH25-V062A_2030313334363537394041[[#This Row],[MOT AUX]])+V062A_2030313334363537394041[[#This Row],[FAENA EN  LTS]]</f>
        <v>1790</v>
      </c>
      <c r="AI26" s="246">
        <v>0</v>
      </c>
      <c r="AJ26" s="246">
        <v>0</v>
      </c>
      <c r="AK26" s="439">
        <f>(AK25-V062A_2030313334363537394041[[#This Row],[HIDRAULICO]])+V062A_2030313334363537394041[[#This Row],[FAENA EN LTS3]]</f>
        <v>1000</v>
      </c>
    </row>
    <row r="27" spans="1:37" x14ac:dyDescent="0.25">
      <c r="A27" s="431" t="s">
        <v>443</v>
      </c>
      <c r="B27" s="526">
        <v>44283</v>
      </c>
      <c r="C27" s="41">
        <v>0.625</v>
      </c>
      <c r="D27" s="418">
        <f>IF(V062A_2030313334363537394041[[#This Row],[FECHA]]-B26=1,((V062A_2030313334363537394041[[#This Row],[HORA]]-C26)*24)+24,(V062A_2030313334363537394041[[#This Row],[HORA]]-C26)*24)</f>
        <v>7</v>
      </c>
      <c r="E27" s="432" t="s">
        <v>45</v>
      </c>
      <c r="F27" s="378" t="s">
        <v>46</v>
      </c>
      <c r="G27" s="433"/>
      <c r="H27" s="434"/>
      <c r="I27" s="435"/>
      <c r="J27" s="436"/>
      <c r="K27" s="437"/>
      <c r="L27" s="483">
        <v>0</v>
      </c>
      <c r="M27" s="246">
        <v>0.46666666666666667</v>
      </c>
      <c r="N27" s="484">
        <v>0.29166666666666663</v>
      </c>
      <c r="O27" s="246">
        <f>SUM(V062A_2030313334363537394041[[#This Row],[MPAL]]+V062A_2030313334363537394041[[#This Row],[AUX.]]+V062A_2030313334363537394041[[#This Row],[CALDERA]])</f>
        <v>0.7583333333333333</v>
      </c>
      <c r="P27" s="319"/>
      <c r="Q27" s="270">
        <f>(Q26-V062A_2030313334363537394041[[#This Row],[TOTAL ]])+V062A_2030313334363537394041[[#This Row],[FAENA]]</f>
        <v>84.240833333333342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SUM(V062A_2030313334363537394041[[#This Row],[MPAL2]:[GI]])</f>
        <v>0</v>
      </c>
      <c r="X27" s="246"/>
      <c r="Y27" s="300">
        <f>(Y26-V062A_2030313334363537394041[[#This Row],[TOTAL]])+V062A_2030313334363537394041[[#This Row],[FAENA2]]</f>
        <v>75.999999999999986</v>
      </c>
      <c r="Z27" s="245">
        <v>0</v>
      </c>
      <c r="AA27" s="246">
        <v>0</v>
      </c>
      <c r="AB27" s="438">
        <f>(AB26-V062A_2030313334363537394041[[#This Row],[CYLINDER MP]])+V062A_2030313334363537394041[[#This Row],[FAENA EN LTS]]</f>
        <v>1410</v>
      </c>
      <c r="AC27" s="246">
        <v>0</v>
      </c>
      <c r="AD27" s="246">
        <v>0</v>
      </c>
      <c r="AE27" s="438">
        <f>(AE26-V062A_2030313334363537394041[[#This Row],[CARTER MP.]])+V062A_2030313334363537394041[[#This Row],[FAENA EN LTS2]]</f>
        <v>3200</v>
      </c>
      <c r="AF27" s="246">
        <v>0</v>
      </c>
      <c r="AG27" s="246">
        <v>0</v>
      </c>
      <c r="AH27" s="438">
        <f>(AH26-V062A_2030313334363537394041[[#This Row],[MOT AUX]])+V062A_2030313334363537394041[[#This Row],[FAENA EN  LTS]]</f>
        <v>1790</v>
      </c>
      <c r="AI27" s="246">
        <v>0</v>
      </c>
      <c r="AJ27" s="246">
        <v>0</v>
      </c>
      <c r="AK27" s="439">
        <f>(AK26-V062A_2030313334363537394041[[#This Row],[HIDRAULICO]])+V062A_2030313334363537394041[[#This Row],[FAENA EN LTS3]]</f>
        <v>1000</v>
      </c>
    </row>
    <row r="28" spans="1:37" x14ac:dyDescent="0.25">
      <c r="A28" s="431" t="s">
        <v>443</v>
      </c>
      <c r="B28" s="526">
        <v>44283</v>
      </c>
      <c r="C28" s="41">
        <v>0.64583333333333337</v>
      </c>
      <c r="D28" s="418">
        <f>IF(V062A_2030313334363537394041[[#This Row],[FECHA]]-B27=1,((V062A_2030313334363537394041[[#This Row],[HORA]]-C27)*24)+24,(V062A_2030313334363537394041[[#This Row],[HORA]]-C27)*24)</f>
        <v>0.50000000000000089</v>
      </c>
      <c r="E28" s="432" t="s">
        <v>47</v>
      </c>
      <c r="F28" s="29" t="s">
        <v>452</v>
      </c>
      <c r="G28" s="433"/>
      <c r="H28" s="434"/>
      <c r="I28" s="435"/>
      <c r="J28" s="436"/>
      <c r="K28" s="437"/>
      <c r="L28" s="483">
        <v>0.10416666666666685</v>
      </c>
      <c r="M28" s="246">
        <v>3.3333333333333395E-2</v>
      </c>
      <c r="N28" s="484">
        <v>2.083333333333337E-2</v>
      </c>
      <c r="O28" s="246">
        <f>SUM(V062A_2030313334363537394041[[#This Row],[MPAL]]+V062A_2030313334363537394041[[#This Row],[AUX.]]+V062A_2030313334363537394041[[#This Row],[CALDERA]])</f>
        <v>0.1583333333333336</v>
      </c>
      <c r="P28" s="319"/>
      <c r="Q28" s="270">
        <f>(Q27-V062A_2030313334363537394041[[#This Row],[TOTAL ]])+V062A_2030313334363537394041[[#This Row],[FAENA]]</f>
        <v>84.08250000000001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SUM(V062A_2030313334363537394041[[#This Row],[MPAL2]:[GI]])</f>
        <v>0</v>
      </c>
      <c r="X28" s="246"/>
      <c r="Y28" s="300">
        <f>(Y27-V062A_2030313334363537394041[[#This Row],[TOTAL]])+V062A_2030313334363537394041[[#This Row],[FAENA2]]</f>
        <v>75.999999999999986</v>
      </c>
      <c r="Z28" s="245">
        <v>0</v>
      </c>
      <c r="AA28" s="246">
        <v>0</v>
      </c>
      <c r="AB28" s="438">
        <f>(AB27-V062A_2030313334363537394041[[#This Row],[CYLINDER MP]])+V062A_2030313334363537394041[[#This Row],[FAENA EN LTS]]</f>
        <v>1410</v>
      </c>
      <c r="AC28" s="246">
        <v>0</v>
      </c>
      <c r="AD28" s="246">
        <v>0</v>
      </c>
      <c r="AE28" s="438">
        <f>(AE27-V062A_2030313334363537394041[[#This Row],[CARTER MP.]])+V062A_2030313334363537394041[[#This Row],[FAENA EN LTS2]]</f>
        <v>3200</v>
      </c>
      <c r="AF28" s="246">
        <v>0</v>
      </c>
      <c r="AG28" s="246">
        <v>0</v>
      </c>
      <c r="AH28" s="438">
        <f>(AH27-V062A_2030313334363537394041[[#This Row],[MOT AUX]])+V062A_2030313334363537394041[[#This Row],[FAENA EN  LTS]]</f>
        <v>1790</v>
      </c>
      <c r="AI28" s="246">
        <v>0</v>
      </c>
      <c r="AJ28" s="246">
        <v>0</v>
      </c>
      <c r="AK28" s="439">
        <f>(AK27-V062A_2030313334363537394041[[#This Row],[HIDRAULICO]])+V062A_2030313334363537394041[[#This Row],[FAENA EN LTS3]]</f>
        <v>1000</v>
      </c>
    </row>
    <row r="29" spans="1:37" x14ac:dyDescent="0.25">
      <c r="A29" s="431" t="s">
        <v>443</v>
      </c>
      <c r="B29" s="526">
        <v>44283</v>
      </c>
      <c r="C29" s="41">
        <v>0.97083333333333333</v>
      </c>
      <c r="D29" s="418">
        <f>IF(V062A_2030313334363537394041[[#This Row],[FECHA]]-B28=1,((V062A_2030313334363537394041[[#This Row],[HORA]]-C28)*24)+24,(V062A_2030313334363537394041[[#This Row],[HORA]]-C28)*24)</f>
        <v>7.7999999999999989</v>
      </c>
      <c r="E29" s="432" t="s">
        <v>55</v>
      </c>
      <c r="F29" s="29" t="s">
        <v>57</v>
      </c>
      <c r="G29" s="433"/>
      <c r="H29" s="434"/>
      <c r="I29" s="435"/>
      <c r="J29" s="436"/>
      <c r="K29" s="437">
        <v>97</v>
      </c>
      <c r="L29" s="483">
        <v>7.6049999999999986</v>
      </c>
      <c r="M29" s="246">
        <v>0.51999999999999991</v>
      </c>
      <c r="N29" s="484">
        <v>0</v>
      </c>
      <c r="O29" s="246">
        <f>SUM(V062A_2030313334363537394041[[#This Row],[MPAL]]+V062A_2030313334363537394041[[#This Row],[AUX.]]+V062A_2030313334363537394041[[#This Row],[CALDERA]])</f>
        <v>8.1249999999999982</v>
      </c>
      <c r="P29" s="319"/>
      <c r="Q29" s="270">
        <f>(Q28-V062A_2030313334363537394041[[#This Row],[TOTAL ]])+V062A_2030313334363537394041[[#This Row],[FAENA]]</f>
        <v>75.95750000000001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SUM(V062A_2030313334363537394041[[#This Row],[MPAL2]:[GI]])</f>
        <v>0</v>
      </c>
      <c r="X29" s="246"/>
      <c r="Y29" s="300">
        <f>(Y28-V062A_2030313334363537394041[[#This Row],[TOTAL]])+V062A_2030313334363537394041[[#This Row],[FAENA2]]</f>
        <v>75.999999999999986</v>
      </c>
      <c r="Z29" s="245">
        <v>80</v>
      </c>
      <c r="AA29" s="246">
        <v>0</v>
      </c>
      <c r="AB29" s="438">
        <f>(AB28-V062A_2030313334363537394041[[#This Row],[CYLINDER MP]])+V062A_2030313334363537394041[[#This Row],[FAENA EN LTS]]</f>
        <v>1330</v>
      </c>
      <c r="AC29" s="246">
        <v>0</v>
      </c>
      <c r="AD29" s="246">
        <v>0</v>
      </c>
      <c r="AE29" s="438">
        <f>(AE28-V062A_2030313334363537394041[[#This Row],[CARTER MP.]])+V062A_2030313334363537394041[[#This Row],[FAENA EN LTS2]]</f>
        <v>3200</v>
      </c>
      <c r="AF29" s="246">
        <v>0</v>
      </c>
      <c r="AG29" s="246">
        <v>0</v>
      </c>
      <c r="AH29" s="438">
        <f>(AH28-V062A_2030313334363537394041[[#This Row],[MOT AUX]])+V062A_2030313334363537394041[[#This Row],[FAENA EN  LTS]]</f>
        <v>1790</v>
      </c>
      <c r="AI29" s="246">
        <v>0</v>
      </c>
      <c r="AJ29" s="246">
        <v>0</v>
      </c>
      <c r="AK29" s="439">
        <f>(AK28-V062A_2030313334363537394041[[#This Row],[HIDRAULICO]])+V062A_2030313334363537394041[[#This Row],[FAENA EN LTS3]]</f>
        <v>1000</v>
      </c>
    </row>
    <row r="30" spans="1:37" x14ac:dyDescent="0.25">
      <c r="A30" s="431" t="s">
        <v>443</v>
      </c>
      <c r="B30" s="526">
        <v>44284</v>
      </c>
      <c r="C30" s="41">
        <v>8.3333333333333332E-3</v>
      </c>
      <c r="D30" s="418">
        <f>IF(V062A_2030313334363537394041[[#This Row],[FECHA]]-B29=1,((V062A_2030313334363537394041[[#This Row],[HORA]]-C29)*24)+24,(V062A_2030313334363537394041[[#This Row],[HORA]]-C29)*24)</f>
        <v>0.89999999999999858</v>
      </c>
      <c r="E30" s="432" t="s">
        <v>47</v>
      </c>
      <c r="F30" s="29" t="s">
        <v>453</v>
      </c>
      <c r="G30" s="433"/>
      <c r="H30" s="434"/>
      <c r="I30" s="435"/>
      <c r="J30" s="436"/>
      <c r="K30" s="437"/>
      <c r="L30" s="483">
        <v>0.18749999999999972</v>
      </c>
      <c r="M30" s="246">
        <v>5.9999999999999908E-2</v>
      </c>
      <c r="N30" s="484">
        <v>3.7499999999999936E-2</v>
      </c>
      <c r="O30" s="246">
        <f>SUM(V062A_2030313334363537394041[[#This Row],[MPAL]]+V062A_2030313334363537394041[[#This Row],[AUX.]]+V062A_2030313334363537394041[[#This Row],[CALDERA]])</f>
        <v>0.28499999999999959</v>
      </c>
      <c r="P30" s="319"/>
      <c r="Q30" s="270">
        <f>(Q29-V062A_2030313334363537394041[[#This Row],[TOTAL ]])+V062A_2030313334363537394041[[#This Row],[FAENA]]</f>
        <v>75.672500000000014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SUM(V062A_2030313334363537394041[[#This Row],[MPAL2]:[GI]])</f>
        <v>0</v>
      </c>
      <c r="X30" s="246"/>
      <c r="Y30" s="300">
        <f>(Y29-V062A_2030313334363537394041[[#This Row],[TOTAL]])+V062A_2030313334363537394041[[#This Row],[FAENA2]]</f>
        <v>75.999999999999986</v>
      </c>
      <c r="Z30" s="245">
        <v>0</v>
      </c>
      <c r="AA30" s="246">
        <v>0</v>
      </c>
      <c r="AB30" s="438">
        <f>(AB29-V062A_2030313334363537394041[[#This Row],[CYLINDER MP]])+V062A_2030313334363537394041[[#This Row],[FAENA EN LTS]]</f>
        <v>1330</v>
      </c>
      <c r="AC30" s="246">
        <v>0</v>
      </c>
      <c r="AD30" s="246">
        <v>0</v>
      </c>
      <c r="AE30" s="438">
        <f>(AE29-V062A_2030313334363537394041[[#This Row],[CARTER MP.]])+V062A_2030313334363537394041[[#This Row],[FAENA EN LTS2]]</f>
        <v>3200</v>
      </c>
      <c r="AF30" s="246">
        <v>0</v>
      </c>
      <c r="AG30" s="246">
        <v>0</v>
      </c>
      <c r="AH30" s="438">
        <f>(AH29-V062A_2030313334363537394041[[#This Row],[MOT AUX]])+V062A_2030313334363537394041[[#This Row],[FAENA EN  LTS]]</f>
        <v>1790</v>
      </c>
      <c r="AI30" s="246">
        <v>0</v>
      </c>
      <c r="AJ30" s="246">
        <v>0</v>
      </c>
      <c r="AK30" s="439">
        <f>(AK29-V062A_2030313334363537394041[[#This Row],[HIDRAULICO]])+V062A_2030313334363537394041[[#This Row],[FAENA EN LTS3]]</f>
        <v>1000</v>
      </c>
    </row>
    <row r="31" spans="1:37" x14ac:dyDescent="0.25">
      <c r="A31" s="431" t="s">
        <v>443</v>
      </c>
      <c r="B31" s="526">
        <v>44284</v>
      </c>
      <c r="C31" s="41">
        <v>0.33333333333333331</v>
      </c>
      <c r="D31" s="418">
        <f>IF(V062A_2030313334363537394041[[#This Row],[FECHA]]-B30=1,((V062A_2030313334363537394041[[#This Row],[HORA]]-C30)*24)+24,(V062A_2030313334363537394041[[#This Row],[HORA]]-C30)*24)</f>
        <v>7.7999999999999989</v>
      </c>
      <c r="E31" s="432" t="s">
        <v>45</v>
      </c>
      <c r="F31" s="29" t="s">
        <v>270</v>
      </c>
      <c r="G31" s="433"/>
      <c r="H31" s="434"/>
      <c r="I31" s="435"/>
      <c r="J31" s="436"/>
      <c r="K31" s="437"/>
      <c r="L31" s="483">
        <v>0</v>
      </c>
      <c r="M31" s="246">
        <v>0.51999999999999991</v>
      </c>
      <c r="N31" s="484">
        <v>0.35</v>
      </c>
      <c r="O31" s="246">
        <f>SUM(V062A_2030313334363537394041[[#This Row],[MPAL]]+V062A_2030313334363537394041[[#This Row],[AUX.]]+V062A_2030313334363537394041[[#This Row],[CALDERA]])</f>
        <v>0.86999999999999988</v>
      </c>
      <c r="P31" s="319"/>
      <c r="Q31" s="270">
        <f>(Q30-V062A_2030313334363537394041[[#This Row],[TOTAL ]])+V062A_2030313334363537394041[[#This Row],[FAENA]]</f>
        <v>74.802500000000009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SUM(V062A_2030313334363537394041[[#This Row],[MPAL2]:[GI]])</f>
        <v>0</v>
      </c>
      <c r="X31" s="246"/>
      <c r="Y31" s="300">
        <f>(Y30-V062A_2030313334363537394041[[#This Row],[TOTAL]])+V062A_2030313334363537394041[[#This Row],[FAENA2]]</f>
        <v>75.999999999999986</v>
      </c>
      <c r="Z31" s="245">
        <v>0</v>
      </c>
      <c r="AA31" s="246">
        <v>0</v>
      </c>
      <c r="AB31" s="438">
        <f>(AB30-V062A_2030313334363537394041[[#This Row],[CYLINDER MP]])+V062A_2030313334363537394041[[#This Row],[FAENA EN LTS]]</f>
        <v>1330</v>
      </c>
      <c r="AC31" s="246">
        <v>0</v>
      </c>
      <c r="AD31" s="246">
        <v>0</v>
      </c>
      <c r="AE31" s="438">
        <f>(AE30-V062A_2030313334363537394041[[#This Row],[CARTER MP.]])+V062A_2030313334363537394041[[#This Row],[FAENA EN LTS2]]</f>
        <v>3200</v>
      </c>
      <c r="AF31" s="246">
        <v>20</v>
      </c>
      <c r="AG31" s="246">
        <v>0</v>
      </c>
      <c r="AH31" s="438">
        <f>(AH30-V062A_2030313334363537394041[[#This Row],[MOT AUX]])+V062A_2030313334363537394041[[#This Row],[FAENA EN  LTS]]</f>
        <v>1770</v>
      </c>
      <c r="AI31" s="246">
        <v>0</v>
      </c>
      <c r="AJ31" s="246">
        <v>0</v>
      </c>
      <c r="AK31" s="439">
        <f>(AK30-V062A_2030313334363537394041[[#This Row],[HIDRAULICO]])+V062A_2030313334363537394041[[#This Row],[FAENA EN LTS3]]</f>
        <v>1000</v>
      </c>
    </row>
    <row r="32" spans="1:37" x14ac:dyDescent="0.25">
      <c r="A32" s="431" t="s">
        <v>443</v>
      </c>
      <c r="B32" s="526">
        <v>44285</v>
      </c>
      <c r="C32" s="41">
        <v>0.33333333333333331</v>
      </c>
      <c r="D32" s="418">
        <f>IF(V062A_2030313334363537394041[[#This Row],[FECHA]]-B31=1,((V062A_2030313334363537394041[[#This Row],[HORA]]-C31)*24)+24,(V062A_2030313334363537394041[[#This Row],[HORA]]-C31)*24)</f>
        <v>24</v>
      </c>
      <c r="E32" s="432" t="s">
        <v>45</v>
      </c>
      <c r="F32" s="29" t="s">
        <v>270</v>
      </c>
      <c r="G32" s="433"/>
      <c r="H32" s="434"/>
      <c r="I32" s="435"/>
      <c r="J32" s="436"/>
      <c r="K32" s="437"/>
      <c r="L32" s="483">
        <v>0</v>
      </c>
      <c r="M32" s="246">
        <v>1.6</v>
      </c>
      <c r="N32" s="484">
        <v>1</v>
      </c>
      <c r="O32" s="246">
        <f>SUM(V062A_2030313334363537394041[[#This Row],[MPAL]]+V062A_2030313334363537394041[[#This Row],[AUX.]]+V062A_2030313334363537394041[[#This Row],[CALDERA]])</f>
        <v>2.6</v>
      </c>
      <c r="P32" s="319"/>
      <c r="Q32" s="270">
        <f>(Q31-V062A_2030313334363537394041[[#This Row],[TOTAL ]])+V062A_2030313334363537394041[[#This Row],[FAENA]]</f>
        <v>72.202500000000015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SUM(V062A_2030313334363537394041[[#This Row],[MPAL2]:[GI]])</f>
        <v>0</v>
      </c>
      <c r="X32" s="246"/>
      <c r="Y32" s="300">
        <f>(Y31-V062A_2030313334363537394041[[#This Row],[TOTAL]])+V062A_2030313334363537394041[[#This Row],[FAENA2]]</f>
        <v>75.999999999999986</v>
      </c>
      <c r="Z32" s="245">
        <v>0</v>
      </c>
      <c r="AA32" s="246">
        <v>0</v>
      </c>
      <c r="AB32" s="320">
        <f>(AB31-V062A_2030313334363537394041[[#This Row],[CYLINDER MP]])+V062A_2030313334363537394041[[#This Row],[FAENA EN LTS]]</f>
        <v>1330</v>
      </c>
      <c r="AC32" s="246">
        <v>0</v>
      </c>
      <c r="AD32" s="246">
        <v>0</v>
      </c>
      <c r="AE32" s="438">
        <f>(AE31-V062A_2030313334363537394041[[#This Row],[CARTER MP.]])+V062A_2030313334363537394041[[#This Row],[FAENA EN LTS2]]</f>
        <v>3200</v>
      </c>
      <c r="AF32" s="246">
        <v>20</v>
      </c>
      <c r="AG32" s="246">
        <v>0</v>
      </c>
      <c r="AH32" s="438">
        <f>(AH31-V062A_2030313334363537394041[[#This Row],[MOT AUX]])+V062A_2030313334363537394041[[#This Row],[FAENA EN  LTS]]</f>
        <v>1750</v>
      </c>
      <c r="AI32" s="246">
        <v>0</v>
      </c>
      <c r="AJ32" s="246">
        <v>0</v>
      </c>
      <c r="AK32" s="439">
        <f>(AK31-V062A_2030313334363537394041[[#This Row],[HIDRAULICO]])+V062A_2030313334363537394041[[#This Row],[FAENA EN LTS3]]</f>
        <v>1000</v>
      </c>
    </row>
    <row r="33" spans="1:37" x14ac:dyDescent="0.25">
      <c r="A33" s="431" t="s">
        <v>443</v>
      </c>
      <c r="B33" s="526">
        <v>44285</v>
      </c>
      <c r="C33" s="41">
        <v>0.71666666666666667</v>
      </c>
      <c r="D33" s="418">
        <f>IF(V062A_2030313334363537394041[[#This Row],[FECHA]]-B32=1,((V062A_2030313334363537394041[[#This Row],[HORA]]-C32)*24)+24,(V062A_2030313334363537394041[[#This Row],[HORA]]-C32)*24)</f>
        <v>9.2000000000000011</v>
      </c>
      <c r="E33" s="409" t="s">
        <v>45</v>
      </c>
      <c r="F33" s="29" t="s">
        <v>46</v>
      </c>
      <c r="G33" s="433"/>
      <c r="H33" s="434"/>
      <c r="I33" s="435"/>
      <c r="J33" s="436"/>
      <c r="K33" s="437"/>
      <c r="L33" s="483">
        <v>0</v>
      </c>
      <c r="M33" s="246">
        <v>0.6133333333333334</v>
      </c>
      <c r="N33" s="484">
        <v>0.38333333333333336</v>
      </c>
      <c r="O33" s="246">
        <f>SUM(V062A_2030313334363537394041[[#This Row],[MPAL]]+V062A_2030313334363537394041[[#This Row],[AUX.]]+V062A_2030313334363537394041[[#This Row],[CALDERA]])</f>
        <v>0.99666666666666681</v>
      </c>
      <c r="P33" s="319"/>
      <c r="Q33" s="270">
        <f>(Q32-V062A_2030313334363537394041[[#This Row],[TOTAL ]])+V062A_2030313334363537394041[[#This Row],[FAENA]]</f>
        <v>71.205833333333345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SUM(V062A_2030313334363537394041[[#This Row],[MPAL2]:[GI]])</f>
        <v>0</v>
      </c>
      <c r="X33" s="246"/>
      <c r="Y33" s="300">
        <f>(Y32-V062A_2030313334363537394041[[#This Row],[TOTAL]])+V062A_2030313334363537394041[[#This Row],[FAENA2]]</f>
        <v>75.999999999999986</v>
      </c>
      <c r="Z33" s="245">
        <v>0</v>
      </c>
      <c r="AA33" s="246">
        <v>0</v>
      </c>
      <c r="AB33" s="320">
        <f>(AB32-V062A_2030313334363537394041[[#This Row],[CYLINDER MP]])+V062A_2030313334363537394041[[#This Row],[FAENA EN LTS]]</f>
        <v>1330</v>
      </c>
      <c r="AC33" s="246">
        <v>0</v>
      </c>
      <c r="AD33" s="246">
        <v>0</v>
      </c>
      <c r="AE33" s="438">
        <f>(AE32-V062A_2030313334363537394041[[#This Row],[CARTER MP.]])+V062A_2030313334363537394041[[#This Row],[FAENA EN LTS2]]</f>
        <v>3200</v>
      </c>
      <c r="AF33" s="246">
        <v>0</v>
      </c>
      <c r="AG33" s="246">
        <v>0</v>
      </c>
      <c r="AH33" s="438">
        <f>(AH32-V062A_2030313334363537394041[[#This Row],[MOT AUX]])+V062A_2030313334363537394041[[#This Row],[FAENA EN  LTS]]</f>
        <v>1750</v>
      </c>
      <c r="AI33" s="246">
        <v>0</v>
      </c>
      <c r="AJ33" s="246">
        <v>0</v>
      </c>
      <c r="AK33" s="439">
        <f>(AK32-V062A_2030313334363537394041[[#This Row],[HIDRAULICO]])+V062A_2030313334363537394041[[#This Row],[FAENA EN LTS3]]</f>
        <v>1000</v>
      </c>
    </row>
    <row r="34" spans="1:37" x14ac:dyDescent="0.25">
      <c r="A34" s="431" t="s">
        <v>443</v>
      </c>
      <c r="B34" s="526">
        <v>44285</v>
      </c>
      <c r="C34" s="351">
        <v>0.73749999999999993</v>
      </c>
      <c r="D34" s="418">
        <f>IF(V062A_2030313334363537394041[[#This Row],[FECHA]]-B33=1,((V062A_2030313334363537394041[[#This Row],[HORA]]-C33)*24)+24,(V062A_2030313334363537394041[[#This Row],[HORA]]-C33)*24)</f>
        <v>0.49999999999999822</v>
      </c>
      <c r="E34" s="409" t="s">
        <v>47</v>
      </c>
      <c r="F34" s="29" t="s">
        <v>454</v>
      </c>
      <c r="G34" s="433"/>
      <c r="H34" s="434"/>
      <c r="I34" s="435"/>
      <c r="J34" s="436"/>
      <c r="K34" s="437"/>
      <c r="L34" s="483">
        <v>0.1041666666666663</v>
      </c>
      <c r="M34" s="246">
        <v>3.3333333333333215E-2</v>
      </c>
      <c r="N34" s="484">
        <v>2.0833333333333259E-2</v>
      </c>
      <c r="O34" s="246">
        <f>SUM(V062A_2030313334363537394041[[#This Row],[MPAL]]+V062A_2030313334363537394041[[#This Row],[AUX.]]+V062A_2030313334363537394041[[#This Row],[CALDERA]])</f>
        <v>0.15833333333333277</v>
      </c>
      <c r="P34" s="319"/>
      <c r="Q34" s="270">
        <f>(Q33-V062A_2030313334363537394041[[#This Row],[TOTAL ]])+V062A_2030313334363537394041[[#This Row],[FAENA]]</f>
        <v>71.047500000000014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SUM(V062A_2030313334363537394041[[#This Row],[MPAL2]:[GI]])</f>
        <v>0</v>
      </c>
      <c r="X34" s="246"/>
      <c r="Y34" s="300">
        <f>(Y33-V062A_2030313334363537394041[[#This Row],[TOTAL]])+V062A_2030313334363537394041[[#This Row],[FAENA2]]</f>
        <v>75.999999999999986</v>
      </c>
      <c r="Z34" s="245">
        <v>0</v>
      </c>
      <c r="AA34" s="246">
        <v>0</v>
      </c>
      <c r="AB34" s="320">
        <f>(AB33-V062A_2030313334363537394041[[#This Row],[CYLINDER MP]])+V062A_2030313334363537394041[[#This Row],[FAENA EN LTS]]</f>
        <v>1330</v>
      </c>
      <c r="AC34" s="246">
        <v>0</v>
      </c>
      <c r="AD34" s="246">
        <v>0</v>
      </c>
      <c r="AE34" s="438">
        <f>(AE33-V062A_2030313334363537394041[[#This Row],[CARTER MP.]])+V062A_2030313334363537394041[[#This Row],[FAENA EN LTS2]]</f>
        <v>3200</v>
      </c>
      <c r="AF34" s="246">
        <v>0</v>
      </c>
      <c r="AG34" s="246">
        <v>0</v>
      </c>
      <c r="AH34" s="438">
        <f>(AH33-V062A_2030313334363537394041[[#This Row],[MOT AUX]])+V062A_2030313334363537394041[[#This Row],[FAENA EN  LTS]]</f>
        <v>1750</v>
      </c>
      <c r="AI34" s="246">
        <v>0</v>
      </c>
      <c r="AJ34" s="246">
        <v>0</v>
      </c>
      <c r="AK34" s="439">
        <f>(AK33-V062A_2030313334363537394041[[#This Row],[HIDRAULICO]])+V062A_2030313334363537394041[[#This Row],[FAENA EN LTS3]]</f>
        <v>1000</v>
      </c>
    </row>
    <row r="35" spans="1:37" x14ac:dyDescent="0.25">
      <c r="A35" s="431" t="s">
        <v>443</v>
      </c>
      <c r="B35" s="526">
        <v>44286</v>
      </c>
      <c r="C35" s="41">
        <v>0.33333333333333331</v>
      </c>
      <c r="D35" s="418">
        <f>IF(V062A_2030313334363537394041[[#This Row],[FECHA]]-B34=1,((V062A_2030313334363537394041[[#This Row],[HORA]]-C34)*24)+24,(V062A_2030313334363537394041[[#This Row],[HORA]]-C34)*24)</f>
        <v>14.3</v>
      </c>
      <c r="E35" s="409" t="s">
        <v>55</v>
      </c>
      <c r="F35" s="29" t="s">
        <v>56</v>
      </c>
      <c r="G35" s="433"/>
      <c r="H35" s="434"/>
      <c r="I35" s="435"/>
      <c r="J35" s="436"/>
      <c r="K35" s="437">
        <v>97</v>
      </c>
      <c r="L35" s="483">
        <v>13.942500000000001</v>
      </c>
      <c r="M35" s="246">
        <v>0.91</v>
      </c>
      <c r="N35" s="484">
        <v>0</v>
      </c>
      <c r="O35" s="246">
        <f>SUM(V062A_2030313334363537394041[[#This Row],[MPAL]]+V062A_2030313334363537394041[[#This Row],[AUX.]]+V062A_2030313334363537394041[[#This Row],[CALDERA]])</f>
        <v>14.852500000000001</v>
      </c>
      <c r="P35" s="319"/>
      <c r="Q35" s="270">
        <f>(Q34-V062A_2030313334363537394041[[#This Row],[TOTAL ]])+V062A_2030313334363537394041[[#This Row],[FAENA]]</f>
        <v>56.195000000000014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SUM(V062A_2030313334363537394041[[#This Row],[MPAL2]:[GI]])</f>
        <v>0</v>
      </c>
      <c r="X35" s="246"/>
      <c r="Y35" s="300">
        <f>(Y34-V062A_2030313334363537394041[[#This Row],[TOTAL]])+V062A_2030313334363537394041[[#This Row],[FAENA2]]</f>
        <v>75.999999999999986</v>
      </c>
      <c r="Z35" s="245">
        <v>140</v>
      </c>
      <c r="AA35" s="246">
        <v>0</v>
      </c>
      <c r="AB35" s="320">
        <f>(AB34-V062A_2030313334363537394041[[#This Row],[CYLINDER MP]])+V062A_2030313334363537394041[[#This Row],[FAENA EN LTS]]</f>
        <v>1190</v>
      </c>
      <c r="AC35" s="246">
        <v>0</v>
      </c>
      <c r="AD35" s="246">
        <v>0</v>
      </c>
      <c r="AE35" s="438">
        <f>(AE34-V062A_2030313334363537394041[[#This Row],[CARTER MP.]])+V062A_2030313334363537394041[[#This Row],[FAENA EN LTS2]]</f>
        <v>3200</v>
      </c>
      <c r="AF35" s="246">
        <v>20</v>
      </c>
      <c r="AG35" s="246">
        <v>0</v>
      </c>
      <c r="AH35" s="438">
        <f>(AH34-V062A_2030313334363537394041[[#This Row],[MOT AUX]])+V062A_2030313334363537394041[[#This Row],[FAENA EN  LTS]]</f>
        <v>1730</v>
      </c>
      <c r="AI35" s="246">
        <v>0</v>
      </c>
      <c r="AJ35" s="246">
        <v>0</v>
      </c>
      <c r="AK35" s="439">
        <f>(AK34-V062A_2030313334363537394041[[#This Row],[HIDRAULICO]])+V062A_2030313334363537394041[[#This Row],[FAENA EN LTS3]]</f>
        <v>1000</v>
      </c>
    </row>
    <row r="36" spans="1:37" x14ac:dyDescent="0.25">
      <c r="A36" s="431" t="s">
        <v>443</v>
      </c>
      <c r="B36" s="526">
        <v>44286</v>
      </c>
      <c r="C36" s="41">
        <v>0.97083333333333333</v>
      </c>
      <c r="D36" s="418">
        <f>IF(V062A_2030313334363537394041[[#This Row],[FECHA]]-B35=1,((V062A_2030313334363537394041[[#This Row],[HORA]]-C35)*24)+24,(V062A_2030313334363537394041[[#This Row],[HORA]]-C35)*24)</f>
        <v>15.299999999999999</v>
      </c>
      <c r="E36" s="409" t="s">
        <v>55</v>
      </c>
      <c r="F36" s="29" t="s">
        <v>247</v>
      </c>
      <c r="G36" s="433"/>
      <c r="H36" s="434"/>
      <c r="I36" s="435"/>
      <c r="J36" s="436"/>
      <c r="K36" s="437">
        <v>97</v>
      </c>
      <c r="L36" s="483">
        <v>14.917499999999999</v>
      </c>
      <c r="M36" s="246">
        <v>1.02</v>
      </c>
      <c r="N36" s="484">
        <v>0</v>
      </c>
      <c r="O36" s="246">
        <f>SUM(V062A_2030313334363537394041[[#This Row],[MPAL]]+V062A_2030313334363537394041[[#This Row],[AUX.]]+V062A_2030313334363537394041[[#This Row],[CALDERA]])</f>
        <v>15.937499999999998</v>
      </c>
      <c r="P36" s="319"/>
      <c r="Q36" s="270">
        <f>(Q35-V062A_2030313334363537394041[[#This Row],[TOTAL ]])+V062A_2030313334363537394041[[#This Row],[FAENA]]</f>
        <v>40.257500000000014</v>
      </c>
      <c r="R36" s="245">
        <v>0</v>
      </c>
      <c r="S36" s="246">
        <v>0</v>
      </c>
      <c r="T36" s="246">
        <v>0</v>
      </c>
      <c r="U36" s="246">
        <v>0</v>
      </c>
      <c r="V36" s="246">
        <v>0</v>
      </c>
      <c r="W36" s="246">
        <f>SUM(V062A_2030313334363537394041[[#This Row],[MPAL2]:[GI]])</f>
        <v>0</v>
      </c>
      <c r="X36" s="246"/>
      <c r="Y36" s="300">
        <f>(Y35-V062A_2030313334363537394041[[#This Row],[TOTAL]])+V062A_2030313334363537394041[[#This Row],[FAENA2]]</f>
        <v>75.999999999999986</v>
      </c>
      <c r="Z36" s="245">
        <v>150</v>
      </c>
      <c r="AA36" s="246">
        <v>0</v>
      </c>
      <c r="AB36" s="320">
        <f>(AB35-V062A_2030313334363537394041[[#This Row],[CYLINDER MP]])+V062A_2030313334363537394041[[#This Row],[FAENA EN LTS]]</f>
        <v>1040</v>
      </c>
      <c r="AC36" s="246">
        <v>0</v>
      </c>
      <c r="AD36" s="246">
        <v>0</v>
      </c>
      <c r="AE36" s="438">
        <f>(AE35-V062A_2030313334363537394041[[#This Row],[CARTER MP.]])+V062A_2030313334363537394041[[#This Row],[FAENA EN LTS2]]</f>
        <v>3200</v>
      </c>
      <c r="AF36" s="246">
        <v>0</v>
      </c>
      <c r="AG36" s="246">
        <v>0</v>
      </c>
      <c r="AH36" s="438">
        <f>(AH35-V062A_2030313334363537394041[[#This Row],[MOT AUX]])+V062A_2030313334363537394041[[#This Row],[FAENA EN  LTS]]</f>
        <v>1730</v>
      </c>
      <c r="AI36" s="246">
        <v>0</v>
      </c>
      <c r="AJ36" s="246">
        <v>0</v>
      </c>
      <c r="AK36" s="439">
        <f>(AK35-V062A_2030313334363537394041[[#This Row],[HIDRAULICO]])+V062A_2030313334363537394041[[#This Row],[FAENA EN LTS3]]</f>
        <v>1000</v>
      </c>
    </row>
    <row r="37" spans="1:37" x14ac:dyDescent="0.25">
      <c r="A37" s="431" t="s">
        <v>443</v>
      </c>
      <c r="B37" s="526">
        <v>44286</v>
      </c>
      <c r="C37" s="41">
        <v>0.9916666666666667</v>
      </c>
      <c r="D37" s="418">
        <f>IF(V062A_2030313334363537394041[[#This Row],[FECHA]]-B36=1,((V062A_2030313334363537394041[[#This Row],[HORA]]-C36)*24)+24,(V062A_2030313334363537394041[[#This Row],[HORA]]-C36)*24)</f>
        <v>0.50000000000000089</v>
      </c>
      <c r="E37" s="409" t="s">
        <v>47</v>
      </c>
      <c r="F37" s="29" t="s">
        <v>267</v>
      </c>
      <c r="G37" s="433"/>
      <c r="H37" s="434"/>
      <c r="I37" s="435"/>
      <c r="J37" s="436"/>
      <c r="K37" s="437"/>
      <c r="L37" s="483">
        <v>0.10416666666666685</v>
      </c>
      <c r="M37" s="246">
        <v>3.3333333333333395E-2</v>
      </c>
      <c r="N37" s="484">
        <v>2.083333333333337E-2</v>
      </c>
      <c r="O37" s="246">
        <f>SUM(V062A_2030313334363537394041[[#This Row],[MPAL]]+V062A_2030313334363537394041[[#This Row],[AUX.]]+V062A_2030313334363537394041[[#This Row],[CALDERA]])</f>
        <v>0.1583333333333336</v>
      </c>
      <c r="P37" s="319"/>
      <c r="Q37" s="270">
        <f>(Q36-V062A_2030313334363537394041[[#This Row],[TOTAL ]])+V062A_2030313334363537394041[[#This Row],[FAENA]]</f>
        <v>40.099166666666683</v>
      </c>
      <c r="R37" s="245">
        <v>0</v>
      </c>
      <c r="S37" s="246">
        <v>0</v>
      </c>
      <c r="T37" s="246">
        <v>0</v>
      </c>
      <c r="U37" s="246">
        <v>0</v>
      </c>
      <c r="V37" s="246">
        <v>0</v>
      </c>
      <c r="W37" s="246">
        <f>SUM(V062A_2030313334363537394041[[#This Row],[MPAL2]:[GI]])</f>
        <v>0</v>
      </c>
      <c r="X37" s="246"/>
      <c r="Y37" s="300">
        <f>(Y36-V062A_2030313334363537394041[[#This Row],[TOTAL]])+V062A_2030313334363537394041[[#This Row],[FAENA2]]</f>
        <v>75.999999999999986</v>
      </c>
      <c r="Z37" s="245">
        <v>0</v>
      </c>
      <c r="AA37" s="246">
        <v>0</v>
      </c>
      <c r="AB37" s="320">
        <f>(AB36-V062A_2030313334363537394041[[#This Row],[CYLINDER MP]])+V062A_2030313334363537394041[[#This Row],[FAENA EN LTS]]</f>
        <v>1040</v>
      </c>
      <c r="AC37" s="246">
        <v>0</v>
      </c>
      <c r="AD37" s="246">
        <v>0</v>
      </c>
      <c r="AE37" s="438">
        <f>(AE36-V062A_2030313334363537394041[[#This Row],[CARTER MP.]])+V062A_2030313334363537394041[[#This Row],[FAENA EN LTS2]]</f>
        <v>3200</v>
      </c>
      <c r="AF37" s="246">
        <v>0</v>
      </c>
      <c r="AG37" s="246">
        <v>0</v>
      </c>
      <c r="AH37" s="438">
        <f>(AH36-V062A_2030313334363537394041[[#This Row],[MOT AUX]])+V062A_2030313334363537394041[[#This Row],[FAENA EN  LTS]]</f>
        <v>1730</v>
      </c>
      <c r="AI37" s="246">
        <v>0</v>
      </c>
      <c r="AJ37" s="246">
        <v>0</v>
      </c>
      <c r="AK37" s="439">
        <f>(AK36-V062A_2030313334363537394041[[#This Row],[HIDRAULICO]])+V062A_2030313334363537394041[[#This Row],[FAENA EN LTS3]]</f>
        <v>1000</v>
      </c>
    </row>
    <row r="38" spans="1:37" x14ac:dyDescent="0.25">
      <c r="A38" s="431" t="s">
        <v>443</v>
      </c>
      <c r="B38" s="526">
        <v>44287</v>
      </c>
      <c r="C38" s="41">
        <v>0</v>
      </c>
      <c r="D38" s="418">
        <f>IF(V062A_2030313334363537394041[[#This Row],[FECHA]]-B37=1,((V062A_2030313334363537394041[[#This Row],[HORA]]-C37)*24)+24,(V062A_2030313334363537394041[[#This Row],[HORA]]-C37)*24)</f>
        <v>0.19999999999999929</v>
      </c>
      <c r="E38" s="409" t="s">
        <v>45</v>
      </c>
      <c r="F38" s="29" t="s">
        <v>455</v>
      </c>
      <c r="G38" s="433"/>
      <c r="H38" s="434"/>
      <c r="I38" s="435"/>
      <c r="J38" s="436"/>
      <c r="K38" s="437"/>
      <c r="L38" s="483">
        <v>0</v>
      </c>
      <c r="M38" s="246">
        <v>1.3333333333333286E-2</v>
      </c>
      <c r="N38" s="484">
        <v>8.3333333333333037E-3</v>
      </c>
      <c r="O38" s="246">
        <f>SUM(V062A_2030313334363537394041[[#This Row],[MPAL]]+V062A_2030313334363537394041[[#This Row],[AUX.]]+V062A_2030313334363537394041[[#This Row],[CALDERA]])</f>
        <v>2.1666666666666591E-2</v>
      </c>
      <c r="P38" s="319"/>
      <c r="Q38" s="270">
        <f>(Q37-V062A_2030313334363537394041[[#This Row],[TOTAL ]])+V062A_2030313334363537394041[[#This Row],[FAENA]]</f>
        <v>40.077500000000015</v>
      </c>
      <c r="R38" s="484">
        <v>0</v>
      </c>
      <c r="S38" s="246">
        <v>0</v>
      </c>
      <c r="T38" s="246">
        <v>0</v>
      </c>
      <c r="U38" s="246">
        <v>0</v>
      </c>
      <c r="V38" s="246">
        <v>0</v>
      </c>
      <c r="W38" s="246">
        <f>SUM(V062A_2030313334363537394041[[#This Row],[MPAL2]:[GI]])</f>
        <v>0</v>
      </c>
      <c r="X38" s="246"/>
      <c r="Y38" s="300">
        <f>(Y37-V062A_2030313334363537394041[[#This Row],[TOTAL]])+V062A_2030313334363537394041[[#This Row],[FAENA2]]</f>
        <v>75.999999999999986</v>
      </c>
      <c r="Z38" s="245">
        <v>0</v>
      </c>
      <c r="AA38" s="246">
        <v>0</v>
      </c>
      <c r="AB38" s="320">
        <f>(AB37-V062A_2030313334363537394041[[#This Row],[CYLINDER MP]])+V062A_2030313334363537394041[[#This Row],[FAENA EN LTS]]</f>
        <v>1040</v>
      </c>
      <c r="AC38" s="246">
        <v>0</v>
      </c>
      <c r="AD38" s="246">
        <v>0</v>
      </c>
      <c r="AE38" s="438">
        <f>(AE37-V062A_2030313334363537394041[[#This Row],[CARTER MP.]])+V062A_2030313334363537394041[[#This Row],[FAENA EN LTS2]]</f>
        <v>3200</v>
      </c>
      <c r="AF38" s="246">
        <v>0</v>
      </c>
      <c r="AG38" s="246">
        <v>0</v>
      </c>
      <c r="AH38" s="438">
        <f>(AH37-V062A_2030313334363537394041[[#This Row],[MOT AUX]])+V062A_2030313334363537394041[[#This Row],[FAENA EN  LTS]]</f>
        <v>1730</v>
      </c>
      <c r="AI38" s="246">
        <v>0</v>
      </c>
      <c r="AJ38" s="246">
        <v>0</v>
      </c>
      <c r="AK38" s="439">
        <f>(AK37-V062A_2030313334363537394041[[#This Row],[HIDRAULICO]])+V062A_2030313334363537394041[[#This Row],[FAENA EN LTS3]]</f>
        <v>1000</v>
      </c>
    </row>
    <row r="39" spans="1:37" x14ac:dyDescent="0.25">
      <c r="A39" s="431" t="s">
        <v>443</v>
      </c>
      <c r="B39" s="526">
        <v>44287</v>
      </c>
      <c r="C39" s="41">
        <v>0.33333333333333331</v>
      </c>
      <c r="D39" s="418">
        <f>IF(V062A_2030313334363537394041[[#This Row],[FECHA]]-B38=1,((V062A_2030313334363537394041[[#This Row],[HORA]]-C38)*24)+24,(V062A_2030313334363537394041[[#This Row],[HORA]]-C38)*24)</f>
        <v>8</v>
      </c>
      <c r="E39" s="473" t="s">
        <v>45</v>
      </c>
      <c r="F39" s="29" t="s">
        <v>455</v>
      </c>
      <c r="G39" s="475"/>
      <c r="H39" s="476"/>
      <c r="I39" s="477"/>
      <c r="J39" s="478"/>
      <c r="K39" s="479"/>
      <c r="L39" s="483">
        <v>0</v>
      </c>
      <c r="M39" s="246">
        <v>0.53333333333333333</v>
      </c>
      <c r="N39" s="484">
        <v>0.33333333333333331</v>
      </c>
      <c r="O39" s="246">
        <f>SUM(V062A_2030313334363537394041[[#This Row],[MPAL]]+V062A_2030313334363537394041[[#This Row],[AUX.]]+V062A_2030313334363537394041[[#This Row],[CALDERA]])</f>
        <v>0.8666666666666667</v>
      </c>
      <c r="P39" s="319"/>
      <c r="Q39" s="270">
        <f>(Q38-V062A_2030313334363537394041[[#This Row],[TOTAL ]])+V062A_2030313334363537394041[[#This Row],[FAENA]]</f>
        <v>39.210833333333348</v>
      </c>
      <c r="R39" s="484">
        <v>0</v>
      </c>
      <c r="S39" s="246">
        <v>0</v>
      </c>
      <c r="T39" s="246">
        <v>0</v>
      </c>
      <c r="U39" s="246">
        <v>0</v>
      </c>
      <c r="V39" s="484">
        <v>0</v>
      </c>
      <c r="W39" s="246">
        <f>SUM(V062A_2030313334363537394041[[#This Row],[MPAL2]:[GI]])</f>
        <v>0</v>
      </c>
      <c r="X39" s="246"/>
      <c r="Y39" s="300">
        <f>(Y38-V062A_2030313334363537394041[[#This Row],[TOTAL]])+V062A_2030313334363537394041[[#This Row],[FAENA2]]</f>
        <v>75.999999999999986</v>
      </c>
      <c r="Z39" s="245">
        <v>0</v>
      </c>
      <c r="AA39" s="246">
        <v>0</v>
      </c>
      <c r="AB39" s="320">
        <f>(AB38-V062A_2030313334363537394041[[#This Row],[CYLINDER MP]])+V062A_2030313334363537394041[[#This Row],[FAENA EN LTS]]</f>
        <v>1040</v>
      </c>
      <c r="AC39" s="246">
        <v>0</v>
      </c>
      <c r="AD39" s="246">
        <v>0</v>
      </c>
      <c r="AE39" s="438">
        <f>(AE38-V062A_2030313334363537394041[[#This Row],[CARTER MP.]])+V062A_2030313334363537394041[[#This Row],[FAENA EN LTS2]]</f>
        <v>3200</v>
      </c>
      <c r="AF39" s="246">
        <v>20</v>
      </c>
      <c r="AG39" s="246">
        <v>0</v>
      </c>
      <c r="AH39" s="438">
        <f>(AH38-V062A_2030313334363537394041[[#This Row],[MOT AUX]])+V062A_2030313334363537394041[[#This Row],[FAENA EN  LTS]]</f>
        <v>1710</v>
      </c>
      <c r="AI39" s="246">
        <v>0</v>
      </c>
      <c r="AJ39" s="246">
        <v>0</v>
      </c>
      <c r="AK39" s="439">
        <f>(AK38-V062A_2030313334363537394041[[#This Row],[HIDRAULICO]])+V062A_2030313334363537394041[[#This Row],[FAENA EN LTS3]]</f>
        <v>1000</v>
      </c>
    </row>
    <row r="40" spans="1:37" x14ac:dyDescent="0.25">
      <c r="A40" s="431" t="s">
        <v>443</v>
      </c>
      <c r="B40" s="526">
        <v>44288</v>
      </c>
      <c r="C40" s="41">
        <v>0.33333333333333331</v>
      </c>
      <c r="D40" s="418">
        <f>IF(V062A_2030313334363537394041[[#This Row],[FECHA]]-B39=1,((V062A_2030313334363537394041[[#This Row],[HORA]]-C39)*24)+24,(V062A_2030313334363537394041[[#This Row],[HORA]]-C39)*24)</f>
        <v>24</v>
      </c>
      <c r="E40" s="473" t="s">
        <v>45</v>
      </c>
      <c r="F40" s="29" t="s">
        <v>455</v>
      </c>
      <c r="G40" s="475"/>
      <c r="H40" s="476"/>
      <c r="I40" s="477"/>
      <c r="J40" s="478"/>
      <c r="K40" s="479"/>
      <c r="L40" s="483">
        <v>0</v>
      </c>
      <c r="M40" s="246">
        <v>1.6</v>
      </c>
      <c r="N40" s="484">
        <v>1</v>
      </c>
      <c r="O40" s="246">
        <f>SUM(V062A_2030313334363537394041[[#This Row],[MPAL]]+V062A_2030313334363537394041[[#This Row],[AUX.]]+V062A_2030313334363537394041[[#This Row],[CALDERA]])</f>
        <v>2.6</v>
      </c>
      <c r="P40" s="319"/>
      <c r="Q40" s="270">
        <f>(Q39-V062A_2030313334363537394041[[#This Row],[TOTAL ]])+V062A_2030313334363537394041[[#This Row],[FAENA]]</f>
        <v>36.610833333333346</v>
      </c>
      <c r="R40" s="484">
        <v>0</v>
      </c>
      <c r="S40" s="246">
        <v>0</v>
      </c>
      <c r="T40" s="246">
        <v>0</v>
      </c>
      <c r="U40" s="246">
        <v>0</v>
      </c>
      <c r="V40" s="484">
        <v>0</v>
      </c>
      <c r="W40" s="246">
        <f>SUM(V062A_2030313334363537394041[[#This Row],[MPAL2]:[GI]])</f>
        <v>0</v>
      </c>
      <c r="X40" s="246"/>
      <c r="Y40" s="300">
        <f>(Y39-V062A_2030313334363537394041[[#This Row],[TOTAL]])+V062A_2030313334363537394041[[#This Row],[FAENA2]]</f>
        <v>75.999999999999986</v>
      </c>
      <c r="Z40" s="245">
        <v>0</v>
      </c>
      <c r="AA40" s="246">
        <v>0</v>
      </c>
      <c r="AB40" s="320">
        <f>(AB39-V062A_2030313334363537394041[[#This Row],[CYLINDER MP]])+V062A_2030313334363537394041[[#This Row],[FAENA EN LTS]]</f>
        <v>1040</v>
      </c>
      <c r="AC40" s="246">
        <v>0</v>
      </c>
      <c r="AD40" s="246">
        <v>0</v>
      </c>
      <c r="AE40" s="438">
        <f>(AE39-V062A_2030313334363537394041[[#This Row],[CARTER MP.]])+V062A_2030313334363537394041[[#This Row],[FAENA EN LTS2]]</f>
        <v>3200</v>
      </c>
      <c r="AF40" s="246">
        <v>20</v>
      </c>
      <c r="AG40" s="246">
        <v>0</v>
      </c>
      <c r="AH40" s="438">
        <f>(AH39-V062A_2030313334363537394041[[#This Row],[MOT AUX]])+V062A_2030313334363537394041[[#This Row],[FAENA EN  LTS]]</f>
        <v>1690</v>
      </c>
      <c r="AI40" s="246">
        <v>0</v>
      </c>
      <c r="AJ40" s="246">
        <v>0</v>
      </c>
      <c r="AK40" s="439">
        <f>(AK39-V062A_2030313334363537394041[[#This Row],[HIDRAULICO]])+V062A_2030313334363537394041[[#This Row],[FAENA EN LTS3]]</f>
        <v>1000</v>
      </c>
    </row>
    <row r="41" spans="1:37" x14ac:dyDescent="0.25">
      <c r="A41" s="431" t="s">
        <v>443</v>
      </c>
      <c r="B41" s="526">
        <v>44288</v>
      </c>
      <c r="C41" s="41">
        <v>0.6166666666666667</v>
      </c>
      <c r="D41" s="418">
        <f>IF(V062A_2030313334363537394041[[#This Row],[FECHA]]-B40=1,((V062A_2030313334363537394041[[#This Row],[HORA]]-C40)*24)+24,(V062A_2030313334363537394041[[#This Row],[HORA]]-C40)*24)</f>
        <v>6.8000000000000007</v>
      </c>
      <c r="E41" s="473" t="s">
        <v>45</v>
      </c>
      <c r="F41" s="29" t="s">
        <v>46</v>
      </c>
      <c r="G41" s="475"/>
      <c r="H41" s="476"/>
      <c r="I41" s="477"/>
      <c r="J41" s="478"/>
      <c r="K41" s="479"/>
      <c r="L41" s="483">
        <v>0</v>
      </c>
      <c r="M41" s="246">
        <v>0.45333333333333337</v>
      </c>
      <c r="N41" s="484">
        <v>0.28333333333333333</v>
      </c>
      <c r="O41" s="246">
        <f>SUM(V062A_2030313334363537394041[[#This Row],[MPAL]]+V062A_2030313334363537394041[[#This Row],[AUX.]]+V062A_2030313334363537394041[[#This Row],[CALDERA]])</f>
        <v>0.73666666666666669</v>
      </c>
      <c r="P41" s="319"/>
      <c r="Q41" s="270">
        <f>(Q40-V062A_2030313334363537394041[[#This Row],[TOTAL ]])+V062A_2030313334363537394041[[#This Row],[FAENA]]</f>
        <v>35.874166666666682</v>
      </c>
      <c r="R41" s="484">
        <v>0</v>
      </c>
      <c r="S41" s="246">
        <v>0</v>
      </c>
      <c r="T41" s="246">
        <v>0</v>
      </c>
      <c r="U41" s="246">
        <v>0</v>
      </c>
      <c r="V41" s="484">
        <v>0</v>
      </c>
      <c r="W41" s="246">
        <f>SUM(V062A_2030313334363537394041[[#This Row],[MPAL2]:[GI]])</f>
        <v>0</v>
      </c>
      <c r="X41" s="246"/>
      <c r="Y41" s="300">
        <f>(Y40-V062A_2030313334363537394041[[#This Row],[TOTAL]])+V062A_2030313334363537394041[[#This Row],[FAENA2]]</f>
        <v>75.999999999999986</v>
      </c>
      <c r="Z41" s="245">
        <v>0</v>
      </c>
      <c r="AA41" s="246">
        <v>0</v>
      </c>
      <c r="AB41" s="320">
        <f>(AB40-V062A_2030313334363537394041[[#This Row],[CYLINDER MP]])+V062A_2030313334363537394041[[#This Row],[FAENA EN LTS]]</f>
        <v>1040</v>
      </c>
      <c r="AC41" s="246">
        <v>0</v>
      </c>
      <c r="AD41" s="246">
        <v>0</v>
      </c>
      <c r="AE41" s="438">
        <f>(AE40-V062A_2030313334363537394041[[#This Row],[CARTER MP.]])+V062A_2030313334363537394041[[#This Row],[FAENA EN LTS2]]</f>
        <v>3200</v>
      </c>
      <c r="AF41" s="246">
        <v>0</v>
      </c>
      <c r="AG41" s="246">
        <v>0</v>
      </c>
      <c r="AH41" s="438">
        <f>(AH40-V062A_2030313334363537394041[[#This Row],[MOT AUX]])+V062A_2030313334363537394041[[#This Row],[FAENA EN  LTS]]</f>
        <v>1690</v>
      </c>
      <c r="AI41" s="246">
        <v>0</v>
      </c>
      <c r="AJ41" s="246">
        <v>0</v>
      </c>
      <c r="AK41" s="439">
        <f>(AK40-V062A_2030313334363537394041[[#This Row],[HIDRAULICO]])+V062A_2030313334363537394041[[#This Row],[FAENA EN LTS3]]</f>
        <v>1000</v>
      </c>
    </row>
    <row r="42" spans="1:37" x14ac:dyDescent="0.25">
      <c r="A42" s="431" t="s">
        <v>443</v>
      </c>
      <c r="B42" s="526">
        <v>44288</v>
      </c>
      <c r="C42" s="41">
        <v>0.6875</v>
      </c>
      <c r="D42" s="418">
        <f>IF(V062A_2030313334363537394041[[#This Row],[FECHA]]-B41=1,((V062A_2030313334363537394041[[#This Row],[HORA]]-C41)*24)+24,(V062A_2030313334363537394041[[#This Row],[HORA]]-C41)*24)</f>
        <v>1.6999999999999993</v>
      </c>
      <c r="E42" s="473" t="s">
        <v>47</v>
      </c>
      <c r="F42" s="29" t="s">
        <v>456</v>
      </c>
      <c r="G42" s="475"/>
      <c r="H42" s="476"/>
      <c r="I42" s="477"/>
      <c r="J42" s="478"/>
      <c r="K42" s="479"/>
      <c r="L42" s="483">
        <v>0.35416666666666652</v>
      </c>
      <c r="M42" s="246">
        <v>0.11333333333333329</v>
      </c>
      <c r="N42" s="484">
        <v>7.0833333333333304E-2</v>
      </c>
      <c r="O42" s="246">
        <f>SUM(V062A_2030313334363537394041[[#This Row],[MPAL]]+V062A_2030313334363537394041[[#This Row],[AUX.]]+V062A_2030313334363537394041[[#This Row],[CALDERA]])</f>
        <v>0.53833333333333311</v>
      </c>
      <c r="P42" s="319"/>
      <c r="Q42" s="270">
        <f>(Q41-V062A_2030313334363537394041[[#This Row],[TOTAL ]])+V062A_2030313334363537394041[[#This Row],[FAENA]]</f>
        <v>35.335833333333348</v>
      </c>
      <c r="R42" s="484">
        <v>0</v>
      </c>
      <c r="S42" s="246">
        <v>0</v>
      </c>
      <c r="T42" s="246">
        <v>0</v>
      </c>
      <c r="U42" s="246">
        <v>0</v>
      </c>
      <c r="V42" s="484">
        <v>0</v>
      </c>
      <c r="W42" s="246">
        <f>SUM(V062A_2030313334363537394041[[#This Row],[MPAL2]:[GI]])</f>
        <v>0</v>
      </c>
      <c r="X42" s="246"/>
      <c r="Y42" s="300">
        <f>(Y41-V062A_2030313334363537394041[[#This Row],[TOTAL]])+V062A_2030313334363537394041[[#This Row],[FAENA2]]</f>
        <v>75.999999999999986</v>
      </c>
      <c r="Z42" s="245">
        <v>0</v>
      </c>
      <c r="AA42" s="246">
        <v>0</v>
      </c>
      <c r="AB42" s="438">
        <f>(AB41-V062A_2030313334363537394041[[#This Row],[CYLINDER MP]])+V062A_2030313334363537394041[[#This Row],[FAENA EN LTS]]</f>
        <v>1040</v>
      </c>
      <c r="AC42" s="246">
        <v>0</v>
      </c>
      <c r="AD42" s="246">
        <v>0</v>
      </c>
      <c r="AE42" s="438">
        <f>(AE41-V062A_2030313334363537394041[[#This Row],[CARTER MP.]])+V062A_2030313334363537394041[[#This Row],[FAENA EN LTS2]]</f>
        <v>3200</v>
      </c>
      <c r="AF42" s="246">
        <v>0</v>
      </c>
      <c r="AG42" s="246">
        <v>0</v>
      </c>
      <c r="AH42" s="438">
        <f>(AH41-V062A_2030313334363537394041[[#This Row],[MOT AUX]])+V062A_2030313334363537394041[[#This Row],[FAENA EN  LTS]]</f>
        <v>1690</v>
      </c>
      <c r="AI42" s="246">
        <v>0</v>
      </c>
      <c r="AJ42" s="246">
        <v>0</v>
      </c>
      <c r="AK42" s="439">
        <f>(AK41-V062A_2030313334363537394041[[#This Row],[HIDRAULICO]])+V062A_2030313334363537394041[[#This Row],[FAENA EN LTS3]]</f>
        <v>1000</v>
      </c>
    </row>
    <row r="43" spans="1:37" x14ac:dyDescent="0.25">
      <c r="A43" s="431" t="s">
        <v>443</v>
      </c>
      <c r="B43" s="526">
        <v>44288</v>
      </c>
      <c r="C43" s="41">
        <v>0.84166666666666667</v>
      </c>
      <c r="D43" s="418">
        <f>IF(V062A_2030313334363537394041[[#This Row],[FECHA]]-B42=1,((V062A_2030313334363537394041[[#This Row],[HORA]]-C42)*24)+24,(V062A_2030313334363537394041[[#This Row],[HORA]]-C42)*24)</f>
        <v>3.7</v>
      </c>
      <c r="E43" s="473" t="s">
        <v>49</v>
      </c>
      <c r="F43" s="29" t="s">
        <v>50</v>
      </c>
      <c r="G43" s="475"/>
      <c r="H43" s="476"/>
      <c r="I43" s="477"/>
      <c r="J43" s="478"/>
      <c r="K43" s="479"/>
      <c r="L43" s="483">
        <v>0</v>
      </c>
      <c r="M43" s="246">
        <v>0.24666666666666667</v>
      </c>
      <c r="N43" s="484">
        <v>0.15416666666666667</v>
      </c>
      <c r="O43" s="246">
        <f>SUM(V062A_2030313334363537394041[[#This Row],[MPAL]]+V062A_2030313334363537394041[[#This Row],[AUX.]]+V062A_2030313334363537394041[[#This Row],[CALDERA]])</f>
        <v>0.40083333333333337</v>
      </c>
      <c r="P43" s="319"/>
      <c r="Q43" s="270">
        <f>(Q42-V062A_2030313334363537394041[[#This Row],[TOTAL ]])+V062A_2030313334363537394041[[#This Row],[FAENA]]</f>
        <v>34.935000000000016</v>
      </c>
      <c r="R43" s="484">
        <v>0</v>
      </c>
      <c r="S43" s="246">
        <v>0</v>
      </c>
      <c r="T43" s="246">
        <v>0</v>
      </c>
      <c r="U43" s="246">
        <v>0</v>
      </c>
      <c r="V43" s="484">
        <v>0</v>
      </c>
      <c r="W43" s="246">
        <f>SUM(V062A_2030313334363537394041[[#This Row],[MPAL2]:[GI]])</f>
        <v>0</v>
      </c>
      <c r="X43" s="246"/>
      <c r="Y43" s="300">
        <f>(Y42-V062A_2030313334363537394041[[#This Row],[TOTAL]])+V062A_2030313334363537394041[[#This Row],[FAENA2]]</f>
        <v>75.999999999999986</v>
      </c>
      <c r="Z43" s="245">
        <v>0</v>
      </c>
      <c r="AA43" s="246">
        <v>0</v>
      </c>
      <c r="AB43" s="438">
        <f>(AB42-V062A_2030313334363537394041[[#This Row],[CYLINDER MP]])+V062A_2030313334363537394041[[#This Row],[FAENA EN LTS]]</f>
        <v>1040</v>
      </c>
      <c r="AC43" s="246">
        <v>0</v>
      </c>
      <c r="AD43" s="246">
        <v>0</v>
      </c>
      <c r="AE43" s="438">
        <f>(AE42-V062A_2030313334363537394041[[#This Row],[CARTER MP.]])+V062A_2030313334363537394041[[#This Row],[FAENA EN LTS2]]</f>
        <v>3200</v>
      </c>
      <c r="AF43" s="246">
        <v>0</v>
      </c>
      <c r="AG43" s="246">
        <v>0</v>
      </c>
      <c r="AH43" s="438">
        <f>(AH42-V062A_2030313334363537394041[[#This Row],[MOT AUX]])+V062A_2030313334363537394041[[#This Row],[FAENA EN  LTS]]</f>
        <v>1690</v>
      </c>
      <c r="AI43" s="246">
        <v>0</v>
      </c>
      <c r="AJ43" s="246">
        <v>0</v>
      </c>
      <c r="AK43" s="439">
        <f>(AK42-V062A_2030313334363537394041[[#This Row],[HIDRAULICO]])+V062A_2030313334363537394041[[#This Row],[FAENA EN LTS3]]</f>
        <v>1000</v>
      </c>
    </row>
    <row r="44" spans="1:37" x14ac:dyDescent="0.25">
      <c r="A44" s="431" t="s">
        <v>443</v>
      </c>
      <c r="B44" s="526">
        <v>44289</v>
      </c>
      <c r="C44" s="41">
        <v>8.3333333333333329E-2</v>
      </c>
      <c r="D44" s="418">
        <f>IF(V062A_2030313334363537394041[[#This Row],[FECHA]]-B43=1,((V062A_2030313334363537394041[[#This Row],[HORA]]-C43)*24)+24,(V062A_2030313334363537394041[[#This Row],[HORA]]-C43)*24)</f>
        <v>5.8000000000000007</v>
      </c>
      <c r="E44" s="473" t="s">
        <v>51</v>
      </c>
      <c r="F44" s="29" t="s">
        <v>52</v>
      </c>
      <c r="G44" s="475"/>
      <c r="H44" s="476"/>
      <c r="I44" s="477"/>
      <c r="J44" s="478"/>
      <c r="K44" s="479"/>
      <c r="L44" s="483">
        <v>0</v>
      </c>
      <c r="M44" s="246">
        <v>0.38666666666666671</v>
      </c>
      <c r="N44" s="484">
        <v>0.2416666666666667</v>
      </c>
      <c r="O44" s="246">
        <f>SUM(V062A_2030313334363537394041[[#This Row],[MPAL]]+V062A_2030313334363537394041[[#This Row],[AUX.]]+V062A_2030313334363537394041[[#This Row],[CALDERA]])</f>
        <v>0.62833333333333341</v>
      </c>
      <c r="P44" s="319"/>
      <c r="Q44" s="270">
        <f>(Q43-V062A_2030313334363537394041[[#This Row],[TOTAL ]])+V062A_2030313334363537394041[[#This Row],[FAENA]]</f>
        <v>34.306666666666686</v>
      </c>
      <c r="R44" s="484">
        <v>0</v>
      </c>
      <c r="S44" s="246">
        <v>0</v>
      </c>
      <c r="T44" s="246">
        <v>0</v>
      </c>
      <c r="U44" s="246">
        <v>0</v>
      </c>
      <c r="V44" s="484">
        <v>2.2000000000000002</v>
      </c>
      <c r="W44" s="246">
        <f>SUM(V062A_2030313334363537394041[[#This Row],[MPAL2]:[GI]])</f>
        <v>2.2000000000000002</v>
      </c>
      <c r="X44" s="246"/>
      <c r="Y44" s="300">
        <f>(Y43-V062A_2030313334363537394041[[#This Row],[TOTAL]])+V062A_2030313334363537394041[[#This Row],[FAENA2]]</f>
        <v>73.799999999999983</v>
      </c>
      <c r="Z44" s="245">
        <v>0</v>
      </c>
      <c r="AA44" s="246">
        <v>0</v>
      </c>
      <c r="AB44" s="438">
        <f>(AB43-V062A_2030313334363537394041[[#This Row],[CYLINDER MP]])+V062A_2030313334363537394041[[#This Row],[FAENA EN LTS]]</f>
        <v>1040</v>
      </c>
      <c r="AC44" s="246">
        <v>0</v>
      </c>
      <c r="AD44" s="246">
        <v>0</v>
      </c>
      <c r="AE44" s="438">
        <f>(AE43-V062A_2030313334363537394041[[#This Row],[CARTER MP.]])+V062A_2030313334363537394041[[#This Row],[FAENA EN LTS2]]</f>
        <v>3200</v>
      </c>
      <c r="AF44" s="246">
        <v>0</v>
      </c>
      <c r="AG44" s="246">
        <v>0</v>
      </c>
      <c r="AH44" s="438">
        <f>(AH43-V062A_2030313334363537394041[[#This Row],[MOT AUX]])+V062A_2030313334363537394041[[#This Row],[FAENA EN  LTS]]</f>
        <v>1690</v>
      </c>
      <c r="AI44" s="246">
        <v>0</v>
      </c>
      <c r="AJ44" s="246">
        <v>0</v>
      </c>
      <c r="AK44" s="439">
        <f>(AK43-V062A_2030313334363537394041[[#This Row],[HIDRAULICO]])+V062A_2030313334363537394041[[#This Row],[FAENA EN LTS3]]</f>
        <v>1000</v>
      </c>
    </row>
    <row r="45" spans="1:37" x14ac:dyDescent="0.25">
      <c r="A45" s="431" t="s">
        <v>443</v>
      </c>
      <c r="B45" s="526">
        <v>44289</v>
      </c>
      <c r="C45" s="41">
        <v>0.22083333333333333</v>
      </c>
      <c r="D45" s="418">
        <f>IF(V062A_2030313334363537394041[[#This Row],[FECHA]]-B44=1,((V062A_2030313334363537394041[[#This Row],[HORA]]-C44)*24)+24,(V062A_2030313334363537394041[[#This Row],[HORA]]-C44)*24)</f>
        <v>3.3000000000000003</v>
      </c>
      <c r="E45" s="432" t="s">
        <v>49</v>
      </c>
      <c r="F45" s="29" t="s">
        <v>46</v>
      </c>
      <c r="G45" s="433"/>
      <c r="H45" s="434"/>
      <c r="I45" s="435"/>
      <c r="J45" s="436"/>
      <c r="K45" s="437"/>
      <c r="L45" s="483">
        <v>0</v>
      </c>
      <c r="M45" s="246">
        <v>0.22</v>
      </c>
      <c r="N45" s="484">
        <v>0.13750000000000001</v>
      </c>
      <c r="O45" s="246">
        <f>SUM(V062A_2030313334363537394041[[#This Row],[MPAL]]+V062A_2030313334363537394041[[#This Row],[AUX.]]+V062A_2030313334363537394041[[#This Row],[CALDERA]])</f>
        <v>0.35750000000000004</v>
      </c>
      <c r="P45" s="319"/>
      <c r="Q45" s="270">
        <f>(Q44-V062A_2030313334363537394041[[#This Row],[TOTAL ]])+V062A_2030313334363537394041[[#This Row],[FAENA]]</f>
        <v>33.949166666666684</v>
      </c>
      <c r="R45" s="245">
        <v>0</v>
      </c>
      <c r="S45" s="246">
        <v>0</v>
      </c>
      <c r="T45" s="246">
        <v>0</v>
      </c>
      <c r="U45" s="246">
        <v>0</v>
      </c>
      <c r="V45" s="246">
        <v>0</v>
      </c>
      <c r="W45" s="246">
        <f>SUM(V062A_2030313334363537394041[[#This Row],[MPAL2]:[GI]])</f>
        <v>0</v>
      </c>
      <c r="X45" s="246"/>
      <c r="Y45" s="300">
        <f>(Y44-V062A_2030313334363537394041[[#This Row],[TOTAL]])+V062A_2030313334363537394041[[#This Row],[FAENA2]]</f>
        <v>73.799999999999983</v>
      </c>
      <c r="Z45" s="245">
        <v>0</v>
      </c>
      <c r="AA45" s="246">
        <v>0</v>
      </c>
      <c r="AB45" s="438">
        <f>(AB44-V062A_2030313334363537394041[[#This Row],[CYLINDER MP]])+V062A_2030313334363537394041[[#This Row],[FAENA EN LTS]]</f>
        <v>1040</v>
      </c>
      <c r="AC45" s="246">
        <v>0</v>
      </c>
      <c r="AD45" s="246">
        <v>0</v>
      </c>
      <c r="AE45" s="438">
        <f>(AE44-V062A_2030313334363537394041[[#This Row],[CARTER MP.]])+V062A_2030313334363537394041[[#This Row],[FAENA EN LTS2]]</f>
        <v>3200</v>
      </c>
      <c r="AF45" s="246">
        <v>0</v>
      </c>
      <c r="AG45" s="246">
        <v>0</v>
      </c>
      <c r="AH45" s="438">
        <f>(AH44-V062A_2030313334363537394041[[#This Row],[MOT AUX]])+V062A_2030313334363537394041[[#This Row],[FAENA EN  LTS]]</f>
        <v>1690</v>
      </c>
      <c r="AI45" s="246">
        <v>0</v>
      </c>
      <c r="AJ45" s="246">
        <v>0</v>
      </c>
      <c r="AK45" s="439">
        <f>(AK44-V062A_2030313334363537394041[[#This Row],[HIDRAULICO]])+V062A_2030313334363537394041[[#This Row],[FAENA EN LTS3]]</f>
        <v>1000</v>
      </c>
    </row>
    <row r="46" spans="1:37" x14ac:dyDescent="0.25">
      <c r="A46" s="431" t="s">
        <v>443</v>
      </c>
      <c r="B46" s="526">
        <v>44289</v>
      </c>
      <c r="C46" s="41">
        <v>0.25</v>
      </c>
      <c r="D46" s="418">
        <f>IF(V062A_2030313334363537394041[[#This Row],[FECHA]]-B45=1,((V062A_2030313334363537394041[[#This Row],[HORA]]-C45)*24)+24,(V062A_2030313334363537394041[[#This Row],[HORA]]-C45)*24)</f>
        <v>0.70000000000000018</v>
      </c>
      <c r="E46" s="473" t="s">
        <v>47</v>
      </c>
      <c r="F46" s="29" t="s">
        <v>220</v>
      </c>
      <c r="G46" s="475"/>
      <c r="H46" s="476"/>
      <c r="I46" s="477"/>
      <c r="J46" s="478"/>
      <c r="K46" s="479"/>
      <c r="L46" s="483">
        <v>0.14583333333333337</v>
      </c>
      <c r="M46" s="246">
        <v>4.6666666666666676E-2</v>
      </c>
      <c r="N46" s="484">
        <v>2.9166666666666674E-2</v>
      </c>
      <c r="O46" s="246">
        <f>SUM(V062A_2030313334363537394041[[#This Row],[MPAL]]+V062A_2030313334363537394041[[#This Row],[AUX.]]+V062A_2030313334363537394041[[#This Row],[CALDERA]])</f>
        <v>0.22166666666666673</v>
      </c>
      <c r="P46" s="319"/>
      <c r="Q46" s="270">
        <f>(Q45-V062A_2030313334363537394041[[#This Row],[TOTAL ]])+V062A_2030313334363537394041[[#This Row],[FAENA]]</f>
        <v>33.72750000000002</v>
      </c>
      <c r="R46" s="245">
        <v>0</v>
      </c>
      <c r="S46" s="246">
        <v>0</v>
      </c>
      <c r="T46" s="246">
        <v>0</v>
      </c>
      <c r="U46" s="246">
        <v>0</v>
      </c>
      <c r="V46" s="246">
        <v>0</v>
      </c>
      <c r="W46" s="246">
        <f>SUM(V062A_2030313334363537394041[[#This Row],[MPAL2]:[GI]])</f>
        <v>0</v>
      </c>
      <c r="X46" s="246"/>
      <c r="Y46" s="300">
        <f>(Y45-V062A_2030313334363537394041[[#This Row],[TOTAL]])+V062A_2030313334363537394041[[#This Row],[FAENA2]]</f>
        <v>73.799999999999983</v>
      </c>
      <c r="Z46" s="245">
        <v>0</v>
      </c>
      <c r="AA46" s="246">
        <v>0</v>
      </c>
      <c r="AB46" s="438">
        <f>(AB45-V062A_2030313334363537394041[[#This Row],[CYLINDER MP]])+V062A_2030313334363537394041[[#This Row],[FAENA EN LTS]]</f>
        <v>1040</v>
      </c>
      <c r="AC46" s="246">
        <v>0</v>
      </c>
      <c r="AD46" s="246">
        <v>0</v>
      </c>
      <c r="AE46" s="438">
        <f>(AE45-V062A_2030313334363537394041[[#This Row],[CARTER MP.]])+V062A_2030313334363537394041[[#This Row],[FAENA EN LTS2]]</f>
        <v>3200</v>
      </c>
      <c r="AF46" s="246">
        <v>0</v>
      </c>
      <c r="AG46" s="246">
        <v>0</v>
      </c>
      <c r="AH46" s="438">
        <f>(AH45-V062A_2030313334363537394041[[#This Row],[MOT AUX]])+V062A_2030313334363537394041[[#This Row],[FAENA EN  LTS]]</f>
        <v>1690</v>
      </c>
      <c r="AI46" s="246">
        <v>0</v>
      </c>
      <c r="AJ46" s="246">
        <v>0</v>
      </c>
      <c r="AK46" s="439">
        <f>(AK45-V062A_2030313334363537394041[[#This Row],[HIDRAULICO]])+V062A_2030313334363537394041[[#This Row],[FAENA EN LTS3]]</f>
        <v>1000</v>
      </c>
    </row>
    <row r="47" spans="1:37" x14ac:dyDescent="0.25">
      <c r="A47" s="431" t="s">
        <v>443</v>
      </c>
      <c r="B47" s="526">
        <v>44289</v>
      </c>
      <c r="C47" s="41">
        <v>0.33333333333333331</v>
      </c>
      <c r="D47" s="418">
        <f>IF(V062A_2030313334363537394041[[#This Row],[FECHA]]-B46=1,((V062A_2030313334363537394041[[#This Row],[HORA]]-C46)*24)+24,(V062A_2030313334363537394041[[#This Row],[HORA]]-C46)*24)</f>
        <v>1.9999999999999996</v>
      </c>
      <c r="E47" s="473" t="s">
        <v>55</v>
      </c>
      <c r="F47" s="29" t="s">
        <v>56</v>
      </c>
      <c r="G47" s="475"/>
      <c r="H47" s="476"/>
      <c r="I47" s="477"/>
      <c r="J47" s="478"/>
      <c r="K47" s="479">
        <v>97</v>
      </c>
      <c r="L47" s="483">
        <v>1.9499999999999995</v>
      </c>
      <c r="M47" s="246">
        <v>0.1333333333333333</v>
      </c>
      <c r="N47" s="484">
        <v>0</v>
      </c>
      <c r="O47" s="246">
        <f>SUM(V062A_2030313334363537394041[[#This Row],[MPAL]]+V062A_2030313334363537394041[[#This Row],[AUX.]]+V062A_2030313334363537394041[[#This Row],[CALDERA]])</f>
        <v>2.083333333333333</v>
      </c>
      <c r="P47" s="246"/>
      <c r="Q47" s="270">
        <f>(Q46-V062A_2030313334363537394041[[#This Row],[TOTAL ]])+V062A_2030313334363537394041[[#This Row],[FAENA]]</f>
        <v>31.644166666666688</v>
      </c>
      <c r="R47" s="245">
        <v>0</v>
      </c>
      <c r="S47" s="246">
        <v>0</v>
      </c>
      <c r="T47" s="246">
        <v>0</v>
      </c>
      <c r="U47" s="246">
        <v>0</v>
      </c>
      <c r="V47" s="246">
        <v>0</v>
      </c>
      <c r="W47" s="246">
        <f>SUM(V062A_2030313334363537394041[[#This Row],[MPAL2]:[GI]])</f>
        <v>0</v>
      </c>
      <c r="X47" s="246"/>
      <c r="Y47" s="300">
        <f>(Y46-V062A_2030313334363537394041[[#This Row],[TOTAL]])+V062A_2030313334363537394041[[#This Row],[FAENA2]]</f>
        <v>73.799999999999983</v>
      </c>
      <c r="Z47" s="245">
        <v>20</v>
      </c>
      <c r="AA47" s="246">
        <v>0</v>
      </c>
      <c r="AB47" s="438">
        <f>(AB46-V062A_2030313334363537394041[[#This Row],[CYLINDER MP]])+V062A_2030313334363537394041[[#This Row],[FAENA EN LTS]]</f>
        <v>1020</v>
      </c>
      <c r="AC47" s="246">
        <v>0</v>
      </c>
      <c r="AD47" s="246">
        <v>0</v>
      </c>
      <c r="AE47" s="438">
        <f>(AE46-V062A_2030313334363537394041[[#This Row],[CARTER MP.]])+V062A_2030313334363537394041[[#This Row],[FAENA EN LTS2]]</f>
        <v>3200</v>
      </c>
      <c r="AF47" s="246">
        <v>20</v>
      </c>
      <c r="AG47" s="246">
        <v>0</v>
      </c>
      <c r="AH47" s="438">
        <f>(AH46-V062A_2030313334363537394041[[#This Row],[MOT AUX]])+V062A_2030313334363537394041[[#This Row],[FAENA EN  LTS]]</f>
        <v>1670</v>
      </c>
      <c r="AI47" s="246">
        <v>0</v>
      </c>
      <c r="AJ47" s="246">
        <v>0</v>
      </c>
      <c r="AK47" s="439">
        <f>(AK46-V062A_2030313334363537394041[[#This Row],[HIDRAULICO]])+V062A_2030313334363537394041[[#This Row],[FAENA EN LTS3]]</f>
        <v>1000</v>
      </c>
    </row>
    <row r="48" spans="1:37" x14ac:dyDescent="0.25">
      <c r="A48" s="431" t="s">
        <v>443</v>
      </c>
      <c r="B48" s="526">
        <v>44289</v>
      </c>
      <c r="C48" s="41">
        <v>0.64583333333333337</v>
      </c>
      <c r="D48" s="418">
        <f>IF(V062A_2030313334363537394041[[#This Row],[FECHA]]-B47=1,((V062A_2030313334363537394041[[#This Row],[HORA]]-C47)*24)+24,(V062A_2030313334363537394041[[#This Row],[HORA]]-C47)*24)</f>
        <v>7.5000000000000018</v>
      </c>
      <c r="E48" s="473" t="s">
        <v>55</v>
      </c>
      <c r="F48" s="29" t="s">
        <v>62</v>
      </c>
      <c r="G48" s="475"/>
      <c r="H48" s="476"/>
      <c r="I48" s="477"/>
      <c r="J48" s="478"/>
      <c r="K48" s="479">
        <v>97</v>
      </c>
      <c r="L48" s="483">
        <v>7.3125000000000018</v>
      </c>
      <c r="M48" s="246">
        <v>0.50000000000000011</v>
      </c>
      <c r="N48" s="484">
        <v>0</v>
      </c>
      <c r="O48" s="246">
        <f>SUM(V062A_2030313334363537394041[[#This Row],[MPAL]]+V062A_2030313334363537394041[[#This Row],[AUX.]]+V062A_2030313334363537394041[[#This Row],[CALDERA]])</f>
        <v>7.8125000000000018</v>
      </c>
      <c r="P48" s="246"/>
      <c r="Q48" s="270">
        <f>(Q47-V062A_2030313334363537394041[[#This Row],[TOTAL ]])+V062A_2030313334363537394041[[#This Row],[FAENA]]</f>
        <v>23.831666666666685</v>
      </c>
      <c r="R48" s="245">
        <v>0</v>
      </c>
      <c r="S48" s="246">
        <v>0</v>
      </c>
      <c r="T48" s="246">
        <v>0</v>
      </c>
      <c r="U48" s="246">
        <v>0</v>
      </c>
      <c r="V48" s="246">
        <v>0</v>
      </c>
      <c r="W48" s="246">
        <f>SUM(V062A_2030313334363537394041[[#This Row],[MPAL2]:[GI]])</f>
        <v>0</v>
      </c>
      <c r="X48" s="246"/>
      <c r="Y48" s="300">
        <f>(Y47-V062A_2030313334363537394041[[#This Row],[TOTAL]])+V062A_2030313334363537394041[[#This Row],[FAENA2]]</f>
        <v>73.799999999999983</v>
      </c>
      <c r="Z48" s="245">
        <v>0</v>
      </c>
      <c r="AA48" s="246">
        <v>0</v>
      </c>
      <c r="AB48" s="438">
        <f>(AB47-V062A_2030313334363537394041[[#This Row],[CYLINDER MP]])+V062A_2030313334363537394041[[#This Row],[FAENA EN LTS]]</f>
        <v>1020</v>
      </c>
      <c r="AC48" s="246">
        <v>0</v>
      </c>
      <c r="AD48" s="246">
        <v>0</v>
      </c>
      <c r="AE48" s="438">
        <f>(AE47-V062A_2030313334363537394041[[#This Row],[CARTER MP.]])+V062A_2030313334363537394041[[#This Row],[FAENA EN LTS2]]</f>
        <v>3200</v>
      </c>
      <c r="AF48" s="246">
        <v>0</v>
      </c>
      <c r="AG48" s="246">
        <v>0</v>
      </c>
      <c r="AH48" s="438">
        <f>(AH47-V062A_2030313334363537394041[[#This Row],[MOT AUX]])+V062A_2030313334363537394041[[#This Row],[FAENA EN  LTS]]</f>
        <v>1670</v>
      </c>
      <c r="AI48" s="246">
        <v>0</v>
      </c>
      <c r="AJ48" s="246">
        <v>0</v>
      </c>
      <c r="AK48" s="439">
        <f>(AK47-V062A_2030313334363537394041[[#This Row],[HIDRAULICO]])+V062A_2030313334363537394041[[#This Row],[FAENA EN LTS3]]</f>
        <v>1000</v>
      </c>
    </row>
    <row r="49" spans="1:37" x14ac:dyDescent="0.25">
      <c r="A49" s="431" t="s">
        <v>443</v>
      </c>
      <c r="B49" s="526">
        <v>44289</v>
      </c>
      <c r="C49" s="41">
        <v>0.67499999999999993</v>
      </c>
      <c r="D49" s="418">
        <f>IF(V062A_2030313334363537394041[[#This Row],[FECHA]]-B48=1,((V062A_2030313334363537394041[[#This Row],[HORA]]-C48)*24)+24,(V062A_2030313334363537394041[[#This Row],[HORA]]-C48)*24)</f>
        <v>0.69999999999999751</v>
      </c>
      <c r="E49" s="473" t="s">
        <v>47</v>
      </c>
      <c r="F49" s="29" t="s">
        <v>453</v>
      </c>
      <c r="G49" s="475"/>
      <c r="H49" s="476"/>
      <c r="I49" s="477"/>
      <c r="J49" s="478"/>
      <c r="K49" s="479"/>
      <c r="L49" s="483">
        <v>0.14583333333333282</v>
      </c>
      <c r="M49" s="246">
        <v>4.6666666666666502E-2</v>
      </c>
      <c r="N49" s="484">
        <v>2.9166666666666563E-2</v>
      </c>
      <c r="O49" s="246">
        <f>SUM(V062A_2030313334363537394041[[#This Row],[MPAL]]+V062A_2030313334363537394041[[#This Row],[AUX.]]+V062A_2030313334363537394041[[#This Row],[CALDERA]])</f>
        <v>0.22166666666666587</v>
      </c>
      <c r="P49" s="246"/>
      <c r="Q49" s="270">
        <f>(Q48-V062A_2030313334363537394041[[#This Row],[TOTAL ]])+V062A_2030313334363537394041[[#This Row],[FAENA]]</f>
        <v>23.610000000000017</v>
      </c>
      <c r="R49" s="245">
        <v>0</v>
      </c>
      <c r="S49" s="246">
        <v>0</v>
      </c>
      <c r="T49" s="246">
        <v>0</v>
      </c>
      <c r="U49" s="246">
        <v>0</v>
      </c>
      <c r="V49" s="246">
        <v>0</v>
      </c>
      <c r="W49" s="246">
        <f>SUM(V062A_2030313334363537394041[[#This Row],[MPAL2]:[GI]])</f>
        <v>0</v>
      </c>
      <c r="X49" s="246"/>
      <c r="Y49" s="300">
        <f>(Y48-V062A_2030313334363537394041[[#This Row],[TOTAL]])+V062A_2030313334363537394041[[#This Row],[FAENA2]]</f>
        <v>73.799999999999983</v>
      </c>
      <c r="Z49" s="245">
        <v>0</v>
      </c>
      <c r="AA49" s="246">
        <v>0</v>
      </c>
      <c r="AB49" s="438">
        <f>(AB48-V062A_2030313334363537394041[[#This Row],[CYLINDER MP]])+V062A_2030313334363537394041[[#This Row],[FAENA EN LTS]]</f>
        <v>1020</v>
      </c>
      <c r="AC49" s="246">
        <v>0</v>
      </c>
      <c r="AD49" s="246">
        <v>0</v>
      </c>
      <c r="AE49" s="438">
        <f>(AE48-V062A_2030313334363537394041[[#This Row],[CARTER MP.]])+V062A_2030313334363537394041[[#This Row],[FAENA EN LTS2]]</f>
        <v>3200</v>
      </c>
      <c r="AF49" s="246">
        <v>0</v>
      </c>
      <c r="AG49" s="246">
        <v>0</v>
      </c>
      <c r="AH49" s="438">
        <f>(AH48-V062A_2030313334363537394041[[#This Row],[MOT AUX]])+V062A_2030313334363537394041[[#This Row],[FAENA EN  LTS]]</f>
        <v>1670</v>
      </c>
      <c r="AI49" s="246">
        <v>0</v>
      </c>
      <c r="AJ49" s="246">
        <v>0</v>
      </c>
      <c r="AK49" s="439">
        <f>(AK48-V062A_2030313334363537394041[[#This Row],[HIDRAULICO]])+V062A_2030313334363537394041[[#This Row],[FAENA EN LTS3]]</f>
        <v>1000</v>
      </c>
    </row>
    <row r="50" spans="1:37" x14ac:dyDescent="0.25">
      <c r="A50" s="431" t="s">
        <v>443</v>
      </c>
      <c r="B50" s="526">
        <v>44290</v>
      </c>
      <c r="C50" s="41">
        <v>0.33333333333333331</v>
      </c>
      <c r="D50" s="418">
        <f>IF(V062A_2030313334363537394041[[#This Row],[FECHA]]-B49=1,((V062A_2030313334363537394041[[#This Row],[HORA]]-C49)*24)+24,(V062A_2030313334363537394041[[#This Row],[HORA]]-C49)*24)</f>
        <v>15.8</v>
      </c>
      <c r="E50" s="473" t="s">
        <v>45</v>
      </c>
      <c r="F50" s="29" t="s">
        <v>45</v>
      </c>
      <c r="G50" s="475"/>
      <c r="H50" s="476"/>
      <c r="I50" s="477"/>
      <c r="J50" s="478"/>
      <c r="K50" s="479"/>
      <c r="L50" s="483">
        <v>0</v>
      </c>
      <c r="M50" s="246">
        <v>1.0533333333333335</v>
      </c>
      <c r="N50" s="484">
        <v>0.65833333333333333</v>
      </c>
      <c r="O50" s="246">
        <f>SUM(V062A_2030313334363537394041[[#This Row],[MPAL]]+V062A_2030313334363537394041[[#This Row],[AUX.]]+V062A_2030313334363537394041[[#This Row],[CALDERA]])</f>
        <v>1.7116666666666669</v>
      </c>
      <c r="P50" s="319"/>
      <c r="Q50" s="270">
        <f>(Q49-V062A_2030313334363537394041[[#This Row],[TOTAL ]])+V062A_2030313334363537394041[[#This Row],[FAENA]]</f>
        <v>21.898333333333351</v>
      </c>
      <c r="R50" s="245">
        <v>0</v>
      </c>
      <c r="S50" s="246">
        <v>0</v>
      </c>
      <c r="T50" s="246">
        <v>0</v>
      </c>
      <c r="U50" s="246">
        <v>0</v>
      </c>
      <c r="V50" s="246">
        <v>0</v>
      </c>
      <c r="W50" s="246">
        <f>SUM(V062A_2030313334363537394041[[#This Row],[MPAL2]:[GI]])</f>
        <v>0</v>
      </c>
      <c r="X50" s="246"/>
      <c r="Y50" s="300">
        <f>(Y49-V062A_2030313334363537394041[[#This Row],[TOTAL]])+V062A_2030313334363537394041[[#This Row],[FAENA2]]</f>
        <v>73.799999999999983</v>
      </c>
      <c r="Z50" s="245">
        <v>0</v>
      </c>
      <c r="AA50" s="246">
        <v>0</v>
      </c>
      <c r="AB50" s="438">
        <f>(AB49-V062A_2030313334363537394041[[#This Row],[CYLINDER MP]])+V062A_2030313334363537394041[[#This Row],[FAENA EN LTS]]</f>
        <v>1020</v>
      </c>
      <c r="AC50" s="246">
        <v>0</v>
      </c>
      <c r="AD50" s="246">
        <v>0</v>
      </c>
      <c r="AE50" s="438">
        <f>(AE49-V062A_2030313334363537394041[[#This Row],[CARTER MP.]])+V062A_2030313334363537394041[[#This Row],[FAENA EN LTS2]]</f>
        <v>3200</v>
      </c>
      <c r="AF50" s="246">
        <v>20</v>
      </c>
      <c r="AG50" s="246">
        <v>0</v>
      </c>
      <c r="AH50" s="438">
        <f>(AH49-V062A_2030313334363537394041[[#This Row],[MOT AUX]])+V062A_2030313334363537394041[[#This Row],[FAENA EN  LTS]]</f>
        <v>1650</v>
      </c>
      <c r="AI50" s="246">
        <v>0</v>
      </c>
      <c r="AJ50" s="246">
        <v>0</v>
      </c>
      <c r="AK50" s="439">
        <f>(AK49-V062A_2030313334363537394041[[#This Row],[HIDRAULICO]])+V062A_2030313334363537394041[[#This Row],[FAENA EN LTS3]]</f>
        <v>1000</v>
      </c>
    </row>
    <row r="51" spans="1:37" x14ac:dyDescent="0.25">
      <c r="A51" s="431" t="s">
        <v>443</v>
      </c>
      <c r="B51" s="526">
        <v>44291</v>
      </c>
      <c r="C51" s="41">
        <v>0.33333333333333331</v>
      </c>
      <c r="D51" s="418">
        <f>IF(V062A_2030313334363537394041[[#This Row],[FECHA]]-B50=1,((V062A_2030313334363537394041[[#This Row],[HORA]]-C50)*24)+24,(V062A_2030313334363537394041[[#This Row],[HORA]]-C50)*24)</f>
        <v>24</v>
      </c>
      <c r="E51" s="473" t="s">
        <v>45</v>
      </c>
      <c r="F51" s="29" t="s">
        <v>45</v>
      </c>
      <c r="G51" s="475"/>
      <c r="H51" s="476"/>
      <c r="I51" s="477"/>
      <c r="J51" s="478"/>
      <c r="K51" s="479"/>
      <c r="L51" s="483">
        <v>0</v>
      </c>
      <c r="M51" s="246">
        <v>1.6</v>
      </c>
      <c r="N51" s="484">
        <v>1</v>
      </c>
      <c r="O51" s="246">
        <f>SUM(V062A_2030313334363537394041[[#This Row],[MPAL]]+V062A_2030313334363537394041[[#This Row],[AUX.]]+V062A_2030313334363537394041[[#This Row],[CALDERA]])</f>
        <v>2.6</v>
      </c>
      <c r="P51" s="319"/>
      <c r="Q51" s="270">
        <f>(Q50-V062A_2030313334363537394041[[#This Row],[TOTAL ]])+V062A_2030313334363537394041[[#This Row],[FAENA]]</f>
        <v>19.29833333333335</v>
      </c>
      <c r="R51" s="245">
        <v>0</v>
      </c>
      <c r="S51" s="246">
        <v>0</v>
      </c>
      <c r="T51" s="246">
        <v>0</v>
      </c>
      <c r="U51" s="246">
        <v>0</v>
      </c>
      <c r="V51" s="246">
        <v>0</v>
      </c>
      <c r="W51" s="246">
        <f>SUM(V062A_2030313334363537394041[[#This Row],[MPAL2]:[GI]])</f>
        <v>0</v>
      </c>
      <c r="X51" s="246"/>
      <c r="Y51" s="300">
        <f>(Y50-V062A_2030313334363537394041[[#This Row],[TOTAL]])+V062A_2030313334363537394041[[#This Row],[FAENA2]]</f>
        <v>73.799999999999983</v>
      </c>
      <c r="Z51" s="245">
        <v>0</v>
      </c>
      <c r="AA51" s="246">
        <v>2400</v>
      </c>
      <c r="AB51" s="438">
        <f>(AB50-V062A_2030313334363537394041[[#This Row],[CYLINDER MP]])+V062A_2030313334363537394041[[#This Row],[FAENA EN LTS]]</f>
        <v>3420</v>
      </c>
      <c r="AC51" s="246">
        <v>0</v>
      </c>
      <c r="AD51" s="246">
        <v>800</v>
      </c>
      <c r="AE51" s="438">
        <f>(AE50-V062A_2030313334363537394041[[#This Row],[CARTER MP.]])+V062A_2030313334363537394041[[#This Row],[FAENA EN LTS2]]</f>
        <v>4000</v>
      </c>
      <c r="AF51" s="246">
        <v>20</v>
      </c>
      <c r="AG51" s="246">
        <v>2400</v>
      </c>
      <c r="AH51" s="438">
        <f>(AH50-V062A_2030313334363537394041[[#This Row],[MOT AUX]])+V062A_2030313334363537394041[[#This Row],[FAENA EN  LTS]]</f>
        <v>4030</v>
      </c>
      <c r="AI51" s="246">
        <v>0</v>
      </c>
      <c r="AJ51" s="246">
        <v>1600</v>
      </c>
      <c r="AK51" s="439">
        <f>(AK50-V062A_2030313334363537394041[[#This Row],[HIDRAULICO]])+V062A_2030313334363537394041[[#This Row],[FAENA EN LTS3]]</f>
        <v>2600</v>
      </c>
    </row>
    <row r="52" spans="1:37" x14ac:dyDescent="0.25">
      <c r="A52" s="431" t="s">
        <v>443</v>
      </c>
      <c r="B52" s="526">
        <v>44292</v>
      </c>
      <c r="C52" s="41">
        <v>0.32916666666666666</v>
      </c>
      <c r="D52" s="418">
        <f>IF(V062A_2030313334363537394041[[#This Row],[FECHA]]-B51=1,((V062A_2030313334363537394041[[#This Row],[HORA]]-C51)*24)+24,(V062A_2030313334363537394041[[#This Row],[HORA]]-C51)*24)</f>
        <v>23.9</v>
      </c>
      <c r="E52" s="473" t="s">
        <v>45</v>
      </c>
      <c r="F52" s="29" t="s">
        <v>46</v>
      </c>
      <c r="G52" s="475"/>
      <c r="H52" s="476"/>
      <c r="I52" s="477"/>
      <c r="J52" s="478"/>
      <c r="K52" s="479"/>
      <c r="L52" s="483">
        <v>0</v>
      </c>
      <c r="M52" s="246">
        <v>1.5933333333333333</v>
      </c>
      <c r="N52" s="484">
        <v>0.99583333333333324</v>
      </c>
      <c r="O52" s="246">
        <f>SUM(V062A_2030313334363537394041[[#This Row],[MPAL]]+V062A_2030313334363537394041[[#This Row],[AUX.]]+V062A_2030313334363537394041[[#This Row],[CALDERA]])</f>
        <v>2.5891666666666664</v>
      </c>
      <c r="P52" s="319"/>
      <c r="Q52" s="270">
        <f>(Q51-V062A_2030313334363537394041[[#This Row],[TOTAL ]])+V062A_2030313334363537394041[[#This Row],[FAENA]]</f>
        <v>16.709166666666682</v>
      </c>
      <c r="R52" s="245">
        <v>0</v>
      </c>
      <c r="S52" s="246">
        <v>0</v>
      </c>
      <c r="T52" s="246">
        <v>0</v>
      </c>
      <c r="U52" s="246">
        <v>0</v>
      </c>
      <c r="V52" s="246">
        <v>0</v>
      </c>
      <c r="W52" s="246">
        <f>SUM(V062A_2030313334363537394041[[#This Row],[MPAL2]:[GI]])</f>
        <v>0</v>
      </c>
      <c r="X52" s="246"/>
      <c r="Y52" s="300">
        <f>(Y51-V062A_2030313334363537394041[[#This Row],[TOTAL]])+V062A_2030313334363537394041[[#This Row],[FAENA2]]</f>
        <v>73.799999999999983</v>
      </c>
      <c r="Z52" s="245">
        <v>0</v>
      </c>
      <c r="AA52" s="246">
        <v>0</v>
      </c>
      <c r="AB52" s="438">
        <f>(AB51-V062A_2030313334363537394041[[#This Row],[CYLINDER MP]])+V062A_2030313334363537394041[[#This Row],[FAENA EN LTS]]</f>
        <v>3420</v>
      </c>
      <c r="AC52" s="246">
        <v>0</v>
      </c>
      <c r="AD52" s="246">
        <v>0</v>
      </c>
      <c r="AE52" s="438">
        <f>(AE51-V062A_2030313334363537394041[[#This Row],[CARTER MP.]])+V062A_2030313334363537394041[[#This Row],[FAENA EN LTS2]]</f>
        <v>4000</v>
      </c>
      <c r="AF52" s="246">
        <v>0</v>
      </c>
      <c r="AG52" s="246">
        <v>0</v>
      </c>
      <c r="AH52" s="438">
        <f>(AH51-V062A_2030313334363537394041[[#This Row],[MOT AUX]])+V062A_2030313334363537394041[[#This Row],[FAENA EN  LTS]]</f>
        <v>4030</v>
      </c>
      <c r="AI52" s="246">
        <v>0</v>
      </c>
      <c r="AJ52" s="246">
        <v>0</v>
      </c>
      <c r="AK52" s="439">
        <f>(AK51-V062A_2030313334363537394041[[#This Row],[HIDRAULICO]])+V062A_2030313334363537394041[[#This Row],[FAENA EN LTS3]]</f>
        <v>2600</v>
      </c>
    </row>
    <row r="53" spans="1:37" x14ac:dyDescent="0.25">
      <c r="A53" s="431" t="s">
        <v>443</v>
      </c>
      <c r="B53" s="526">
        <v>44292</v>
      </c>
      <c r="C53" s="41">
        <v>0.33333333333333331</v>
      </c>
      <c r="D53" s="418">
        <f>IF(V062A_2030313334363537394041[[#This Row],[FECHA]]-B52=1,((V062A_2030313334363537394041[[#This Row],[HORA]]-C52)*24)+24,(V062A_2030313334363537394041[[#This Row],[HORA]]-C52)*24)</f>
        <v>9.9999999999999645E-2</v>
      </c>
      <c r="E53" s="432" t="s">
        <v>47</v>
      </c>
      <c r="F53" s="29" t="s">
        <v>47</v>
      </c>
      <c r="G53" s="433"/>
      <c r="H53" s="434"/>
      <c r="I53" s="435"/>
      <c r="J53" s="436"/>
      <c r="K53" s="437"/>
      <c r="L53" s="483">
        <v>0</v>
      </c>
      <c r="M53" s="246">
        <v>6.6666666666666428E-3</v>
      </c>
      <c r="N53" s="484">
        <v>4.1666666666666519E-3</v>
      </c>
      <c r="O53" s="246">
        <f>SUM(V062A_2030313334363537394041[[#This Row],[MPAL]]+V062A_2030313334363537394041[[#This Row],[AUX.]]+V062A_2030313334363537394041[[#This Row],[CALDERA]])</f>
        <v>1.0833333333333296E-2</v>
      </c>
      <c r="P53" s="319"/>
      <c r="Q53" s="270">
        <f>(Q52-V062A_2030313334363537394041[[#This Row],[TOTAL ]])+V062A_2030313334363537394041[[#This Row],[FAENA]]</f>
        <v>16.698333333333348</v>
      </c>
      <c r="R53" s="245">
        <v>0</v>
      </c>
      <c r="S53" s="246">
        <v>0</v>
      </c>
      <c r="T53" s="246">
        <v>0</v>
      </c>
      <c r="U53" s="246">
        <v>0</v>
      </c>
      <c r="V53" s="246">
        <v>0</v>
      </c>
      <c r="W53" s="246">
        <f>SUM(V062A_2030313334363537394041[[#This Row],[MPAL2]:[GI]])</f>
        <v>0</v>
      </c>
      <c r="X53" s="246"/>
      <c r="Y53" s="300">
        <f>(Y52-V062A_2030313334363537394041[[#This Row],[TOTAL]])+V062A_2030313334363537394041[[#This Row],[FAENA2]]</f>
        <v>73.799999999999983</v>
      </c>
      <c r="Z53" s="245">
        <v>0</v>
      </c>
      <c r="AA53" s="246">
        <v>0</v>
      </c>
      <c r="AB53" s="438">
        <f>(AB52-V062A_2030313334363537394041[[#This Row],[CYLINDER MP]])+V062A_2030313334363537394041[[#This Row],[FAENA EN LTS]]</f>
        <v>3420</v>
      </c>
      <c r="AC53" s="246">
        <v>0</v>
      </c>
      <c r="AD53" s="246">
        <v>0</v>
      </c>
      <c r="AE53" s="438">
        <f>(AE52-V062A_2030313334363537394041[[#This Row],[CARTER MP.]])+V062A_2030313334363537394041[[#This Row],[FAENA EN LTS2]]</f>
        <v>4000</v>
      </c>
      <c r="AF53" s="246">
        <v>20</v>
      </c>
      <c r="AG53" s="246">
        <v>0</v>
      </c>
      <c r="AH53" s="438">
        <f>(AH52-V062A_2030313334363537394041[[#This Row],[MOT AUX]])+V062A_2030313334363537394041[[#This Row],[FAENA EN  LTS]]</f>
        <v>4010</v>
      </c>
      <c r="AI53" s="246">
        <v>0</v>
      </c>
      <c r="AJ53" s="246">
        <v>0</v>
      </c>
      <c r="AK53" s="439">
        <f>(AK52-V062A_2030313334363537394041[[#This Row],[HIDRAULICO]])+V062A_2030313334363537394041[[#This Row],[FAENA EN LTS3]]</f>
        <v>2600</v>
      </c>
    </row>
    <row r="54" spans="1:37" x14ac:dyDescent="0.25">
      <c r="A54" s="431" t="s">
        <v>443</v>
      </c>
      <c r="B54" s="526">
        <v>44292</v>
      </c>
      <c r="C54" s="41">
        <v>0.35000000000000003</v>
      </c>
      <c r="D54" s="418">
        <f>IF(V062A_2030313334363537394041[[#This Row],[FECHA]]-B53=1,((V062A_2030313334363537394041[[#This Row],[HORA]]-C53)*24)+24,(V062A_2030313334363537394041[[#This Row],[HORA]]-C53)*24)</f>
        <v>0.40000000000000124</v>
      </c>
      <c r="E54" s="473" t="s">
        <v>47</v>
      </c>
      <c r="F54" s="29" t="s">
        <v>212</v>
      </c>
      <c r="G54" s="475"/>
      <c r="H54" s="476"/>
      <c r="I54" s="477"/>
      <c r="J54" s="478"/>
      <c r="K54" s="479"/>
      <c r="L54" s="483">
        <v>8.3333333333333592E-2</v>
      </c>
      <c r="M54" s="246">
        <v>2.6666666666666748E-2</v>
      </c>
      <c r="N54" s="484">
        <v>1.6666666666666718E-2</v>
      </c>
      <c r="O54" s="246">
        <f>SUM(V062A_2030313334363537394041[[#This Row],[MPAL]]+V062A_2030313334363537394041[[#This Row],[AUX.]]+V062A_2030313334363537394041[[#This Row],[CALDERA]])</f>
        <v>0.12666666666666707</v>
      </c>
      <c r="P54" s="319"/>
      <c r="Q54" s="270">
        <f>(Q53-V062A_2030313334363537394041[[#This Row],[TOTAL ]])+V062A_2030313334363537394041[[#This Row],[FAENA]]</f>
        <v>16.57166666666668</v>
      </c>
      <c r="R54" s="245">
        <v>0</v>
      </c>
      <c r="S54" s="246">
        <v>0</v>
      </c>
      <c r="T54" s="246">
        <v>0</v>
      </c>
      <c r="U54" s="246">
        <v>0</v>
      </c>
      <c r="V54" s="246">
        <v>0</v>
      </c>
      <c r="W54" s="246">
        <f>SUM(V062A_2030313334363537394041[[#This Row],[MPAL2]:[GI]])</f>
        <v>0</v>
      </c>
      <c r="X54" s="246"/>
      <c r="Y54" s="300">
        <f>(Y53-V062A_2030313334363537394041[[#This Row],[TOTAL]])+V062A_2030313334363537394041[[#This Row],[FAENA2]]</f>
        <v>73.799999999999983</v>
      </c>
      <c r="Z54" s="245">
        <v>0</v>
      </c>
      <c r="AA54" s="246">
        <v>0</v>
      </c>
      <c r="AB54" s="438">
        <f>(AB53-V062A_2030313334363537394041[[#This Row],[CYLINDER MP]])+V062A_2030313334363537394041[[#This Row],[FAENA EN LTS]]</f>
        <v>3420</v>
      </c>
      <c r="AC54" s="246">
        <v>0</v>
      </c>
      <c r="AD54" s="246">
        <v>0</v>
      </c>
      <c r="AE54" s="438">
        <f>(AE53-V062A_2030313334363537394041[[#This Row],[CARTER MP.]])+V062A_2030313334363537394041[[#This Row],[FAENA EN LTS2]]</f>
        <v>4000</v>
      </c>
      <c r="AF54" s="246">
        <v>0</v>
      </c>
      <c r="AG54" s="246">
        <v>0</v>
      </c>
      <c r="AH54" s="438">
        <f>(AH53-V062A_2030313334363537394041[[#This Row],[MOT AUX]])+V062A_2030313334363537394041[[#This Row],[FAENA EN  LTS]]</f>
        <v>4010</v>
      </c>
      <c r="AI54" s="246">
        <v>0</v>
      </c>
      <c r="AJ54" s="246">
        <v>0</v>
      </c>
      <c r="AK54" s="439">
        <f>(AK53-V062A_2030313334363537394041[[#This Row],[HIDRAULICO]])+V062A_2030313334363537394041[[#This Row],[FAENA EN LTS3]]</f>
        <v>2600</v>
      </c>
    </row>
    <row r="55" spans="1:37" x14ac:dyDescent="0.25">
      <c r="A55" s="431" t="s">
        <v>443</v>
      </c>
      <c r="B55" s="526">
        <v>44292</v>
      </c>
      <c r="C55" s="41">
        <v>0.45</v>
      </c>
      <c r="D55" s="418">
        <f>IF(V062A_2030313334363537394041[[#This Row],[FECHA]]-B54=1,((V062A_2030313334363537394041[[#This Row],[HORA]]-C54)*24)+24,(V062A_2030313334363537394041[[#This Row],[HORA]]-C54)*24)</f>
        <v>2.3999999999999995</v>
      </c>
      <c r="E55" s="473" t="s">
        <v>55</v>
      </c>
      <c r="F55" s="29" t="s">
        <v>271</v>
      </c>
      <c r="G55" s="475"/>
      <c r="H55" s="476"/>
      <c r="I55" s="477"/>
      <c r="J55" s="478"/>
      <c r="K55" s="479"/>
      <c r="L55" s="483">
        <v>2.3399999999999994</v>
      </c>
      <c r="M55" s="246">
        <v>0.15999999999999998</v>
      </c>
      <c r="N55" s="484">
        <v>0</v>
      </c>
      <c r="O55" s="246">
        <f>SUM(V062A_2030313334363537394041[[#This Row],[MPAL]]+V062A_2030313334363537394041[[#This Row],[AUX.]]+V062A_2030313334363537394041[[#This Row],[CALDERA]])</f>
        <v>2.4999999999999996</v>
      </c>
      <c r="P55" s="319"/>
      <c r="Q55" s="270">
        <f>(Q54-V062A_2030313334363537394041[[#This Row],[TOTAL ]])+V062A_2030313334363537394041[[#This Row],[FAENA]]</f>
        <v>14.07166666666668</v>
      </c>
      <c r="R55" s="245">
        <v>0</v>
      </c>
      <c r="S55" s="246">
        <v>0</v>
      </c>
      <c r="T55" s="246">
        <v>0</v>
      </c>
      <c r="U55" s="246">
        <v>0</v>
      </c>
      <c r="V55" s="246">
        <v>0</v>
      </c>
      <c r="W55" s="246">
        <f>SUM(V062A_2030313334363537394041[[#This Row],[MPAL2]:[GI]])</f>
        <v>0</v>
      </c>
      <c r="X55" s="246"/>
      <c r="Y55" s="300">
        <f>(Y54-V062A_2030313334363537394041[[#This Row],[TOTAL]])+V062A_2030313334363537394041[[#This Row],[FAENA2]]</f>
        <v>73.799999999999983</v>
      </c>
      <c r="Z55" s="245">
        <v>20</v>
      </c>
      <c r="AA55" s="246">
        <v>0</v>
      </c>
      <c r="AB55" s="438">
        <f>(AB54-V062A_2030313334363537394041[[#This Row],[CYLINDER MP]])+V062A_2030313334363537394041[[#This Row],[FAENA EN LTS]]</f>
        <v>3400</v>
      </c>
      <c r="AC55" s="246">
        <v>0</v>
      </c>
      <c r="AD55" s="246">
        <v>0</v>
      </c>
      <c r="AE55" s="438">
        <f>(AE54-V062A_2030313334363537394041[[#This Row],[CARTER MP.]])+V062A_2030313334363537394041[[#This Row],[FAENA EN LTS2]]</f>
        <v>4000</v>
      </c>
      <c r="AF55" s="246">
        <v>0</v>
      </c>
      <c r="AG55" s="246">
        <v>0</v>
      </c>
      <c r="AH55" s="438">
        <f>(AH54-V062A_2030313334363537394041[[#This Row],[MOT AUX]])+V062A_2030313334363537394041[[#This Row],[FAENA EN  LTS]]</f>
        <v>4010</v>
      </c>
      <c r="AI55" s="246">
        <v>0</v>
      </c>
      <c r="AJ55" s="246">
        <v>0</v>
      </c>
      <c r="AK55" s="439">
        <f>(AK54-V062A_2030313334363537394041[[#This Row],[HIDRAULICO]])+V062A_2030313334363537394041[[#This Row],[FAENA EN LTS3]]</f>
        <v>2600</v>
      </c>
    </row>
    <row r="56" spans="1:37" x14ac:dyDescent="0.25">
      <c r="A56" s="431" t="s">
        <v>443</v>
      </c>
      <c r="B56" s="526">
        <v>44292</v>
      </c>
      <c r="C56" s="41">
        <v>0.53333333333333333</v>
      </c>
      <c r="D56" s="418">
        <f>IF(V062A_2030313334363537394041[[#This Row],[FECHA]]-B55=1,((V062A_2030313334363537394041[[#This Row],[HORA]]-C55)*24)+24,(V062A_2030313334363537394041[[#This Row],[HORA]]-C55)*24)</f>
        <v>1.9999999999999996</v>
      </c>
      <c r="E56" s="473" t="s">
        <v>47</v>
      </c>
      <c r="F56" s="29" t="s">
        <v>457</v>
      </c>
      <c r="G56" s="475"/>
      <c r="H56" s="476"/>
      <c r="I56" s="477"/>
      <c r="J56" s="478"/>
      <c r="K56" s="479"/>
      <c r="L56" s="483">
        <v>0.41666666666666657</v>
      </c>
      <c r="M56" s="246">
        <v>0.1333333333333333</v>
      </c>
      <c r="N56" s="484">
        <v>8.3333333333333315E-2</v>
      </c>
      <c r="O56" s="246">
        <f>SUM(V062A_2030313334363537394041[[#This Row],[MPAL]]+V062A_2030313334363537394041[[#This Row],[AUX.]]+V062A_2030313334363537394041[[#This Row],[CALDERA]])</f>
        <v>0.63333333333333308</v>
      </c>
      <c r="P56" s="319"/>
      <c r="Q56" s="270">
        <f>(Q55-V062A_2030313334363537394041[[#This Row],[TOTAL ]])+V062A_2030313334363537394041[[#This Row],[FAENA]]</f>
        <v>13.438333333333347</v>
      </c>
      <c r="R56" s="245">
        <v>0</v>
      </c>
      <c r="S56" s="246">
        <v>0</v>
      </c>
      <c r="T56" s="246">
        <v>0</v>
      </c>
      <c r="U56" s="246">
        <v>0</v>
      </c>
      <c r="V56" s="246">
        <v>0</v>
      </c>
      <c r="W56" s="246">
        <f>SUM(V062A_2030313334363537394041[[#This Row],[MPAL2]:[GI]])</f>
        <v>0</v>
      </c>
      <c r="X56" s="246"/>
      <c r="Y56" s="300">
        <f>(Y55-V062A_2030313334363537394041[[#This Row],[TOTAL]])+V062A_2030313334363537394041[[#This Row],[FAENA2]]</f>
        <v>73.799999999999983</v>
      </c>
      <c r="Z56" s="245">
        <v>0</v>
      </c>
      <c r="AA56" s="246">
        <v>0</v>
      </c>
      <c r="AB56" s="438">
        <f>(AB55-V062A_2030313334363537394041[[#This Row],[CYLINDER MP]])+V062A_2030313334363537394041[[#This Row],[FAENA EN LTS]]</f>
        <v>3400</v>
      </c>
      <c r="AC56" s="246">
        <v>0</v>
      </c>
      <c r="AD56" s="246">
        <v>0</v>
      </c>
      <c r="AE56" s="438">
        <f>(AE55-V062A_2030313334363537394041[[#This Row],[CARTER MP.]])+V062A_2030313334363537394041[[#This Row],[FAENA EN LTS2]]</f>
        <v>4000</v>
      </c>
      <c r="AF56" s="246">
        <v>0</v>
      </c>
      <c r="AG56" s="246">
        <v>0</v>
      </c>
      <c r="AH56" s="438">
        <f>(AH55-V062A_2030313334363537394041[[#This Row],[MOT AUX]])+V062A_2030313334363537394041[[#This Row],[FAENA EN  LTS]]</f>
        <v>4010</v>
      </c>
      <c r="AI56" s="246">
        <v>0</v>
      </c>
      <c r="AJ56" s="246">
        <v>0</v>
      </c>
      <c r="AK56" s="439">
        <f>(AK55-V062A_2030313334363537394041[[#This Row],[HIDRAULICO]])+V062A_2030313334363537394041[[#This Row],[FAENA EN LTS3]]</f>
        <v>2600</v>
      </c>
    </row>
    <row r="57" spans="1:37" x14ac:dyDescent="0.25">
      <c r="A57" s="431" t="s">
        <v>443</v>
      </c>
      <c r="B57" s="526">
        <v>44292</v>
      </c>
      <c r="C57" s="41">
        <v>0.71666666666666667</v>
      </c>
      <c r="D57" s="418">
        <f>IF(V062A_2030313334363537394041[[#This Row],[FECHA]]-B56=1,((V062A_2030313334363537394041[[#This Row],[HORA]]-C56)*24)+24,(V062A_2030313334363537394041[[#This Row],[HORA]]-C56)*24)</f>
        <v>4.4000000000000004</v>
      </c>
      <c r="E57" s="473" t="s">
        <v>49</v>
      </c>
      <c r="F57" s="29" t="s">
        <v>458</v>
      </c>
      <c r="G57" s="475"/>
      <c r="H57" s="476"/>
      <c r="I57" s="477"/>
      <c r="J57" s="478"/>
      <c r="K57" s="479"/>
      <c r="L57" s="483">
        <v>0</v>
      </c>
      <c r="M57" s="246">
        <v>0.29333333333333333</v>
      </c>
      <c r="N57" s="484">
        <v>0.18333333333333335</v>
      </c>
      <c r="O57" s="246">
        <f>SUM(V062A_2030313334363537394041[[#This Row],[MPAL]]+V062A_2030313334363537394041[[#This Row],[AUX.]]+V062A_2030313334363537394041[[#This Row],[CALDERA]])</f>
        <v>0.47666666666666668</v>
      </c>
      <c r="P57" s="319"/>
      <c r="Q57" s="270">
        <f>(Q56-V062A_2030313334363537394041[[#This Row],[TOTAL ]])+V062A_2030313334363537394041[[#This Row],[FAENA]]</f>
        <v>12.96166666666668</v>
      </c>
      <c r="R57" s="245">
        <v>0</v>
      </c>
      <c r="S57" s="246">
        <v>0</v>
      </c>
      <c r="T57" s="246">
        <v>0</v>
      </c>
      <c r="U57" s="246">
        <v>0</v>
      </c>
      <c r="V57" s="246">
        <v>0</v>
      </c>
      <c r="W57" s="246">
        <f>SUM(V062A_2030313334363537394041[[#This Row],[MPAL2]:[GI]])</f>
        <v>0</v>
      </c>
      <c r="X57" s="246"/>
      <c r="Y57" s="300">
        <f>(Y56-V062A_2030313334363537394041[[#This Row],[TOTAL]])+V062A_2030313334363537394041[[#This Row],[FAENA2]]</f>
        <v>73.799999999999983</v>
      </c>
      <c r="Z57" s="245">
        <v>0</v>
      </c>
      <c r="AA57" s="246">
        <v>0</v>
      </c>
      <c r="AB57" s="438">
        <f>(AB56-V062A_2030313334363537394041[[#This Row],[CYLINDER MP]])+V062A_2030313334363537394041[[#This Row],[FAENA EN LTS]]</f>
        <v>3400</v>
      </c>
      <c r="AC57" s="246">
        <v>0</v>
      </c>
      <c r="AD57" s="246">
        <v>0</v>
      </c>
      <c r="AE57" s="438">
        <f>(AE56-V062A_2030313334363537394041[[#This Row],[CARTER MP.]])+V062A_2030313334363537394041[[#This Row],[FAENA EN LTS2]]</f>
        <v>4000</v>
      </c>
      <c r="AF57" s="246">
        <v>0</v>
      </c>
      <c r="AG57" s="246">
        <v>0</v>
      </c>
      <c r="AH57" s="438">
        <f>(AH56-V062A_2030313334363537394041[[#This Row],[MOT AUX]])+V062A_2030313334363537394041[[#This Row],[FAENA EN  LTS]]</f>
        <v>4010</v>
      </c>
      <c r="AI57" s="246">
        <v>0</v>
      </c>
      <c r="AJ57" s="246">
        <v>0</v>
      </c>
      <c r="AK57" s="439">
        <f>(AK56-V062A_2030313334363537394041[[#This Row],[HIDRAULICO]])+V062A_2030313334363537394041[[#This Row],[FAENA EN LTS3]]</f>
        <v>2600</v>
      </c>
    </row>
    <row r="58" spans="1:37" x14ac:dyDescent="0.25">
      <c r="A58" s="431" t="s">
        <v>443</v>
      </c>
      <c r="B58" s="526">
        <v>44293</v>
      </c>
      <c r="C58" s="41">
        <v>0.33333333333333331</v>
      </c>
      <c r="D58" s="418">
        <f>IF(V062A_2030313334363537394041[[#This Row],[FECHA]]-B57=1,((V062A_2030313334363537394041[[#This Row],[HORA]]-C57)*24)+24,(V062A_2030313334363537394041[[#This Row],[HORA]]-C57)*24)</f>
        <v>14.799999999999999</v>
      </c>
      <c r="E58" s="473" t="s">
        <v>71</v>
      </c>
      <c r="F58" s="29" t="s">
        <v>71</v>
      </c>
      <c r="G58" s="475"/>
      <c r="H58" s="476"/>
      <c r="I58" s="477"/>
      <c r="J58" s="478"/>
      <c r="K58" s="479"/>
      <c r="L58" s="483">
        <v>0</v>
      </c>
      <c r="M58" s="246">
        <v>0.98666666666666658</v>
      </c>
      <c r="N58" s="484">
        <v>0.61666666666666659</v>
      </c>
      <c r="O58" s="246">
        <f>SUM(V062A_2030313334363537394041[[#This Row],[MPAL]]+V062A_2030313334363537394041[[#This Row],[AUX.]]+V062A_2030313334363537394041[[#This Row],[CALDERA]])</f>
        <v>1.6033333333333331</v>
      </c>
      <c r="P58" s="319"/>
      <c r="Q58" s="270">
        <f>(Q57-V062A_2030313334363537394041[[#This Row],[TOTAL ]])+V062A_2030313334363537394041[[#This Row],[FAENA]]</f>
        <v>11.358333333333347</v>
      </c>
      <c r="R58" s="245">
        <v>0</v>
      </c>
      <c r="S58" s="246">
        <v>0</v>
      </c>
      <c r="T58" s="246">
        <v>0</v>
      </c>
      <c r="U58" s="246">
        <v>0</v>
      </c>
      <c r="V58" s="246">
        <v>0</v>
      </c>
      <c r="W58" s="246">
        <f>SUM(V062A_2030313334363537394041[[#This Row],[MPAL2]:[GI]])</f>
        <v>0</v>
      </c>
      <c r="X58" s="246"/>
      <c r="Y58" s="300">
        <f>(Y57-V062A_2030313334363537394041[[#This Row],[TOTAL]])+V062A_2030313334363537394041[[#This Row],[FAENA2]]</f>
        <v>73.799999999999983</v>
      </c>
      <c r="Z58" s="245">
        <v>0</v>
      </c>
      <c r="AA58" s="246">
        <v>0</v>
      </c>
      <c r="AB58" s="438">
        <f>(AB57-V062A_2030313334363537394041[[#This Row],[CYLINDER MP]])+V062A_2030313334363537394041[[#This Row],[FAENA EN LTS]]</f>
        <v>3400</v>
      </c>
      <c r="AC58" s="246">
        <v>0</v>
      </c>
      <c r="AD58" s="246">
        <v>0</v>
      </c>
      <c r="AE58" s="438">
        <f>(AE57-V062A_2030313334363537394041[[#This Row],[CARTER MP.]])+V062A_2030313334363537394041[[#This Row],[FAENA EN LTS2]]</f>
        <v>4000</v>
      </c>
      <c r="AF58" s="246">
        <v>20</v>
      </c>
      <c r="AG58" s="246">
        <v>0</v>
      </c>
      <c r="AH58" s="438">
        <f>(AH57-V062A_2030313334363537394041[[#This Row],[MOT AUX]])+V062A_2030313334363537394041[[#This Row],[FAENA EN  LTS]]</f>
        <v>3990</v>
      </c>
      <c r="AI58" s="246">
        <v>100</v>
      </c>
      <c r="AJ58" s="246">
        <v>0</v>
      </c>
      <c r="AK58" s="439">
        <f>(AK57-V062A_2030313334363537394041[[#This Row],[HIDRAULICO]])+V062A_2030313334363537394041[[#This Row],[FAENA EN LTS3]]</f>
        <v>2500</v>
      </c>
    </row>
    <row r="59" spans="1:37" x14ac:dyDescent="0.25">
      <c r="A59" s="431" t="s">
        <v>443</v>
      </c>
      <c r="B59" s="526">
        <v>44294</v>
      </c>
      <c r="C59" s="41">
        <v>0.33333333333333331</v>
      </c>
      <c r="D59" s="418">
        <f>IF(V062A_2030313334363537394041[[#This Row],[FECHA]]-B58=1,((V062A_2030313334363537394041[[#This Row],[HORA]]-C58)*24)+24,(V062A_2030313334363537394041[[#This Row],[HORA]]-C58)*24)</f>
        <v>24</v>
      </c>
      <c r="E59" s="473" t="s">
        <v>71</v>
      </c>
      <c r="F59" s="29" t="s">
        <v>71</v>
      </c>
      <c r="G59" s="475"/>
      <c r="H59" s="476"/>
      <c r="I59" s="477"/>
      <c r="J59" s="478"/>
      <c r="K59" s="479"/>
      <c r="L59" s="483">
        <v>0</v>
      </c>
      <c r="M59" s="246">
        <v>1.6</v>
      </c>
      <c r="N59" s="484">
        <v>1</v>
      </c>
      <c r="O59" s="246">
        <f>SUM(V062A_2030313334363537394041[[#This Row],[MPAL]]+V062A_2030313334363537394041[[#This Row],[AUX.]]+V062A_2030313334363537394041[[#This Row],[CALDERA]])</f>
        <v>2.6</v>
      </c>
      <c r="P59" s="319"/>
      <c r="Q59" s="270">
        <f>(Q58-V062A_2030313334363537394041[[#This Row],[TOTAL ]])+V062A_2030313334363537394041[[#This Row],[FAENA]]</f>
        <v>8.7583333333333471</v>
      </c>
      <c r="R59" s="245">
        <v>0</v>
      </c>
      <c r="S59" s="246">
        <v>0</v>
      </c>
      <c r="T59" s="246">
        <v>0</v>
      </c>
      <c r="U59" s="246">
        <v>0</v>
      </c>
      <c r="V59" s="246">
        <v>0</v>
      </c>
      <c r="W59" s="246">
        <f>SUM(V062A_2030313334363537394041[[#This Row],[MPAL2]:[GI]])</f>
        <v>0</v>
      </c>
      <c r="X59" s="246"/>
      <c r="Y59" s="300">
        <f>(Y58-V062A_2030313334363537394041[[#This Row],[TOTAL]])+V062A_2030313334363537394041[[#This Row],[FAENA2]]</f>
        <v>73.799999999999983</v>
      </c>
      <c r="Z59" s="245">
        <v>0</v>
      </c>
      <c r="AA59" s="246">
        <v>0</v>
      </c>
      <c r="AB59" s="438">
        <f>(AB58-V062A_2030313334363537394041[[#This Row],[CYLINDER MP]])+V062A_2030313334363537394041[[#This Row],[FAENA EN LTS]]</f>
        <v>3400</v>
      </c>
      <c r="AC59" s="246">
        <v>0</v>
      </c>
      <c r="AD59" s="246">
        <v>0</v>
      </c>
      <c r="AE59" s="438">
        <f>(AE58-V062A_2030313334363537394041[[#This Row],[CARTER MP.]])+V062A_2030313334363537394041[[#This Row],[FAENA EN LTS2]]</f>
        <v>4000</v>
      </c>
      <c r="AF59" s="246">
        <v>20</v>
      </c>
      <c r="AG59" s="246">
        <v>0</v>
      </c>
      <c r="AH59" s="438">
        <f>(AH58-V062A_2030313334363537394041[[#This Row],[MOT AUX]])+V062A_2030313334363537394041[[#This Row],[FAENA EN  LTS]]</f>
        <v>3970</v>
      </c>
      <c r="AI59" s="246">
        <v>0</v>
      </c>
      <c r="AJ59" s="246">
        <v>0</v>
      </c>
      <c r="AK59" s="439">
        <f>(AK58-V062A_2030313334363537394041[[#This Row],[HIDRAULICO]])+V062A_2030313334363537394041[[#This Row],[FAENA EN LTS3]]</f>
        <v>2500</v>
      </c>
    </row>
    <row r="60" spans="1:37" x14ac:dyDescent="0.25">
      <c r="A60" s="431" t="s">
        <v>443</v>
      </c>
      <c r="B60" s="526">
        <v>44294</v>
      </c>
      <c r="C60" s="41">
        <v>0.79166666666666663</v>
      </c>
      <c r="D60" s="418">
        <f>IF(V062A_2030313334363537394041[[#This Row],[FECHA]]-B59=1,((V062A_2030313334363537394041[[#This Row],[HORA]]-C59)*24)+24,(V062A_2030313334363537394041[[#This Row],[HORA]]-C59)*24)</f>
        <v>11</v>
      </c>
      <c r="E60" s="473" t="s">
        <v>71</v>
      </c>
      <c r="F60" s="29" t="s">
        <v>459</v>
      </c>
      <c r="G60" s="475"/>
      <c r="H60" s="476"/>
      <c r="I60" s="477"/>
      <c r="J60" s="478"/>
      <c r="K60" s="479"/>
      <c r="L60" s="483">
        <v>0</v>
      </c>
      <c r="M60" s="246">
        <v>0.73333333333333328</v>
      </c>
      <c r="N60" s="484">
        <v>0.45833333333333331</v>
      </c>
      <c r="O60" s="246">
        <f>SUM(V062A_2030313334363537394041[[#This Row],[MPAL]]+V062A_2030313334363537394041[[#This Row],[AUX.]]+V062A_2030313334363537394041[[#This Row],[CALDERA]])</f>
        <v>1.1916666666666667</v>
      </c>
      <c r="P60" s="319"/>
      <c r="Q60" s="270">
        <f>(Q59-V062A_2030313334363537394041[[#This Row],[TOTAL ]])+V062A_2030313334363537394041[[#This Row],[FAENA]]</f>
        <v>7.5666666666666806</v>
      </c>
      <c r="R60" s="245">
        <v>0</v>
      </c>
      <c r="S60" s="246">
        <v>0</v>
      </c>
      <c r="T60" s="246">
        <v>0</v>
      </c>
      <c r="U60" s="246">
        <v>0</v>
      </c>
      <c r="V60" s="246">
        <v>0</v>
      </c>
      <c r="W60" s="246">
        <f>SUM(V062A_2030313334363537394041[[#This Row],[MPAL2]:[GI]])</f>
        <v>0</v>
      </c>
      <c r="X60" s="246"/>
      <c r="Y60" s="300">
        <f>(Y59-V062A_2030313334363537394041[[#This Row],[TOTAL]])+V062A_2030313334363537394041[[#This Row],[FAENA2]]</f>
        <v>73.799999999999983</v>
      </c>
      <c r="Z60" s="245">
        <v>0</v>
      </c>
      <c r="AA60" s="246">
        <v>0</v>
      </c>
      <c r="AB60" s="438">
        <f>(AB59-V062A_2030313334363537394041[[#This Row],[CYLINDER MP]])+V062A_2030313334363537394041[[#This Row],[FAENA EN LTS]]</f>
        <v>3400</v>
      </c>
      <c r="AC60" s="246">
        <v>0</v>
      </c>
      <c r="AD60" s="246">
        <v>0</v>
      </c>
      <c r="AE60" s="438">
        <f>(AE59-V062A_2030313334363537394041[[#This Row],[CARTER MP.]])+V062A_2030313334363537394041[[#This Row],[FAENA EN LTS2]]</f>
        <v>4000</v>
      </c>
      <c r="AF60" s="246">
        <v>0</v>
      </c>
      <c r="AG60" s="246">
        <v>0</v>
      </c>
      <c r="AH60" s="438">
        <f>(AH59-V062A_2030313334363537394041[[#This Row],[MOT AUX]])+V062A_2030313334363537394041[[#This Row],[FAENA EN  LTS]]</f>
        <v>3970</v>
      </c>
      <c r="AI60" s="246">
        <v>0</v>
      </c>
      <c r="AJ60" s="246">
        <v>0</v>
      </c>
      <c r="AK60" s="439">
        <f>(AK59-V062A_2030313334363537394041[[#This Row],[HIDRAULICO]])+V062A_2030313334363537394041[[#This Row],[FAENA EN LTS3]]</f>
        <v>2500</v>
      </c>
    </row>
    <row r="61" spans="1:37" x14ac:dyDescent="0.25">
      <c r="A61" s="431" t="s">
        <v>443</v>
      </c>
      <c r="B61" s="526">
        <v>44295</v>
      </c>
      <c r="C61" s="41">
        <v>2.9166666666666664E-2</v>
      </c>
      <c r="D61" s="418">
        <f>IF(V062A_2030313334363537394041[[#This Row],[FECHA]]-B60=1,((V062A_2030313334363537394041[[#This Row],[HORA]]-C60)*24)+24,(V062A_2030313334363537394041[[#This Row],[HORA]]-C60)*24)</f>
        <v>5.7000000000000028</v>
      </c>
      <c r="E61" s="473" t="s">
        <v>49</v>
      </c>
      <c r="F61" s="29" t="s">
        <v>460</v>
      </c>
      <c r="G61" s="475"/>
      <c r="H61" s="476"/>
      <c r="I61" s="477"/>
      <c r="J61" s="478"/>
      <c r="K61" s="479"/>
      <c r="L61" s="483">
        <v>0</v>
      </c>
      <c r="M61" s="246">
        <v>0.38000000000000017</v>
      </c>
      <c r="N61" s="484">
        <v>0.2375000000000001</v>
      </c>
      <c r="O61" s="246">
        <f>SUM(V062A_2030313334363537394041[[#This Row],[MPAL]]+V062A_2030313334363537394041[[#This Row],[AUX.]]+V062A_2030313334363537394041[[#This Row],[CALDERA]])</f>
        <v>0.61750000000000027</v>
      </c>
      <c r="P61" s="246">
        <v>398.4</v>
      </c>
      <c r="Q61" s="270">
        <f>(Q60-V062A_2030313334363537394041[[#This Row],[TOTAL ]])+V062A_2030313334363537394041[[#This Row],[FAENA]]</f>
        <v>405.34916666666663</v>
      </c>
      <c r="R61" s="245">
        <v>0</v>
      </c>
      <c r="S61" s="246">
        <v>0</v>
      </c>
      <c r="T61" s="246">
        <v>0</v>
      </c>
      <c r="U61" s="246">
        <v>0</v>
      </c>
      <c r="V61" s="246">
        <v>0</v>
      </c>
      <c r="W61" s="246">
        <f>SUM(V062A_2030313334363537394041[[#This Row],[MPAL2]:[GI]])</f>
        <v>0</v>
      </c>
      <c r="X61" s="246"/>
      <c r="Y61" s="300">
        <f>(Y60-V062A_2030313334363537394041[[#This Row],[TOTAL]])+V062A_2030313334363537394041[[#This Row],[FAENA2]]</f>
        <v>73.799999999999983</v>
      </c>
      <c r="Z61" s="245">
        <v>0</v>
      </c>
      <c r="AA61" s="246">
        <v>0</v>
      </c>
      <c r="AB61" s="438">
        <f>(AB60-V062A_2030313334363537394041[[#This Row],[CYLINDER MP]])+V062A_2030313334363537394041[[#This Row],[FAENA EN LTS]]</f>
        <v>3400</v>
      </c>
      <c r="AC61" s="246">
        <v>0</v>
      </c>
      <c r="AD61" s="246">
        <v>0</v>
      </c>
      <c r="AE61" s="438">
        <f>(AE60-V062A_2030313334363537394041[[#This Row],[CARTER MP.]])+V062A_2030313334363537394041[[#This Row],[FAENA EN LTS2]]</f>
        <v>4000</v>
      </c>
      <c r="AF61" s="246">
        <v>0</v>
      </c>
      <c r="AG61" s="246">
        <v>0</v>
      </c>
      <c r="AH61" s="438">
        <f>(AH60-V062A_2030313334363537394041[[#This Row],[MOT AUX]])+V062A_2030313334363537394041[[#This Row],[FAENA EN  LTS]]</f>
        <v>3970</v>
      </c>
      <c r="AI61" s="246">
        <v>0</v>
      </c>
      <c r="AJ61" s="246">
        <v>0</v>
      </c>
      <c r="AK61" s="439">
        <f>(AK60-V062A_2030313334363537394041[[#This Row],[HIDRAULICO]])+V062A_2030313334363537394041[[#This Row],[FAENA EN LTS3]]</f>
        <v>2500</v>
      </c>
    </row>
    <row r="62" spans="1:37" x14ac:dyDescent="0.25">
      <c r="A62" s="431" t="s">
        <v>443</v>
      </c>
      <c r="B62" s="526">
        <v>44295</v>
      </c>
      <c r="C62" s="41">
        <v>0.22916666666666666</v>
      </c>
      <c r="D62" s="418">
        <f>IF(V062A_2030313334363537394041[[#This Row],[FECHA]]-B61=1,((V062A_2030313334363537394041[[#This Row],[HORA]]-C61)*24)+24,(V062A_2030313334363537394041[[#This Row],[HORA]]-C61)*24)</f>
        <v>4.8</v>
      </c>
      <c r="E62" s="473" t="s">
        <v>51</v>
      </c>
      <c r="F62" s="29" t="s">
        <v>52</v>
      </c>
      <c r="G62" s="475"/>
      <c r="H62" s="476"/>
      <c r="I62" s="477"/>
      <c r="J62" s="478"/>
      <c r="K62" s="479"/>
      <c r="L62" s="483">
        <v>0</v>
      </c>
      <c r="M62" s="246">
        <v>0.32</v>
      </c>
      <c r="N62" s="484">
        <v>0.19999999999999998</v>
      </c>
      <c r="O62" s="246">
        <f>SUM(V062A_2030313334363537394041[[#This Row],[MPAL]]+V062A_2030313334363537394041[[#This Row],[AUX.]]+V062A_2030313334363537394041[[#This Row],[CALDERA]])</f>
        <v>0.52</v>
      </c>
      <c r="P62" s="319"/>
      <c r="Q62" s="270">
        <f>(Q61-V062A_2030313334363537394041[[#This Row],[TOTAL ]])+V062A_2030313334363537394041[[#This Row],[FAENA]]</f>
        <v>404.82916666666665</v>
      </c>
      <c r="R62" s="245">
        <v>0</v>
      </c>
      <c r="S62" s="246">
        <v>0</v>
      </c>
      <c r="T62" s="246">
        <v>0</v>
      </c>
      <c r="U62" s="246">
        <v>0</v>
      </c>
      <c r="V62" s="246">
        <v>1</v>
      </c>
      <c r="W62" s="246">
        <f>SUM(V062A_2030313334363537394041[[#This Row],[MPAL2]:[GI]])</f>
        <v>1</v>
      </c>
      <c r="X62" s="246"/>
      <c r="Y62" s="300">
        <f>(Y61-V062A_2030313334363537394041[[#This Row],[TOTAL]])+V062A_2030313334363537394041[[#This Row],[FAENA2]]</f>
        <v>72.799999999999983</v>
      </c>
      <c r="Z62" s="245">
        <v>0</v>
      </c>
      <c r="AA62" s="246">
        <v>0</v>
      </c>
      <c r="AB62" s="438">
        <f>(AB61-V062A_2030313334363537394041[[#This Row],[CYLINDER MP]])+V062A_2030313334363537394041[[#This Row],[FAENA EN LTS]]</f>
        <v>3400</v>
      </c>
      <c r="AC62" s="246">
        <v>0</v>
      </c>
      <c r="AD62" s="246">
        <v>0</v>
      </c>
      <c r="AE62" s="438">
        <f>(AE61-V062A_2030313334363537394041[[#This Row],[CARTER MP.]])+V062A_2030313334363537394041[[#This Row],[FAENA EN LTS2]]</f>
        <v>4000</v>
      </c>
      <c r="AF62" s="246">
        <v>0</v>
      </c>
      <c r="AG62" s="246">
        <v>0</v>
      </c>
      <c r="AH62" s="438">
        <f>(AH61-V062A_2030313334363537394041[[#This Row],[MOT AUX]])+V062A_2030313334363537394041[[#This Row],[FAENA EN  LTS]]</f>
        <v>3970</v>
      </c>
      <c r="AI62" s="246">
        <v>0</v>
      </c>
      <c r="AJ62" s="246">
        <v>0</v>
      </c>
      <c r="AK62" s="439">
        <f>(AK61-V062A_2030313334363537394041[[#This Row],[HIDRAULICO]])+V062A_2030313334363537394041[[#This Row],[FAENA EN LTS3]]</f>
        <v>2500</v>
      </c>
    </row>
    <row r="63" spans="1:37" x14ac:dyDescent="0.25">
      <c r="A63" s="431" t="s">
        <v>443</v>
      </c>
      <c r="B63" s="526">
        <v>44295</v>
      </c>
      <c r="C63" s="41">
        <v>0.33333333333333331</v>
      </c>
      <c r="D63" s="418">
        <f>IF(V062A_2030313334363537394041[[#This Row],[FECHA]]-B62=1,((V062A_2030313334363537394041[[#This Row],[HORA]]-C62)*24)+24,(V062A_2030313334363537394041[[#This Row],[HORA]]-C62)*24)</f>
        <v>2.5</v>
      </c>
      <c r="E63" s="473" t="s">
        <v>49</v>
      </c>
      <c r="F63" s="29" t="s">
        <v>461</v>
      </c>
      <c r="G63" s="475"/>
      <c r="H63" s="476"/>
      <c r="I63" s="477"/>
      <c r="J63" s="478"/>
      <c r="K63" s="479"/>
      <c r="L63" s="483">
        <v>0</v>
      </c>
      <c r="M63" s="246">
        <v>0.16666666666666666</v>
      </c>
      <c r="N63" s="484">
        <v>0.10416666666666666</v>
      </c>
      <c r="O63" s="246">
        <f>SUM(V062A_2030313334363537394041[[#This Row],[MPAL]]+V062A_2030313334363537394041[[#This Row],[AUX.]]+V062A_2030313334363537394041[[#This Row],[CALDERA]])</f>
        <v>0.27083333333333331</v>
      </c>
      <c r="P63" s="319"/>
      <c r="Q63" s="270">
        <f>(Q62-V062A_2030313334363537394041[[#This Row],[TOTAL ]])+V062A_2030313334363537394041[[#This Row],[FAENA]]</f>
        <v>404.55833333333334</v>
      </c>
      <c r="R63" s="245">
        <v>0</v>
      </c>
      <c r="S63" s="246">
        <v>0</v>
      </c>
      <c r="T63" s="246">
        <v>0</v>
      </c>
      <c r="U63" s="246">
        <v>0</v>
      </c>
      <c r="V63" s="246">
        <v>0</v>
      </c>
      <c r="W63" s="246">
        <f>SUM(V062A_2030313334363537394041[[#This Row],[MPAL2]:[GI]])</f>
        <v>0</v>
      </c>
      <c r="X63" s="246"/>
      <c r="Y63" s="300">
        <f>(Y62-V062A_2030313334363537394041[[#This Row],[TOTAL]])+V062A_2030313334363537394041[[#This Row],[FAENA2]]</f>
        <v>72.799999999999983</v>
      </c>
      <c r="Z63" s="245">
        <v>0</v>
      </c>
      <c r="AA63" s="246">
        <v>0</v>
      </c>
      <c r="AB63" s="438">
        <f>(AB62-V062A_2030313334363537394041[[#This Row],[CYLINDER MP]])+V062A_2030313334363537394041[[#This Row],[FAENA EN LTS]]</f>
        <v>3400</v>
      </c>
      <c r="AC63" s="246">
        <v>0</v>
      </c>
      <c r="AD63" s="246">
        <v>0</v>
      </c>
      <c r="AE63" s="438">
        <f>(AE62-V062A_2030313334363537394041[[#This Row],[CARTER MP.]])+V062A_2030313334363537394041[[#This Row],[FAENA EN LTS2]]</f>
        <v>4000</v>
      </c>
      <c r="AF63" s="246">
        <v>20</v>
      </c>
      <c r="AG63" s="246">
        <v>0</v>
      </c>
      <c r="AH63" s="438">
        <f>(AH62-V062A_2030313334363537394041[[#This Row],[MOT AUX]])+V062A_2030313334363537394041[[#This Row],[FAENA EN  LTS]]</f>
        <v>3950</v>
      </c>
      <c r="AI63" s="246">
        <v>0</v>
      </c>
      <c r="AJ63" s="246">
        <v>0</v>
      </c>
      <c r="AK63" s="439">
        <f>(AK62-V062A_2030313334363537394041[[#This Row],[HIDRAULICO]])+V062A_2030313334363537394041[[#This Row],[FAENA EN LTS3]]</f>
        <v>2500</v>
      </c>
    </row>
    <row r="64" spans="1:37" x14ac:dyDescent="0.25">
      <c r="A64" s="431" t="s">
        <v>443</v>
      </c>
      <c r="B64" s="526">
        <v>44295</v>
      </c>
      <c r="C64" s="41">
        <v>0.47083333333333338</v>
      </c>
      <c r="D64" s="418">
        <f>IF(V062A_2030313334363537394041[[#This Row],[FECHA]]-B63=1,((V062A_2030313334363537394041[[#This Row],[HORA]]-C63)*24)+24,(V062A_2030313334363537394041[[#This Row],[HORA]]-C63)*24)</f>
        <v>3.3000000000000016</v>
      </c>
      <c r="E64" s="473" t="s">
        <v>49</v>
      </c>
      <c r="F64" s="29" t="s">
        <v>46</v>
      </c>
      <c r="G64" s="475"/>
      <c r="H64" s="476"/>
      <c r="I64" s="477"/>
      <c r="J64" s="478"/>
      <c r="K64" s="479"/>
      <c r="L64" s="483">
        <v>0</v>
      </c>
      <c r="M64" s="246">
        <v>0.22000000000000011</v>
      </c>
      <c r="N64" s="484">
        <v>0.13750000000000007</v>
      </c>
      <c r="O64" s="246">
        <f>SUM(V062A_2030313334363537394041[[#This Row],[MPAL]]+V062A_2030313334363537394041[[#This Row],[AUX.]]+V062A_2030313334363537394041[[#This Row],[CALDERA]])</f>
        <v>0.35750000000000015</v>
      </c>
      <c r="P64" s="319"/>
      <c r="Q64" s="270">
        <f>(Q63-V062A_2030313334363537394041[[#This Row],[TOTAL ]])+V062A_2030313334363537394041[[#This Row],[FAENA]]</f>
        <v>404.20083333333332</v>
      </c>
      <c r="R64" s="245">
        <v>0</v>
      </c>
      <c r="S64" s="246">
        <v>0</v>
      </c>
      <c r="T64" s="246">
        <v>0</v>
      </c>
      <c r="U64" s="246">
        <v>0</v>
      </c>
      <c r="V64" s="246">
        <v>0</v>
      </c>
      <c r="W64" s="246">
        <f>SUM(V062A_2030313334363537394041[[#This Row],[MPAL2]:[GI]])</f>
        <v>0</v>
      </c>
      <c r="X64" s="246"/>
      <c r="Y64" s="300">
        <f>(Y63-V062A_2030313334363537394041[[#This Row],[TOTAL]])+V062A_2030313334363537394041[[#This Row],[FAENA2]]</f>
        <v>72.799999999999983</v>
      </c>
      <c r="Z64" s="245">
        <v>0</v>
      </c>
      <c r="AA64" s="246">
        <v>0</v>
      </c>
      <c r="AB64" s="438">
        <f>(AB63-V062A_2030313334363537394041[[#This Row],[CYLINDER MP]])+V062A_2030313334363537394041[[#This Row],[FAENA EN LTS]]</f>
        <v>3400</v>
      </c>
      <c r="AC64" s="246">
        <v>0</v>
      </c>
      <c r="AD64" s="246">
        <v>0</v>
      </c>
      <c r="AE64" s="438">
        <f>(AE63-V062A_2030313334363537394041[[#This Row],[CARTER MP.]])+V062A_2030313334363537394041[[#This Row],[FAENA EN LTS2]]</f>
        <v>4000</v>
      </c>
      <c r="AF64" s="246">
        <v>0</v>
      </c>
      <c r="AG64" s="246">
        <v>0</v>
      </c>
      <c r="AH64" s="438">
        <f>(AH63-V062A_2030313334363537394041[[#This Row],[MOT AUX]])+V062A_2030313334363537394041[[#This Row],[FAENA EN  LTS]]</f>
        <v>3950</v>
      </c>
      <c r="AI64" s="246">
        <v>0</v>
      </c>
      <c r="AJ64" s="246">
        <v>0</v>
      </c>
      <c r="AK64" s="439">
        <f>(AK63-V062A_2030313334363537394041[[#This Row],[HIDRAULICO]])+V062A_2030313334363537394041[[#This Row],[FAENA EN LTS3]]</f>
        <v>2500</v>
      </c>
    </row>
    <row r="65" spans="1:37" x14ac:dyDescent="0.25">
      <c r="A65" s="431" t="s">
        <v>443</v>
      </c>
      <c r="B65" s="526">
        <v>44295</v>
      </c>
      <c r="C65" s="41">
        <v>0.5</v>
      </c>
      <c r="D65" s="418">
        <f>IF(V062A_2030313334363537394041[[#This Row],[FECHA]]-B64=1,((V062A_2030313334363537394041[[#This Row],[HORA]]-C64)*24)+24,(V062A_2030313334363537394041[[#This Row],[HORA]]-C64)*24)</f>
        <v>0.69999999999999885</v>
      </c>
      <c r="E65" s="444" t="s">
        <v>47</v>
      </c>
      <c r="F65" s="29" t="s">
        <v>272</v>
      </c>
      <c r="G65" s="446"/>
      <c r="H65" s="447"/>
      <c r="I65" s="448"/>
      <c r="J65" s="449"/>
      <c r="K65" s="450"/>
      <c r="L65" s="483">
        <v>0.14583333333333309</v>
      </c>
      <c r="M65" s="246">
        <v>4.6666666666666592E-2</v>
      </c>
      <c r="N65" s="484">
        <v>2.9166666666666619E-2</v>
      </c>
      <c r="O65" s="246">
        <f>SUM(V062A_2030313334363537394041[[#This Row],[MPAL]]+V062A_2030313334363537394041[[#This Row],[AUX.]]+V062A_2030313334363537394041[[#This Row],[CALDERA]])</f>
        <v>0.22166666666666629</v>
      </c>
      <c r="P65" s="452"/>
      <c r="Q65" s="270">
        <f>(Q64-V062A_2030313334363537394041[[#This Row],[TOTAL ]])+V062A_2030313334363537394041[[#This Row],[FAENA]]</f>
        <v>403.97916666666663</v>
      </c>
      <c r="R65" s="245">
        <v>0</v>
      </c>
      <c r="S65" s="246">
        <v>0</v>
      </c>
      <c r="T65" s="246">
        <v>0</v>
      </c>
      <c r="U65" s="246">
        <v>0</v>
      </c>
      <c r="V65" s="246">
        <v>0</v>
      </c>
      <c r="W65" s="443">
        <f>SUM(V062A_2030313334363537394041[[#This Row],[MPAL2]:[GI]])</f>
        <v>0</v>
      </c>
      <c r="X65" s="443"/>
      <c r="Y65" s="300">
        <f>(Y64-V062A_2030313334363537394041[[#This Row],[TOTAL]])+V062A_2030313334363537394041[[#This Row],[FAENA2]]</f>
        <v>72.799999999999983</v>
      </c>
      <c r="Z65" s="245">
        <v>0</v>
      </c>
      <c r="AA65" s="246">
        <v>0</v>
      </c>
      <c r="AB65" s="438">
        <f>(AB64-V062A_2030313334363537394041[[#This Row],[CYLINDER MP]])+V062A_2030313334363537394041[[#This Row],[FAENA EN LTS]]</f>
        <v>3400</v>
      </c>
      <c r="AC65" s="246">
        <v>0</v>
      </c>
      <c r="AD65" s="246">
        <v>0</v>
      </c>
      <c r="AE65" s="438">
        <f>(AE64-V062A_2030313334363537394041[[#This Row],[CARTER MP.]])+V062A_2030313334363537394041[[#This Row],[FAENA EN LTS2]]</f>
        <v>4000</v>
      </c>
      <c r="AF65" s="246">
        <v>0</v>
      </c>
      <c r="AG65" s="246">
        <v>0</v>
      </c>
      <c r="AH65" s="438">
        <f>(AH64-V062A_2030313334363537394041[[#This Row],[MOT AUX]])+V062A_2030313334363537394041[[#This Row],[FAENA EN  LTS]]</f>
        <v>3950</v>
      </c>
      <c r="AI65" s="246">
        <v>0</v>
      </c>
      <c r="AJ65" s="246">
        <v>0</v>
      </c>
      <c r="AK65" s="439">
        <f>(AK64-V062A_2030313334363537394041[[#This Row],[HIDRAULICO]])+V062A_2030313334363537394041[[#This Row],[FAENA EN LTS3]]</f>
        <v>2500</v>
      </c>
    </row>
    <row r="66" spans="1:37" x14ac:dyDescent="0.25">
      <c r="A66" s="431" t="s">
        <v>443</v>
      </c>
      <c r="B66" s="526">
        <v>44296</v>
      </c>
      <c r="C66" s="41">
        <v>0.33333333333333331</v>
      </c>
      <c r="D66" s="418">
        <f>IF(V062A_2030313334363537394041[[#This Row],[FECHA]]-B65=1,((V062A_2030313334363537394041[[#This Row],[HORA]]-C65)*24)+24,(V062A_2030313334363537394041[[#This Row],[HORA]]-C65)*24)</f>
        <v>20</v>
      </c>
      <c r="E66" s="473" t="s">
        <v>55</v>
      </c>
      <c r="F66" s="29" t="s">
        <v>56</v>
      </c>
      <c r="G66" s="475"/>
      <c r="H66" s="476"/>
      <c r="I66" s="477"/>
      <c r="J66" s="478"/>
      <c r="K66" s="479">
        <v>97</v>
      </c>
      <c r="L66" s="483">
        <v>19.5</v>
      </c>
      <c r="M66" s="246">
        <v>1.3333333333333333</v>
      </c>
      <c r="N66" s="484">
        <v>0</v>
      </c>
      <c r="O66" s="246">
        <f>SUM(V062A_2030313334363537394041[[#This Row],[MPAL]]+V062A_2030313334363537394041[[#This Row],[AUX.]]+V062A_2030313334363537394041[[#This Row],[CALDERA]])</f>
        <v>20.833333333333332</v>
      </c>
      <c r="P66" s="319"/>
      <c r="Q66" s="270">
        <f>(Q65-V062A_2030313334363537394041[[#This Row],[TOTAL ]])+V062A_2030313334363537394041[[#This Row],[FAENA]]</f>
        <v>383.14583333333331</v>
      </c>
      <c r="R66" s="245">
        <v>0</v>
      </c>
      <c r="S66" s="246">
        <v>0</v>
      </c>
      <c r="T66" s="246">
        <v>0</v>
      </c>
      <c r="U66" s="246">
        <v>0</v>
      </c>
      <c r="V66" s="246">
        <v>0</v>
      </c>
      <c r="W66" s="246">
        <f>SUM(V062A_2030313334363537394041[[#This Row],[MPAL2]:[GI]])</f>
        <v>0</v>
      </c>
      <c r="X66" s="246"/>
      <c r="Y66" s="300">
        <f>(Y65-V062A_2030313334363537394041[[#This Row],[TOTAL]])+V062A_2030313334363537394041[[#This Row],[FAENA2]]</f>
        <v>72.799999999999983</v>
      </c>
      <c r="Z66" s="245">
        <v>200</v>
      </c>
      <c r="AA66" s="246">
        <v>0</v>
      </c>
      <c r="AB66" s="438">
        <f>(AB65-V062A_2030313334363537394041[[#This Row],[CYLINDER MP]])+V062A_2030313334363537394041[[#This Row],[FAENA EN LTS]]</f>
        <v>3200</v>
      </c>
      <c r="AC66" s="246">
        <v>0</v>
      </c>
      <c r="AD66" s="246">
        <v>0</v>
      </c>
      <c r="AE66" s="438">
        <f>(AE65-V062A_2030313334363537394041[[#This Row],[CARTER MP.]])+V062A_2030313334363537394041[[#This Row],[FAENA EN LTS2]]</f>
        <v>4000</v>
      </c>
      <c r="AF66" s="246">
        <v>20</v>
      </c>
      <c r="AG66" s="246">
        <v>0</v>
      </c>
      <c r="AH66" s="438">
        <f>(AH65-V062A_2030313334363537394041[[#This Row],[MOT AUX]])+V062A_2030313334363537394041[[#This Row],[FAENA EN  LTS]]</f>
        <v>3930</v>
      </c>
      <c r="AI66" s="246">
        <v>0</v>
      </c>
      <c r="AJ66" s="246">
        <v>0</v>
      </c>
      <c r="AK66" s="439">
        <f>(AK65-V062A_2030313334363537394041[[#This Row],[HIDRAULICO]])+V062A_2030313334363537394041[[#This Row],[FAENA EN LTS3]]</f>
        <v>2500</v>
      </c>
    </row>
    <row r="67" spans="1:37" x14ac:dyDescent="0.25">
      <c r="A67" s="431" t="s">
        <v>443</v>
      </c>
      <c r="B67" s="526">
        <v>44296</v>
      </c>
      <c r="C67" s="41">
        <v>0.95833333333333337</v>
      </c>
      <c r="D67" s="418">
        <f>IF(V062A_2030313334363537394041[[#This Row],[FECHA]]-B66=1,((V062A_2030313334363537394041[[#This Row],[HORA]]-C66)*24)+24,(V062A_2030313334363537394041[[#This Row],[HORA]]-C66)*24)</f>
        <v>15</v>
      </c>
      <c r="E67" s="473" t="s">
        <v>55</v>
      </c>
      <c r="F67" s="29" t="s">
        <v>227</v>
      </c>
      <c r="G67" s="475"/>
      <c r="H67" s="476"/>
      <c r="I67" s="477"/>
      <c r="J67" s="478"/>
      <c r="K67" s="479">
        <v>97</v>
      </c>
      <c r="L67" s="483">
        <v>14.625</v>
      </c>
      <c r="M67" s="246">
        <v>1</v>
      </c>
      <c r="N67" s="484">
        <v>0</v>
      </c>
      <c r="O67" s="246">
        <f>SUM(V062A_2030313334363537394041[[#This Row],[MPAL]]+V062A_2030313334363537394041[[#This Row],[AUX.]]+V062A_2030313334363537394041[[#This Row],[CALDERA]])</f>
        <v>15.625</v>
      </c>
      <c r="P67" s="319"/>
      <c r="Q67" s="270">
        <f>(Q66-V062A_2030313334363537394041[[#This Row],[TOTAL ]])+V062A_2030313334363537394041[[#This Row],[FAENA]]</f>
        <v>367.52083333333331</v>
      </c>
      <c r="R67" s="245">
        <v>0</v>
      </c>
      <c r="S67" s="246">
        <v>0</v>
      </c>
      <c r="T67" s="246">
        <v>0</v>
      </c>
      <c r="U67" s="246">
        <v>0</v>
      </c>
      <c r="V67" s="246">
        <v>0</v>
      </c>
      <c r="W67" s="246">
        <f>SUM(V062A_2030313334363537394041[[#This Row],[MPAL2]:[GI]])</f>
        <v>0</v>
      </c>
      <c r="X67" s="246"/>
      <c r="Y67" s="300">
        <f>(Y66-V062A_2030313334363537394041[[#This Row],[TOTAL]])+V062A_2030313334363537394041[[#This Row],[FAENA2]]</f>
        <v>72.799999999999983</v>
      </c>
      <c r="Z67" s="245">
        <v>150</v>
      </c>
      <c r="AA67" s="246">
        <v>0</v>
      </c>
      <c r="AB67" s="438">
        <f>(AB66-V062A_2030313334363537394041[[#This Row],[CYLINDER MP]])+V062A_2030313334363537394041[[#This Row],[FAENA EN LTS]]</f>
        <v>3050</v>
      </c>
      <c r="AC67" s="246">
        <v>0</v>
      </c>
      <c r="AD67" s="246">
        <v>0</v>
      </c>
      <c r="AE67" s="438">
        <f>(AE66-V062A_2030313334363537394041[[#This Row],[CARTER MP.]])+V062A_2030313334363537394041[[#This Row],[FAENA EN LTS2]]</f>
        <v>4000</v>
      </c>
      <c r="AF67" s="246">
        <v>0</v>
      </c>
      <c r="AG67" s="246">
        <v>0</v>
      </c>
      <c r="AH67" s="438">
        <f>(AH66-V062A_2030313334363537394041[[#This Row],[MOT AUX]])+V062A_2030313334363537394041[[#This Row],[FAENA EN  LTS]]</f>
        <v>3930</v>
      </c>
      <c r="AI67" s="246">
        <v>0</v>
      </c>
      <c r="AJ67" s="246">
        <v>0</v>
      </c>
      <c r="AK67" s="439">
        <f>(AK66-V062A_2030313334363537394041[[#This Row],[HIDRAULICO]])+V062A_2030313334363537394041[[#This Row],[FAENA EN LTS3]]</f>
        <v>2500</v>
      </c>
    </row>
    <row r="68" spans="1:37" x14ac:dyDescent="0.25">
      <c r="A68" s="431" t="s">
        <v>443</v>
      </c>
      <c r="B68" s="526">
        <v>44297</v>
      </c>
      <c r="C68" s="41">
        <v>1.2499999999999999E-2</v>
      </c>
      <c r="D68" s="418">
        <f>IF(V062A_2030313334363537394041[[#This Row],[FECHA]]-B67=1,((V062A_2030313334363537394041[[#This Row],[HORA]]-C67)*24)+24,(V062A_2030313334363537394041[[#This Row],[HORA]]-C67)*24)</f>
        <v>1.2999999999999972</v>
      </c>
      <c r="E68" s="473" t="s">
        <v>47</v>
      </c>
      <c r="F68" s="29" t="s">
        <v>462</v>
      </c>
      <c r="G68" s="475"/>
      <c r="H68" s="476"/>
      <c r="I68" s="477"/>
      <c r="J68" s="478"/>
      <c r="K68" s="479"/>
      <c r="L68" s="483">
        <v>0.27083333333333276</v>
      </c>
      <c r="M68" s="246">
        <v>8.6666666666666475E-2</v>
      </c>
      <c r="N68" s="484">
        <v>5.4166666666666544E-2</v>
      </c>
      <c r="O68" s="246">
        <f>SUM(V062A_2030313334363537394041[[#This Row],[MPAL]]+V062A_2030313334363537394041[[#This Row],[AUX.]]+V062A_2030313334363537394041[[#This Row],[CALDERA]])</f>
        <v>0.41166666666666579</v>
      </c>
      <c r="P68" s="319"/>
      <c r="Q68" s="270">
        <f>(Q67-V062A_2030313334363537394041[[#This Row],[TOTAL ]])+V062A_2030313334363537394041[[#This Row],[FAENA]]</f>
        <v>367.10916666666662</v>
      </c>
      <c r="R68" s="245">
        <v>0</v>
      </c>
      <c r="S68" s="246">
        <v>0</v>
      </c>
      <c r="T68" s="246">
        <v>0</v>
      </c>
      <c r="U68" s="246">
        <v>0</v>
      </c>
      <c r="V68" s="246">
        <v>0</v>
      </c>
      <c r="W68" s="246">
        <f>SUM(V062A_2030313334363537394041[[#This Row],[MPAL2]:[GI]])</f>
        <v>0</v>
      </c>
      <c r="X68" s="246"/>
      <c r="Y68" s="300">
        <f>(Y67-V062A_2030313334363537394041[[#This Row],[TOTAL]])+V062A_2030313334363537394041[[#This Row],[FAENA2]]</f>
        <v>72.799999999999983</v>
      </c>
      <c r="Z68" s="245">
        <v>0</v>
      </c>
      <c r="AA68" s="246">
        <v>0</v>
      </c>
      <c r="AB68" s="438">
        <f>(AB67-V062A_2030313334363537394041[[#This Row],[CYLINDER MP]])+V062A_2030313334363537394041[[#This Row],[FAENA EN LTS]]</f>
        <v>3050</v>
      </c>
      <c r="AC68" s="246">
        <v>0</v>
      </c>
      <c r="AD68" s="246">
        <v>0</v>
      </c>
      <c r="AE68" s="438">
        <f>(AE67-V062A_2030313334363537394041[[#This Row],[CARTER MP.]])+V062A_2030313334363537394041[[#This Row],[FAENA EN LTS2]]</f>
        <v>4000</v>
      </c>
      <c r="AF68" s="246">
        <v>0</v>
      </c>
      <c r="AG68" s="246">
        <v>0</v>
      </c>
      <c r="AH68" s="438">
        <f>(AH67-V062A_2030313334363537394041[[#This Row],[MOT AUX]])+V062A_2030313334363537394041[[#This Row],[FAENA EN  LTS]]</f>
        <v>3930</v>
      </c>
      <c r="AI68" s="246">
        <v>0</v>
      </c>
      <c r="AJ68" s="246">
        <v>0</v>
      </c>
      <c r="AK68" s="439">
        <f>(AK67-V062A_2030313334363537394041[[#This Row],[HIDRAULICO]])+V062A_2030313334363537394041[[#This Row],[FAENA EN LTS3]]</f>
        <v>2500</v>
      </c>
    </row>
    <row r="69" spans="1:37" x14ac:dyDescent="0.25">
      <c r="A69" s="431" t="s">
        <v>443</v>
      </c>
      <c r="B69" s="526">
        <v>44297</v>
      </c>
      <c r="C69" s="41">
        <v>0.33333333333333331</v>
      </c>
      <c r="D69" s="418">
        <f>IF(V062A_2030313334363537394041[[#This Row],[FECHA]]-B68=1,((V062A_2030313334363537394041[[#This Row],[HORA]]-C68)*24)+24,(V062A_2030313334363537394041[[#This Row],[HORA]]-C68)*24)</f>
        <v>7.6999999999999993</v>
      </c>
      <c r="E69" s="473" t="s">
        <v>45</v>
      </c>
      <c r="F69" s="29" t="s">
        <v>463</v>
      </c>
      <c r="G69" s="475"/>
      <c r="H69" s="476"/>
      <c r="I69" s="477"/>
      <c r="J69" s="478"/>
      <c r="K69" s="479"/>
      <c r="L69" s="483">
        <v>0</v>
      </c>
      <c r="M69" s="246">
        <v>0.51333333333333331</v>
      </c>
      <c r="N69" s="484">
        <v>0.3208333333333333</v>
      </c>
      <c r="O69" s="246">
        <f>SUM(V062A_2030313334363537394041[[#This Row],[MPAL]]+V062A_2030313334363537394041[[#This Row],[AUX.]]+V062A_2030313334363537394041[[#This Row],[CALDERA]])</f>
        <v>0.83416666666666661</v>
      </c>
      <c r="P69" s="319"/>
      <c r="Q69" s="270">
        <f>(Q68-V062A_2030313334363537394041[[#This Row],[TOTAL ]])+V062A_2030313334363537394041[[#This Row],[FAENA]]</f>
        <v>366.27499999999998</v>
      </c>
      <c r="R69" s="245">
        <v>0</v>
      </c>
      <c r="S69" s="246">
        <v>0</v>
      </c>
      <c r="T69" s="246">
        <v>0</v>
      </c>
      <c r="U69" s="246">
        <v>0</v>
      </c>
      <c r="V69" s="246">
        <v>0</v>
      </c>
      <c r="W69" s="246">
        <f>SUM(V062A_2030313334363537394041[[#This Row],[MPAL2]:[GI]])</f>
        <v>0</v>
      </c>
      <c r="X69" s="246"/>
      <c r="Y69" s="300">
        <f>(Y68-V062A_2030313334363537394041[[#This Row],[TOTAL]])+V062A_2030313334363537394041[[#This Row],[FAENA2]]</f>
        <v>72.799999999999983</v>
      </c>
      <c r="Z69" s="245">
        <v>0</v>
      </c>
      <c r="AA69" s="246">
        <v>0</v>
      </c>
      <c r="AB69" s="438">
        <f>(AB68-V062A_2030313334363537394041[[#This Row],[CYLINDER MP]])+V062A_2030313334363537394041[[#This Row],[FAENA EN LTS]]</f>
        <v>3050</v>
      </c>
      <c r="AC69" s="246">
        <v>0</v>
      </c>
      <c r="AD69" s="246">
        <v>0</v>
      </c>
      <c r="AE69" s="438">
        <f>(AE68-V062A_2030313334363537394041[[#This Row],[CARTER MP.]])+V062A_2030313334363537394041[[#This Row],[FAENA EN LTS2]]</f>
        <v>4000</v>
      </c>
      <c r="AF69" s="246">
        <v>20</v>
      </c>
      <c r="AG69" s="246">
        <v>0</v>
      </c>
      <c r="AH69" s="438">
        <f>(AH68-V062A_2030313334363537394041[[#This Row],[MOT AUX]])+V062A_2030313334363537394041[[#This Row],[FAENA EN  LTS]]</f>
        <v>3910</v>
      </c>
      <c r="AI69" s="246">
        <v>0</v>
      </c>
      <c r="AJ69" s="246">
        <v>0</v>
      </c>
      <c r="AK69" s="439">
        <f>(AK68-V062A_2030313334363537394041[[#This Row],[HIDRAULICO]])+V062A_2030313334363537394041[[#This Row],[FAENA EN LTS3]]</f>
        <v>2500</v>
      </c>
    </row>
    <row r="70" spans="1:37" x14ac:dyDescent="0.25">
      <c r="A70" s="431" t="s">
        <v>443</v>
      </c>
      <c r="B70" s="526">
        <v>44297</v>
      </c>
      <c r="C70" s="41">
        <v>0.79166666666666663</v>
      </c>
      <c r="D70" s="418">
        <f>IF(V062A_2030313334363537394041[[#This Row],[FECHA]]-B69=1,((V062A_2030313334363537394041[[#This Row],[HORA]]-C69)*24)+24,(V062A_2030313334363537394041[[#This Row],[HORA]]-C69)*24)</f>
        <v>11</v>
      </c>
      <c r="E70" s="473" t="s">
        <v>45</v>
      </c>
      <c r="F70" s="29" t="s">
        <v>46</v>
      </c>
      <c r="G70" s="475"/>
      <c r="H70" s="476"/>
      <c r="I70" s="477"/>
      <c r="J70" s="478"/>
      <c r="K70" s="479"/>
      <c r="L70" s="483">
        <v>0</v>
      </c>
      <c r="M70" s="246">
        <v>0.73333333333333328</v>
      </c>
      <c r="N70" s="484">
        <v>0.45833333333333331</v>
      </c>
      <c r="O70" s="246">
        <f>SUM(V062A_2030313334363537394041[[#This Row],[MPAL]]+V062A_2030313334363537394041[[#This Row],[AUX.]]+V062A_2030313334363537394041[[#This Row],[CALDERA]])</f>
        <v>1.1916666666666667</v>
      </c>
      <c r="P70" s="319"/>
      <c r="Q70" s="270">
        <f>(Q69-V062A_2030313334363537394041[[#This Row],[TOTAL ]])+V062A_2030313334363537394041[[#This Row],[FAENA]]</f>
        <v>365.08333333333331</v>
      </c>
      <c r="R70" s="245">
        <v>0</v>
      </c>
      <c r="S70" s="246">
        <v>0</v>
      </c>
      <c r="T70" s="246">
        <v>0</v>
      </c>
      <c r="U70" s="246">
        <v>0</v>
      </c>
      <c r="V70" s="246">
        <v>0</v>
      </c>
      <c r="W70" s="246">
        <f>SUM(V062A_2030313334363537394041[[#This Row],[MPAL2]:[GI]])</f>
        <v>0</v>
      </c>
      <c r="X70" s="246"/>
      <c r="Y70" s="300">
        <f>(Y69-V062A_2030313334363537394041[[#This Row],[TOTAL]])+V062A_2030313334363537394041[[#This Row],[FAENA2]]</f>
        <v>72.799999999999983</v>
      </c>
      <c r="Z70" s="245">
        <v>0</v>
      </c>
      <c r="AA70" s="246">
        <v>0</v>
      </c>
      <c r="AB70" s="438">
        <f>(AB69-V062A_2030313334363537394041[[#This Row],[CYLINDER MP]])+V062A_2030313334363537394041[[#This Row],[FAENA EN LTS]]</f>
        <v>3050</v>
      </c>
      <c r="AC70" s="246">
        <v>0</v>
      </c>
      <c r="AD70" s="246">
        <v>0</v>
      </c>
      <c r="AE70" s="438">
        <f>(AE69-V062A_2030313334363537394041[[#This Row],[CARTER MP.]])+V062A_2030313334363537394041[[#This Row],[FAENA EN LTS2]]</f>
        <v>4000</v>
      </c>
      <c r="AF70" s="246">
        <v>0</v>
      </c>
      <c r="AG70" s="246">
        <v>0</v>
      </c>
      <c r="AH70" s="438">
        <f>(AH69-V062A_2030313334363537394041[[#This Row],[MOT AUX]])+V062A_2030313334363537394041[[#This Row],[FAENA EN  LTS]]</f>
        <v>3910</v>
      </c>
      <c r="AI70" s="246">
        <v>0</v>
      </c>
      <c r="AJ70" s="246">
        <v>0</v>
      </c>
      <c r="AK70" s="439">
        <f>(AK69-V062A_2030313334363537394041[[#This Row],[HIDRAULICO]])+V062A_2030313334363537394041[[#This Row],[FAENA EN LTS3]]</f>
        <v>2500</v>
      </c>
    </row>
    <row r="71" spans="1:37" x14ac:dyDescent="0.25">
      <c r="A71" s="431" t="s">
        <v>443</v>
      </c>
      <c r="B71" s="526">
        <v>44297</v>
      </c>
      <c r="C71" s="41">
        <v>0.79999999999999993</v>
      </c>
      <c r="D71" s="418">
        <f>IF(V062A_2030313334363537394041[[#This Row],[FECHA]]-B70=1,((V062A_2030313334363537394041[[#This Row],[HORA]]-C70)*24)+24,(V062A_2030313334363537394041[[#This Row],[HORA]]-C70)*24)</f>
        <v>0.19999999999999929</v>
      </c>
      <c r="E71" s="409" t="s">
        <v>47</v>
      </c>
      <c r="F71" s="378" t="s">
        <v>213</v>
      </c>
      <c r="G71" s="475"/>
      <c r="H71" s="476"/>
      <c r="I71" s="477"/>
      <c r="J71" s="478"/>
      <c r="K71" s="479"/>
      <c r="L71" s="245">
        <v>4.1666666666666519E-2</v>
      </c>
      <c r="M71" s="246">
        <v>1.3333333333333286E-2</v>
      </c>
      <c r="N71" s="246">
        <v>8.3333333333333037E-3</v>
      </c>
      <c r="O71" s="246">
        <f>SUM(V062A_2030313334363537394041[[#This Row],[MPAL]]+V062A_2030313334363537394041[[#This Row],[AUX.]]+V062A_2030313334363537394041[[#This Row],[CALDERA]])</f>
        <v>6.3333333333333103E-2</v>
      </c>
      <c r="P71" s="319"/>
      <c r="Q71" s="270">
        <f>(Q70-V062A_2030313334363537394041[[#This Row],[TOTAL ]])+V062A_2030313334363537394041[[#This Row],[FAENA]]</f>
        <v>365.02</v>
      </c>
      <c r="R71" s="245">
        <v>0</v>
      </c>
      <c r="S71" s="246">
        <v>0</v>
      </c>
      <c r="T71" s="246">
        <v>0</v>
      </c>
      <c r="U71" s="246">
        <v>0</v>
      </c>
      <c r="V71" s="246">
        <v>0</v>
      </c>
      <c r="W71" s="246">
        <f>SUM(V062A_2030313334363537394041[[#This Row],[MPAL2]:[GI]])</f>
        <v>0</v>
      </c>
      <c r="X71" s="246"/>
      <c r="Y71" s="300">
        <f>(Y70-V062A_2030313334363537394041[[#This Row],[TOTAL]])+V062A_2030313334363537394041[[#This Row],[FAENA2]]</f>
        <v>72.799999999999983</v>
      </c>
      <c r="Z71" s="245">
        <v>0</v>
      </c>
      <c r="AA71" s="246">
        <v>0</v>
      </c>
      <c r="AB71" s="438">
        <f>(AB70-V062A_2030313334363537394041[[#This Row],[CYLINDER MP]])+V062A_2030313334363537394041[[#This Row],[FAENA EN LTS]]</f>
        <v>3050</v>
      </c>
      <c r="AC71" s="246">
        <v>0</v>
      </c>
      <c r="AD71" s="246">
        <v>0</v>
      </c>
      <c r="AE71" s="438">
        <f>(AE70-V062A_2030313334363537394041[[#This Row],[CARTER MP.]])+V062A_2030313334363537394041[[#This Row],[FAENA EN LTS2]]</f>
        <v>4000</v>
      </c>
      <c r="AF71" s="246">
        <v>0</v>
      </c>
      <c r="AG71" s="246">
        <v>0</v>
      </c>
      <c r="AH71" s="438">
        <f>(AH70-V062A_2030313334363537394041[[#This Row],[MOT AUX]])+V062A_2030313334363537394041[[#This Row],[FAENA EN  LTS]]</f>
        <v>3910</v>
      </c>
      <c r="AI71" s="246">
        <v>0</v>
      </c>
      <c r="AJ71" s="246">
        <v>0</v>
      </c>
      <c r="AK71" s="439">
        <f>(AK70-V062A_2030313334363537394041[[#This Row],[HIDRAULICO]])+V062A_2030313334363537394041[[#This Row],[FAENA EN LTS3]]</f>
        <v>2500</v>
      </c>
    </row>
    <row r="72" spans="1:37" x14ac:dyDescent="0.25">
      <c r="A72" s="431" t="s">
        <v>443</v>
      </c>
      <c r="B72" s="526">
        <v>44297</v>
      </c>
      <c r="C72" s="237">
        <v>0.8208333333333333</v>
      </c>
      <c r="D72" s="418">
        <f>IF(V062A_2030313334363537394041[[#This Row],[FECHA]]-B71=1,((V062A_2030313334363537394041[[#This Row],[HORA]]-C71)*24)+24,(V062A_2030313334363537394041[[#This Row],[HORA]]-C71)*24)</f>
        <v>0.50000000000000089</v>
      </c>
      <c r="E72" s="473" t="s">
        <v>55</v>
      </c>
      <c r="F72" s="378" t="s">
        <v>211</v>
      </c>
      <c r="G72" s="475"/>
      <c r="H72" s="476"/>
      <c r="I72" s="477"/>
      <c r="J72" s="478"/>
      <c r="K72" s="479">
        <v>97</v>
      </c>
      <c r="L72" s="245">
        <v>0.48750000000000088</v>
      </c>
      <c r="M72" s="246">
        <v>3.3333333333333395E-2</v>
      </c>
      <c r="N72" s="246">
        <v>0</v>
      </c>
      <c r="O72" s="246">
        <f>SUM(V062A_2030313334363537394041[[#This Row],[MPAL]]+V062A_2030313334363537394041[[#This Row],[AUX.]]+V062A_2030313334363537394041[[#This Row],[CALDERA]])</f>
        <v>0.52083333333333426</v>
      </c>
      <c r="P72" s="319"/>
      <c r="Q72" s="270">
        <f>(Q71-V062A_2030313334363537394041[[#This Row],[TOTAL ]])+V062A_2030313334363537394041[[#This Row],[FAENA]]</f>
        <v>364.49916666666667</v>
      </c>
      <c r="R72" s="245">
        <v>0</v>
      </c>
      <c r="S72" s="246">
        <v>0</v>
      </c>
      <c r="T72" s="246">
        <v>0</v>
      </c>
      <c r="U72" s="246">
        <v>0</v>
      </c>
      <c r="V72" s="246">
        <v>0</v>
      </c>
      <c r="W72" s="246">
        <f>SUM(V062A_2030313334363537394041[[#This Row],[MPAL2]:[GI]])</f>
        <v>0</v>
      </c>
      <c r="X72" s="246"/>
      <c r="Y72" s="300">
        <f>(Y71-V062A_2030313334363537394041[[#This Row],[TOTAL]])+V062A_2030313334363537394041[[#This Row],[FAENA2]]</f>
        <v>72.799999999999983</v>
      </c>
      <c r="Z72" s="245">
        <v>0</v>
      </c>
      <c r="AA72" s="246">
        <v>0</v>
      </c>
      <c r="AB72" s="438">
        <f>(AB71-V062A_2030313334363537394041[[#This Row],[CYLINDER MP]])+V062A_2030313334363537394041[[#This Row],[FAENA EN LTS]]</f>
        <v>3050</v>
      </c>
      <c r="AC72" s="246">
        <v>0</v>
      </c>
      <c r="AD72" s="246">
        <v>0</v>
      </c>
      <c r="AE72" s="438">
        <f>(AE71-V062A_2030313334363537394041[[#This Row],[CARTER MP.]])+V062A_2030313334363537394041[[#This Row],[FAENA EN LTS2]]</f>
        <v>4000</v>
      </c>
      <c r="AF72" s="246">
        <v>0</v>
      </c>
      <c r="AG72" s="246">
        <v>0</v>
      </c>
      <c r="AH72" s="438">
        <f>(AH71-V062A_2030313334363537394041[[#This Row],[MOT AUX]])+V062A_2030313334363537394041[[#This Row],[FAENA EN  LTS]]</f>
        <v>3910</v>
      </c>
      <c r="AI72" s="246">
        <v>0</v>
      </c>
      <c r="AJ72" s="246">
        <v>0</v>
      </c>
      <c r="AK72" s="439">
        <f>(AK71-V062A_2030313334363537394041[[#This Row],[HIDRAULICO]])+V062A_2030313334363537394041[[#This Row],[FAENA EN LTS3]]</f>
        <v>2500</v>
      </c>
    </row>
    <row r="73" spans="1:37" x14ac:dyDescent="0.25">
      <c r="A73" s="431" t="s">
        <v>443</v>
      </c>
      <c r="B73" s="526">
        <v>44297</v>
      </c>
      <c r="C73" s="237">
        <v>0.92499999999999993</v>
      </c>
      <c r="D73" s="418">
        <f>IF(V062A_2030313334363537394041[[#This Row],[FECHA]]-B72=1,((V062A_2030313334363537394041[[#This Row],[HORA]]-C72)*24)+24,(V062A_2030313334363537394041[[#This Row],[HORA]]-C72)*24)</f>
        <v>2.4999999999999991</v>
      </c>
      <c r="E73" s="506" t="s">
        <v>47</v>
      </c>
      <c r="F73" s="507" t="s">
        <v>241</v>
      </c>
      <c r="G73" s="508"/>
      <c r="H73" s="509"/>
      <c r="I73" s="510"/>
      <c r="J73" s="511"/>
      <c r="K73" s="512"/>
      <c r="L73" s="245">
        <v>0.31249999999999989</v>
      </c>
      <c r="M73" s="246">
        <v>0.1666666666666666</v>
      </c>
      <c r="N73" s="246">
        <v>0.10416666666666663</v>
      </c>
      <c r="O73" s="246">
        <f>SUM(V062A_2030313334363537394041[[#This Row],[MPAL]]+V062A_2030313334363537394041[[#This Row],[AUX.]]+V062A_2030313334363537394041[[#This Row],[CALDERA]])</f>
        <v>0.58333333333333315</v>
      </c>
      <c r="P73" s="319"/>
      <c r="Q73" s="270">
        <f>(Q72-V062A_2030313334363537394041[[#This Row],[TOTAL ]])+V062A_2030313334363537394041[[#This Row],[FAENA]]</f>
        <v>363.91583333333335</v>
      </c>
      <c r="R73" s="245">
        <v>0</v>
      </c>
      <c r="S73" s="246">
        <v>0</v>
      </c>
      <c r="T73" s="246">
        <v>0</v>
      </c>
      <c r="U73" s="246">
        <v>0</v>
      </c>
      <c r="V73" s="246">
        <v>0</v>
      </c>
      <c r="W73" s="246">
        <f>SUM(V062A_2030313334363537394041[[#This Row],[MPAL2]:[GI]])</f>
        <v>0</v>
      </c>
      <c r="X73" s="246"/>
      <c r="Y73" s="300">
        <f>(Y72-V062A_2030313334363537394041[[#This Row],[TOTAL]])+V062A_2030313334363537394041[[#This Row],[FAENA2]]</f>
        <v>72.799999999999983</v>
      </c>
      <c r="Z73" s="245">
        <v>0</v>
      </c>
      <c r="AA73" s="246">
        <v>0</v>
      </c>
      <c r="AB73" s="438">
        <f>(AB72-V062A_2030313334363537394041[[#This Row],[CYLINDER MP]])+V062A_2030313334363537394041[[#This Row],[FAENA EN LTS]]</f>
        <v>3050</v>
      </c>
      <c r="AC73" s="246">
        <v>0</v>
      </c>
      <c r="AD73" s="246">
        <v>0</v>
      </c>
      <c r="AE73" s="438">
        <f>(AE72-V062A_2030313334363537394041[[#This Row],[CARTER MP.]])+V062A_2030313334363537394041[[#This Row],[FAENA EN LTS2]]</f>
        <v>4000</v>
      </c>
      <c r="AF73" s="246">
        <v>0</v>
      </c>
      <c r="AG73" s="246">
        <v>0</v>
      </c>
      <c r="AH73" s="438">
        <f>(AH72-V062A_2030313334363537394041[[#This Row],[MOT AUX]])+V062A_2030313334363537394041[[#This Row],[FAENA EN  LTS]]</f>
        <v>3910</v>
      </c>
      <c r="AI73" s="246">
        <v>0</v>
      </c>
      <c r="AJ73" s="246">
        <v>0</v>
      </c>
      <c r="AK73" s="439">
        <f>(AK72-V062A_2030313334363537394041[[#This Row],[HIDRAULICO]])+V062A_2030313334363537394041[[#This Row],[FAENA EN LTS3]]</f>
        <v>2500</v>
      </c>
    </row>
    <row r="74" spans="1:37" x14ac:dyDescent="0.25">
      <c r="A74" s="431" t="s">
        <v>443</v>
      </c>
      <c r="B74" s="526">
        <v>44298</v>
      </c>
      <c r="C74" s="237">
        <v>0.27083333333333331</v>
      </c>
      <c r="D74" s="418">
        <f>IF(V062A_2030313334363537394041[[#This Row],[FECHA]]-B73=1,((V062A_2030313334363537394041[[#This Row],[HORA]]-C73)*24)+24,(V062A_2030313334363537394041[[#This Row],[HORA]]-C73)*24)</f>
        <v>8.3000000000000025</v>
      </c>
      <c r="E74" s="506" t="s">
        <v>49</v>
      </c>
      <c r="F74" s="507" t="s">
        <v>294</v>
      </c>
      <c r="G74" s="508"/>
      <c r="H74" s="509"/>
      <c r="I74" s="510"/>
      <c r="J74" s="511"/>
      <c r="K74" s="512"/>
      <c r="L74" s="245">
        <v>0</v>
      </c>
      <c r="M74" s="246">
        <v>0.55333333333333345</v>
      </c>
      <c r="N74" s="246">
        <v>0.34583333333333344</v>
      </c>
      <c r="O74" s="246">
        <f>SUM(V062A_2030313334363537394041[[#This Row],[MPAL]]+V062A_2030313334363537394041[[#This Row],[AUX.]]+V062A_2030313334363537394041[[#This Row],[CALDERA]])</f>
        <v>0.89916666666666689</v>
      </c>
      <c r="P74" s="319"/>
      <c r="Q74" s="270">
        <f>(Q73-V062A_2030313334363537394041[[#This Row],[TOTAL ]])+V062A_2030313334363537394041[[#This Row],[FAENA]]</f>
        <v>363.01666666666671</v>
      </c>
      <c r="R74" s="245">
        <v>0</v>
      </c>
      <c r="S74" s="246">
        <v>0</v>
      </c>
      <c r="T74" s="246">
        <v>0</v>
      </c>
      <c r="U74" s="246">
        <v>0</v>
      </c>
      <c r="V74" s="246">
        <v>0.6</v>
      </c>
      <c r="W74" s="246">
        <f>SUM(V062A_2030313334363537394041[[#This Row],[MPAL2]:[GI]])</f>
        <v>0.6</v>
      </c>
      <c r="X74" s="246"/>
      <c r="Y74" s="300">
        <f>(Y73-V062A_2030313334363537394041[[#This Row],[TOTAL]])+V062A_2030313334363537394041[[#This Row],[FAENA2]]</f>
        <v>72.199999999999989</v>
      </c>
      <c r="Z74" s="245">
        <v>0</v>
      </c>
      <c r="AA74" s="246">
        <v>0</v>
      </c>
      <c r="AB74" s="438">
        <f>(AB73-V062A_2030313334363537394041[[#This Row],[CYLINDER MP]])+V062A_2030313334363537394041[[#This Row],[FAENA EN LTS]]</f>
        <v>3050</v>
      </c>
      <c r="AC74" s="246">
        <v>0</v>
      </c>
      <c r="AD74" s="246">
        <v>0</v>
      </c>
      <c r="AE74" s="438">
        <f>(AE73-V062A_2030313334363537394041[[#This Row],[CARTER MP.]])+V062A_2030313334363537394041[[#This Row],[FAENA EN LTS2]]</f>
        <v>4000</v>
      </c>
      <c r="AF74" s="246">
        <v>0</v>
      </c>
      <c r="AG74" s="246">
        <v>0</v>
      </c>
      <c r="AH74" s="438">
        <f>(AH73-V062A_2030313334363537394041[[#This Row],[MOT AUX]])+V062A_2030313334363537394041[[#This Row],[FAENA EN  LTS]]</f>
        <v>3910</v>
      </c>
      <c r="AI74" s="246">
        <v>0</v>
      </c>
      <c r="AJ74" s="246">
        <v>0</v>
      </c>
      <c r="AK74" s="439">
        <f>(AK73-V062A_2030313334363537394041[[#This Row],[HIDRAULICO]])+V062A_2030313334363537394041[[#This Row],[FAENA EN LTS3]]</f>
        <v>2500</v>
      </c>
    </row>
    <row r="75" spans="1:37" x14ac:dyDescent="0.25">
      <c r="A75" s="431" t="s">
        <v>443</v>
      </c>
      <c r="B75" s="526">
        <v>44298</v>
      </c>
      <c r="C75" s="237">
        <v>0.33333333333333331</v>
      </c>
      <c r="D75" s="418">
        <f>IF(V062A_2030313334363537394041[[#This Row],[FECHA]]-B74=1,((V062A_2030313334363537394041[[#This Row],[HORA]]-C74)*24)+24,(V062A_2030313334363537394041[[#This Row],[HORA]]-C74)*24)</f>
        <v>1.5</v>
      </c>
      <c r="E75" s="506" t="s">
        <v>51</v>
      </c>
      <c r="F75" s="29" t="s">
        <v>466</v>
      </c>
      <c r="G75" s="508"/>
      <c r="H75" s="509"/>
      <c r="I75" s="510"/>
      <c r="J75" s="511"/>
      <c r="K75" s="512"/>
      <c r="L75" s="245">
        <v>0</v>
      </c>
      <c r="M75" s="246">
        <v>0.1</v>
      </c>
      <c r="N75" s="246">
        <v>6.25E-2</v>
      </c>
      <c r="O75" s="246">
        <f>SUM(V062A_2030313334363537394041[[#This Row],[MPAL]]+V062A_2030313334363537394041[[#This Row],[AUX.]]+V062A_2030313334363537394041[[#This Row],[CALDERA]])</f>
        <v>0.16250000000000001</v>
      </c>
      <c r="P75" s="319"/>
      <c r="Q75" s="270">
        <f>(Q74-V062A_2030313334363537394041[[#This Row],[TOTAL ]])+V062A_2030313334363537394041[[#This Row],[FAENA]]</f>
        <v>362.85416666666669</v>
      </c>
      <c r="R75" s="245">
        <v>0</v>
      </c>
      <c r="S75" s="246">
        <v>0</v>
      </c>
      <c r="T75" s="246">
        <v>0</v>
      </c>
      <c r="U75" s="246">
        <v>0</v>
      </c>
      <c r="V75" s="246">
        <v>0.3</v>
      </c>
      <c r="W75" s="246">
        <f>SUM(V062A_2030313334363537394041[[#This Row],[MPAL2]:[GI]])</f>
        <v>0.3</v>
      </c>
      <c r="X75" s="246"/>
      <c r="Y75" s="300">
        <f>(Y74-V062A_2030313334363537394041[[#This Row],[TOTAL]])+V062A_2030313334363537394041[[#This Row],[FAENA2]]</f>
        <v>71.899999999999991</v>
      </c>
      <c r="Z75" s="245">
        <v>0</v>
      </c>
      <c r="AA75" s="246">
        <v>0</v>
      </c>
      <c r="AB75" s="438">
        <f>(AB74-V062A_2030313334363537394041[[#This Row],[CYLINDER MP]])+V062A_2030313334363537394041[[#This Row],[FAENA EN LTS]]</f>
        <v>3050</v>
      </c>
      <c r="AC75" s="246">
        <v>0</v>
      </c>
      <c r="AD75" s="246">
        <v>0</v>
      </c>
      <c r="AE75" s="438">
        <f>(AE74-V062A_2030313334363537394041[[#This Row],[CARTER MP.]])+V062A_2030313334363537394041[[#This Row],[FAENA EN LTS2]]</f>
        <v>4000</v>
      </c>
      <c r="AF75" s="246">
        <v>20</v>
      </c>
      <c r="AG75" s="246">
        <v>0</v>
      </c>
      <c r="AH75" s="438">
        <f>(AH74-V062A_2030313334363537394041[[#This Row],[MOT AUX]])+V062A_2030313334363537394041[[#This Row],[FAENA EN  LTS]]</f>
        <v>3890</v>
      </c>
      <c r="AI75" s="246">
        <v>0</v>
      </c>
      <c r="AJ75" s="246">
        <v>0</v>
      </c>
      <c r="AK75" s="439">
        <f>(AK74-V062A_2030313334363537394041[[#This Row],[HIDRAULICO]])+V062A_2030313334363537394041[[#This Row],[FAENA EN LTS3]]</f>
        <v>2500</v>
      </c>
    </row>
    <row r="76" spans="1:37" x14ac:dyDescent="0.25">
      <c r="A76" s="431" t="s">
        <v>443</v>
      </c>
      <c r="B76" s="526">
        <v>44299</v>
      </c>
      <c r="C76" s="237">
        <v>0.17916666666666667</v>
      </c>
      <c r="D76" s="418">
        <f>IF(V062A_2030313334363537394041[[#This Row],[FECHA]]-B75=1,((V062A_2030313334363537394041[[#This Row],[HORA]]-C75)*24)+24,(V062A_2030313334363537394041[[#This Row],[HORA]]-C75)*24)</f>
        <v>20.3</v>
      </c>
      <c r="E76" s="506" t="s">
        <v>51</v>
      </c>
      <c r="F76" s="29" t="s">
        <v>52</v>
      </c>
      <c r="G76" s="508"/>
      <c r="H76" s="509"/>
      <c r="I76" s="510"/>
      <c r="J76" s="511"/>
      <c r="K76" s="512"/>
      <c r="L76" s="245">
        <v>0</v>
      </c>
      <c r="M76" s="246">
        <v>1.3533333333333333</v>
      </c>
      <c r="N76" s="246">
        <v>5.0750000000000002</v>
      </c>
      <c r="O76" s="246">
        <f>SUM(V062A_2030313334363537394041[[#This Row],[MPAL]]+V062A_2030313334363537394041[[#This Row],[AUX.]]+V062A_2030313334363537394041[[#This Row],[CALDERA]])</f>
        <v>6.4283333333333337</v>
      </c>
      <c r="P76" s="319"/>
      <c r="Q76" s="270">
        <f>(Q75-V062A_2030313334363537394041[[#This Row],[TOTAL ]])+V062A_2030313334363537394041[[#This Row],[FAENA]]</f>
        <v>356.42583333333334</v>
      </c>
      <c r="R76" s="245">
        <v>0</v>
      </c>
      <c r="S76" s="246">
        <v>0</v>
      </c>
      <c r="T76" s="246">
        <v>0</v>
      </c>
      <c r="U76" s="246">
        <v>0</v>
      </c>
      <c r="V76" s="246">
        <v>5</v>
      </c>
      <c r="W76" s="246">
        <f>SUM(V062A_2030313334363537394041[[#This Row],[MPAL2]:[GI]])</f>
        <v>5</v>
      </c>
      <c r="X76" s="246"/>
      <c r="Y76" s="300">
        <f>(Y75-V062A_2030313334363537394041[[#This Row],[TOTAL]])+V062A_2030313334363537394041[[#This Row],[FAENA2]]</f>
        <v>66.899999999999991</v>
      </c>
      <c r="Z76" s="245">
        <v>0</v>
      </c>
      <c r="AA76" s="246">
        <v>0</v>
      </c>
      <c r="AB76" s="438">
        <f>(AB75-V062A_2030313334363537394041[[#This Row],[CYLINDER MP]])+V062A_2030313334363537394041[[#This Row],[FAENA EN LTS]]</f>
        <v>3050</v>
      </c>
      <c r="AC76" s="246">
        <v>0</v>
      </c>
      <c r="AD76" s="246">
        <v>0</v>
      </c>
      <c r="AE76" s="438">
        <f>(AE75-V062A_2030313334363537394041[[#This Row],[CARTER MP.]])+V062A_2030313334363537394041[[#This Row],[FAENA EN LTS2]]</f>
        <v>4000</v>
      </c>
      <c r="AF76" s="246">
        <v>0</v>
      </c>
      <c r="AG76" s="246">
        <v>0</v>
      </c>
      <c r="AH76" s="438">
        <f>(AH75-V062A_2030313334363537394041[[#This Row],[MOT AUX]])+V062A_2030313334363537394041[[#This Row],[FAENA EN  LTS]]</f>
        <v>3890</v>
      </c>
      <c r="AI76" s="246">
        <v>0</v>
      </c>
      <c r="AJ76" s="246">
        <v>0</v>
      </c>
      <c r="AK76" s="439">
        <f>(AK75-V062A_2030313334363537394041[[#This Row],[HIDRAULICO]])+V062A_2030313334363537394041[[#This Row],[FAENA EN LTS3]]</f>
        <v>2500</v>
      </c>
    </row>
    <row r="77" spans="1:37" x14ac:dyDescent="0.25">
      <c r="A77" s="431" t="s">
        <v>443</v>
      </c>
      <c r="B77" s="526">
        <v>44299</v>
      </c>
      <c r="C77" s="237">
        <v>0.33333333333333331</v>
      </c>
      <c r="D77" s="418">
        <f>IF(V062A_2030313334363537394041[[#This Row],[FECHA]]-B76=1,((V062A_2030313334363537394041[[#This Row],[HORA]]-C76)*24)+24,(V062A_2030313334363537394041[[#This Row],[HORA]]-C76)*24)</f>
        <v>3.6999999999999993</v>
      </c>
      <c r="E77" s="506" t="s">
        <v>49</v>
      </c>
      <c r="F77" s="29" t="s">
        <v>464</v>
      </c>
      <c r="G77" s="508"/>
      <c r="H77" s="509"/>
      <c r="I77" s="510"/>
      <c r="J77" s="511"/>
      <c r="K77" s="512"/>
      <c r="L77" s="245">
        <v>0</v>
      </c>
      <c r="M77" s="246">
        <v>0.24666666666666662</v>
      </c>
      <c r="N77" s="246">
        <v>0.92499999999999982</v>
      </c>
      <c r="O77" s="246">
        <f>SUM(V062A_2030313334363537394041[[#This Row],[MPAL]]+V062A_2030313334363537394041[[#This Row],[AUX.]]+V062A_2030313334363537394041[[#This Row],[CALDERA]])</f>
        <v>1.1716666666666664</v>
      </c>
      <c r="P77" s="319"/>
      <c r="Q77" s="270">
        <f>(Q76-V062A_2030313334363537394041[[#This Row],[TOTAL ]])+V062A_2030313334363537394041[[#This Row],[FAENA]]</f>
        <v>355.25416666666666</v>
      </c>
      <c r="R77" s="245">
        <v>0</v>
      </c>
      <c r="S77" s="246">
        <v>0</v>
      </c>
      <c r="T77" s="246">
        <v>0</v>
      </c>
      <c r="U77" s="246">
        <v>0</v>
      </c>
      <c r="V77" s="246">
        <v>0.5</v>
      </c>
      <c r="W77" s="246">
        <f>SUM(V062A_2030313334363537394041[[#This Row],[MPAL2]:[GI]])</f>
        <v>0.5</v>
      </c>
      <c r="X77" s="246"/>
      <c r="Y77" s="300">
        <f>(Y76-V062A_2030313334363537394041[[#This Row],[TOTAL]])+V062A_2030313334363537394041[[#This Row],[FAENA2]]</f>
        <v>66.399999999999991</v>
      </c>
      <c r="Z77" s="245">
        <v>0</v>
      </c>
      <c r="AA77" s="246">
        <v>0</v>
      </c>
      <c r="AB77" s="438">
        <f>(AB76-V062A_2030313334363537394041[[#This Row],[CYLINDER MP]])+V062A_2030313334363537394041[[#This Row],[FAENA EN LTS]]</f>
        <v>3050</v>
      </c>
      <c r="AC77" s="246">
        <v>0</v>
      </c>
      <c r="AD77" s="246">
        <v>0</v>
      </c>
      <c r="AE77" s="438">
        <f>(AE76-V062A_2030313334363537394041[[#This Row],[CARTER MP.]])+V062A_2030313334363537394041[[#This Row],[FAENA EN LTS2]]</f>
        <v>4000</v>
      </c>
      <c r="AF77" s="246">
        <v>20</v>
      </c>
      <c r="AG77" s="246">
        <v>0</v>
      </c>
      <c r="AH77" s="438">
        <f>(AH76-V062A_2030313334363537394041[[#This Row],[MOT AUX]])+V062A_2030313334363537394041[[#This Row],[FAENA EN  LTS]]</f>
        <v>3870</v>
      </c>
      <c r="AI77" s="246">
        <v>0</v>
      </c>
      <c r="AJ77" s="246">
        <v>0</v>
      </c>
      <c r="AK77" s="439">
        <f>(AK76-V062A_2030313334363537394041[[#This Row],[HIDRAULICO]])+V062A_2030313334363537394041[[#This Row],[FAENA EN LTS3]]</f>
        <v>2500</v>
      </c>
    </row>
    <row r="78" spans="1:37" x14ac:dyDescent="0.25">
      <c r="A78" s="431" t="s">
        <v>443</v>
      </c>
      <c r="B78" s="526">
        <v>44299</v>
      </c>
      <c r="C78" s="237">
        <v>0.33749999999999997</v>
      </c>
      <c r="D78" s="418">
        <f>IF(V062A_2030313334363537394041[[#This Row],[FECHA]]-B77=1,((V062A_2030313334363537394041[[#This Row],[HORA]]-C77)*24)+24,(V062A_2030313334363537394041[[#This Row],[HORA]]-C77)*24)</f>
        <v>9.9999999999999645E-2</v>
      </c>
      <c r="E78" s="506" t="s">
        <v>49</v>
      </c>
      <c r="F78" s="29" t="s">
        <v>46</v>
      </c>
      <c r="G78" s="508"/>
      <c r="H78" s="509"/>
      <c r="I78" s="510"/>
      <c r="J78" s="511"/>
      <c r="K78" s="512"/>
      <c r="L78" s="245">
        <v>0</v>
      </c>
      <c r="M78" s="246">
        <v>6.6666666666666428E-3</v>
      </c>
      <c r="N78" s="246">
        <v>2.4999999999999911E-2</v>
      </c>
      <c r="O78" s="246">
        <f>SUM(V062A_2030313334363537394041[[#This Row],[MPAL]]+V062A_2030313334363537394041[[#This Row],[AUX.]]+V062A_2030313334363537394041[[#This Row],[CALDERA]])</f>
        <v>3.1666666666666551E-2</v>
      </c>
      <c r="P78" s="319"/>
      <c r="Q78" s="270">
        <f>(Q77-V062A_2030313334363537394041[[#This Row],[TOTAL ]])+V062A_2030313334363537394041[[#This Row],[FAENA]]</f>
        <v>355.22249999999997</v>
      </c>
      <c r="R78" s="245">
        <v>0</v>
      </c>
      <c r="S78" s="246">
        <v>0</v>
      </c>
      <c r="T78" s="246">
        <v>0</v>
      </c>
      <c r="U78" s="246">
        <v>0</v>
      </c>
      <c r="V78" s="246">
        <v>0</v>
      </c>
      <c r="W78" s="246">
        <f>SUM(V062A_2030313334363537394041[[#This Row],[MPAL2]:[GI]])</f>
        <v>0</v>
      </c>
      <c r="X78" s="246"/>
      <c r="Y78" s="300">
        <f>(Y77-V062A_2030313334363537394041[[#This Row],[TOTAL]])+V062A_2030313334363537394041[[#This Row],[FAENA2]]</f>
        <v>66.399999999999991</v>
      </c>
      <c r="Z78" s="245">
        <v>0</v>
      </c>
      <c r="AA78" s="246">
        <v>0</v>
      </c>
      <c r="AB78" s="438">
        <f>(AB77-V062A_2030313334363537394041[[#This Row],[CYLINDER MP]])+V062A_2030313334363537394041[[#This Row],[FAENA EN LTS]]</f>
        <v>3050</v>
      </c>
      <c r="AC78" s="246">
        <v>0</v>
      </c>
      <c r="AD78" s="246">
        <v>0</v>
      </c>
      <c r="AE78" s="438">
        <f>(AE77-V062A_2030313334363537394041[[#This Row],[CARTER MP.]])+V062A_2030313334363537394041[[#This Row],[FAENA EN LTS2]]</f>
        <v>4000</v>
      </c>
      <c r="AF78" s="246">
        <v>0</v>
      </c>
      <c r="AG78" s="246">
        <v>0</v>
      </c>
      <c r="AH78" s="438">
        <f>(AH77-V062A_2030313334363537394041[[#This Row],[MOT AUX]])+V062A_2030313334363537394041[[#This Row],[FAENA EN  LTS]]</f>
        <v>3870</v>
      </c>
      <c r="AI78" s="246">
        <v>0</v>
      </c>
      <c r="AJ78" s="246">
        <v>0</v>
      </c>
      <c r="AK78" s="439">
        <f>(AK77-V062A_2030313334363537394041[[#This Row],[HIDRAULICO]])+V062A_2030313334363537394041[[#This Row],[FAENA EN LTS3]]</f>
        <v>2500</v>
      </c>
    </row>
    <row r="79" spans="1:37" x14ac:dyDescent="0.25">
      <c r="A79" s="431" t="s">
        <v>443</v>
      </c>
      <c r="B79" s="526">
        <v>44299</v>
      </c>
      <c r="C79" s="237">
        <v>0.375</v>
      </c>
      <c r="D79" s="418">
        <f>IF(V062A_2030313334363537394041[[#This Row],[FECHA]]-B78=1,((V062A_2030313334363537394041[[#This Row],[HORA]]-C78)*24)+24,(V062A_2030313334363537394041[[#This Row],[HORA]]-C78)*24)</f>
        <v>0.9000000000000008</v>
      </c>
      <c r="E79" s="506" t="s">
        <v>47</v>
      </c>
      <c r="F79" s="29" t="s">
        <v>465</v>
      </c>
      <c r="G79" s="508"/>
      <c r="H79" s="509"/>
      <c r="I79" s="510"/>
      <c r="J79" s="511"/>
      <c r="K79" s="512"/>
      <c r="L79" s="245">
        <v>0.18750000000000017</v>
      </c>
      <c r="M79" s="246">
        <v>6.0000000000000053E-2</v>
      </c>
      <c r="N79" s="246">
        <v>0.2250000000000002</v>
      </c>
      <c r="O79" s="246">
        <f>SUM(V062A_2030313334363537394041[[#This Row],[MPAL]]+V062A_2030313334363537394041[[#This Row],[AUX.]]+V062A_2030313334363537394041[[#This Row],[CALDERA]])</f>
        <v>0.47250000000000042</v>
      </c>
      <c r="P79" s="319"/>
      <c r="Q79" s="270">
        <f>(Q78-V062A_2030313334363537394041[[#This Row],[TOTAL ]])+V062A_2030313334363537394041[[#This Row],[FAENA]]</f>
        <v>354.74999999999994</v>
      </c>
      <c r="R79" s="245">
        <v>0</v>
      </c>
      <c r="S79" s="246">
        <v>0</v>
      </c>
      <c r="T79" s="246">
        <v>0</v>
      </c>
      <c r="U79" s="246">
        <v>0</v>
      </c>
      <c r="V79" s="246">
        <v>0</v>
      </c>
      <c r="W79" s="246">
        <f>SUM(V062A_2030313334363537394041[[#This Row],[MPAL2]:[GI]])</f>
        <v>0</v>
      </c>
      <c r="X79" s="246"/>
      <c r="Y79" s="300">
        <f>(Y78-V062A_2030313334363537394041[[#This Row],[TOTAL]])+V062A_2030313334363537394041[[#This Row],[FAENA2]]</f>
        <v>66.399999999999991</v>
      </c>
      <c r="Z79" s="245">
        <v>0</v>
      </c>
      <c r="AA79" s="246">
        <v>0</v>
      </c>
      <c r="AB79" s="438">
        <f>(AB78-V062A_2030313334363537394041[[#This Row],[CYLINDER MP]])+V062A_2030313334363537394041[[#This Row],[FAENA EN LTS]]</f>
        <v>3050</v>
      </c>
      <c r="AC79" s="246">
        <v>0</v>
      </c>
      <c r="AD79" s="246">
        <v>0</v>
      </c>
      <c r="AE79" s="438">
        <f>(AE78-V062A_2030313334363537394041[[#This Row],[CARTER MP.]])+V062A_2030313334363537394041[[#This Row],[FAENA EN LTS2]]</f>
        <v>4000</v>
      </c>
      <c r="AF79" s="246">
        <v>0</v>
      </c>
      <c r="AG79" s="246">
        <v>0</v>
      </c>
      <c r="AH79" s="438">
        <f>(AH78-V062A_2030313334363537394041[[#This Row],[MOT AUX]])+V062A_2030313334363537394041[[#This Row],[FAENA EN  LTS]]</f>
        <v>3870</v>
      </c>
      <c r="AI79" s="246">
        <v>0</v>
      </c>
      <c r="AJ79" s="246">
        <v>0</v>
      </c>
      <c r="AK79" s="439">
        <f>(AK78-V062A_2030313334363537394041[[#This Row],[HIDRAULICO]])+V062A_2030313334363537394041[[#This Row],[FAENA EN LTS3]]</f>
        <v>2500</v>
      </c>
    </row>
    <row r="80" spans="1:37" x14ac:dyDescent="0.25">
      <c r="A80" s="431" t="s">
        <v>443</v>
      </c>
      <c r="B80" s="526">
        <v>44300</v>
      </c>
      <c r="C80" s="237">
        <v>0.33333333333333331</v>
      </c>
      <c r="D80" s="418">
        <f>IF(V062A_2030313334363537394041[[#This Row],[FECHA]]-B79=1,((V062A_2030313334363537394041[[#This Row],[HORA]]-C79)*24)+24,(V062A_2030313334363537394041[[#This Row],[HORA]]-C79)*24)</f>
        <v>23</v>
      </c>
      <c r="E80" s="506" t="s">
        <v>55</v>
      </c>
      <c r="F80" s="29" t="s">
        <v>56</v>
      </c>
      <c r="G80" s="508"/>
      <c r="H80" s="509"/>
      <c r="I80" s="510"/>
      <c r="J80" s="511"/>
      <c r="K80" s="512">
        <v>97</v>
      </c>
      <c r="L80" s="245">
        <v>22.43</v>
      </c>
      <c r="M80" s="246">
        <v>1.53</v>
      </c>
      <c r="N80" s="246">
        <v>5.75</v>
      </c>
      <c r="O80" s="246">
        <f>SUM(V062A_2030313334363537394041[[#This Row],[MPAL]]+V062A_2030313334363537394041[[#This Row],[AUX.]]+V062A_2030313334363537394041[[#This Row],[CALDERA]])</f>
        <v>29.71</v>
      </c>
      <c r="P80" s="319"/>
      <c r="Q80" s="270">
        <f>(Q79-V062A_2030313334363537394041[[#This Row],[TOTAL ]])+V062A_2030313334363537394041[[#This Row],[FAENA]]</f>
        <v>325.03999999999996</v>
      </c>
      <c r="R80" s="245">
        <v>0</v>
      </c>
      <c r="S80" s="246">
        <v>0</v>
      </c>
      <c r="T80" s="246">
        <v>0</v>
      </c>
      <c r="U80" s="246">
        <v>0</v>
      </c>
      <c r="V80" s="246">
        <v>0</v>
      </c>
      <c r="W80" s="246">
        <f>SUM(V062A_2030313334363537394041[[#This Row],[MPAL2]:[GI]])</f>
        <v>0</v>
      </c>
      <c r="X80" s="246"/>
      <c r="Y80" s="300">
        <f>(Y79-V062A_2030313334363537394041[[#This Row],[TOTAL]])+V062A_2030313334363537394041[[#This Row],[FAENA2]]</f>
        <v>66.399999999999991</v>
      </c>
      <c r="Z80" s="245">
        <v>230</v>
      </c>
      <c r="AA80" s="246">
        <v>0</v>
      </c>
      <c r="AB80" s="438">
        <f>(AB79-V062A_2030313334363537394041[[#This Row],[CYLINDER MP]])+V062A_2030313334363537394041[[#This Row],[FAENA EN LTS]]</f>
        <v>2820</v>
      </c>
      <c r="AC80" s="246">
        <v>0</v>
      </c>
      <c r="AD80" s="246">
        <v>0</v>
      </c>
      <c r="AE80" s="438">
        <f>(AE79-V062A_2030313334363537394041[[#This Row],[CARTER MP.]])+V062A_2030313334363537394041[[#This Row],[FAENA EN LTS2]]</f>
        <v>4000</v>
      </c>
      <c r="AF80" s="246">
        <v>20</v>
      </c>
      <c r="AG80" s="246">
        <v>0</v>
      </c>
      <c r="AH80" s="438">
        <f>(AH79-V062A_2030313334363537394041[[#This Row],[MOT AUX]])+V062A_2030313334363537394041[[#This Row],[FAENA EN  LTS]]</f>
        <v>3850</v>
      </c>
      <c r="AI80" s="246">
        <v>0</v>
      </c>
      <c r="AJ80" s="246">
        <v>0</v>
      </c>
      <c r="AK80" s="439">
        <f>(AK79-V062A_2030313334363537394041[[#This Row],[HIDRAULICO]])+V062A_2030313334363537394041[[#This Row],[FAENA EN LTS3]]</f>
        <v>2500</v>
      </c>
    </row>
    <row r="81" spans="1:37" x14ac:dyDescent="0.25">
      <c r="A81" s="431" t="s">
        <v>443</v>
      </c>
      <c r="B81" s="526">
        <v>44300</v>
      </c>
      <c r="C81" s="237">
        <v>0.83333333333333337</v>
      </c>
      <c r="D81" s="418">
        <f>IF(V062A_2030313334363537394041[[#This Row],[FECHA]]-B80=1,((V062A_2030313334363537394041[[#This Row],[HORA]]-C80)*24)+24,(V062A_2030313334363537394041[[#This Row],[HORA]]-C80)*24)</f>
        <v>12</v>
      </c>
      <c r="E81" s="506" t="s">
        <v>55</v>
      </c>
      <c r="F81" s="29" t="s">
        <v>62</v>
      </c>
      <c r="G81" s="508"/>
      <c r="H81" s="509"/>
      <c r="I81" s="510"/>
      <c r="J81" s="511"/>
      <c r="K81" s="512"/>
      <c r="L81" s="245">
        <v>11.7</v>
      </c>
      <c r="M81" s="246">
        <v>0.8</v>
      </c>
      <c r="N81" s="246">
        <v>2.25</v>
      </c>
      <c r="O81" s="246">
        <f>SUM(V062A_2030313334363537394041[[#This Row],[MPAL]]+V062A_2030313334363537394041[[#This Row],[AUX.]]+V062A_2030313334363537394041[[#This Row],[CALDERA]])</f>
        <v>14.75</v>
      </c>
      <c r="P81" s="319"/>
      <c r="Q81" s="270">
        <f>(Q80-V062A_2030313334363537394041[[#This Row],[TOTAL ]])+V062A_2030313334363537394041[[#This Row],[FAENA]]</f>
        <v>310.28999999999996</v>
      </c>
      <c r="R81" s="245">
        <v>0</v>
      </c>
      <c r="S81" s="246">
        <v>0</v>
      </c>
      <c r="T81" s="246">
        <v>0</v>
      </c>
      <c r="U81" s="246">
        <v>0</v>
      </c>
      <c r="V81" s="246">
        <v>0</v>
      </c>
      <c r="W81" s="246">
        <f>SUM(V062A_2030313334363537394041[[#This Row],[MPAL2]:[GI]])</f>
        <v>0</v>
      </c>
      <c r="X81" s="246"/>
      <c r="Y81" s="300">
        <f>(Y80-V062A_2030313334363537394041[[#This Row],[TOTAL]])+V062A_2030313334363537394041[[#This Row],[FAENA2]]</f>
        <v>66.399999999999991</v>
      </c>
      <c r="Z81" s="245">
        <v>120</v>
      </c>
      <c r="AA81" s="246">
        <v>0</v>
      </c>
      <c r="AB81" s="438">
        <f>(AB80-V062A_2030313334363537394041[[#This Row],[CYLINDER MP]])+V062A_2030313334363537394041[[#This Row],[FAENA EN LTS]]</f>
        <v>2700</v>
      </c>
      <c r="AC81" s="246">
        <v>0</v>
      </c>
      <c r="AD81" s="246">
        <v>0</v>
      </c>
      <c r="AE81" s="438">
        <f>(AE80-V062A_2030313334363537394041[[#This Row],[CARTER MP.]])+V062A_2030313334363537394041[[#This Row],[FAENA EN LTS2]]</f>
        <v>4000</v>
      </c>
      <c r="AF81" s="246">
        <v>0</v>
      </c>
      <c r="AG81" s="246">
        <v>0</v>
      </c>
      <c r="AH81" s="438">
        <f>(AH80-V062A_2030313334363537394041[[#This Row],[MOT AUX]])+V062A_2030313334363537394041[[#This Row],[FAENA EN  LTS]]</f>
        <v>3850</v>
      </c>
      <c r="AI81" s="246">
        <v>0</v>
      </c>
      <c r="AJ81" s="246">
        <v>0</v>
      </c>
      <c r="AK81" s="439">
        <f>(AK80-V062A_2030313334363537394041[[#This Row],[HIDRAULICO]])+V062A_2030313334363537394041[[#This Row],[FAENA EN LTS3]]</f>
        <v>2500</v>
      </c>
    </row>
    <row r="82" spans="1:37" x14ac:dyDescent="0.25">
      <c r="A82" s="431" t="s">
        <v>443</v>
      </c>
      <c r="B82" s="526">
        <v>44300</v>
      </c>
      <c r="C82" s="237">
        <v>0.87083333333333324</v>
      </c>
      <c r="D82" s="418">
        <f>IF(V062A_2030313334363537394041[[#This Row],[FECHA]]-B81=1,((V062A_2030313334363537394041[[#This Row],[HORA]]-C81)*24)+24,(V062A_2030313334363537394041[[#This Row],[HORA]]-C81)*24)</f>
        <v>0.8999999999999968</v>
      </c>
      <c r="E82" s="506" t="s">
        <v>47</v>
      </c>
      <c r="F82" s="29" t="s">
        <v>468</v>
      </c>
      <c r="G82" s="508"/>
      <c r="H82" s="509"/>
      <c r="I82" s="510"/>
      <c r="J82" s="511"/>
      <c r="K82" s="512"/>
      <c r="L82" s="245">
        <v>0.11</v>
      </c>
      <c r="M82" s="246">
        <v>0.06</v>
      </c>
      <c r="N82" s="246">
        <v>0.22</v>
      </c>
      <c r="O82" s="246">
        <f>SUM(V062A_2030313334363537394041[[#This Row],[MPAL]]+V062A_2030313334363537394041[[#This Row],[AUX.]]+V062A_2030313334363537394041[[#This Row],[CALDERA]])</f>
        <v>0.39</v>
      </c>
      <c r="P82" s="319"/>
      <c r="Q82" s="270">
        <f>(Q81-V062A_2030313334363537394041[[#This Row],[TOTAL ]])+V062A_2030313334363537394041[[#This Row],[FAENA]]</f>
        <v>309.89999999999998</v>
      </c>
      <c r="R82" s="245">
        <v>0</v>
      </c>
      <c r="S82" s="246">
        <v>0</v>
      </c>
      <c r="T82" s="246">
        <v>0</v>
      </c>
      <c r="U82" s="246">
        <v>0</v>
      </c>
      <c r="V82" s="246">
        <v>0</v>
      </c>
      <c r="W82" s="246">
        <f>SUM(V062A_2030313334363537394041[[#This Row],[MPAL2]:[GI]])</f>
        <v>0</v>
      </c>
      <c r="X82" s="246"/>
      <c r="Y82" s="300">
        <f>(Y81-V062A_2030313334363537394041[[#This Row],[TOTAL]])+V062A_2030313334363537394041[[#This Row],[FAENA2]]</f>
        <v>66.399999999999991</v>
      </c>
      <c r="Z82" s="245">
        <v>0</v>
      </c>
      <c r="AA82" s="246">
        <v>0</v>
      </c>
      <c r="AB82" s="438">
        <f>(AB81-V062A_2030313334363537394041[[#This Row],[CYLINDER MP]])+V062A_2030313334363537394041[[#This Row],[FAENA EN LTS]]</f>
        <v>2700</v>
      </c>
      <c r="AC82" s="246">
        <v>0</v>
      </c>
      <c r="AD82" s="246">
        <v>0</v>
      </c>
      <c r="AE82" s="438">
        <f>(AE81-V062A_2030313334363537394041[[#This Row],[CARTER MP.]])+V062A_2030313334363537394041[[#This Row],[FAENA EN LTS2]]</f>
        <v>4000</v>
      </c>
      <c r="AF82" s="246">
        <v>0</v>
      </c>
      <c r="AG82" s="246">
        <v>0</v>
      </c>
      <c r="AH82" s="438">
        <f>(AH81-V062A_2030313334363537394041[[#This Row],[MOT AUX]])+V062A_2030313334363537394041[[#This Row],[FAENA EN  LTS]]</f>
        <v>3850</v>
      </c>
      <c r="AI82" s="246">
        <v>0</v>
      </c>
      <c r="AJ82" s="246">
        <v>0</v>
      </c>
      <c r="AK82" s="439">
        <f>(AK81-V062A_2030313334363537394041[[#This Row],[HIDRAULICO]])+V062A_2030313334363537394041[[#This Row],[FAENA EN LTS3]]</f>
        <v>2500</v>
      </c>
    </row>
    <row r="83" spans="1:37" x14ac:dyDescent="0.25">
      <c r="A83" s="431" t="s">
        <v>443</v>
      </c>
      <c r="B83" s="526">
        <v>44301</v>
      </c>
      <c r="C83" s="237">
        <v>0.33333333333333331</v>
      </c>
      <c r="D83" s="418">
        <f>IF(V062A_2030313334363537394041[[#This Row],[FECHA]]-B82=1,((V062A_2030313334363537394041[[#This Row],[HORA]]-C82)*24)+24,(V062A_2030313334363537394041[[#This Row],[HORA]]-C82)*24)</f>
        <v>11.100000000000003</v>
      </c>
      <c r="E83" s="506" t="s">
        <v>45</v>
      </c>
      <c r="F83" s="29" t="s">
        <v>467</v>
      </c>
      <c r="G83" s="508"/>
      <c r="H83" s="509"/>
      <c r="I83" s="510"/>
      <c r="J83" s="511"/>
      <c r="K83" s="512"/>
      <c r="L83" s="245">
        <v>0</v>
      </c>
      <c r="M83" s="246">
        <v>0.74</v>
      </c>
      <c r="N83" s="246">
        <v>2.78</v>
      </c>
      <c r="O83" s="246">
        <f>SUM(V062A_2030313334363537394041[[#This Row],[MPAL]]+V062A_2030313334363537394041[[#This Row],[AUX.]]+V062A_2030313334363537394041[[#This Row],[CALDERA]])</f>
        <v>3.5199999999999996</v>
      </c>
      <c r="P83" s="319"/>
      <c r="Q83" s="270">
        <f>(Q82-V062A_2030313334363537394041[[#This Row],[TOTAL ]])+V062A_2030313334363537394041[[#This Row],[FAENA]]</f>
        <v>306.38</v>
      </c>
      <c r="R83" s="245">
        <v>0</v>
      </c>
      <c r="S83" s="246">
        <v>0</v>
      </c>
      <c r="T83" s="246">
        <v>0</v>
      </c>
      <c r="U83" s="246">
        <v>0</v>
      </c>
      <c r="V83" s="246">
        <v>0</v>
      </c>
      <c r="W83" s="246">
        <f>SUM(V062A_2030313334363537394041[[#This Row],[MPAL2]:[GI]])</f>
        <v>0</v>
      </c>
      <c r="X83" s="246"/>
      <c r="Y83" s="300">
        <f>(Y82-V062A_2030313334363537394041[[#This Row],[TOTAL]])+V062A_2030313334363537394041[[#This Row],[FAENA2]]</f>
        <v>66.399999999999991</v>
      </c>
      <c r="Z83" s="245">
        <v>0</v>
      </c>
      <c r="AA83" s="246">
        <v>0</v>
      </c>
      <c r="AB83" s="438">
        <f>(AB82-V062A_2030313334363537394041[[#This Row],[CYLINDER MP]])+V062A_2030313334363537394041[[#This Row],[FAENA EN LTS]]</f>
        <v>2700</v>
      </c>
      <c r="AC83" s="246">
        <v>0</v>
      </c>
      <c r="AD83" s="246">
        <v>0</v>
      </c>
      <c r="AE83" s="438">
        <f>(AE82-V062A_2030313334363537394041[[#This Row],[CARTER MP.]])+V062A_2030313334363537394041[[#This Row],[FAENA EN LTS2]]</f>
        <v>4000</v>
      </c>
      <c r="AF83" s="246">
        <v>20</v>
      </c>
      <c r="AG83" s="246">
        <v>0</v>
      </c>
      <c r="AH83" s="438">
        <f>(AH82-V062A_2030313334363537394041[[#This Row],[MOT AUX]])+V062A_2030313334363537394041[[#This Row],[FAENA EN  LTS]]</f>
        <v>3830</v>
      </c>
      <c r="AI83" s="246">
        <v>0</v>
      </c>
      <c r="AJ83" s="246">
        <v>0</v>
      </c>
      <c r="AK83" s="439">
        <f>(AK82-V062A_2030313334363537394041[[#This Row],[HIDRAULICO]])+V062A_2030313334363537394041[[#This Row],[FAENA EN LTS3]]</f>
        <v>2500</v>
      </c>
    </row>
    <row r="84" spans="1:37" x14ac:dyDescent="0.25">
      <c r="A84" s="431" t="s">
        <v>443</v>
      </c>
      <c r="B84" s="526">
        <v>44302</v>
      </c>
      <c r="C84" s="237">
        <v>0.33333333333333331</v>
      </c>
      <c r="D84" s="418">
        <f>IF(V062A_2030313334363537394041[[#This Row],[FECHA]]-B83=1,((V062A_2030313334363537394041[[#This Row],[HORA]]-C83)*24)+24,(V062A_2030313334363537394041[[#This Row],[HORA]]-C83)*24)</f>
        <v>24</v>
      </c>
      <c r="E84" s="506" t="s">
        <v>45</v>
      </c>
      <c r="F84" s="29" t="s">
        <v>467</v>
      </c>
      <c r="G84" s="508"/>
      <c r="H84" s="509"/>
      <c r="I84" s="510"/>
      <c r="J84" s="511"/>
      <c r="K84" s="512"/>
      <c r="L84" s="245">
        <v>0</v>
      </c>
      <c r="M84" s="246">
        <v>1.6</v>
      </c>
      <c r="N84" s="246">
        <v>6</v>
      </c>
      <c r="O84" s="246">
        <f>SUM(V062A_2030313334363537394041[[#This Row],[MPAL]]+V062A_2030313334363537394041[[#This Row],[AUX.]]+V062A_2030313334363537394041[[#This Row],[CALDERA]])</f>
        <v>7.6</v>
      </c>
      <c r="P84" s="319"/>
      <c r="Q84" s="270">
        <f>(Q83-V062A_2030313334363537394041[[#This Row],[TOTAL ]])+V062A_2030313334363537394041[[#This Row],[FAENA]]</f>
        <v>298.77999999999997</v>
      </c>
      <c r="R84" s="245">
        <v>0</v>
      </c>
      <c r="S84" s="245">
        <v>0</v>
      </c>
      <c r="T84" s="245">
        <v>0</v>
      </c>
      <c r="U84" s="245">
        <v>0</v>
      </c>
      <c r="V84" s="246">
        <v>2.5</v>
      </c>
      <c r="W84" s="246">
        <f>SUM(V062A_2030313334363537394041[[#This Row],[MPAL2]:[GI]])</f>
        <v>2.5</v>
      </c>
      <c r="X84" s="246"/>
      <c r="Y84" s="300">
        <f>(Y83-V062A_2030313334363537394041[[#This Row],[TOTAL]])+V062A_2030313334363537394041[[#This Row],[FAENA2]]</f>
        <v>63.899999999999991</v>
      </c>
      <c r="Z84" s="245">
        <v>0</v>
      </c>
      <c r="AA84" s="246">
        <v>0</v>
      </c>
      <c r="AB84" s="438">
        <f>(AB83-V062A_2030313334363537394041[[#This Row],[CYLINDER MP]])+V062A_2030313334363537394041[[#This Row],[FAENA EN LTS]]</f>
        <v>2700</v>
      </c>
      <c r="AC84" s="246">
        <v>0</v>
      </c>
      <c r="AD84" s="246">
        <v>0</v>
      </c>
      <c r="AE84" s="438">
        <f>(AE83-V062A_2030313334363537394041[[#This Row],[CARTER MP.]])+V062A_2030313334363537394041[[#This Row],[FAENA EN LTS2]]</f>
        <v>4000</v>
      </c>
      <c r="AF84" s="246">
        <v>0</v>
      </c>
      <c r="AG84" s="246">
        <v>0</v>
      </c>
      <c r="AH84" s="438">
        <f>(AH83-V062A_2030313334363537394041[[#This Row],[MOT AUX]])+V062A_2030313334363537394041[[#This Row],[FAENA EN  LTS]]</f>
        <v>3830</v>
      </c>
      <c r="AI84" s="246">
        <v>0</v>
      </c>
      <c r="AJ84" s="246">
        <v>0</v>
      </c>
      <c r="AK84" s="439">
        <f>(AK83-V062A_2030313334363537394041[[#This Row],[HIDRAULICO]])+V062A_2030313334363537394041[[#This Row],[FAENA EN LTS3]]</f>
        <v>2500</v>
      </c>
    </row>
    <row r="85" spans="1:37" x14ac:dyDescent="0.25">
      <c r="A85" s="431" t="s">
        <v>443</v>
      </c>
      <c r="B85" s="526">
        <v>44303</v>
      </c>
      <c r="C85" s="237">
        <v>0.33333333333333331</v>
      </c>
      <c r="D85" s="418">
        <f>IF(V062A_2030313334363537394041[[#This Row],[FECHA]]-B84=1,((V062A_2030313334363537394041[[#This Row],[HORA]]-C84)*24)+24,(V062A_2030313334363537394041[[#This Row],[HORA]]-C84)*24)</f>
        <v>24</v>
      </c>
      <c r="E85" s="506" t="s">
        <v>45</v>
      </c>
      <c r="F85" s="29" t="s">
        <v>467</v>
      </c>
      <c r="G85" s="508"/>
      <c r="H85" s="509"/>
      <c r="I85" s="510"/>
      <c r="J85" s="511"/>
      <c r="K85" s="512"/>
      <c r="L85" s="245">
        <v>0</v>
      </c>
      <c r="M85" s="246">
        <v>1.6</v>
      </c>
      <c r="N85" s="246">
        <v>3</v>
      </c>
      <c r="O85" s="246">
        <f>SUM(V062A_2030313334363537394041[[#This Row],[MPAL]]+V062A_2030313334363537394041[[#This Row],[AUX.]]+V062A_2030313334363537394041[[#This Row],[CALDERA]])</f>
        <v>4.5999999999999996</v>
      </c>
      <c r="P85" s="319"/>
      <c r="Q85" s="270">
        <f>(Q84-V062A_2030313334363537394041[[#This Row],[TOTAL ]])+V062A_2030313334363537394041[[#This Row],[FAENA]]</f>
        <v>294.17999999999995</v>
      </c>
      <c r="R85" s="245">
        <v>0</v>
      </c>
      <c r="S85" s="246">
        <v>0</v>
      </c>
      <c r="T85" s="246">
        <v>0</v>
      </c>
      <c r="U85" s="246">
        <v>0</v>
      </c>
      <c r="V85" s="246">
        <v>0</v>
      </c>
      <c r="W85" s="246">
        <f>SUM(V062A_2030313334363537394041[[#This Row],[MPAL2]:[GI]])</f>
        <v>0</v>
      </c>
      <c r="X85" s="246"/>
      <c r="Y85" s="300">
        <f>(Y84-V062A_2030313334363537394041[[#This Row],[TOTAL]])+V062A_2030313334363537394041[[#This Row],[FAENA2]]</f>
        <v>63.899999999999991</v>
      </c>
      <c r="Z85" s="245">
        <v>0</v>
      </c>
      <c r="AA85" s="246">
        <v>0</v>
      </c>
      <c r="AB85" s="438">
        <f>(AB84-V062A_2030313334363537394041[[#This Row],[CYLINDER MP]])+V062A_2030313334363537394041[[#This Row],[FAENA EN LTS]]</f>
        <v>2700</v>
      </c>
      <c r="AC85" s="246">
        <v>0</v>
      </c>
      <c r="AD85" s="246">
        <v>0</v>
      </c>
      <c r="AE85" s="438">
        <f>(AE84-V062A_2030313334363537394041[[#This Row],[CARTER MP.]])+V062A_2030313334363537394041[[#This Row],[FAENA EN LTS2]]</f>
        <v>4000</v>
      </c>
      <c r="AF85" s="246">
        <v>0</v>
      </c>
      <c r="AG85" s="246">
        <v>0</v>
      </c>
      <c r="AH85" s="438">
        <f>(AH84-V062A_2030313334363537394041[[#This Row],[MOT AUX]])+V062A_2030313334363537394041[[#This Row],[FAENA EN  LTS]]</f>
        <v>3830</v>
      </c>
      <c r="AI85" s="246">
        <v>0</v>
      </c>
      <c r="AJ85" s="246">
        <v>0</v>
      </c>
      <c r="AK85" s="439">
        <f>(AK84-V062A_2030313334363537394041[[#This Row],[HIDRAULICO]])+V062A_2030313334363537394041[[#This Row],[FAENA EN LTS3]]</f>
        <v>2500</v>
      </c>
    </row>
    <row r="86" spans="1:37" x14ac:dyDescent="0.25">
      <c r="A86" s="431" t="s">
        <v>443</v>
      </c>
      <c r="B86" s="526">
        <v>44304</v>
      </c>
      <c r="C86" s="237">
        <v>0.33333333333333331</v>
      </c>
      <c r="D86" s="418">
        <f>IF(V062A_2030313334363537394041[[#This Row],[FECHA]]-B85=1,((V062A_2030313334363537394041[[#This Row],[HORA]]-C85)*24)+24,(V062A_2030313334363537394041[[#This Row],[HORA]]-C85)*24)</f>
        <v>24</v>
      </c>
      <c r="E86" s="506" t="s">
        <v>45</v>
      </c>
      <c r="F86" s="29" t="s">
        <v>467</v>
      </c>
      <c r="G86" s="508"/>
      <c r="H86" s="509"/>
      <c r="I86" s="510"/>
      <c r="J86" s="511"/>
      <c r="K86" s="512"/>
      <c r="L86" s="245">
        <v>0</v>
      </c>
      <c r="M86" s="246">
        <v>1.6</v>
      </c>
      <c r="N86" s="246">
        <v>3</v>
      </c>
      <c r="O86" s="246">
        <f>SUM(V062A_2030313334363537394041[[#This Row],[MPAL]]+V062A_2030313334363537394041[[#This Row],[AUX.]]+V062A_2030313334363537394041[[#This Row],[CALDERA]])</f>
        <v>4.5999999999999996</v>
      </c>
      <c r="P86" s="319"/>
      <c r="Q86" s="270">
        <f>(Q85-V062A_2030313334363537394041[[#This Row],[TOTAL ]])+V062A_2030313334363537394041[[#This Row],[FAENA]]</f>
        <v>289.57999999999993</v>
      </c>
      <c r="R86" s="245">
        <v>0</v>
      </c>
      <c r="S86" s="246">
        <v>0</v>
      </c>
      <c r="T86" s="246">
        <v>0</v>
      </c>
      <c r="U86" s="246">
        <v>0</v>
      </c>
      <c r="V86" s="246">
        <v>0</v>
      </c>
      <c r="W86" s="246">
        <f>SUM(V062A_2030313334363537394041[[#This Row],[MPAL2]:[GI]])</f>
        <v>0</v>
      </c>
      <c r="X86" s="246"/>
      <c r="Y86" s="300">
        <f>(Y85-V062A_2030313334363537394041[[#This Row],[TOTAL]])+V062A_2030313334363537394041[[#This Row],[FAENA2]]</f>
        <v>63.899999999999991</v>
      </c>
      <c r="Z86" s="245">
        <v>0</v>
      </c>
      <c r="AA86" s="246">
        <v>0</v>
      </c>
      <c r="AB86" s="438">
        <f>(AB85-V062A_2030313334363537394041[[#This Row],[CYLINDER MP]])+V062A_2030313334363537394041[[#This Row],[FAENA EN LTS]]</f>
        <v>2700</v>
      </c>
      <c r="AC86" s="246">
        <v>0</v>
      </c>
      <c r="AD86" s="246">
        <v>0</v>
      </c>
      <c r="AE86" s="438">
        <f>(AE85-V062A_2030313334363537394041[[#This Row],[CARTER MP.]])+V062A_2030313334363537394041[[#This Row],[FAENA EN LTS2]]</f>
        <v>4000</v>
      </c>
      <c r="AF86" s="246">
        <v>0</v>
      </c>
      <c r="AG86" s="246">
        <v>0</v>
      </c>
      <c r="AH86" s="438">
        <f>(AH85-V062A_2030313334363537394041[[#This Row],[MOT AUX]])+V062A_2030313334363537394041[[#This Row],[FAENA EN  LTS]]</f>
        <v>3830</v>
      </c>
      <c r="AI86" s="246">
        <v>0</v>
      </c>
      <c r="AJ86" s="246">
        <v>0</v>
      </c>
      <c r="AK86" s="439">
        <f>(AK85-V062A_2030313334363537394041[[#This Row],[HIDRAULICO]])+V062A_2030313334363537394041[[#This Row],[FAENA EN LTS3]]</f>
        <v>2500</v>
      </c>
    </row>
    <row r="87" spans="1:37" x14ac:dyDescent="0.25">
      <c r="A87" s="431" t="s">
        <v>443</v>
      </c>
      <c r="B87" s="526">
        <v>44304</v>
      </c>
      <c r="C87" s="237">
        <v>0.73749999999999993</v>
      </c>
      <c r="D87" s="418">
        <f>IF(V062A_2030313334363537394041[[#This Row],[FECHA]]-B86=1,((V062A_2030313334363537394041[[#This Row],[HORA]]-C86)*24)+24,(V062A_2030313334363537394041[[#This Row],[HORA]]-C86)*24)</f>
        <v>9.6999999999999993</v>
      </c>
      <c r="E87" s="506" t="s">
        <v>49</v>
      </c>
      <c r="F87" s="29" t="s">
        <v>46</v>
      </c>
      <c r="G87" s="508"/>
      <c r="H87" s="509"/>
      <c r="I87" s="510"/>
      <c r="J87" s="511"/>
      <c r="K87" s="512"/>
      <c r="L87" s="245">
        <v>0</v>
      </c>
      <c r="M87" s="246">
        <v>0.65</v>
      </c>
      <c r="N87" s="246">
        <v>0.98</v>
      </c>
      <c r="O87" s="246">
        <f>SUM(V062A_2030313334363537394041[[#This Row],[MPAL]]+V062A_2030313334363537394041[[#This Row],[AUX.]]+V062A_2030313334363537394041[[#This Row],[CALDERA]])</f>
        <v>1.63</v>
      </c>
      <c r="P87" s="319"/>
      <c r="Q87" s="270">
        <f>(Q86-V062A_2030313334363537394041[[#This Row],[TOTAL ]])+V062A_2030313334363537394041[[#This Row],[FAENA]]</f>
        <v>287.94999999999993</v>
      </c>
      <c r="R87" s="245">
        <v>0</v>
      </c>
      <c r="S87" s="246">
        <v>0</v>
      </c>
      <c r="T87" s="246">
        <v>0</v>
      </c>
      <c r="U87" s="246">
        <v>0</v>
      </c>
      <c r="V87" s="246">
        <v>0</v>
      </c>
      <c r="W87" s="246">
        <f>SUM(V062A_2030313334363537394041[[#This Row],[MPAL2]:[GI]])</f>
        <v>0</v>
      </c>
      <c r="X87" s="246"/>
      <c r="Y87" s="300">
        <f>(Y86-V062A_2030313334363537394041[[#This Row],[TOTAL]])+V062A_2030313334363537394041[[#This Row],[FAENA2]]</f>
        <v>63.899999999999991</v>
      </c>
      <c r="Z87" s="245">
        <v>0</v>
      </c>
      <c r="AA87" s="246">
        <v>0</v>
      </c>
      <c r="AB87" s="438">
        <f>(AB86-V062A_2030313334363537394041[[#This Row],[CYLINDER MP]])+V062A_2030313334363537394041[[#This Row],[FAENA EN LTS]]</f>
        <v>2700</v>
      </c>
      <c r="AC87" s="246">
        <v>0</v>
      </c>
      <c r="AD87" s="246">
        <v>0</v>
      </c>
      <c r="AE87" s="438">
        <f>(AE86-V062A_2030313334363537394041[[#This Row],[CARTER MP.]])+V062A_2030313334363537394041[[#This Row],[FAENA EN LTS2]]</f>
        <v>4000</v>
      </c>
      <c r="AF87" s="246">
        <v>0</v>
      </c>
      <c r="AG87" s="246">
        <v>0</v>
      </c>
      <c r="AH87" s="438">
        <f>(AH86-V062A_2030313334363537394041[[#This Row],[MOT AUX]])+V062A_2030313334363537394041[[#This Row],[FAENA EN  LTS]]</f>
        <v>3830</v>
      </c>
      <c r="AI87" s="246">
        <v>0</v>
      </c>
      <c r="AJ87" s="246">
        <v>0</v>
      </c>
      <c r="AK87" s="439">
        <f>(AK86-V062A_2030313334363537394041[[#This Row],[HIDRAULICO]])+V062A_2030313334363537394041[[#This Row],[FAENA EN LTS3]]</f>
        <v>2500</v>
      </c>
    </row>
    <row r="88" spans="1:37" x14ac:dyDescent="0.25">
      <c r="A88" s="431" t="s">
        <v>443</v>
      </c>
      <c r="B88" s="526">
        <v>44304</v>
      </c>
      <c r="C88" s="237">
        <v>0.83750000000000002</v>
      </c>
      <c r="D88" s="418">
        <f>IF(V062A_2030313334363537394041[[#This Row],[FECHA]]-B87=1,((V062A_2030313334363537394041[[#This Row],[HORA]]-C87)*24)+24,(V062A_2030313334363537394041[[#This Row],[HORA]]-C87)*24)</f>
        <v>2.4000000000000021</v>
      </c>
      <c r="E88" s="506" t="s">
        <v>47</v>
      </c>
      <c r="F88" s="29" t="s">
        <v>469</v>
      </c>
      <c r="G88" s="508"/>
      <c r="H88" s="509"/>
      <c r="I88" s="510"/>
      <c r="J88" s="511"/>
      <c r="K88" s="512"/>
      <c r="L88" s="245">
        <v>0.5</v>
      </c>
      <c r="M88" s="246">
        <v>0.16</v>
      </c>
      <c r="N88" s="246">
        <v>0.1</v>
      </c>
      <c r="O88" s="246">
        <f>SUM(V062A_2030313334363537394041[[#This Row],[MPAL]]+V062A_2030313334363537394041[[#This Row],[AUX.]]+V062A_2030313334363537394041[[#This Row],[CALDERA]])</f>
        <v>0.76</v>
      </c>
      <c r="P88" s="319"/>
      <c r="Q88" s="270">
        <f>(Q87-V062A_2030313334363537394041[[#This Row],[TOTAL ]])+V062A_2030313334363537394041[[#This Row],[FAENA]]</f>
        <v>287.18999999999994</v>
      </c>
      <c r="R88" s="245">
        <v>0</v>
      </c>
      <c r="S88" s="246">
        <v>0</v>
      </c>
      <c r="T88" s="246">
        <v>0</v>
      </c>
      <c r="U88" s="246">
        <v>0</v>
      </c>
      <c r="V88" s="246">
        <v>0</v>
      </c>
      <c r="W88" s="246">
        <f>SUM(V062A_2030313334363537394041[[#This Row],[MPAL2]:[GI]])</f>
        <v>0</v>
      </c>
      <c r="X88" s="246"/>
      <c r="Y88" s="300">
        <f>(Y87-V062A_2030313334363537394041[[#This Row],[TOTAL]])+V062A_2030313334363537394041[[#This Row],[FAENA2]]</f>
        <v>63.899999999999991</v>
      </c>
      <c r="Z88" s="245">
        <v>0</v>
      </c>
      <c r="AA88" s="246">
        <v>0</v>
      </c>
      <c r="AB88" s="438">
        <f>(AB87-V062A_2030313334363537394041[[#This Row],[CYLINDER MP]])+V062A_2030313334363537394041[[#This Row],[FAENA EN LTS]]</f>
        <v>2700</v>
      </c>
      <c r="AC88" s="246">
        <v>0</v>
      </c>
      <c r="AD88" s="246">
        <v>0</v>
      </c>
      <c r="AE88" s="438">
        <f>(AE87-V062A_2030313334363537394041[[#This Row],[CARTER MP.]])+V062A_2030313334363537394041[[#This Row],[FAENA EN LTS2]]</f>
        <v>4000</v>
      </c>
      <c r="AF88" s="246">
        <v>0</v>
      </c>
      <c r="AG88" s="246">
        <v>0</v>
      </c>
      <c r="AH88" s="438">
        <f>(AH87-V062A_2030313334363537394041[[#This Row],[MOT AUX]])+V062A_2030313334363537394041[[#This Row],[FAENA EN  LTS]]</f>
        <v>3830</v>
      </c>
      <c r="AI88" s="246">
        <v>0</v>
      </c>
      <c r="AJ88" s="246">
        <v>0</v>
      </c>
      <c r="AK88" s="439">
        <f>(AK87-V062A_2030313334363537394041[[#This Row],[HIDRAULICO]])+V062A_2030313334363537394041[[#This Row],[FAENA EN LTS3]]</f>
        <v>2500</v>
      </c>
    </row>
    <row r="89" spans="1:37" x14ac:dyDescent="0.25">
      <c r="A89" s="431" t="s">
        <v>443</v>
      </c>
      <c r="B89" s="526">
        <v>44304</v>
      </c>
      <c r="C89" s="237">
        <v>0.98333333333333339</v>
      </c>
      <c r="D89" s="418">
        <f>IF(V062A_2030313334363537394041[[#This Row],[FECHA]]-B88=1,((V062A_2030313334363537394041[[#This Row],[HORA]]-C88)*24)+24,(V062A_2030313334363537394041[[#This Row],[HORA]]-C88)*24)</f>
        <v>3.5000000000000009</v>
      </c>
      <c r="E89" s="506" t="s">
        <v>49</v>
      </c>
      <c r="F89" s="29" t="s">
        <v>50</v>
      </c>
      <c r="G89" s="508"/>
      <c r="H89" s="509"/>
      <c r="I89" s="510"/>
      <c r="J89" s="511"/>
      <c r="K89" s="512"/>
      <c r="L89" s="245">
        <v>0</v>
      </c>
      <c r="M89" s="246">
        <v>0.23</v>
      </c>
      <c r="N89" s="246">
        <v>0.15</v>
      </c>
      <c r="O89" s="246">
        <f>SUM(V062A_2030313334363537394041[[#This Row],[MPAL]]+V062A_2030313334363537394041[[#This Row],[AUX.]]+V062A_2030313334363537394041[[#This Row],[CALDERA]])</f>
        <v>0.38</v>
      </c>
      <c r="P89" s="319"/>
      <c r="Q89" s="270">
        <f>(Q88-V062A_2030313334363537394041[[#This Row],[TOTAL ]])+V062A_2030313334363537394041[[#This Row],[FAENA]]</f>
        <v>286.80999999999995</v>
      </c>
      <c r="R89" s="245">
        <v>0</v>
      </c>
      <c r="S89" s="246">
        <v>0</v>
      </c>
      <c r="T89" s="246">
        <v>0</v>
      </c>
      <c r="U89" s="246">
        <v>0</v>
      </c>
      <c r="V89" s="246">
        <v>0.15</v>
      </c>
      <c r="W89" s="246">
        <f>SUM(V062A_2030313334363537394041[[#This Row],[MPAL2]:[GI]])</f>
        <v>0.15</v>
      </c>
      <c r="X89" s="246"/>
      <c r="Y89" s="300">
        <f>(Y88-V062A_2030313334363537394041[[#This Row],[TOTAL]])+V062A_2030313334363537394041[[#This Row],[FAENA2]]</f>
        <v>63.749999999999993</v>
      </c>
      <c r="Z89" s="245">
        <v>0</v>
      </c>
      <c r="AA89" s="246">
        <v>0</v>
      </c>
      <c r="AB89" s="438">
        <f>(AB88-V062A_2030313334363537394041[[#This Row],[CYLINDER MP]])+V062A_2030313334363537394041[[#This Row],[FAENA EN LTS]]</f>
        <v>2700</v>
      </c>
      <c r="AC89" s="246">
        <v>0</v>
      </c>
      <c r="AD89" s="246">
        <v>0</v>
      </c>
      <c r="AE89" s="438">
        <f>(AE88-V062A_2030313334363537394041[[#This Row],[CARTER MP.]])+V062A_2030313334363537394041[[#This Row],[FAENA EN LTS2]]</f>
        <v>4000</v>
      </c>
      <c r="AF89" s="246">
        <v>0</v>
      </c>
      <c r="AG89" s="246">
        <v>0</v>
      </c>
      <c r="AH89" s="438">
        <f>(AH88-V062A_2030313334363537394041[[#This Row],[MOT AUX]])+V062A_2030313334363537394041[[#This Row],[FAENA EN  LTS]]</f>
        <v>3830</v>
      </c>
      <c r="AI89" s="246">
        <v>0</v>
      </c>
      <c r="AJ89" s="246">
        <v>0</v>
      </c>
      <c r="AK89" s="439">
        <f>(AK88-V062A_2030313334363537394041[[#This Row],[HIDRAULICO]])+V062A_2030313334363537394041[[#This Row],[FAENA EN LTS3]]</f>
        <v>2500</v>
      </c>
    </row>
    <row r="90" spans="1:37" x14ac:dyDescent="0.25">
      <c r="A90" s="431" t="s">
        <v>443</v>
      </c>
      <c r="B90" s="526">
        <v>44305</v>
      </c>
      <c r="C90" s="237">
        <v>0.33333333333333331</v>
      </c>
      <c r="D90" s="418">
        <f>IF(V062A_2030313334363537394041[[#This Row],[FECHA]]-B89=1,((V062A_2030313334363537394041[[#This Row],[HORA]]-C89)*24)+24,(V062A_2030313334363537394041[[#This Row],[HORA]]-C89)*24)</f>
        <v>8.3999999999999968</v>
      </c>
      <c r="E90" s="506" t="s">
        <v>51</v>
      </c>
      <c r="F90" s="29" t="s">
        <v>466</v>
      </c>
      <c r="G90" s="508"/>
      <c r="H90" s="509"/>
      <c r="I90" s="510"/>
      <c r="J90" s="511"/>
      <c r="K90" s="512"/>
      <c r="L90" s="245">
        <v>0</v>
      </c>
      <c r="M90" s="246">
        <v>0.56000000000000005</v>
      </c>
      <c r="N90" s="246">
        <v>2.1</v>
      </c>
      <c r="O90" s="246">
        <f>SUM(V062A_2030313334363537394041[[#This Row],[MPAL]]+V062A_2030313334363537394041[[#This Row],[AUX.]]+V062A_2030313334363537394041[[#This Row],[CALDERA]])</f>
        <v>2.66</v>
      </c>
      <c r="P90" s="319"/>
      <c r="Q90" s="270">
        <f>(Q89-V062A_2030313334363537394041[[#This Row],[TOTAL ]])+V062A_2030313334363537394041[[#This Row],[FAENA]]</f>
        <v>284.14999999999992</v>
      </c>
      <c r="R90" s="245">
        <v>0</v>
      </c>
      <c r="S90" s="246">
        <v>0</v>
      </c>
      <c r="T90" s="246">
        <v>0</v>
      </c>
      <c r="U90" s="246">
        <v>0</v>
      </c>
      <c r="V90" s="246">
        <v>2.1</v>
      </c>
      <c r="W90" s="246">
        <f>SUM(V062A_2030313334363537394041[[#This Row],[MPAL2]:[GI]])</f>
        <v>2.1</v>
      </c>
      <c r="X90" s="246"/>
      <c r="Y90" s="300">
        <f>(Y89-V062A_2030313334363537394041[[#This Row],[TOTAL]])+V062A_2030313334363537394041[[#This Row],[FAENA2]]</f>
        <v>61.649999999999991</v>
      </c>
      <c r="Z90" s="245">
        <v>0</v>
      </c>
      <c r="AA90" s="246">
        <v>0</v>
      </c>
      <c r="AB90" s="438">
        <f>(AB89-V062A_2030313334363537394041[[#This Row],[CYLINDER MP]])+V062A_2030313334363537394041[[#This Row],[FAENA EN LTS]]</f>
        <v>2700</v>
      </c>
      <c r="AC90" s="246">
        <v>0</v>
      </c>
      <c r="AD90" s="246">
        <v>0</v>
      </c>
      <c r="AE90" s="438">
        <f>(AE89-V062A_2030313334363537394041[[#This Row],[CARTER MP.]])+V062A_2030313334363537394041[[#This Row],[FAENA EN LTS2]]</f>
        <v>4000</v>
      </c>
      <c r="AF90" s="246">
        <v>20</v>
      </c>
      <c r="AG90" s="246">
        <v>0</v>
      </c>
      <c r="AH90" s="438">
        <f>(AH89-V062A_2030313334363537394041[[#This Row],[MOT AUX]])+V062A_2030313334363537394041[[#This Row],[FAENA EN  LTS]]</f>
        <v>3810</v>
      </c>
      <c r="AI90" s="246">
        <v>0</v>
      </c>
      <c r="AJ90" s="246">
        <v>0</v>
      </c>
      <c r="AK90" s="439">
        <f>(AK89-V062A_2030313334363537394041[[#This Row],[HIDRAULICO]])+V062A_2030313334363537394041[[#This Row],[FAENA EN LTS3]]</f>
        <v>2500</v>
      </c>
    </row>
    <row r="91" spans="1:37" x14ac:dyDescent="0.25">
      <c r="A91" s="431" t="s">
        <v>443</v>
      </c>
      <c r="B91" s="526">
        <v>44305</v>
      </c>
      <c r="C91" s="237">
        <v>0.65416666666666667</v>
      </c>
      <c r="D91" s="418">
        <f>IF(V062A_2030313334363537394041[[#This Row],[FECHA]]-B90=1,((V062A_2030313334363537394041[[#This Row],[HORA]]-C90)*24)+24,(V062A_2030313334363537394041[[#This Row],[HORA]]-C90)*24)</f>
        <v>7.7000000000000011</v>
      </c>
      <c r="E91" s="527" t="s">
        <v>51</v>
      </c>
      <c r="F91" s="528" t="s">
        <v>52</v>
      </c>
      <c r="G91" s="529"/>
      <c r="H91" s="530"/>
      <c r="I91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1" s="532"/>
      <c r="K91" s="533"/>
      <c r="L91" s="245">
        <v>0</v>
      </c>
      <c r="M91" s="246">
        <v>0.51</v>
      </c>
      <c r="N91" s="246">
        <v>1.93</v>
      </c>
      <c r="O91" s="246">
        <f>SUM(V062A_2030313334363537394041[[#This Row],[MPAL]]+V062A_2030313334363537394041[[#This Row],[AUX.]]+V062A_2030313334363537394041[[#This Row],[CALDERA]])</f>
        <v>2.44</v>
      </c>
      <c r="P91" s="319"/>
      <c r="Q91" s="270">
        <f>(Q90-V062A_2030313334363537394041[[#This Row],[TOTAL ]])+V062A_2030313334363537394041[[#This Row],[FAENA]]</f>
        <v>281.70999999999992</v>
      </c>
      <c r="R91" s="245">
        <v>0</v>
      </c>
      <c r="S91" s="246">
        <v>0</v>
      </c>
      <c r="T91" s="246">
        <v>0</v>
      </c>
      <c r="U91" s="246">
        <v>0</v>
      </c>
      <c r="V91" s="246">
        <v>1.93</v>
      </c>
      <c r="W91" s="246">
        <f>SUM(V062A_2030313334363537394041[[#This Row],[MPAL2]:[GI]])</f>
        <v>1.93</v>
      </c>
      <c r="X91" s="246"/>
      <c r="Y91" s="300">
        <f>(Y90-V062A_2030313334363537394041[[#This Row],[TOTAL]])+V062A_2030313334363537394041[[#This Row],[FAENA2]]</f>
        <v>59.719999999999992</v>
      </c>
      <c r="Z91" s="245">
        <v>0</v>
      </c>
      <c r="AA91" s="246">
        <v>0</v>
      </c>
      <c r="AB91" s="438">
        <f>(AB90-V062A_2030313334363537394041[[#This Row],[CYLINDER MP]])+V062A_2030313334363537394041[[#This Row],[FAENA EN LTS]]</f>
        <v>2700</v>
      </c>
      <c r="AC91" s="246">
        <v>0</v>
      </c>
      <c r="AD91" s="246">
        <v>0</v>
      </c>
      <c r="AE91" s="438">
        <f>(AE90-V062A_2030313334363537394041[[#This Row],[CARTER MP.]])+V062A_2030313334363537394041[[#This Row],[FAENA EN LTS2]]</f>
        <v>4000</v>
      </c>
      <c r="AF91" s="246">
        <v>0</v>
      </c>
      <c r="AG91" s="246">
        <v>0</v>
      </c>
      <c r="AH91" s="438">
        <f>(AH90-V062A_2030313334363537394041[[#This Row],[MOT AUX]])+V062A_2030313334363537394041[[#This Row],[FAENA EN  LTS]]</f>
        <v>3810</v>
      </c>
      <c r="AI91" s="246">
        <v>0</v>
      </c>
      <c r="AJ91" s="246">
        <v>0</v>
      </c>
      <c r="AK91" s="439">
        <f>(AK90-V062A_2030313334363537394041[[#This Row],[HIDRAULICO]])+V062A_2030313334363537394041[[#This Row],[FAENA EN LTS3]]</f>
        <v>2500</v>
      </c>
    </row>
    <row r="92" spans="1:37" x14ac:dyDescent="0.25">
      <c r="A92" s="431" t="s">
        <v>443</v>
      </c>
      <c r="B92" s="526">
        <v>44305</v>
      </c>
      <c r="C92" s="237">
        <v>0.82500000000000007</v>
      </c>
      <c r="D92" s="418">
        <f>IF(V062A_2030313334363537394041[[#This Row],[FECHA]]-B91=1,((V062A_2030313334363537394041[[#This Row],[HORA]]-C91)*24)+24,(V062A_2030313334363537394041[[#This Row],[HORA]]-C91)*24)</f>
        <v>4.1000000000000014</v>
      </c>
      <c r="E92" s="527" t="s">
        <v>49</v>
      </c>
      <c r="F92" s="528" t="s">
        <v>470</v>
      </c>
      <c r="G92" s="529"/>
      <c r="H92" s="530"/>
      <c r="I92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2" s="532"/>
      <c r="K92" s="533"/>
      <c r="L92" s="245">
        <v>0</v>
      </c>
      <c r="M92" s="246">
        <v>0.27</v>
      </c>
      <c r="N92" s="246">
        <v>1.03</v>
      </c>
      <c r="O92" s="246">
        <f>SUM(V062A_2030313334363537394041[[#This Row],[MPAL]]+V062A_2030313334363537394041[[#This Row],[AUX.]]+V062A_2030313334363537394041[[#This Row],[CALDERA]])</f>
        <v>1.3</v>
      </c>
      <c r="P92" s="319"/>
      <c r="Q92" s="270">
        <f>(Q91-V062A_2030313334363537394041[[#This Row],[TOTAL ]])+V062A_2030313334363537394041[[#This Row],[FAENA]]</f>
        <v>280.40999999999991</v>
      </c>
      <c r="R92" s="245">
        <v>0</v>
      </c>
      <c r="S92" s="246">
        <v>0</v>
      </c>
      <c r="T92" s="246">
        <v>0</v>
      </c>
      <c r="U92" s="246">
        <v>0</v>
      </c>
      <c r="V92" s="246">
        <v>0.2</v>
      </c>
      <c r="W92" s="246">
        <f>SUM(V062A_2030313334363537394041[[#This Row],[MPAL2]:[GI]])</f>
        <v>0.2</v>
      </c>
      <c r="X92" s="246"/>
      <c r="Y92" s="300">
        <f>(Y91-V062A_2030313334363537394041[[#This Row],[TOTAL]])+V062A_2030313334363537394041[[#This Row],[FAENA2]]</f>
        <v>59.519999999999989</v>
      </c>
      <c r="Z92" s="245">
        <v>0</v>
      </c>
      <c r="AA92" s="246">
        <v>0</v>
      </c>
      <c r="AB92" s="438">
        <f>(AB91-V062A_2030313334363537394041[[#This Row],[CYLINDER MP]])+V062A_2030313334363537394041[[#This Row],[FAENA EN LTS]]</f>
        <v>2700</v>
      </c>
      <c r="AC92" s="246">
        <v>0</v>
      </c>
      <c r="AD92" s="246">
        <v>0</v>
      </c>
      <c r="AE92" s="438">
        <f>(AE91-V062A_2030313334363537394041[[#This Row],[CARTER MP.]])+V062A_2030313334363537394041[[#This Row],[FAENA EN LTS2]]</f>
        <v>4000</v>
      </c>
      <c r="AF92" s="246">
        <v>0</v>
      </c>
      <c r="AG92" s="246">
        <v>0</v>
      </c>
      <c r="AH92" s="438">
        <f>(AH91-V062A_2030313334363537394041[[#This Row],[MOT AUX]])+V062A_2030313334363537394041[[#This Row],[FAENA EN  LTS]]</f>
        <v>3810</v>
      </c>
      <c r="AI92" s="246">
        <v>0</v>
      </c>
      <c r="AJ92" s="246">
        <v>0</v>
      </c>
      <c r="AK92" s="439">
        <f>(AK91-V062A_2030313334363537394041[[#This Row],[HIDRAULICO]])+V062A_2030313334363537394041[[#This Row],[FAENA EN LTS3]]</f>
        <v>2500</v>
      </c>
    </row>
    <row r="93" spans="1:37" x14ac:dyDescent="0.25">
      <c r="A93" s="431" t="s">
        <v>443</v>
      </c>
      <c r="B93" s="526">
        <v>44305</v>
      </c>
      <c r="C93" s="237">
        <v>0.86249999999999993</v>
      </c>
      <c r="D93" s="418">
        <f>IF(V062A_2030313334363537394041[[#This Row],[FECHA]]-B92=1,((V062A_2030313334363537394041[[#This Row],[HORA]]-C92)*24)+24,(V062A_2030313334363537394041[[#This Row],[HORA]]-C92)*24)</f>
        <v>0.8999999999999968</v>
      </c>
      <c r="E93" s="527" t="s">
        <v>47</v>
      </c>
      <c r="F93" s="528" t="s">
        <v>471</v>
      </c>
      <c r="G93" s="529"/>
      <c r="H93" s="530"/>
      <c r="I93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3" s="532"/>
      <c r="K93" s="533"/>
      <c r="L93" s="245">
        <v>0.19</v>
      </c>
      <c r="M93" s="246">
        <v>0.06</v>
      </c>
      <c r="N93" s="246">
        <v>0.22</v>
      </c>
      <c r="O93" s="246">
        <f>SUM(V062A_2030313334363537394041[[#This Row],[MPAL]]+V062A_2030313334363537394041[[#This Row],[AUX.]]+V062A_2030313334363537394041[[#This Row],[CALDERA]])</f>
        <v>0.47</v>
      </c>
      <c r="P93" s="319"/>
      <c r="Q93" s="270">
        <f>(Q92-V062A_2030313334363537394041[[#This Row],[TOTAL ]])+V062A_2030313334363537394041[[#This Row],[FAENA]]</f>
        <v>279.93999999999988</v>
      </c>
      <c r="R93" s="245">
        <v>0</v>
      </c>
      <c r="S93" s="246">
        <v>0</v>
      </c>
      <c r="T93" s="246">
        <v>0</v>
      </c>
      <c r="U93" s="246">
        <v>0</v>
      </c>
      <c r="V93" s="246">
        <v>0</v>
      </c>
      <c r="W93" s="246">
        <f>SUM(V062A_2030313334363537394041[[#This Row],[MPAL2]:[GI]])</f>
        <v>0</v>
      </c>
      <c r="X93" s="246"/>
      <c r="Y93" s="300">
        <f>(Y92-V062A_2030313334363537394041[[#This Row],[TOTAL]])+V062A_2030313334363537394041[[#This Row],[FAENA2]]</f>
        <v>59.519999999999989</v>
      </c>
      <c r="Z93" s="245">
        <v>0</v>
      </c>
      <c r="AA93" s="246">
        <v>0</v>
      </c>
      <c r="AB93" s="438">
        <f>(AB92-V062A_2030313334363537394041[[#This Row],[CYLINDER MP]])+V062A_2030313334363537394041[[#This Row],[FAENA EN LTS]]</f>
        <v>2700</v>
      </c>
      <c r="AC93" s="246">
        <v>0</v>
      </c>
      <c r="AD93" s="246">
        <v>0</v>
      </c>
      <c r="AE93" s="438">
        <f>(AE92-V062A_2030313334363537394041[[#This Row],[CARTER MP.]])+V062A_2030313334363537394041[[#This Row],[FAENA EN LTS2]]</f>
        <v>4000</v>
      </c>
      <c r="AF93" s="246">
        <v>0</v>
      </c>
      <c r="AG93" s="246">
        <v>0</v>
      </c>
      <c r="AH93" s="438">
        <f>(AH92-V062A_2030313334363537394041[[#This Row],[MOT AUX]])+V062A_2030313334363537394041[[#This Row],[FAENA EN  LTS]]</f>
        <v>3810</v>
      </c>
      <c r="AI93" s="246">
        <v>0</v>
      </c>
      <c r="AJ93" s="246">
        <v>0</v>
      </c>
      <c r="AK93" s="439">
        <f>(AK92-V062A_2030313334363537394041[[#This Row],[HIDRAULICO]])+V062A_2030313334363537394041[[#This Row],[FAENA EN LTS3]]</f>
        <v>2500</v>
      </c>
    </row>
    <row r="94" spans="1:37" x14ac:dyDescent="0.25">
      <c r="A94" s="431" t="s">
        <v>443</v>
      </c>
      <c r="B94" s="526">
        <v>44306</v>
      </c>
      <c r="C94" s="237">
        <v>0.33333333333333331</v>
      </c>
      <c r="D94" s="418">
        <f>IF(V062A_2030313334363537394041[[#This Row],[FECHA]]-B93=1,((V062A_2030313334363537394041[[#This Row],[HORA]]-C93)*24)+24,(V062A_2030313334363537394041[[#This Row],[HORA]]-C93)*24)</f>
        <v>11.300000000000002</v>
      </c>
      <c r="E94" s="527" t="s">
        <v>55</v>
      </c>
      <c r="F94" s="528" t="s">
        <v>56</v>
      </c>
      <c r="G94" s="529"/>
      <c r="H94" s="530"/>
      <c r="I94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4" s="532"/>
      <c r="K94" s="533"/>
      <c r="L94" s="245">
        <v>11.02</v>
      </c>
      <c r="M94" s="246">
        <v>0.75</v>
      </c>
      <c r="N94" s="246">
        <v>0.47</v>
      </c>
      <c r="O94" s="246">
        <f>SUM(V062A_2030313334363537394041[[#This Row],[MPAL]]+V062A_2030313334363537394041[[#This Row],[AUX.]]+V062A_2030313334363537394041[[#This Row],[CALDERA]])</f>
        <v>12.24</v>
      </c>
      <c r="P94" s="319"/>
      <c r="Q94" s="270">
        <f>(Q93-V062A_2030313334363537394041[[#This Row],[TOTAL ]])+V062A_2030313334363537394041[[#This Row],[FAENA]]</f>
        <v>267.69999999999987</v>
      </c>
      <c r="R94" s="245">
        <v>0</v>
      </c>
      <c r="S94" s="246">
        <v>0</v>
      </c>
      <c r="T94" s="246">
        <v>0</v>
      </c>
      <c r="U94" s="246">
        <v>0</v>
      </c>
      <c r="V94" s="246">
        <v>0</v>
      </c>
      <c r="W94" s="246">
        <f>SUM(V062A_2030313334363537394041[[#This Row],[MPAL2]:[GI]])</f>
        <v>0</v>
      </c>
      <c r="X94" s="246"/>
      <c r="Y94" s="300">
        <f>(Y93-V062A_2030313334363537394041[[#This Row],[TOTAL]])+V062A_2030313334363537394041[[#This Row],[FAENA2]]</f>
        <v>59.519999999999989</v>
      </c>
      <c r="Z94" s="245">
        <v>113</v>
      </c>
      <c r="AA94" s="246">
        <v>0</v>
      </c>
      <c r="AB94" s="438">
        <f>(AB93-V062A_2030313334363537394041[[#This Row],[CYLINDER MP]])+V062A_2030313334363537394041[[#This Row],[FAENA EN LTS]]</f>
        <v>2587</v>
      </c>
      <c r="AC94" s="246">
        <v>0</v>
      </c>
      <c r="AD94" s="246">
        <v>0</v>
      </c>
      <c r="AE94" s="438">
        <f>(AE93-V062A_2030313334363537394041[[#This Row],[CARTER MP.]])+V062A_2030313334363537394041[[#This Row],[FAENA EN LTS2]]</f>
        <v>4000</v>
      </c>
      <c r="AF94" s="246">
        <v>0</v>
      </c>
      <c r="AG94" s="246">
        <v>0</v>
      </c>
      <c r="AH94" s="438">
        <f>(AH93-V062A_2030313334363537394041[[#This Row],[MOT AUX]])+V062A_2030313334363537394041[[#This Row],[FAENA EN  LTS]]</f>
        <v>3810</v>
      </c>
      <c r="AI94" s="246">
        <v>0</v>
      </c>
      <c r="AJ94" s="246">
        <v>0</v>
      </c>
      <c r="AK94" s="439">
        <f>(AK93-V062A_2030313334363537394041[[#This Row],[HIDRAULICO]])+V062A_2030313334363537394041[[#This Row],[FAENA EN LTS3]]</f>
        <v>2500</v>
      </c>
    </row>
    <row r="95" spans="1:37" x14ac:dyDescent="0.25">
      <c r="A95" s="431" t="s">
        <v>443</v>
      </c>
      <c r="B95" s="526">
        <v>44306</v>
      </c>
      <c r="C95" s="237">
        <v>0.5</v>
      </c>
      <c r="D95" s="418">
        <f>IF(V062A_2030313334363537394041[[#This Row],[FECHA]]-B94=1,((V062A_2030313334363537394041[[#This Row],[HORA]]-C94)*24)+24,(V062A_2030313334363537394041[[#This Row],[HORA]]-C94)*24)</f>
        <v>4</v>
      </c>
      <c r="E95" s="527" t="s">
        <v>55</v>
      </c>
      <c r="F95" s="528" t="s">
        <v>142</v>
      </c>
      <c r="G95" s="529"/>
      <c r="H95" s="530"/>
      <c r="I95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5" s="532"/>
      <c r="K95" s="533"/>
      <c r="L95" s="245">
        <v>3.9</v>
      </c>
      <c r="M95" s="246">
        <v>0.27</v>
      </c>
      <c r="N95" s="246">
        <v>0.17</v>
      </c>
      <c r="O95" s="246">
        <f>SUM(V062A_2030313334363537394041[[#This Row],[MPAL]]+V062A_2030313334363537394041[[#This Row],[AUX.]]+V062A_2030313334363537394041[[#This Row],[CALDERA]])</f>
        <v>4.34</v>
      </c>
      <c r="P95" s="319"/>
      <c r="Q95" s="270">
        <f>(Q94-V062A_2030313334363537394041[[#This Row],[TOTAL ]])+V062A_2030313334363537394041[[#This Row],[FAENA]]</f>
        <v>263.3599999999999</v>
      </c>
      <c r="R95" s="245">
        <v>0</v>
      </c>
      <c r="S95" s="246">
        <v>0</v>
      </c>
      <c r="T95" s="246">
        <v>0</v>
      </c>
      <c r="U95" s="246">
        <v>0</v>
      </c>
      <c r="V95" s="246">
        <v>0</v>
      </c>
      <c r="W95" s="246">
        <f>SUM(V062A_2030313334363537394041[[#This Row],[MPAL2]:[GI]])</f>
        <v>0</v>
      </c>
      <c r="X95" s="246"/>
      <c r="Y95" s="300">
        <f>(Y94-V062A_2030313334363537394041[[#This Row],[TOTAL]])+V062A_2030313334363537394041[[#This Row],[FAENA2]]</f>
        <v>59.519999999999989</v>
      </c>
      <c r="Z95" s="245">
        <v>40</v>
      </c>
      <c r="AA95" s="246">
        <v>0</v>
      </c>
      <c r="AB95" s="438">
        <f>(AB94-V062A_2030313334363537394041[[#This Row],[CYLINDER MP]])+V062A_2030313334363537394041[[#This Row],[FAENA EN LTS]]</f>
        <v>2547</v>
      </c>
      <c r="AC95" s="246">
        <v>0</v>
      </c>
      <c r="AD95" s="246">
        <v>0</v>
      </c>
      <c r="AE95" s="438">
        <f>(AE94-V062A_2030313334363537394041[[#This Row],[CARTER MP.]])+V062A_2030313334363537394041[[#This Row],[FAENA EN LTS2]]</f>
        <v>4000</v>
      </c>
      <c r="AF95" s="246">
        <v>0</v>
      </c>
      <c r="AG95" s="246">
        <v>0</v>
      </c>
      <c r="AH95" s="438">
        <f>(AH94-V062A_2030313334363537394041[[#This Row],[MOT AUX]])+V062A_2030313334363537394041[[#This Row],[FAENA EN  LTS]]</f>
        <v>3810</v>
      </c>
      <c r="AI95" s="246">
        <v>0</v>
      </c>
      <c r="AJ95" s="246">
        <v>0</v>
      </c>
      <c r="AK95" s="439">
        <f>(AK94-V062A_2030313334363537394041[[#This Row],[HIDRAULICO]])+V062A_2030313334363537394041[[#This Row],[FAENA EN LTS3]]</f>
        <v>2500</v>
      </c>
    </row>
    <row r="96" spans="1:37" x14ac:dyDescent="0.25">
      <c r="A96" s="431" t="s">
        <v>443</v>
      </c>
      <c r="B96" s="526">
        <v>44306</v>
      </c>
      <c r="C96" s="237">
        <v>0.51666666666666672</v>
      </c>
      <c r="D96" s="418">
        <f>IF(V062A_2030313334363537394041[[#This Row],[FECHA]]-B95=1,((V062A_2030313334363537394041[[#This Row],[HORA]]-C95)*24)+24,(V062A_2030313334363537394041[[#This Row],[HORA]]-C95)*24)</f>
        <v>0.40000000000000124</v>
      </c>
      <c r="E96" s="527" t="s">
        <v>47</v>
      </c>
      <c r="F96" s="528" t="s">
        <v>472</v>
      </c>
      <c r="G96" s="529"/>
      <c r="H96" s="530"/>
      <c r="I96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6" s="532"/>
      <c r="K96" s="533"/>
      <c r="L96" s="245">
        <v>0.05</v>
      </c>
      <c r="M96" s="246">
        <v>0.03</v>
      </c>
      <c r="N96" s="246">
        <v>0.02</v>
      </c>
      <c r="O96" s="246">
        <f>SUM(V062A_2030313334363537394041[[#This Row],[MPAL]]+V062A_2030313334363537394041[[#This Row],[AUX.]]+V062A_2030313334363537394041[[#This Row],[CALDERA]])</f>
        <v>0.1</v>
      </c>
      <c r="P96" s="319"/>
      <c r="Q96" s="270">
        <f>(Q95-V062A_2030313334363537394041[[#This Row],[TOTAL ]])+V062A_2030313334363537394041[[#This Row],[FAENA]]</f>
        <v>263.25999999999988</v>
      </c>
      <c r="R96" s="245">
        <v>0</v>
      </c>
      <c r="S96" s="246">
        <v>0</v>
      </c>
      <c r="T96" s="246">
        <v>0</v>
      </c>
      <c r="U96" s="246">
        <v>0</v>
      </c>
      <c r="V96" s="246">
        <v>0</v>
      </c>
      <c r="W96" s="246">
        <f>SUM(V062A_2030313334363537394041[[#This Row],[MPAL2]:[GI]])</f>
        <v>0</v>
      </c>
      <c r="X96" s="246"/>
      <c r="Y96" s="300">
        <f>(Y95-V062A_2030313334363537394041[[#This Row],[TOTAL]])+V062A_2030313334363537394041[[#This Row],[FAENA2]]</f>
        <v>59.519999999999989</v>
      </c>
      <c r="Z96" s="245">
        <v>0</v>
      </c>
      <c r="AA96" s="246">
        <v>0</v>
      </c>
      <c r="AB96" s="438">
        <f>(AB95-V062A_2030313334363537394041[[#This Row],[CYLINDER MP]])+V062A_2030313334363537394041[[#This Row],[FAENA EN LTS]]</f>
        <v>2547</v>
      </c>
      <c r="AC96" s="246">
        <v>0</v>
      </c>
      <c r="AD96" s="246">
        <v>0</v>
      </c>
      <c r="AE96" s="438">
        <f>(AE95-V062A_2030313334363537394041[[#This Row],[CARTER MP.]])+V062A_2030313334363537394041[[#This Row],[FAENA EN LTS2]]</f>
        <v>4000</v>
      </c>
      <c r="AF96" s="246">
        <v>0</v>
      </c>
      <c r="AG96" s="246">
        <v>0</v>
      </c>
      <c r="AH96" s="438">
        <f>(AH95-V062A_2030313334363537394041[[#This Row],[MOT AUX]])+V062A_2030313334363537394041[[#This Row],[FAENA EN  LTS]]</f>
        <v>3810</v>
      </c>
      <c r="AI96" s="246">
        <v>0</v>
      </c>
      <c r="AJ96" s="246">
        <v>0</v>
      </c>
      <c r="AK96" s="439">
        <f>(AK95-V062A_2030313334363537394041[[#This Row],[HIDRAULICO]])+V062A_2030313334363537394041[[#This Row],[FAENA EN LTS3]]</f>
        <v>2500</v>
      </c>
    </row>
    <row r="97" spans="1:37" x14ac:dyDescent="0.25">
      <c r="A97" s="431" t="s">
        <v>443</v>
      </c>
      <c r="B97" s="526">
        <v>44307</v>
      </c>
      <c r="C97" s="237">
        <v>0.33333333333333331</v>
      </c>
      <c r="D97" s="418">
        <f>IF(V062A_2030313334363537394041[[#This Row],[FECHA]]-B96=1,((V062A_2030313334363537394041[[#This Row],[HORA]]-C96)*24)+24,(V062A_2030313334363537394041[[#This Row],[HORA]]-C96)*24)</f>
        <v>19.599999999999998</v>
      </c>
      <c r="E97" s="527" t="s">
        <v>45</v>
      </c>
      <c r="F97" s="528" t="s">
        <v>473</v>
      </c>
      <c r="G97" s="529"/>
      <c r="H97" s="530"/>
      <c r="I97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7" s="532"/>
      <c r="K97" s="533"/>
      <c r="L97" s="245">
        <v>0</v>
      </c>
      <c r="M97" s="246">
        <v>1.31</v>
      </c>
      <c r="N97" s="246">
        <v>0.82</v>
      </c>
      <c r="O97" s="246">
        <f>SUM(V062A_2030313334363537394041[[#This Row],[MPAL]]+V062A_2030313334363537394041[[#This Row],[AUX.]]+V062A_2030313334363537394041[[#This Row],[CALDERA]])</f>
        <v>2.13</v>
      </c>
      <c r="P97" s="319"/>
      <c r="Q97" s="270">
        <f>(Q96-V062A_2030313334363537394041[[#This Row],[TOTAL ]])+V062A_2030313334363537394041[[#This Row],[FAENA]]</f>
        <v>261.12999999999988</v>
      </c>
      <c r="R97" s="245">
        <v>0</v>
      </c>
      <c r="S97" s="246">
        <v>0</v>
      </c>
      <c r="T97" s="246">
        <v>0</v>
      </c>
      <c r="U97" s="246">
        <v>0</v>
      </c>
      <c r="V97" s="246">
        <v>0</v>
      </c>
      <c r="W97" s="246">
        <f>SUM(V062A_2030313334363537394041[[#This Row],[MPAL2]:[GI]])</f>
        <v>0</v>
      </c>
      <c r="X97" s="246"/>
      <c r="Y97" s="300">
        <f>(Y96-V062A_2030313334363537394041[[#This Row],[TOTAL]])+V062A_2030313334363537394041[[#This Row],[FAENA2]]</f>
        <v>59.519999999999989</v>
      </c>
      <c r="Z97" s="245">
        <v>0</v>
      </c>
      <c r="AA97" s="246">
        <v>0</v>
      </c>
      <c r="AB97" s="438">
        <f>(AB96-V062A_2030313334363537394041[[#This Row],[CYLINDER MP]])+V062A_2030313334363537394041[[#This Row],[FAENA EN LTS]]</f>
        <v>2547</v>
      </c>
      <c r="AC97" s="246">
        <v>0</v>
      </c>
      <c r="AD97" s="246">
        <v>0</v>
      </c>
      <c r="AE97" s="438">
        <f>(AE96-V062A_2030313334363537394041[[#This Row],[CARTER MP.]])+V062A_2030313334363537394041[[#This Row],[FAENA EN LTS2]]</f>
        <v>4000</v>
      </c>
      <c r="AF97" s="246">
        <v>20</v>
      </c>
      <c r="AG97" s="246">
        <v>0</v>
      </c>
      <c r="AH97" s="438">
        <f>(AH96-V062A_2030313334363537394041[[#This Row],[MOT AUX]])+V062A_2030313334363537394041[[#This Row],[FAENA EN  LTS]]</f>
        <v>3790</v>
      </c>
      <c r="AI97" s="246">
        <v>0</v>
      </c>
      <c r="AJ97" s="246">
        <v>0</v>
      </c>
      <c r="AK97" s="439">
        <f>(AK96-V062A_2030313334363537394041[[#This Row],[HIDRAULICO]])+V062A_2030313334363537394041[[#This Row],[FAENA EN LTS3]]</f>
        <v>2500</v>
      </c>
    </row>
    <row r="98" spans="1:37" x14ac:dyDescent="0.25">
      <c r="A98" s="431" t="s">
        <v>443</v>
      </c>
      <c r="B98" s="526">
        <v>44307</v>
      </c>
      <c r="C98" s="237">
        <v>0.4291666666666667</v>
      </c>
      <c r="D98" s="418">
        <f>IF(V062A_2030313334363537394041[[#This Row],[FECHA]]-B97=1,((V062A_2030313334363537394041[[#This Row],[HORA]]-C97)*24)+24,(V062A_2030313334363537394041[[#This Row],[HORA]]-C97)*24)</f>
        <v>2.3000000000000012</v>
      </c>
      <c r="E98" s="527" t="s">
        <v>49</v>
      </c>
      <c r="F98" s="528" t="s">
        <v>46</v>
      </c>
      <c r="G98" s="529"/>
      <c r="H98" s="530"/>
      <c r="I98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8" s="532"/>
      <c r="K98" s="533"/>
      <c r="L98" s="245">
        <v>0</v>
      </c>
      <c r="M98" s="246">
        <v>0.15</v>
      </c>
      <c r="N98" s="246">
        <v>0.1</v>
      </c>
      <c r="O98" s="246">
        <f>SUM(V062A_2030313334363537394041[[#This Row],[MPAL]]+V062A_2030313334363537394041[[#This Row],[AUX.]]+V062A_2030313334363537394041[[#This Row],[CALDERA]])</f>
        <v>0.25</v>
      </c>
      <c r="P98" s="319"/>
      <c r="Q98" s="270">
        <f>(Q97-V062A_2030313334363537394041[[#This Row],[TOTAL ]])+V062A_2030313334363537394041[[#This Row],[FAENA]]</f>
        <v>260.87999999999988</v>
      </c>
      <c r="R98" s="245">
        <v>0</v>
      </c>
      <c r="S98" s="246">
        <v>0</v>
      </c>
      <c r="T98" s="246">
        <v>0</v>
      </c>
      <c r="U98" s="246">
        <v>0</v>
      </c>
      <c r="V98" s="246">
        <v>0</v>
      </c>
      <c r="W98" s="246">
        <f>SUM(V062A_2030313334363537394041[[#This Row],[MPAL2]:[GI]])</f>
        <v>0</v>
      </c>
      <c r="X98" s="246"/>
      <c r="Y98" s="300">
        <f>(Y97-V062A_2030313334363537394041[[#This Row],[TOTAL]])+V062A_2030313334363537394041[[#This Row],[FAENA2]]</f>
        <v>59.519999999999989</v>
      </c>
      <c r="Z98" s="245">
        <v>0</v>
      </c>
      <c r="AA98" s="246">
        <v>0</v>
      </c>
      <c r="AB98" s="438">
        <f>(AB97-V062A_2030313334363537394041[[#This Row],[CYLINDER MP]])+V062A_2030313334363537394041[[#This Row],[FAENA EN LTS]]</f>
        <v>2547</v>
      </c>
      <c r="AC98" s="246">
        <v>0</v>
      </c>
      <c r="AD98" s="246">
        <v>0</v>
      </c>
      <c r="AE98" s="438">
        <f>(AE97-V062A_2030313334363537394041[[#This Row],[CARTER MP.]])+V062A_2030313334363537394041[[#This Row],[FAENA EN LTS2]]</f>
        <v>4000</v>
      </c>
      <c r="AF98" s="246">
        <v>0</v>
      </c>
      <c r="AG98" s="246">
        <v>0</v>
      </c>
      <c r="AH98" s="438">
        <f>(AH97-V062A_2030313334363537394041[[#This Row],[MOT AUX]])+V062A_2030313334363537394041[[#This Row],[FAENA EN  LTS]]</f>
        <v>3790</v>
      </c>
      <c r="AI98" s="246">
        <v>0</v>
      </c>
      <c r="AJ98" s="246">
        <v>0</v>
      </c>
      <c r="AK98" s="439">
        <f>(AK97-V062A_2030313334363537394041[[#This Row],[HIDRAULICO]])+V062A_2030313334363537394041[[#This Row],[FAENA EN LTS3]]</f>
        <v>2500</v>
      </c>
    </row>
    <row r="99" spans="1:37" x14ac:dyDescent="0.25">
      <c r="A99" s="431" t="s">
        <v>443</v>
      </c>
      <c r="B99" s="526">
        <v>44307</v>
      </c>
      <c r="C99" s="237">
        <v>0.49583333333333335</v>
      </c>
      <c r="D99" s="418">
        <f>IF(V062A_2030313334363537394041[[#This Row],[FECHA]]-B98=1,((V062A_2030313334363537394041[[#This Row],[HORA]]-C98)*24)+24,(V062A_2030313334363537394041[[#This Row],[HORA]]-C98)*24)</f>
        <v>1.5999999999999996</v>
      </c>
      <c r="E99" s="527" t="s">
        <v>47</v>
      </c>
      <c r="F99" s="528" t="s">
        <v>474</v>
      </c>
      <c r="G99" s="529"/>
      <c r="H99" s="530"/>
      <c r="I99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99" s="532"/>
      <c r="K99" s="533"/>
      <c r="L99" s="245">
        <v>0.33</v>
      </c>
      <c r="M99" s="246">
        <v>0.11</v>
      </c>
      <c r="N99" s="246">
        <v>7.0000000000000007E-2</v>
      </c>
      <c r="O99" s="246">
        <f>SUM(V062A_2030313334363537394041[[#This Row],[MPAL]]+V062A_2030313334363537394041[[#This Row],[AUX.]]+V062A_2030313334363537394041[[#This Row],[CALDERA]])</f>
        <v>0.51</v>
      </c>
      <c r="P99" s="319"/>
      <c r="Q99" s="270">
        <f>(Q98-V062A_2030313334363537394041[[#This Row],[TOTAL ]])+V062A_2030313334363537394041[[#This Row],[FAENA]]</f>
        <v>260.36999999999989</v>
      </c>
      <c r="R99" s="245">
        <v>0</v>
      </c>
      <c r="S99" s="246">
        <v>0</v>
      </c>
      <c r="T99" s="246">
        <v>0</v>
      </c>
      <c r="U99" s="246">
        <v>0</v>
      </c>
      <c r="V99" s="246">
        <v>0</v>
      </c>
      <c r="W99" s="246">
        <f>SUM(V062A_2030313334363537394041[[#This Row],[MPAL2]:[GI]])</f>
        <v>0</v>
      </c>
      <c r="X99" s="246"/>
      <c r="Y99" s="300">
        <f>(Y98-V062A_2030313334363537394041[[#This Row],[TOTAL]])+V062A_2030313334363537394041[[#This Row],[FAENA2]]</f>
        <v>59.519999999999989</v>
      </c>
      <c r="Z99" s="245">
        <v>0</v>
      </c>
      <c r="AA99" s="246">
        <v>0</v>
      </c>
      <c r="AB99" s="438">
        <f>(AB98-V062A_2030313334363537394041[[#This Row],[CYLINDER MP]])+V062A_2030313334363537394041[[#This Row],[FAENA EN LTS]]</f>
        <v>2547</v>
      </c>
      <c r="AC99" s="246">
        <v>0</v>
      </c>
      <c r="AD99" s="246">
        <v>0</v>
      </c>
      <c r="AE99" s="438">
        <f>(AE98-V062A_2030313334363537394041[[#This Row],[CARTER MP.]])+V062A_2030313334363537394041[[#This Row],[FAENA EN LTS2]]</f>
        <v>4000</v>
      </c>
      <c r="AF99" s="246">
        <v>0</v>
      </c>
      <c r="AG99" s="246">
        <v>0</v>
      </c>
      <c r="AH99" s="438">
        <f>(AH98-V062A_2030313334363537394041[[#This Row],[MOT AUX]])+V062A_2030313334363537394041[[#This Row],[FAENA EN  LTS]]</f>
        <v>3790</v>
      </c>
      <c r="AI99" s="246">
        <v>0</v>
      </c>
      <c r="AJ99" s="246">
        <v>0</v>
      </c>
      <c r="AK99" s="439">
        <f>(AK98-V062A_2030313334363537394041[[#This Row],[HIDRAULICO]])+V062A_2030313334363537394041[[#This Row],[FAENA EN LTS3]]</f>
        <v>2500</v>
      </c>
    </row>
    <row r="100" spans="1:37" x14ac:dyDescent="0.25">
      <c r="A100" s="431" t="s">
        <v>443</v>
      </c>
      <c r="B100" s="526">
        <v>44307</v>
      </c>
      <c r="C100" s="237">
        <v>0.54166666666666663</v>
      </c>
      <c r="D100" s="418">
        <f>IF(V062A_2030313334363537394041[[#This Row],[FECHA]]-B99=1,((V062A_2030313334363537394041[[#This Row],[HORA]]-C99)*24)+24,(V062A_2030313334363537394041[[#This Row],[HORA]]-C99)*24)</f>
        <v>1.0999999999999988</v>
      </c>
      <c r="E100" s="527" t="s">
        <v>49</v>
      </c>
      <c r="F100" s="528" t="s">
        <v>46</v>
      </c>
      <c r="G100" s="529"/>
      <c r="H100" s="530"/>
      <c r="I100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0" s="532"/>
      <c r="K100" s="533"/>
      <c r="L100" s="245">
        <v>0</v>
      </c>
      <c r="M100" s="246">
        <v>7.0000000000000007E-2</v>
      </c>
      <c r="N100" s="246">
        <v>0.05</v>
      </c>
      <c r="O100" s="246">
        <f>SUM(V062A_2030313334363537394041[[#This Row],[MPAL]]+V062A_2030313334363537394041[[#This Row],[AUX.]]+V062A_2030313334363537394041[[#This Row],[CALDERA]])</f>
        <v>0.12000000000000001</v>
      </c>
      <c r="P100" s="319"/>
      <c r="Q100" s="270">
        <f>(Q99-V062A_2030313334363537394041[[#This Row],[TOTAL ]])+V062A_2030313334363537394041[[#This Row],[FAENA]]</f>
        <v>260.24999999999989</v>
      </c>
      <c r="R100" s="245">
        <v>0</v>
      </c>
      <c r="S100" s="246">
        <v>0</v>
      </c>
      <c r="T100" s="246">
        <v>0</v>
      </c>
      <c r="U100" s="246">
        <v>0</v>
      </c>
      <c r="V100" s="246">
        <v>0</v>
      </c>
      <c r="W100" s="246">
        <f>SUM(V062A_2030313334363537394041[[#This Row],[MPAL2]:[GI]])</f>
        <v>0</v>
      </c>
      <c r="X100" s="246"/>
      <c r="Y100" s="300">
        <f>(Y99-V062A_2030313334363537394041[[#This Row],[TOTAL]])+V062A_2030313334363537394041[[#This Row],[FAENA2]]</f>
        <v>59.519999999999989</v>
      </c>
      <c r="Z100" s="245">
        <v>0</v>
      </c>
      <c r="AA100" s="246">
        <v>0</v>
      </c>
      <c r="AB100" s="438">
        <f>(AB99-V062A_2030313334363537394041[[#This Row],[CYLINDER MP]])+V062A_2030313334363537394041[[#This Row],[FAENA EN LTS]]</f>
        <v>2547</v>
      </c>
      <c r="AC100" s="246">
        <v>0</v>
      </c>
      <c r="AD100" s="246">
        <v>0</v>
      </c>
      <c r="AE100" s="438">
        <f>(AE99-V062A_2030313334363537394041[[#This Row],[CARTER MP.]])+V062A_2030313334363537394041[[#This Row],[FAENA EN LTS2]]</f>
        <v>4000</v>
      </c>
      <c r="AF100" s="246">
        <v>0</v>
      </c>
      <c r="AG100" s="246">
        <v>0</v>
      </c>
      <c r="AH100" s="438">
        <f>(AH99-V062A_2030313334363537394041[[#This Row],[MOT AUX]])+V062A_2030313334363537394041[[#This Row],[FAENA EN  LTS]]</f>
        <v>3790</v>
      </c>
      <c r="AI100" s="246">
        <v>0</v>
      </c>
      <c r="AJ100" s="246">
        <v>0</v>
      </c>
      <c r="AK100" s="439">
        <f>(AK99-V062A_2030313334363537394041[[#This Row],[HIDRAULICO]])+V062A_2030313334363537394041[[#This Row],[FAENA EN LTS3]]</f>
        <v>2500</v>
      </c>
    </row>
    <row r="101" spans="1:37" x14ac:dyDescent="0.25">
      <c r="A101" s="431" t="s">
        <v>443</v>
      </c>
      <c r="B101" s="526">
        <v>44307</v>
      </c>
      <c r="C101" s="237">
        <v>0.5625</v>
      </c>
      <c r="D101" s="418">
        <f>IF(V062A_2030313334363537394041[[#This Row],[FECHA]]-B100=1,((V062A_2030313334363537394041[[#This Row],[HORA]]-C100)*24)+24,(V062A_2030313334363537394041[[#This Row],[HORA]]-C100)*24)</f>
        <v>0.50000000000000089</v>
      </c>
      <c r="E101" s="527" t="s">
        <v>47</v>
      </c>
      <c r="F101" s="528" t="s">
        <v>472</v>
      </c>
      <c r="G101" s="529"/>
      <c r="H101" s="530"/>
      <c r="I101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1" s="532"/>
      <c r="K101" s="533"/>
      <c r="L101" s="245">
        <v>0.1</v>
      </c>
      <c r="M101" s="246">
        <v>0.03</v>
      </c>
      <c r="N101" s="246">
        <v>0.02</v>
      </c>
      <c r="O101" s="246">
        <f>SUM(V062A_2030313334363537394041[[#This Row],[MPAL]]+V062A_2030313334363537394041[[#This Row],[AUX.]]+V062A_2030313334363537394041[[#This Row],[CALDERA]])</f>
        <v>0.15</v>
      </c>
      <c r="P101" s="319"/>
      <c r="Q101" s="270">
        <f>(Q100-V062A_2030313334363537394041[[#This Row],[TOTAL ]])+V062A_2030313334363537394041[[#This Row],[FAENA]]</f>
        <v>260.09999999999991</v>
      </c>
      <c r="R101" s="245">
        <v>0</v>
      </c>
      <c r="S101" s="246">
        <v>0</v>
      </c>
      <c r="T101" s="246">
        <v>0</v>
      </c>
      <c r="U101" s="246">
        <v>0</v>
      </c>
      <c r="V101" s="246">
        <v>0</v>
      </c>
      <c r="W101" s="246">
        <f>SUM(V062A_2030313334363537394041[[#This Row],[MPAL2]:[GI]])</f>
        <v>0</v>
      </c>
      <c r="X101" s="246"/>
      <c r="Y101" s="300">
        <f>(Y100-V062A_2030313334363537394041[[#This Row],[TOTAL]])+V062A_2030313334363537394041[[#This Row],[FAENA2]]</f>
        <v>59.519999999999989</v>
      </c>
      <c r="Z101" s="245">
        <v>0</v>
      </c>
      <c r="AA101" s="246">
        <v>0</v>
      </c>
      <c r="AB101" s="438">
        <f>(AB100-V062A_2030313334363537394041[[#This Row],[CYLINDER MP]])+V062A_2030313334363537394041[[#This Row],[FAENA EN LTS]]</f>
        <v>2547</v>
      </c>
      <c r="AC101" s="246">
        <v>0</v>
      </c>
      <c r="AD101" s="246">
        <v>0</v>
      </c>
      <c r="AE101" s="438">
        <f>(AE100-V062A_2030313334363537394041[[#This Row],[CARTER MP.]])+V062A_2030313334363537394041[[#This Row],[FAENA EN LTS2]]</f>
        <v>4000</v>
      </c>
      <c r="AF101" s="246">
        <v>0</v>
      </c>
      <c r="AG101" s="246">
        <v>0</v>
      </c>
      <c r="AH101" s="438">
        <f>(AH100-V062A_2030313334363537394041[[#This Row],[MOT AUX]])+V062A_2030313334363537394041[[#This Row],[FAENA EN  LTS]]</f>
        <v>3790</v>
      </c>
      <c r="AI101" s="246">
        <v>0</v>
      </c>
      <c r="AJ101" s="246">
        <v>0</v>
      </c>
      <c r="AK101" s="439">
        <f>(AK100-V062A_2030313334363537394041[[#This Row],[HIDRAULICO]])+V062A_2030313334363537394041[[#This Row],[FAENA EN LTS3]]</f>
        <v>2500</v>
      </c>
    </row>
    <row r="102" spans="1:37" x14ac:dyDescent="0.25">
      <c r="A102" s="431" t="s">
        <v>443</v>
      </c>
      <c r="B102" s="526">
        <v>44308</v>
      </c>
      <c r="C102" s="237">
        <v>0.33333333333333331</v>
      </c>
      <c r="D102" s="418">
        <f>IF(V062A_2030313334363537394041[[#This Row],[FECHA]]-B101=1,((V062A_2030313334363537394041[[#This Row],[HORA]]-C101)*24)+24,(V062A_2030313334363537394041[[#This Row],[HORA]]-C101)*24)</f>
        <v>18.5</v>
      </c>
      <c r="E102" s="527" t="s">
        <v>45</v>
      </c>
      <c r="F102" s="528" t="s">
        <v>375</v>
      </c>
      <c r="G102" s="529"/>
      <c r="H102" s="530"/>
      <c r="I102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2" s="532"/>
      <c r="K102" s="533"/>
      <c r="L102" s="245">
        <v>0</v>
      </c>
      <c r="M102" s="246">
        <v>1.23</v>
      </c>
      <c r="N102" s="246">
        <v>4.63</v>
      </c>
      <c r="O102" s="246">
        <f>SUM(V062A_2030313334363537394041[[#This Row],[MPAL]]+V062A_2030313334363537394041[[#This Row],[AUX.]]+V062A_2030313334363537394041[[#This Row],[CALDERA]])</f>
        <v>5.8599999999999994</v>
      </c>
      <c r="P102" s="319"/>
      <c r="Q102" s="270">
        <f>(Q101-V062A_2030313334363537394041[[#This Row],[TOTAL ]])+V062A_2030313334363537394041[[#This Row],[FAENA]]</f>
        <v>254.2399999999999</v>
      </c>
      <c r="R102" s="245">
        <v>0</v>
      </c>
      <c r="S102" s="246">
        <v>0</v>
      </c>
      <c r="T102" s="246">
        <v>0</v>
      </c>
      <c r="U102" s="246">
        <v>0</v>
      </c>
      <c r="V102" s="246">
        <v>0</v>
      </c>
      <c r="W102" s="246">
        <f>SUM(V062A_2030313334363537394041[[#This Row],[MPAL2]:[GI]])</f>
        <v>0</v>
      </c>
      <c r="X102" s="246"/>
      <c r="Y102" s="300">
        <f>(Y101-V062A_2030313334363537394041[[#This Row],[TOTAL]])+V062A_2030313334363537394041[[#This Row],[FAENA2]]</f>
        <v>59.519999999999989</v>
      </c>
      <c r="Z102" s="245">
        <v>0</v>
      </c>
      <c r="AA102" s="246">
        <v>0</v>
      </c>
      <c r="AB102" s="438">
        <f>(AB101-V062A_2030313334363537394041[[#This Row],[CYLINDER MP]])+V062A_2030313334363537394041[[#This Row],[FAENA EN LTS]]</f>
        <v>2547</v>
      </c>
      <c r="AC102" s="246">
        <v>0</v>
      </c>
      <c r="AD102" s="246">
        <v>0</v>
      </c>
      <c r="AE102" s="438">
        <f>(AE101-V062A_2030313334363537394041[[#This Row],[CARTER MP.]])+V062A_2030313334363537394041[[#This Row],[FAENA EN LTS2]]</f>
        <v>4000</v>
      </c>
      <c r="AF102" s="246">
        <v>0</v>
      </c>
      <c r="AG102" s="246">
        <v>0</v>
      </c>
      <c r="AH102" s="438">
        <f>(AH101-V062A_2030313334363537394041[[#This Row],[MOT AUX]])+V062A_2030313334363537394041[[#This Row],[FAENA EN  LTS]]</f>
        <v>3790</v>
      </c>
      <c r="AI102" s="246">
        <v>0</v>
      </c>
      <c r="AJ102" s="246">
        <v>0</v>
      </c>
      <c r="AK102" s="439">
        <f>(AK101-V062A_2030313334363537394041[[#This Row],[HIDRAULICO]])+V062A_2030313334363537394041[[#This Row],[FAENA EN LTS3]]</f>
        <v>2500</v>
      </c>
    </row>
    <row r="103" spans="1:37" x14ac:dyDescent="0.25">
      <c r="A103" s="431" t="s">
        <v>443</v>
      </c>
      <c r="B103" s="526">
        <v>44309</v>
      </c>
      <c r="C103" s="237">
        <v>0.33333333333333331</v>
      </c>
      <c r="D103" s="418">
        <f>IF(V062A_2030313334363537394041[[#This Row],[FECHA]]-B102=1,((V062A_2030313334363537394041[[#This Row],[HORA]]-C102)*24)+24,(V062A_2030313334363537394041[[#This Row],[HORA]]-C102)*24)</f>
        <v>24</v>
      </c>
      <c r="E103" s="527" t="s">
        <v>45</v>
      </c>
      <c r="F103" s="528" t="s">
        <v>375</v>
      </c>
      <c r="G103" s="529"/>
      <c r="H103" s="530"/>
      <c r="I103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3" s="532"/>
      <c r="K103" s="533"/>
      <c r="L103" s="245">
        <v>0</v>
      </c>
      <c r="M103" s="246">
        <v>1.6</v>
      </c>
      <c r="N103" s="246">
        <v>6</v>
      </c>
      <c r="O103" s="246">
        <f>SUM(V062A_2030313334363537394041[[#This Row],[MPAL]]+V062A_2030313334363537394041[[#This Row],[AUX.]]+V062A_2030313334363537394041[[#This Row],[CALDERA]])</f>
        <v>7.6</v>
      </c>
      <c r="P103" s="319"/>
      <c r="Q103" s="270">
        <f>(Q102-V062A_2030313334363537394041[[#This Row],[TOTAL ]])+V062A_2030313334363537394041[[#This Row],[FAENA]]</f>
        <v>246.6399999999999</v>
      </c>
      <c r="R103" s="245">
        <v>0</v>
      </c>
      <c r="S103" s="246">
        <v>0</v>
      </c>
      <c r="T103" s="246">
        <v>0</v>
      </c>
      <c r="U103" s="246">
        <v>0</v>
      </c>
      <c r="V103" s="246">
        <v>0</v>
      </c>
      <c r="W103" s="246">
        <f>SUM(V062A_2030313334363537394041[[#This Row],[MPAL2]:[GI]])</f>
        <v>0</v>
      </c>
      <c r="X103" s="246"/>
      <c r="Y103" s="300">
        <f>(Y102-V062A_2030313334363537394041[[#This Row],[TOTAL]])+V062A_2030313334363537394041[[#This Row],[FAENA2]]</f>
        <v>59.519999999999989</v>
      </c>
      <c r="Z103" s="245">
        <v>0</v>
      </c>
      <c r="AA103" s="246">
        <v>0</v>
      </c>
      <c r="AB103" s="438">
        <f>(AB102-V062A_2030313334363537394041[[#This Row],[CYLINDER MP]])+V062A_2030313334363537394041[[#This Row],[FAENA EN LTS]]</f>
        <v>2547</v>
      </c>
      <c r="AC103" s="246">
        <v>0</v>
      </c>
      <c r="AD103" s="246">
        <v>0</v>
      </c>
      <c r="AE103" s="438">
        <f>(AE102-V062A_2030313334363537394041[[#This Row],[CARTER MP.]])+V062A_2030313334363537394041[[#This Row],[FAENA EN LTS2]]</f>
        <v>4000</v>
      </c>
      <c r="AF103" s="246">
        <v>0</v>
      </c>
      <c r="AG103" s="246">
        <v>0</v>
      </c>
      <c r="AH103" s="438">
        <f>(AH102-V062A_2030313334363537394041[[#This Row],[MOT AUX]])+V062A_2030313334363537394041[[#This Row],[FAENA EN  LTS]]</f>
        <v>3790</v>
      </c>
      <c r="AI103" s="246">
        <v>0</v>
      </c>
      <c r="AJ103" s="246">
        <v>0</v>
      </c>
      <c r="AK103" s="439">
        <f>(AK102-V062A_2030313334363537394041[[#This Row],[HIDRAULICO]])+V062A_2030313334363537394041[[#This Row],[FAENA EN LTS3]]</f>
        <v>2500</v>
      </c>
    </row>
    <row r="104" spans="1:37" x14ac:dyDescent="0.25">
      <c r="A104" s="431" t="s">
        <v>443</v>
      </c>
      <c r="B104" s="526">
        <v>44310</v>
      </c>
      <c r="C104" s="237">
        <v>0.33333333333333331</v>
      </c>
      <c r="D104" s="418">
        <f>IF(V062A_2030313334363537394041[[#This Row],[FECHA]]-B103=1,((V062A_2030313334363537394041[[#This Row],[HORA]]-C103)*24)+24,(V062A_2030313334363537394041[[#This Row],[HORA]]-C103)*24)</f>
        <v>24</v>
      </c>
      <c r="E104" s="409" t="s">
        <v>45</v>
      </c>
      <c r="F104" s="528" t="s">
        <v>375</v>
      </c>
      <c r="G104" s="534"/>
      <c r="H104" s="306"/>
      <c r="I104" s="535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4" s="380"/>
      <c r="K104" s="536"/>
      <c r="L104" s="245">
        <v>0</v>
      </c>
      <c r="M104" s="246">
        <v>1.6</v>
      </c>
      <c r="N104" s="246">
        <v>6</v>
      </c>
      <c r="O104" s="246">
        <f>SUM(V062A_2030313334363537394041[[#This Row],[MPAL]]+V062A_2030313334363537394041[[#This Row],[AUX.]]+V062A_2030313334363537394041[[#This Row],[CALDERA]])</f>
        <v>7.6</v>
      </c>
      <c r="P104" s="319"/>
      <c r="Q104" s="270">
        <f>(Q103-V062A_2030313334363537394041[[#This Row],[TOTAL ]])+V062A_2030313334363537394041[[#This Row],[FAENA]]</f>
        <v>239.03999999999991</v>
      </c>
      <c r="R104" s="245">
        <v>0</v>
      </c>
      <c r="S104" s="246">
        <v>0</v>
      </c>
      <c r="T104" s="246">
        <v>0</v>
      </c>
      <c r="U104" s="246">
        <v>0</v>
      </c>
      <c r="V104" s="246">
        <v>0</v>
      </c>
      <c r="W104" s="246">
        <f>SUM(V062A_2030313334363537394041[[#This Row],[MPAL2]:[GI]])</f>
        <v>0</v>
      </c>
      <c r="X104" s="246"/>
      <c r="Y104" s="300">
        <f>(Y103-V062A_2030313334363537394041[[#This Row],[TOTAL]])+V062A_2030313334363537394041[[#This Row],[FAENA2]]</f>
        <v>59.519999999999989</v>
      </c>
      <c r="Z104" s="245">
        <v>0</v>
      </c>
      <c r="AA104" s="246">
        <v>0</v>
      </c>
      <c r="AB104" s="438">
        <f>(AB103-V062A_2030313334363537394041[[#This Row],[CYLINDER MP]])+V062A_2030313334363537394041[[#This Row],[FAENA EN LTS]]</f>
        <v>2547</v>
      </c>
      <c r="AC104" s="246">
        <v>0</v>
      </c>
      <c r="AD104" s="246">
        <v>0</v>
      </c>
      <c r="AE104" s="438">
        <f>(AE103-V062A_2030313334363537394041[[#This Row],[CARTER MP.]])+V062A_2030313334363537394041[[#This Row],[FAENA EN LTS2]]</f>
        <v>4000</v>
      </c>
      <c r="AF104" s="246">
        <v>0</v>
      </c>
      <c r="AG104" s="246">
        <v>0</v>
      </c>
      <c r="AH104" s="438">
        <f>(AH103-V062A_2030313334363537394041[[#This Row],[MOT AUX]])+V062A_2030313334363537394041[[#This Row],[FAENA EN  LTS]]</f>
        <v>3790</v>
      </c>
      <c r="AI104" s="246">
        <v>0</v>
      </c>
      <c r="AJ104" s="246">
        <v>0</v>
      </c>
      <c r="AK104" s="439">
        <f>(AK103-V062A_2030313334363537394041[[#This Row],[HIDRAULICO]])+V062A_2030313334363537394041[[#This Row],[FAENA EN LTS3]]</f>
        <v>2500</v>
      </c>
    </row>
    <row r="105" spans="1:37" x14ac:dyDescent="0.25">
      <c r="A105" s="431" t="s">
        <v>443</v>
      </c>
      <c r="B105" s="526">
        <v>44310</v>
      </c>
      <c r="C105" s="237">
        <v>0.39583333333333331</v>
      </c>
      <c r="D105" s="418">
        <f>IF(V062A_2030313334363537394041[[#This Row],[FECHA]]-B104=1,((V062A_2030313334363537394041[[#This Row],[HORA]]-C104)*24)+24,(V062A_2030313334363537394041[[#This Row],[HORA]]-C104)*24)</f>
        <v>1.5</v>
      </c>
      <c r="E105" s="527" t="s">
        <v>49</v>
      </c>
      <c r="F105" s="528" t="s">
        <v>46</v>
      </c>
      <c r="G105" s="529"/>
      <c r="H105" s="530"/>
      <c r="I105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5" s="532"/>
      <c r="K105" s="533"/>
      <c r="L105" s="245">
        <v>0</v>
      </c>
      <c r="M105" s="246">
        <v>0.1</v>
      </c>
      <c r="N105" s="246">
        <v>0.38</v>
      </c>
      <c r="O105" s="246">
        <f>SUM(V062A_2030313334363537394041[[#This Row],[MPAL]]+V062A_2030313334363537394041[[#This Row],[AUX.]]+V062A_2030313334363537394041[[#This Row],[CALDERA]])</f>
        <v>0.48</v>
      </c>
      <c r="P105" s="319"/>
      <c r="Q105" s="270">
        <f>(Q104-V062A_2030313334363537394041[[#This Row],[TOTAL ]])+V062A_2030313334363537394041[[#This Row],[FAENA]]</f>
        <v>238.55999999999992</v>
      </c>
      <c r="R105" s="245">
        <v>0</v>
      </c>
      <c r="S105" s="246">
        <v>0</v>
      </c>
      <c r="T105" s="246">
        <v>0</v>
      </c>
      <c r="U105" s="246">
        <v>0</v>
      </c>
      <c r="V105" s="246">
        <v>0</v>
      </c>
      <c r="W105" s="246">
        <f>SUM(V062A_2030313334363537394041[[#This Row],[MPAL2]:[GI]])</f>
        <v>0</v>
      </c>
      <c r="X105" s="246"/>
      <c r="Y105" s="300">
        <f>(Y104-V062A_2030313334363537394041[[#This Row],[TOTAL]])+V062A_2030313334363537394041[[#This Row],[FAENA2]]</f>
        <v>59.519999999999989</v>
      </c>
      <c r="Z105" s="245">
        <v>0</v>
      </c>
      <c r="AA105" s="246">
        <v>0</v>
      </c>
      <c r="AB105" s="438">
        <f>(AB104-V062A_2030313334363537394041[[#This Row],[CYLINDER MP]])+V062A_2030313334363537394041[[#This Row],[FAENA EN LTS]]</f>
        <v>2547</v>
      </c>
      <c r="AC105" s="246">
        <v>0</v>
      </c>
      <c r="AD105" s="246">
        <v>0</v>
      </c>
      <c r="AE105" s="438">
        <f>(AE104-V062A_2030313334363537394041[[#This Row],[CARTER MP.]])+V062A_2030313334363537394041[[#This Row],[FAENA EN LTS2]]</f>
        <v>4000</v>
      </c>
      <c r="AF105" s="246">
        <v>0</v>
      </c>
      <c r="AG105" s="246">
        <v>0</v>
      </c>
      <c r="AH105" s="438">
        <f>(AH104-V062A_2030313334363537394041[[#This Row],[MOT AUX]])+V062A_2030313334363537394041[[#This Row],[FAENA EN  LTS]]</f>
        <v>3790</v>
      </c>
      <c r="AI105" s="246">
        <v>0</v>
      </c>
      <c r="AJ105" s="246">
        <v>0</v>
      </c>
      <c r="AK105" s="439">
        <f>(AK104-V062A_2030313334363537394041[[#This Row],[HIDRAULICO]])+V062A_2030313334363537394041[[#This Row],[FAENA EN LTS3]]</f>
        <v>2500</v>
      </c>
    </row>
    <row r="106" spans="1:37" x14ac:dyDescent="0.25">
      <c r="A106" s="431" t="s">
        <v>443</v>
      </c>
      <c r="B106" s="526">
        <v>44310</v>
      </c>
      <c r="C106" s="237">
        <v>0.47083333333333338</v>
      </c>
      <c r="D106" s="418">
        <f>IF(V062A_2030313334363537394041[[#This Row],[FECHA]]-B105=1,((V062A_2030313334363537394041[[#This Row],[HORA]]-C105)*24)+24,(V062A_2030313334363537394041[[#This Row],[HORA]]-C105)*24)</f>
        <v>1.8000000000000016</v>
      </c>
      <c r="E106" s="527" t="s">
        <v>47</v>
      </c>
      <c r="F106" s="528" t="s">
        <v>474</v>
      </c>
      <c r="G106" s="529"/>
      <c r="H106" s="530"/>
      <c r="I106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6" s="532"/>
      <c r="K106" s="533"/>
      <c r="L106" s="245">
        <v>0.38</v>
      </c>
      <c r="M106" s="246">
        <v>0.12</v>
      </c>
      <c r="N106" s="246">
        <v>0.45</v>
      </c>
      <c r="O106" s="246">
        <f>SUM(V062A_2030313334363537394041[[#This Row],[MPAL]]+V062A_2030313334363537394041[[#This Row],[AUX.]]+V062A_2030313334363537394041[[#This Row],[CALDERA]])</f>
        <v>0.95</v>
      </c>
      <c r="P106" s="319"/>
      <c r="Q106" s="270">
        <f>(Q105-V062A_2030313334363537394041[[#This Row],[TOTAL ]])+V062A_2030313334363537394041[[#This Row],[FAENA]]</f>
        <v>237.60999999999993</v>
      </c>
      <c r="R106" s="245">
        <v>0</v>
      </c>
      <c r="S106" s="246">
        <v>0</v>
      </c>
      <c r="T106" s="246">
        <v>0</v>
      </c>
      <c r="U106" s="246">
        <v>0</v>
      </c>
      <c r="V106" s="246">
        <v>0</v>
      </c>
      <c r="W106" s="246">
        <f>SUM(V062A_2030313334363537394041[[#This Row],[MPAL2]:[GI]])</f>
        <v>0</v>
      </c>
      <c r="X106" s="246"/>
      <c r="Y106" s="300">
        <f>(Y105-V062A_2030313334363537394041[[#This Row],[TOTAL]])+V062A_2030313334363537394041[[#This Row],[FAENA2]]</f>
        <v>59.519999999999989</v>
      </c>
      <c r="Z106" s="245">
        <v>0</v>
      </c>
      <c r="AA106" s="246">
        <v>0</v>
      </c>
      <c r="AB106" s="438">
        <f>(AB105-V062A_2030313334363537394041[[#This Row],[CYLINDER MP]])+V062A_2030313334363537394041[[#This Row],[FAENA EN LTS]]</f>
        <v>2547</v>
      </c>
      <c r="AC106" s="246">
        <v>0</v>
      </c>
      <c r="AD106" s="246">
        <v>0</v>
      </c>
      <c r="AE106" s="438">
        <f>(AE105-V062A_2030313334363537394041[[#This Row],[CARTER MP.]])+V062A_2030313334363537394041[[#This Row],[FAENA EN LTS2]]</f>
        <v>4000</v>
      </c>
      <c r="AF106" s="246">
        <v>0</v>
      </c>
      <c r="AG106" s="246">
        <v>0</v>
      </c>
      <c r="AH106" s="438">
        <f>(AH105-V062A_2030313334363537394041[[#This Row],[MOT AUX]])+V062A_2030313334363537394041[[#This Row],[FAENA EN  LTS]]</f>
        <v>3790</v>
      </c>
      <c r="AI106" s="246">
        <v>0</v>
      </c>
      <c r="AJ106" s="246">
        <v>0</v>
      </c>
      <c r="AK106" s="439">
        <f>(AK105-V062A_2030313334363537394041[[#This Row],[HIDRAULICO]])+V062A_2030313334363537394041[[#This Row],[FAENA EN LTS3]]</f>
        <v>2500</v>
      </c>
    </row>
    <row r="107" spans="1:37" x14ac:dyDescent="0.25">
      <c r="A107" s="431" t="s">
        <v>443</v>
      </c>
      <c r="B107" s="526">
        <v>44310</v>
      </c>
      <c r="C107" s="237">
        <v>0.59166666666666667</v>
      </c>
      <c r="D107" s="418">
        <f>IF(V062A_2030313334363537394041[[#This Row],[FECHA]]-B106=1,((V062A_2030313334363537394041[[#This Row],[HORA]]-C106)*24)+24,(V062A_2030313334363537394041[[#This Row],[HORA]]-C106)*24)</f>
        <v>2.899999999999999</v>
      </c>
      <c r="E107" s="527" t="s">
        <v>49</v>
      </c>
      <c r="F107" s="528" t="s">
        <v>50</v>
      </c>
      <c r="G107" s="529"/>
      <c r="H107" s="530"/>
      <c r="I107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7" s="532"/>
      <c r="K107" s="533"/>
      <c r="L107" s="245">
        <v>0</v>
      </c>
      <c r="M107" s="246">
        <v>0.19</v>
      </c>
      <c r="N107" s="246">
        <v>0.12</v>
      </c>
      <c r="O107" s="246">
        <f>SUM(V062A_2030313334363537394041[[#This Row],[MPAL]]+V062A_2030313334363537394041[[#This Row],[AUX.]]+V062A_2030313334363537394041[[#This Row],[CALDERA]])</f>
        <v>0.31</v>
      </c>
      <c r="P107" s="319"/>
      <c r="Q107" s="270">
        <f>(Q106-V062A_2030313334363537394041[[#This Row],[TOTAL ]])+V062A_2030313334363537394041[[#This Row],[FAENA]]</f>
        <v>237.29999999999993</v>
      </c>
      <c r="R107" s="245">
        <v>0</v>
      </c>
      <c r="S107" s="246">
        <v>0</v>
      </c>
      <c r="T107" s="246">
        <v>0</v>
      </c>
      <c r="U107" s="246">
        <v>0</v>
      </c>
      <c r="V107" s="246">
        <v>0.3</v>
      </c>
      <c r="W107" s="246">
        <f>SUM(V062A_2030313334363537394041[[#This Row],[MPAL2]:[GI]])</f>
        <v>0.3</v>
      </c>
      <c r="X107" s="246"/>
      <c r="Y107" s="300">
        <f>(Y106-V062A_2030313334363537394041[[#This Row],[TOTAL]])+V062A_2030313334363537394041[[#This Row],[FAENA2]]</f>
        <v>59.219999999999992</v>
      </c>
      <c r="Z107" s="245">
        <v>0</v>
      </c>
      <c r="AA107" s="246">
        <v>0</v>
      </c>
      <c r="AB107" s="438">
        <f>(AB106-V062A_2030313334363537394041[[#This Row],[CYLINDER MP]])+V062A_2030313334363537394041[[#This Row],[FAENA EN LTS]]</f>
        <v>2547</v>
      </c>
      <c r="AC107" s="246">
        <v>0</v>
      </c>
      <c r="AD107" s="246">
        <v>0</v>
      </c>
      <c r="AE107" s="438">
        <f>(AE106-V062A_2030313334363537394041[[#This Row],[CARTER MP.]])+V062A_2030313334363537394041[[#This Row],[FAENA EN LTS2]]</f>
        <v>4000</v>
      </c>
      <c r="AF107" s="246">
        <v>0</v>
      </c>
      <c r="AG107" s="246">
        <v>0</v>
      </c>
      <c r="AH107" s="438">
        <f>(AH106-V062A_2030313334363537394041[[#This Row],[MOT AUX]])+V062A_2030313334363537394041[[#This Row],[FAENA EN  LTS]]</f>
        <v>3790</v>
      </c>
      <c r="AI107" s="246">
        <v>0</v>
      </c>
      <c r="AJ107" s="246">
        <v>0</v>
      </c>
      <c r="AK107" s="439">
        <f>(AK106-V062A_2030313334363537394041[[#This Row],[HIDRAULICO]])+V062A_2030313334363537394041[[#This Row],[FAENA EN LTS3]]</f>
        <v>2500</v>
      </c>
    </row>
    <row r="108" spans="1:37" x14ac:dyDescent="0.25">
      <c r="A108" s="431" t="s">
        <v>443</v>
      </c>
      <c r="B108" s="526">
        <v>44311</v>
      </c>
      <c r="C108" s="237">
        <v>0.22500000000000001</v>
      </c>
      <c r="D108" s="418">
        <f>IF(V062A_2030313334363537394041[[#This Row],[FECHA]]-B107=1,((V062A_2030313334363537394041[[#This Row],[HORA]]-C107)*24)+24,(V062A_2030313334363537394041[[#This Row],[HORA]]-C107)*24)</f>
        <v>15.2</v>
      </c>
      <c r="E108" s="527" t="s">
        <v>51</v>
      </c>
      <c r="F108" s="528" t="s">
        <v>52</v>
      </c>
      <c r="G108" s="529"/>
      <c r="H108" s="530"/>
      <c r="I108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8" s="532"/>
      <c r="K108" s="533"/>
      <c r="L108" s="245">
        <v>0</v>
      </c>
      <c r="M108" s="246">
        <v>1.01</v>
      </c>
      <c r="N108" s="246">
        <v>0.63</v>
      </c>
      <c r="O108" s="246">
        <f>SUM(V062A_2030313334363537394041[[#This Row],[MPAL]]+V062A_2030313334363537394041[[#This Row],[AUX.]]+V062A_2030313334363537394041[[#This Row],[CALDERA]])</f>
        <v>1.6400000000000001</v>
      </c>
      <c r="P108" s="319"/>
      <c r="Q108" s="270">
        <f>(Q107-V062A_2030313334363537394041[[#This Row],[TOTAL ]])+V062A_2030313334363537394041[[#This Row],[FAENA]]</f>
        <v>235.65999999999994</v>
      </c>
      <c r="R108" s="245">
        <v>0</v>
      </c>
      <c r="S108" s="246">
        <v>0</v>
      </c>
      <c r="T108" s="246">
        <v>0</v>
      </c>
      <c r="U108" s="246">
        <v>0</v>
      </c>
      <c r="V108" s="246">
        <v>1.8</v>
      </c>
      <c r="W108" s="246">
        <f>SUM(V062A_2030313334363537394041[[#This Row],[MPAL2]:[GI]])</f>
        <v>1.8</v>
      </c>
      <c r="X108" s="246"/>
      <c r="Y108" s="300">
        <f>(Y107-V062A_2030313334363537394041[[#This Row],[TOTAL]])+V062A_2030313334363537394041[[#This Row],[FAENA2]]</f>
        <v>57.419999999999995</v>
      </c>
      <c r="Z108" s="245">
        <v>0</v>
      </c>
      <c r="AA108" s="246">
        <v>0</v>
      </c>
      <c r="AB108" s="438">
        <f>(AB107-V062A_2030313334363537394041[[#This Row],[CYLINDER MP]])+V062A_2030313334363537394041[[#This Row],[FAENA EN LTS]]</f>
        <v>2547</v>
      </c>
      <c r="AC108" s="246">
        <v>0</v>
      </c>
      <c r="AD108" s="246">
        <v>0</v>
      </c>
      <c r="AE108" s="438">
        <f>(AE107-V062A_2030313334363537394041[[#This Row],[CARTER MP.]])+V062A_2030313334363537394041[[#This Row],[FAENA EN LTS2]]</f>
        <v>4000</v>
      </c>
      <c r="AF108" s="246">
        <v>0</v>
      </c>
      <c r="AG108" s="246">
        <v>0</v>
      </c>
      <c r="AH108" s="438">
        <f>(AH107-V062A_2030313334363537394041[[#This Row],[MOT AUX]])+V062A_2030313334363537394041[[#This Row],[FAENA EN  LTS]]</f>
        <v>3790</v>
      </c>
      <c r="AI108" s="246">
        <v>0</v>
      </c>
      <c r="AJ108" s="246">
        <v>0</v>
      </c>
      <c r="AK108" s="439">
        <f>(AK107-V062A_2030313334363537394041[[#This Row],[HIDRAULICO]])+V062A_2030313334363537394041[[#This Row],[FAENA EN LTS3]]</f>
        <v>2500</v>
      </c>
    </row>
    <row r="109" spans="1:37" x14ac:dyDescent="0.25">
      <c r="A109" s="431" t="s">
        <v>443</v>
      </c>
      <c r="B109" s="526">
        <v>44311</v>
      </c>
      <c r="C109" s="237">
        <v>0.33333333333333331</v>
      </c>
      <c r="D109" s="418">
        <f>IF(V062A_2030313334363537394041[[#This Row],[FECHA]]-B108=1,((V062A_2030313334363537394041[[#This Row],[HORA]]-C108)*24)+24,(V062A_2030313334363537394041[[#This Row],[HORA]]-C108)*24)</f>
        <v>2.5999999999999996</v>
      </c>
      <c r="E109" s="527" t="s">
        <v>49</v>
      </c>
      <c r="F109" s="528" t="s">
        <v>475</v>
      </c>
      <c r="G109" s="529"/>
      <c r="H109" s="530"/>
      <c r="I109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09" s="532"/>
      <c r="K109" s="533"/>
      <c r="L109" s="245">
        <v>0</v>
      </c>
      <c r="M109" s="246">
        <v>0.17</v>
      </c>
      <c r="N109" s="246">
        <v>0.11</v>
      </c>
      <c r="O109" s="246">
        <f>SUM(V062A_2030313334363537394041[[#This Row],[MPAL]]+V062A_2030313334363537394041[[#This Row],[AUX.]]+V062A_2030313334363537394041[[#This Row],[CALDERA]])</f>
        <v>0.28000000000000003</v>
      </c>
      <c r="P109" s="319"/>
      <c r="Q109" s="270">
        <f>(Q108-V062A_2030313334363537394041[[#This Row],[TOTAL ]])+V062A_2030313334363537394041[[#This Row],[FAENA]]</f>
        <v>235.37999999999994</v>
      </c>
      <c r="R109" s="245">
        <v>0</v>
      </c>
      <c r="S109" s="246">
        <v>0</v>
      </c>
      <c r="T109" s="246">
        <v>0</v>
      </c>
      <c r="U109" s="246">
        <v>0</v>
      </c>
      <c r="V109" s="246">
        <v>0.15</v>
      </c>
      <c r="W109" s="246">
        <f>SUM(V062A_2030313334363537394041[[#This Row],[MPAL2]:[GI]])</f>
        <v>0.15</v>
      </c>
      <c r="X109" s="246"/>
      <c r="Y109" s="300">
        <f>(Y108-V062A_2030313334363537394041[[#This Row],[TOTAL]])+V062A_2030313334363537394041[[#This Row],[FAENA2]]</f>
        <v>57.269999999999996</v>
      </c>
      <c r="Z109" s="245">
        <v>0</v>
      </c>
      <c r="AA109" s="246">
        <v>0</v>
      </c>
      <c r="AB109" s="438">
        <f>(AB108-V062A_2030313334363537394041[[#This Row],[CYLINDER MP]])+V062A_2030313334363537394041[[#This Row],[FAENA EN LTS]]</f>
        <v>2547</v>
      </c>
      <c r="AC109" s="246">
        <v>0</v>
      </c>
      <c r="AD109" s="246">
        <v>0</v>
      </c>
      <c r="AE109" s="438">
        <f>(AE108-V062A_2030313334363537394041[[#This Row],[CARTER MP.]])+V062A_2030313334363537394041[[#This Row],[FAENA EN LTS2]]</f>
        <v>4000</v>
      </c>
      <c r="AF109" s="246">
        <v>20</v>
      </c>
      <c r="AG109" s="246">
        <v>0</v>
      </c>
      <c r="AH109" s="438">
        <f>(AH108-V062A_2030313334363537394041[[#This Row],[MOT AUX]])+V062A_2030313334363537394041[[#This Row],[FAENA EN  LTS]]</f>
        <v>3770</v>
      </c>
      <c r="AI109" s="246">
        <v>0</v>
      </c>
      <c r="AJ109" s="246">
        <v>0</v>
      </c>
      <c r="AK109" s="439">
        <f>(AK108-V062A_2030313334363537394041[[#This Row],[HIDRAULICO]])+V062A_2030313334363537394041[[#This Row],[FAENA EN LTS3]]</f>
        <v>2500</v>
      </c>
    </row>
    <row r="110" spans="1:37" x14ac:dyDescent="0.25">
      <c r="A110" s="431" t="s">
        <v>443</v>
      </c>
      <c r="B110" s="526">
        <v>44311</v>
      </c>
      <c r="C110" s="237">
        <v>0.38750000000000001</v>
      </c>
      <c r="D110" s="418">
        <f>IF(V062A_2030313334363537394041[[#This Row],[FECHA]]-B109=1,((V062A_2030313334363537394041[[#This Row],[HORA]]-C109)*24)+24,(V062A_2030313334363537394041[[#This Row],[HORA]]-C109)*24)</f>
        <v>1.3000000000000007</v>
      </c>
      <c r="E110" s="527" t="s">
        <v>49</v>
      </c>
      <c r="F110" s="528" t="s">
        <v>46</v>
      </c>
      <c r="G110" s="529"/>
      <c r="H110" s="530"/>
      <c r="I110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10" s="532"/>
      <c r="K110" s="533"/>
      <c r="L110" s="245">
        <v>0</v>
      </c>
      <c r="M110" s="246">
        <v>0.09</v>
      </c>
      <c r="N110" s="246">
        <v>0.05</v>
      </c>
      <c r="O110" s="246">
        <f>SUM(V062A_2030313334363537394041[[#This Row],[MPAL]]+V062A_2030313334363537394041[[#This Row],[AUX.]]+V062A_2030313334363537394041[[#This Row],[CALDERA]])</f>
        <v>0.14000000000000001</v>
      </c>
      <c r="P110" s="319"/>
      <c r="Q110" s="270">
        <f>(Q109-V062A_2030313334363537394041[[#This Row],[TOTAL ]])+V062A_2030313334363537394041[[#This Row],[FAENA]]</f>
        <v>235.23999999999995</v>
      </c>
      <c r="R110" s="245">
        <v>0</v>
      </c>
      <c r="S110" s="246">
        <v>0</v>
      </c>
      <c r="T110" s="246">
        <v>0</v>
      </c>
      <c r="U110" s="246">
        <v>0</v>
      </c>
      <c r="V110" s="246">
        <v>0</v>
      </c>
      <c r="W110" s="246">
        <f>SUM(V062A_2030313334363537394041[[#This Row],[MPAL2]:[GI]])</f>
        <v>0</v>
      </c>
      <c r="X110" s="246"/>
      <c r="Y110" s="300">
        <f>(Y109-V062A_2030313334363537394041[[#This Row],[TOTAL]])+V062A_2030313334363537394041[[#This Row],[FAENA2]]</f>
        <v>57.269999999999996</v>
      </c>
      <c r="Z110" s="245">
        <v>0</v>
      </c>
      <c r="AA110" s="246">
        <v>0</v>
      </c>
      <c r="AB110" s="438">
        <f>(AB109-V062A_2030313334363537394041[[#This Row],[CYLINDER MP]])+V062A_2030313334363537394041[[#This Row],[FAENA EN LTS]]</f>
        <v>2547</v>
      </c>
      <c r="AC110" s="246">
        <v>0</v>
      </c>
      <c r="AD110" s="246">
        <v>0</v>
      </c>
      <c r="AE110" s="438">
        <f>(AE109-V062A_2030313334363537394041[[#This Row],[CARTER MP.]])+V062A_2030313334363537394041[[#This Row],[FAENA EN LTS2]]</f>
        <v>4000</v>
      </c>
      <c r="AF110" s="246">
        <v>0</v>
      </c>
      <c r="AG110" s="246">
        <v>0</v>
      </c>
      <c r="AH110" s="438">
        <f>(AH109-V062A_2030313334363537394041[[#This Row],[MOT AUX]])+V062A_2030313334363537394041[[#This Row],[FAENA EN  LTS]]</f>
        <v>3770</v>
      </c>
      <c r="AI110" s="246">
        <v>0</v>
      </c>
      <c r="AJ110" s="246">
        <v>0</v>
      </c>
      <c r="AK110" s="439">
        <f>(AK109-V062A_2030313334363537394041[[#This Row],[HIDRAULICO]])+V062A_2030313334363537394041[[#This Row],[FAENA EN LTS3]]</f>
        <v>2500</v>
      </c>
    </row>
    <row r="111" spans="1:37" x14ac:dyDescent="0.25">
      <c r="A111" s="431" t="s">
        <v>443</v>
      </c>
      <c r="B111" s="526">
        <v>44311</v>
      </c>
      <c r="C111" s="237">
        <v>0.41666666666666669</v>
      </c>
      <c r="D111" s="418">
        <f>IF(V062A_2030313334363537394041[[#This Row],[FECHA]]-B110=1,((V062A_2030313334363537394041[[#This Row],[HORA]]-C110)*24)+24,(V062A_2030313334363537394041[[#This Row],[HORA]]-C110)*24)</f>
        <v>0.70000000000000018</v>
      </c>
      <c r="E111" s="527" t="s">
        <v>47</v>
      </c>
      <c r="F111" s="528" t="s">
        <v>151</v>
      </c>
      <c r="G111" s="529"/>
      <c r="H111" s="530"/>
      <c r="I111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11" s="532"/>
      <c r="K111" s="533"/>
      <c r="L111" s="245">
        <v>0.15</v>
      </c>
      <c r="M111" s="246">
        <v>0.05</v>
      </c>
      <c r="N111" s="246">
        <v>0.03</v>
      </c>
      <c r="O111" s="246">
        <f>SUM(V062A_2030313334363537394041[[#This Row],[MPAL]]+V062A_2030313334363537394041[[#This Row],[AUX.]]+V062A_2030313334363537394041[[#This Row],[CALDERA]])</f>
        <v>0.23</v>
      </c>
      <c r="P111" s="319"/>
      <c r="Q111" s="270">
        <f>(Q110-V062A_2030313334363537394041[[#This Row],[TOTAL ]])+V062A_2030313334363537394041[[#This Row],[FAENA]]</f>
        <v>235.00999999999996</v>
      </c>
      <c r="R111" s="245">
        <v>0</v>
      </c>
      <c r="S111" s="246">
        <v>0</v>
      </c>
      <c r="T111" s="246">
        <v>0</v>
      </c>
      <c r="U111" s="246">
        <v>0</v>
      </c>
      <c r="V111" s="246">
        <v>0</v>
      </c>
      <c r="W111" s="246">
        <f>SUM(V062A_2030313334363537394041[[#This Row],[MPAL2]:[GI]])</f>
        <v>0</v>
      </c>
      <c r="X111" s="246"/>
      <c r="Y111" s="300">
        <f>(Y110-V062A_2030313334363537394041[[#This Row],[TOTAL]])+V062A_2030313334363537394041[[#This Row],[FAENA2]]</f>
        <v>57.269999999999996</v>
      </c>
      <c r="Z111" s="245">
        <v>0</v>
      </c>
      <c r="AA111" s="246">
        <v>0</v>
      </c>
      <c r="AB111" s="438">
        <f>(AB110-V062A_2030313334363537394041[[#This Row],[CYLINDER MP]])+V062A_2030313334363537394041[[#This Row],[FAENA EN LTS]]</f>
        <v>2547</v>
      </c>
      <c r="AC111" s="246">
        <v>0</v>
      </c>
      <c r="AD111" s="246">
        <v>0</v>
      </c>
      <c r="AE111" s="438">
        <f>(AE110-V062A_2030313334363537394041[[#This Row],[CARTER MP.]])+V062A_2030313334363537394041[[#This Row],[FAENA EN LTS2]]</f>
        <v>4000</v>
      </c>
      <c r="AF111" s="246">
        <v>0</v>
      </c>
      <c r="AG111" s="246">
        <v>0</v>
      </c>
      <c r="AH111" s="438">
        <f>(AH110-V062A_2030313334363537394041[[#This Row],[MOT AUX]])+V062A_2030313334363537394041[[#This Row],[FAENA EN  LTS]]</f>
        <v>3770</v>
      </c>
      <c r="AI111" s="246">
        <v>0</v>
      </c>
      <c r="AJ111" s="246">
        <v>0</v>
      </c>
      <c r="AK111" s="439">
        <f>(AK110-V062A_2030313334363537394041[[#This Row],[HIDRAULICO]])+V062A_2030313334363537394041[[#This Row],[FAENA EN LTS3]]</f>
        <v>2500</v>
      </c>
    </row>
    <row r="112" spans="1:37" x14ac:dyDescent="0.25">
      <c r="A112" s="431" t="s">
        <v>443</v>
      </c>
      <c r="B112" s="526">
        <v>44312</v>
      </c>
      <c r="C112" s="237">
        <v>0</v>
      </c>
      <c r="D112" s="418">
        <f>IF(V062A_2030313334363537394041[[#This Row],[FECHA]]-B111=1,((V062A_2030313334363537394041[[#This Row],[HORA]]-C111)*24)+24,(V062A_2030313334363537394041[[#This Row],[HORA]]-C111)*24)</f>
        <v>14</v>
      </c>
      <c r="E112" s="527" t="s">
        <v>55</v>
      </c>
      <c r="F112" s="528" t="s">
        <v>56</v>
      </c>
      <c r="G112" s="529"/>
      <c r="H112" s="530"/>
      <c r="I112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12" s="532"/>
      <c r="K112" s="533"/>
      <c r="L112" s="245">
        <v>13.65</v>
      </c>
      <c r="M112" s="246">
        <v>0.93</v>
      </c>
      <c r="N112" s="246">
        <v>0.57999999999999996</v>
      </c>
      <c r="O112" s="246">
        <f>SUM(V062A_2030313334363537394041[[#This Row],[MPAL]]+V062A_2030313334363537394041[[#This Row],[AUX.]]+V062A_2030313334363537394041[[#This Row],[CALDERA]])</f>
        <v>15.16</v>
      </c>
      <c r="P112" s="319"/>
      <c r="Q112" s="270">
        <f>(Q111-V062A_2030313334363537394041[[#This Row],[TOTAL ]])+V062A_2030313334363537394041[[#This Row],[FAENA]]</f>
        <v>219.84999999999997</v>
      </c>
      <c r="R112" s="245">
        <v>0</v>
      </c>
      <c r="S112" s="246">
        <v>0</v>
      </c>
      <c r="T112" s="246">
        <v>0</v>
      </c>
      <c r="U112" s="246">
        <v>0</v>
      </c>
      <c r="V112" s="246">
        <v>0</v>
      </c>
      <c r="W112" s="246">
        <f>SUM(V062A_2030313334363537394041[[#This Row],[MPAL2]:[GI]])</f>
        <v>0</v>
      </c>
      <c r="X112" s="246"/>
      <c r="Y112" s="300">
        <f>(Y111-V062A_2030313334363537394041[[#This Row],[TOTAL]])+V062A_2030313334363537394041[[#This Row],[FAENA2]]</f>
        <v>57.269999999999996</v>
      </c>
      <c r="Z112" s="245">
        <v>140</v>
      </c>
      <c r="AA112" s="246">
        <v>0</v>
      </c>
      <c r="AB112" s="438">
        <f>(AB111-V062A_2030313334363537394041[[#This Row],[CYLINDER MP]])+V062A_2030313334363537394041[[#This Row],[FAENA EN LTS]]</f>
        <v>2407</v>
      </c>
      <c r="AC112" s="246">
        <v>0</v>
      </c>
      <c r="AD112" s="246">
        <v>0</v>
      </c>
      <c r="AE112" s="438">
        <f>(AE111-V062A_2030313334363537394041[[#This Row],[CARTER MP.]])+V062A_2030313334363537394041[[#This Row],[FAENA EN LTS2]]</f>
        <v>4000</v>
      </c>
      <c r="AF112" s="246">
        <v>0</v>
      </c>
      <c r="AG112" s="246">
        <v>0</v>
      </c>
      <c r="AH112" s="438">
        <f>(AH111-V062A_2030313334363537394041[[#This Row],[MOT AUX]])+V062A_2030313334363537394041[[#This Row],[FAENA EN  LTS]]</f>
        <v>3770</v>
      </c>
      <c r="AI112" s="246">
        <v>0</v>
      </c>
      <c r="AJ112" s="246">
        <v>0</v>
      </c>
      <c r="AK112" s="439">
        <f>(AK111-V062A_2030313334363537394041[[#This Row],[HIDRAULICO]])+V062A_2030313334363537394041[[#This Row],[FAENA EN LTS3]]</f>
        <v>2500</v>
      </c>
    </row>
    <row r="113" spans="1:37" x14ac:dyDescent="0.25">
      <c r="A113" s="431" t="s">
        <v>443</v>
      </c>
      <c r="B113" s="526">
        <v>44312</v>
      </c>
      <c r="C113" s="237">
        <v>0.33333333333333331</v>
      </c>
      <c r="D113" s="418">
        <f>IF(V062A_2030313334363537394041[[#This Row],[FECHA]]-B112=1,((V062A_2030313334363537394041[[#This Row],[HORA]]-C112)*24)+24,(V062A_2030313334363537394041[[#This Row],[HORA]]-C112)*24)</f>
        <v>8</v>
      </c>
      <c r="E113" s="527" t="s">
        <v>55</v>
      </c>
      <c r="F113" s="528" t="s">
        <v>56</v>
      </c>
      <c r="G113" s="529"/>
      <c r="H113" s="530"/>
      <c r="I113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13" s="532"/>
      <c r="K113" s="533"/>
      <c r="L113" s="245">
        <v>7.8</v>
      </c>
      <c r="M113" s="246">
        <v>0.53</v>
      </c>
      <c r="N113" s="246">
        <v>0.33</v>
      </c>
      <c r="O113" s="246">
        <f>SUM(V062A_2030313334363537394041[[#This Row],[MPAL]]+V062A_2030313334363537394041[[#This Row],[AUX.]]+V062A_2030313334363537394041[[#This Row],[CALDERA]])</f>
        <v>8.66</v>
      </c>
      <c r="P113" s="319"/>
      <c r="Q113" s="270">
        <f>(Q112-V062A_2030313334363537394041[[#This Row],[TOTAL ]])+V062A_2030313334363537394041[[#This Row],[FAENA]]</f>
        <v>211.18999999999997</v>
      </c>
      <c r="R113" s="245">
        <v>0</v>
      </c>
      <c r="S113" s="246">
        <v>0</v>
      </c>
      <c r="T113" s="246">
        <v>0</v>
      </c>
      <c r="U113" s="246">
        <v>0</v>
      </c>
      <c r="V113" s="246">
        <v>0</v>
      </c>
      <c r="W113" s="246">
        <f>SUM(V062A_2030313334363537394041[[#This Row],[MPAL2]:[GI]])</f>
        <v>0</v>
      </c>
      <c r="X113" s="246"/>
      <c r="Y113" s="300">
        <f>(Y111-V062A_2030313334363537394041[[#This Row],[TOTAL]])+V062A_2030313334363537394041[[#This Row],[FAENA2]]</f>
        <v>57.269999999999996</v>
      </c>
      <c r="Z113" s="245">
        <v>80</v>
      </c>
      <c r="AA113" s="246">
        <v>0</v>
      </c>
      <c r="AB113" s="438">
        <f>(AB112-V062A_2030313334363537394041[[#This Row],[CYLINDER MP]])+V062A_2030313334363537394041[[#This Row],[FAENA EN LTS]]</f>
        <v>2327</v>
      </c>
      <c r="AC113" s="246">
        <v>100</v>
      </c>
      <c r="AD113" s="246">
        <v>0</v>
      </c>
      <c r="AE113" s="438">
        <f>(AE111-V062A_2030313334363537394041[[#This Row],[CARTER MP.]])+V062A_2030313334363537394041[[#This Row],[FAENA EN LTS2]]</f>
        <v>3900</v>
      </c>
      <c r="AF113" s="246">
        <v>20</v>
      </c>
      <c r="AG113" s="246">
        <v>0</v>
      </c>
      <c r="AH113" s="438">
        <f>(AH111-V062A_2030313334363537394041[[#This Row],[MOT AUX]])+V062A_2030313334363537394041[[#This Row],[FAENA EN  LTS]]</f>
        <v>3750</v>
      </c>
      <c r="AI113" s="246">
        <v>150</v>
      </c>
      <c r="AJ113" s="246">
        <v>0</v>
      </c>
      <c r="AK113" s="439">
        <f>(AK111-V062A_2030313334363537394041[[#This Row],[HIDRAULICO]])+V062A_2030313334363537394041[[#This Row],[FAENA EN LTS3]]</f>
        <v>2350</v>
      </c>
    </row>
    <row r="114" spans="1:37" x14ac:dyDescent="0.25">
      <c r="A114" s="431" t="s">
        <v>443</v>
      </c>
      <c r="B114" s="526">
        <v>44312</v>
      </c>
      <c r="C114" s="237">
        <v>0.5</v>
      </c>
      <c r="D114" s="418">
        <f>IF(V062A_2030313334363537394041[[#This Row],[FECHA]]-B113=1,((V062A_2030313334363537394041[[#This Row],[HORA]]-C113)*24)+24,(V062A_2030313334363537394041[[#This Row],[HORA]]-C113)*24)</f>
        <v>4</v>
      </c>
      <c r="E114" s="527" t="s">
        <v>55</v>
      </c>
      <c r="F114" s="528" t="s">
        <v>416</v>
      </c>
      <c r="G114" s="529"/>
      <c r="H114" s="530"/>
      <c r="I114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114" s="532"/>
      <c r="K114" s="533"/>
      <c r="L114" s="245">
        <v>3.9</v>
      </c>
      <c r="M114" s="246">
        <v>0.27</v>
      </c>
      <c r="N114" s="246">
        <v>0.17</v>
      </c>
      <c r="O114" s="246">
        <f>SUM(V062A_2030313334363537394041[[#This Row],[MPAL]]+V062A_2030313334363537394041[[#This Row],[AUX.]]+V062A_2030313334363537394041[[#This Row],[CALDERA]])</f>
        <v>4.34</v>
      </c>
      <c r="P114" s="319"/>
      <c r="Q114" s="270">
        <f>(Q113-V062A_2030313334363537394041[[#This Row],[TOTAL ]])+V062A_2030313334363537394041[[#This Row],[FAENA]]</f>
        <v>206.84999999999997</v>
      </c>
      <c r="R114" s="245">
        <v>0</v>
      </c>
      <c r="S114" s="246">
        <v>0</v>
      </c>
      <c r="T114" s="246">
        <v>0</v>
      </c>
      <c r="U114" s="246">
        <v>0</v>
      </c>
      <c r="V114" s="246">
        <v>0</v>
      </c>
      <c r="W114" s="246">
        <f>SUM(V062A_2030313334363537394041[[#This Row],[MPAL2]:[GI]])</f>
        <v>0</v>
      </c>
      <c r="X114" s="246"/>
      <c r="Y114" s="300">
        <f>(Y113-V062A_2030313334363537394041[[#This Row],[TOTAL]])+V062A_2030313334363537394041[[#This Row],[FAENA2]]</f>
        <v>57.269999999999996</v>
      </c>
      <c r="Z114" s="245">
        <v>40</v>
      </c>
      <c r="AA114" s="246">
        <v>0</v>
      </c>
      <c r="AB114" s="438">
        <f>(AB113-V062A_2030313334363537394041[[#This Row],[CYLINDER MP]])+V062A_2030313334363537394041[[#This Row],[FAENA EN LTS]]</f>
        <v>2287</v>
      </c>
      <c r="AC114" s="246">
        <v>0</v>
      </c>
      <c r="AD114" s="246">
        <v>0</v>
      </c>
      <c r="AE114" s="438">
        <f>(AE113-V062A_2030313334363537394041[[#This Row],[CARTER MP.]])+V062A_2030313334363537394041[[#This Row],[FAENA EN LTS2]]</f>
        <v>3900</v>
      </c>
      <c r="AF114" s="246">
        <v>0</v>
      </c>
      <c r="AG114" s="246">
        <v>0</v>
      </c>
      <c r="AH114" s="438">
        <f>(AH113-V062A_2030313334363537394041[[#This Row],[MOT AUX]])+V062A_2030313334363537394041[[#This Row],[FAENA EN  LTS]]</f>
        <v>3750</v>
      </c>
      <c r="AI114" s="246">
        <v>0</v>
      </c>
      <c r="AJ114" s="246">
        <v>0</v>
      </c>
      <c r="AK114" s="439">
        <f>(AK113-V062A_2030313334363537394041[[#This Row],[HIDRAULICO]])+V062A_2030313334363537394041[[#This Row],[FAENA EN LTS3]]</f>
        <v>2350</v>
      </c>
    </row>
    <row r="115" spans="1:37" x14ac:dyDescent="0.25">
      <c r="A115" s="431"/>
      <c r="B115" s="526"/>
      <c r="C115" s="237"/>
      <c r="D115" s="418"/>
      <c r="E115" s="527"/>
      <c r="F115" s="528"/>
      <c r="G115" s="529"/>
      <c r="H115" s="530"/>
      <c r="I115" s="531"/>
      <c r="J115" s="532"/>
      <c r="K115" s="533"/>
      <c r="L115" s="245"/>
      <c r="M115" s="246"/>
      <c r="N115" s="246"/>
      <c r="O115" s="246"/>
      <c r="P115" s="319"/>
      <c r="Q115" s="270"/>
      <c r="R115" s="245"/>
      <c r="S115" s="246"/>
      <c r="T115" s="246"/>
      <c r="U115" s="246"/>
      <c r="V115" s="246"/>
      <c r="W115" s="246"/>
      <c r="X115" s="246"/>
      <c r="Y115" s="300"/>
      <c r="Z115" s="245"/>
      <c r="AA115" s="246"/>
      <c r="AB115" s="438"/>
      <c r="AC115" s="246"/>
      <c r="AD115" s="246"/>
      <c r="AE115" s="438"/>
      <c r="AF115" s="246"/>
      <c r="AG115" s="246"/>
      <c r="AH115" s="438"/>
      <c r="AI115" s="246"/>
      <c r="AJ115" s="246"/>
      <c r="AK115" s="439"/>
    </row>
    <row r="116" spans="1:37" x14ac:dyDescent="0.25">
      <c r="A116" s="431"/>
      <c r="B116" s="526"/>
      <c r="C116" s="237"/>
      <c r="D116" s="418"/>
      <c r="E116" s="527"/>
      <c r="F116" s="528"/>
      <c r="G116" s="529"/>
      <c r="H116" s="530"/>
      <c r="I116" s="531"/>
      <c r="J116" s="532"/>
      <c r="K116" s="533"/>
      <c r="L116" s="245"/>
      <c r="M116" s="246"/>
      <c r="N116" s="246"/>
      <c r="O116" s="246"/>
      <c r="P116" s="319"/>
      <c r="Q116" s="270"/>
      <c r="R116" s="245"/>
      <c r="S116" s="246"/>
      <c r="T116" s="246"/>
      <c r="U116" s="246"/>
      <c r="V116" s="246"/>
      <c r="W116" s="246"/>
      <c r="X116" s="246"/>
      <c r="Y116" s="300"/>
      <c r="Z116" s="245"/>
      <c r="AA116" s="246"/>
      <c r="AB116" s="438"/>
      <c r="AC116" s="246"/>
      <c r="AD116" s="246"/>
      <c r="AE116" s="438"/>
      <c r="AF116" s="246"/>
      <c r="AG116" s="246"/>
      <c r="AH116" s="438"/>
      <c r="AI116" s="246"/>
      <c r="AJ116" s="246"/>
      <c r="AK116" s="439"/>
    </row>
    <row r="117" spans="1:37" x14ac:dyDescent="0.25">
      <c r="A117" s="431"/>
      <c r="B117" s="469"/>
      <c r="C117" s="237"/>
      <c r="D117" s="418"/>
      <c r="E117" s="527"/>
      <c r="F117" s="528"/>
      <c r="G117" s="529"/>
      <c r="H117" s="530"/>
      <c r="I117" s="531"/>
      <c r="J117" s="532"/>
      <c r="K117" s="533"/>
      <c r="L117" s="245"/>
      <c r="M117" s="246"/>
      <c r="N117" s="246"/>
      <c r="O117" s="246"/>
      <c r="P117" s="319"/>
      <c r="Q117" s="270"/>
      <c r="R117" s="245"/>
      <c r="S117" s="246"/>
      <c r="T117" s="246"/>
      <c r="U117" s="246"/>
      <c r="V117" s="246"/>
      <c r="W117" s="246"/>
      <c r="X117" s="246"/>
      <c r="Y117" s="300"/>
      <c r="Z117" s="245"/>
      <c r="AA117" s="246"/>
      <c r="AB117" s="438"/>
      <c r="AC117" s="246"/>
      <c r="AD117" s="246"/>
      <c r="AE117" s="438"/>
      <c r="AF117" s="246"/>
      <c r="AG117" s="246"/>
      <c r="AH117" s="438"/>
      <c r="AI117" s="246"/>
      <c r="AJ117" s="246"/>
      <c r="AK117" s="439"/>
    </row>
    <row r="118" spans="1:37" x14ac:dyDescent="0.25">
      <c r="A118" s="431"/>
      <c r="B118" s="526"/>
      <c r="C118" s="237"/>
      <c r="D118" s="418"/>
      <c r="E118" s="506"/>
      <c r="F118" s="29"/>
      <c r="G118" s="508"/>
      <c r="H118" s="509"/>
      <c r="I118" s="510"/>
      <c r="J118" s="511"/>
      <c r="K118" s="512"/>
      <c r="L118" s="245"/>
      <c r="M118" s="246"/>
      <c r="N118" s="246"/>
      <c r="O118" s="246"/>
      <c r="P118" s="319"/>
      <c r="Q118" s="270"/>
      <c r="R118" s="245"/>
      <c r="S118" s="246"/>
      <c r="T118" s="246"/>
      <c r="U118" s="246"/>
      <c r="V118" s="246"/>
      <c r="W118" s="246"/>
      <c r="X118" s="246"/>
      <c r="Y118" s="300"/>
      <c r="Z118" s="245"/>
      <c r="AA118" s="246"/>
      <c r="AB118" s="438"/>
      <c r="AC118" s="246"/>
      <c r="AD118" s="246"/>
      <c r="AE118" s="438"/>
      <c r="AF118" s="246"/>
      <c r="AG118" s="246"/>
      <c r="AH118" s="438"/>
      <c r="AI118" s="246"/>
      <c r="AJ118" s="246"/>
      <c r="AK118" s="439"/>
    </row>
    <row r="119" spans="1:37" x14ac:dyDescent="0.25">
      <c r="A119" s="453"/>
      <c r="B119" s="454"/>
      <c r="C119" s="455"/>
      <c r="D119" s="481"/>
      <c r="E119" s="457"/>
      <c r="F119" s="458"/>
      <c r="G119" s="459"/>
      <c r="H119" s="460"/>
      <c r="I119" s="461"/>
      <c r="J119" s="459"/>
      <c r="K119" s="459"/>
      <c r="L119" s="68"/>
      <c r="M119" s="68"/>
      <c r="N119" s="68"/>
      <c r="P119" s="462"/>
      <c r="Q119" s="456"/>
      <c r="R119" s="456"/>
      <c r="S119" s="456"/>
      <c r="T119" s="456"/>
      <c r="U119" s="456"/>
      <c r="V119" s="456"/>
      <c r="W119" s="456"/>
      <c r="X119" s="456"/>
      <c r="Y119" s="463"/>
      <c r="Z119" s="463"/>
      <c r="AA119" s="463"/>
      <c r="AB119" s="464"/>
      <c r="AC119" s="463"/>
      <c r="AD119" s="463"/>
      <c r="AE119" s="464"/>
      <c r="AF119" s="456"/>
      <c r="AG119" s="456"/>
      <c r="AH119" s="465"/>
      <c r="AI119" s="456"/>
      <c r="AJ119" s="456"/>
      <c r="AK119" s="465"/>
    </row>
    <row r="120" spans="1:37" x14ac:dyDescent="0.25">
      <c r="A120" s="453"/>
      <c r="B120" s="454"/>
      <c r="C120" s="455"/>
      <c r="D120" s="456"/>
      <c r="E120" s="457"/>
      <c r="F120" s="458"/>
      <c r="G120" s="459"/>
      <c r="H120" s="460"/>
      <c r="I120" s="461"/>
      <c r="J120" s="459"/>
      <c r="K120" s="459"/>
      <c r="O120" s="67">
        <f>SUM(L119:N119)</f>
        <v>0</v>
      </c>
      <c r="P120" s="462"/>
      <c r="Q120" s="456"/>
      <c r="R120" s="456"/>
      <c r="S120" s="456"/>
      <c r="T120" s="456"/>
      <c r="U120" s="456"/>
      <c r="V120" s="456"/>
      <c r="W120" s="456"/>
      <c r="X120" s="456"/>
      <c r="Y120" s="463"/>
      <c r="Z120" s="463"/>
      <c r="AA120" s="463"/>
      <c r="AB120" s="464"/>
      <c r="AC120" s="463"/>
      <c r="AD120" s="463"/>
      <c r="AE120" s="464"/>
      <c r="AF120" s="456"/>
      <c r="AG120" s="456"/>
      <c r="AH120" s="465"/>
      <c r="AI120" s="456"/>
      <c r="AJ120" s="456"/>
      <c r="AK120" s="465"/>
    </row>
    <row r="121" spans="1:37" x14ac:dyDescent="0.25">
      <c r="A121" s="453"/>
      <c r="B121" s="454"/>
      <c r="C121" s="455"/>
      <c r="D121" s="456"/>
      <c r="E121" s="457"/>
      <c r="F121" s="458"/>
      <c r="G121" s="459"/>
      <c r="H121" s="460"/>
      <c r="I121" s="461"/>
      <c r="J121" s="459"/>
      <c r="K121" s="459"/>
      <c r="L121" s="456"/>
      <c r="M121" s="456"/>
      <c r="N121" s="456"/>
      <c r="O121" s="456"/>
      <c r="P121" s="462"/>
      <c r="Q121" s="456"/>
      <c r="R121" s="456"/>
      <c r="S121" s="456"/>
      <c r="T121" s="456"/>
      <c r="U121" s="456"/>
      <c r="V121" s="456"/>
      <c r="W121" s="456"/>
      <c r="X121" s="456"/>
      <c r="Y121" s="463"/>
      <c r="Z121" s="463"/>
      <c r="AA121" s="463"/>
      <c r="AB121" s="464"/>
      <c r="AC121" s="463"/>
      <c r="AD121" s="463"/>
      <c r="AE121" s="464"/>
      <c r="AF121" s="456"/>
      <c r="AG121" s="456"/>
      <c r="AH121" s="465"/>
      <c r="AI121" s="456"/>
      <c r="AJ121" s="456"/>
      <c r="AK121" s="465"/>
    </row>
    <row r="122" spans="1:37" x14ac:dyDescent="0.25">
      <c r="A122" s="453"/>
      <c r="B122" s="454"/>
      <c r="C122" s="455"/>
      <c r="D122" s="456"/>
      <c r="E122" s="457"/>
      <c r="F122" s="458"/>
      <c r="G122" s="459"/>
      <c r="H122" s="460"/>
      <c r="I122" s="461"/>
      <c r="J122" s="459"/>
      <c r="K122" s="459"/>
      <c r="L122" s="456"/>
      <c r="M122" s="456"/>
      <c r="N122" s="456"/>
      <c r="O122" s="456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ht="19.5" thickBot="1" x14ac:dyDescent="0.35">
      <c r="C123" s="69" t="s">
        <v>187</v>
      </c>
      <c r="D123" s="69"/>
      <c r="E123" s="69"/>
      <c r="F123" s="467"/>
      <c r="G123" s="69"/>
      <c r="N123" s="69"/>
      <c r="O123" s="69"/>
      <c r="Q123" s="466"/>
      <c r="S123" s="70" t="s">
        <v>188</v>
      </c>
      <c r="AF123" s="466"/>
      <c r="AG123" s="466"/>
      <c r="AH123" s="466"/>
      <c r="AI123" s="466"/>
      <c r="AJ123" s="466"/>
      <c r="AK123" s="466"/>
    </row>
    <row r="124" spans="1:37" ht="19.5" thickBot="1" x14ac:dyDescent="0.35">
      <c r="C124" s="69"/>
      <c r="D124" s="69"/>
      <c r="E124" s="69"/>
      <c r="F124" s="69"/>
      <c r="G124" s="69"/>
      <c r="N124" s="69"/>
      <c r="O124" s="69"/>
      <c r="S124" s="70"/>
    </row>
    <row r="125" spans="1:37" ht="45.75" thickBot="1" x14ac:dyDescent="0.3">
      <c r="C125" s="71" t="s">
        <v>11</v>
      </c>
      <c r="D125" s="71" t="s">
        <v>90</v>
      </c>
      <c r="E125" s="72" t="s">
        <v>91</v>
      </c>
      <c r="F125" s="72" t="s">
        <v>92</v>
      </c>
      <c r="G125" s="72" t="s">
        <v>93</v>
      </c>
      <c r="H125" s="71" t="s">
        <v>94</v>
      </c>
      <c r="I125" s="71" t="s">
        <v>95</v>
      </c>
      <c r="J125" s="71" t="s">
        <v>96</v>
      </c>
      <c r="K125" s="71" t="s">
        <v>97</v>
      </c>
      <c r="L125" s="71" t="s">
        <v>98</v>
      </c>
      <c r="M125" s="377" t="s">
        <v>99</v>
      </c>
      <c r="N125" s="75" t="s">
        <v>100</v>
      </c>
      <c r="R125" s="111" t="s">
        <v>101</v>
      </c>
      <c r="S125" s="111" t="s">
        <v>94</v>
      </c>
      <c r="T125" s="111" t="s">
        <v>102</v>
      </c>
      <c r="U125" s="111" t="s">
        <v>96</v>
      </c>
      <c r="V125" s="111" t="s">
        <v>103</v>
      </c>
      <c r="W125" s="111" t="s">
        <v>104</v>
      </c>
    </row>
    <row r="126" spans="1:37" x14ac:dyDescent="0.25">
      <c r="C126" s="77" t="s">
        <v>71</v>
      </c>
      <c r="D126" s="376">
        <f t="shared" ref="D126:D133" si="0">SUMIF($E$6:$E$118,C126,$D$6:$D$118)</f>
        <v>91.699999999999989</v>
      </c>
      <c r="E126" s="279"/>
      <c r="F126" s="288"/>
      <c r="G126" s="137"/>
      <c r="H126" s="84">
        <f>SUMIF($E$6:$E$67,C126,$L$6:$L$67)+SUMIF($E$6:$E$67,C126,$M$6:$M$67)+SUMIF($E$6:$E$67,C126,$N$6:$N$67)</f>
        <v>9.9341666666666661</v>
      </c>
      <c r="I126" s="139">
        <f t="shared" ref="I126:I133" si="1">IF(ISERROR(H126*24/D126),0,H126*24/D126)</f>
        <v>2.6</v>
      </c>
      <c r="J126" s="137">
        <v>6</v>
      </c>
      <c r="K126" s="80"/>
      <c r="L126" s="38">
        <f>D126*J126/24</f>
        <v>22.924999999999997</v>
      </c>
      <c r="M126" s="80">
        <f t="shared" ref="M126:M133" si="2">L126-H126</f>
        <v>12.990833333333331</v>
      </c>
      <c r="N126" s="86"/>
      <c r="Q126" s="82"/>
      <c r="R126" s="83" t="s">
        <v>105</v>
      </c>
      <c r="S126" s="228">
        <f>SUM(V5:V67)</f>
        <v>9.98</v>
      </c>
      <c r="T126" s="84">
        <f>S126*24/($D$127+$D$133)</f>
        <v>1.4533980582524271</v>
      </c>
      <c r="U126" s="84">
        <v>6</v>
      </c>
      <c r="V126" s="85">
        <f>($D$127+$D$133)*U126/24</f>
        <v>41.2</v>
      </c>
      <c r="W126" s="86">
        <f>V126-S126</f>
        <v>31.220000000000002</v>
      </c>
    </row>
    <row r="127" spans="1:37" x14ac:dyDescent="0.25">
      <c r="C127" s="87" t="s">
        <v>51</v>
      </c>
      <c r="D127" s="264">
        <f t="shared" si="0"/>
        <v>93.8</v>
      </c>
      <c r="E127" s="264"/>
      <c r="F127" s="289"/>
      <c r="G127" s="139"/>
      <c r="H127" s="88">
        <f>SUMIF($E$6:$E$67,C127,$L$6:$L$67)+SUMIF($E$6:$E$67,C127,$M$6:$M$67)+SUMIF($E$6:$E$67,C127,$N$6:$N$67)</f>
        <v>4.4091666666666667</v>
      </c>
      <c r="I127" s="139">
        <f t="shared" si="1"/>
        <v>1.1281449893390192</v>
      </c>
      <c r="J127" s="139">
        <v>6</v>
      </c>
      <c r="K127" s="88"/>
      <c r="L127" s="418">
        <f t="shared" ref="L127:L133" si="3">D127*J127/24</f>
        <v>23.45</v>
      </c>
      <c r="M127" s="88">
        <f t="shared" si="2"/>
        <v>19.040833333333332</v>
      </c>
      <c r="N127" s="121"/>
      <c r="R127" s="90" t="s">
        <v>106</v>
      </c>
      <c r="S127" s="286">
        <f>SUM(S5:S22)</f>
        <v>0</v>
      </c>
      <c r="T127" s="84">
        <f>S127*24/($D$127+$D$133)</f>
        <v>0</v>
      </c>
      <c r="U127" s="88"/>
      <c r="V127" s="88"/>
      <c r="W127" s="121"/>
    </row>
    <row r="128" spans="1:37" x14ac:dyDescent="0.25">
      <c r="C128" s="87" t="s">
        <v>61</v>
      </c>
      <c r="D128" s="264">
        <f t="shared" si="0"/>
        <v>0</v>
      </c>
      <c r="E128" s="264">
        <f>SUMIF($E$6:$E$118,C128,$G$6:$G$118)</f>
        <v>0</v>
      </c>
      <c r="F128" s="289" t="e">
        <f>E128/D128</f>
        <v>#DIV/0!</v>
      </c>
      <c r="G128" s="139">
        <v>12</v>
      </c>
      <c r="H128" s="88">
        <f>SUMIF($E$6:$E$67,C128,$L$6:$L$67)+SUMIF($E$6:$E$67,C128,$M$6:$M$67)+SUMIF($E$6:$E$67,C128,$N$6:$N$67)</f>
        <v>0</v>
      </c>
      <c r="I128" s="139">
        <f t="shared" si="1"/>
        <v>0</v>
      </c>
      <c r="J128" s="139">
        <v>27</v>
      </c>
      <c r="K128" s="88">
        <f>E128/G128</f>
        <v>0</v>
      </c>
      <c r="L128" s="418">
        <f>K128*J128/24</f>
        <v>0</v>
      </c>
      <c r="M128" s="88">
        <f t="shared" si="2"/>
        <v>0</v>
      </c>
      <c r="N128" s="121">
        <f>K128-D128</f>
        <v>0</v>
      </c>
      <c r="R128" s="90" t="s">
        <v>20</v>
      </c>
      <c r="S128" s="286">
        <f>SUM(T5:T65)</f>
        <v>0</v>
      </c>
      <c r="T128" s="84">
        <f>S128*24/($D$127+$D$133)</f>
        <v>0</v>
      </c>
      <c r="U128" s="88"/>
      <c r="V128" s="88"/>
      <c r="W128" s="121"/>
    </row>
    <row r="129" spans="3:25" x14ac:dyDescent="0.25">
      <c r="C129" s="87" t="s">
        <v>55</v>
      </c>
      <c r="D129" s="264">
        <f t="shared" si="0"/>
        <v>177.60000000000002</v>
      </c>
      <c r="E129" s="264">
        <f>SUMIF($E$6:$E$118,C129,$G$6:$G$118)</f>
        <v>0</v>
      </c>
      <c r="F129" s="289">
        <f>E129/D129</f>
        <v>0</v>
      </c>
      <c r="G129" s="139">
        <v>12</v>
      </c>
      <c r="H129" s="88">
        <f>SUMIF($E$6:$E$118,C129,$L$6:$L$118)+SUMIF($E$6:$E$118,C129,$M$6:$M$118)+SUMIF($E$6:$E$118,C129,$N$6:$N$118)</f>
        <v>194.67750000000001</v>
      </c>
      <c r="I129" s="139">
        <f t="shared" si="1"/>
        <v>26.307770270270268</v>
      </c>
      <c r="J129" s="139">
        <v>27</v>
      </c>
      <c r="K129" s="88">
        <f>E129/G129</f>
        <v>0</v>
      </c>
      <c r="L129" s="418">
        <f>K129*J129/24</f>
        <v>0</v>
      </c>
      <c r="M129" s="88">
        <f t="shared" si="2"/>
        <v>-194.67750000000001</v>
      </c>
      <c r="N129" s="121">
        <f>K129-D129</f>
        <v>-177.60000000000002</v>
      </c>
      <c r="R129" s="90" t="s">
        <v>107</v>
      </c>
      <c r="S129" s="286">
        <f>SUM(U5:U118)</f>
        <v>0</v>
      </c>
      <c r="T129" s="84">
        <f>S129*24/($D$127+$D$133)</f>
        <v>0</v>
      </c>
      <c r="U129" s="88"/>
      <c r="V129" s="88"/>
      <c r="W129" s="121"/>
    </row>
    <row r="130" spans="3:25" ht="15.75" thickBot="1" x14ac:dyDescent="0.3">
      <c r="C130" s="87" t="s">
        <v>108</v>
      </c>
      <c r="D130" s="264">
        <f t="shared" si="0"/>
        <v>0</v>
      </c>
      <c r="E130" s="264">
        <f>SUMIF($E$6:$E$118,C130,$G$6:$G$118)</f>
        <v>0</v>
      </c>
      <c r="F130" s="289">
        <f>IF(ISERROR(E130/D130),0,E130/D130)</f>
        <v>0</v>
      </c>
      <c r="G130" s="139">
        <v>12</v>
      </c>
      <c r="H130" s="88">
        <f>SUMIF($E$6:$E$118,C130,$L$6:$L$118)+SUMIF($E$6:$E$118,C130,$M$6:$M$118)+SUMIF($E$6:$E$118,C130,$N$6:$N$118)</f>
        <v>0</v>
      </c>
      <c r="I130" s="139">
        <f>IF(ISERROR(H130*24/D130),0,H130*24/D130)</f>
        <v>0</v>
      </c>
      <c r="J130" s="139">
        <v>27</v>
      </c>
      <c r="K130" s="88">
        <f>E130/G130</f>
        <v>0</v>
      </c>
      <c r="L130" s="418">
        <f>K130*J130/24</f>
        <v>0</v>
      </c>
      <c r="M130" s="88">
        <f t="shared" si="2"/>
        <v>0</v>
      </c>
      <c r="N130" s="121">
        <f>K130-D130</f>
        <v>0</v>
      </c>
      <c r="R130" s="92" t="s">
        <v>24</v>
      </c>
      <c r="S130" s="287">
        <f>SUM(R5:R118)</f>
        <v>0</v>
      </c>
      <c r="T130" s="84">
        <f>S130*24/($D$127+$D$133)</f>
        <v>0</v>
      </c>
      <c r="U130" s="98"/>
      <c r="V130" s="98"/>
      <c r="W130" s="122"/>
    </row>
    <row r="131" spans="3:25" x14ac:dyDescent="0.25">
      <c r="C131" s="87" t="s">
        <v>45</v>
      </c>
      <c r="D131" s="264">
        <f t="shared" si="0"/>
        <v>463.8</v>
      </c>
      <c r="E131" s="264"/>
      <c r="F131" s="289"/>
      <c r="G131" s="139"/>
      <c r="H131" s="88">
        <f>SUMIF($E$6:$E$118,C131,$L$6:$L$118)+SUMIF($E$6:$E$118,C131,$M$6:$M$118)+SUMIF($E$6:$E$118,C131,$N$6:$N$118)</f>
        <v>75.464166666666671</v>
      </c>
      <c r="I131" s="139">
        <f t="shared" si="1"/>
        <v>3.905002156101768</v>
      </c>
      <c r="J131" s="139">
        <v>6</v>
      </c>
      <c r="K131" s="88"/>
      <c r="L131" s="418">
        <f t="shared" si="3"/>
        <v>115.95</v>
      </c>
      <c r="M131" s="88">
        <f t="shared" si="2"/>
        <v>40.485833333333332</v>
      </c>
      <c r="N131" s="121"/>
      <c r="S131" s="68"/>
      <c r="T131" s="143"/>
      <c r="U131" s="68"/>
      <c r="V131" s="68"/>
      <c r="W131" s="68"/>
    </row>
    <row r="132" spans="3:25" x14ac:dyDescent="0.25">
      <c r="C132" s="87" t="s">
        <v>47</v>
      </c>
      <c r="D132" s="264">
        <f t="shared" si="0"/>
        <v>26.099999999999987</v>
      </c>
      <c r="E132" s="264"/>
      <c r="F132" s="289"/>
      <c r="G132" s="139"/>
      <c r="H132" s="88">
        <f>SUMIF($E$6:$E$118,C132,$L$6:$L$118)+SUMIF($E$6:$E$118,C132,$M$6:$M$118)+SUMIF($E$6:$E$118,C132,$N$6:$N$118)</f>
        <v>8.9024999999999981</v>
      </c>
      <c r="I132" s="139">
        <f t="shared" si="1"/>
        <v>8.1862068965517274</v>
      </c>
      <c r="J132" s="139">
        <v>6</v>
      </c>
      <c r="K132" s="88"/>
      <c r="L132" s="418">
        <f t="shared" si="3"/>
        <v>6.5249999999999959</v>
      </c>
      <c r="M132" s="88">
        <f t="shared" si="2"/>
        <v>-2.3775000000000022</v>
      </c>
      <c r="N132" s="121"/>
      <c r="S132" s="68"/>
      <c r="T132" s="68"/>
      <c r="U132" s="68"/>
      <c r="V132" s="68"/>
      <c r="W132" s="68"/>
    </row>
    <row r="133" spans="3:25" ht="15.75" thickBot="1" x14ac:dyDescent="0.3">
      <c r="C133" s="97" t="s">
        <v>49</v>
      </c>
      <c r="D133" s="290">
        <f t="shared" si="0"/>
        <v>71.000000000000014</v>
      </c>
      <c r="E133" s="290"/>
      <c r="F133" s="291"/>
      <c r="G133" s="140"/>
      <c r="H133" s="98">
        <f>SUMIF($E$6:$E$118,C133,$L$6:$L$118)+SUMIF($E$6:$E$118,C133,$M$6:$M$118)+SUMIF($E$6:$E$118,C133,$N$6:$N$118)</f>
        <v>10.231666666666666</v>
      </c>
      <c r="I133" s="141">
        <f t="shared" si="1"/>
        <v>3.4585915492957735</v>
      </c>
      <c r="J133" s="141">
        <v>8</v>
      </c>
      <c r="K133" s="98"/>
      <c r="L133" s="99">
        <f t="shared" si="3"/>
        <v>23.666666666666671</v>
      </c>
      <c r="M133" s="98">
        <f t="shared" si="2"/>
        <v>13.435000000000006</v>
      </c>
      <c r="N133" s="122"/>
      <c r="O133" s="68"/>
      <c r="S133" s="68"/>
      <c r="T133" s="68"/>
      <c r="U133" s="68"/>
      <c r="V133" s="68"/>
      <c r="W133" s="68"/>
    </row>
    <row r="134" spans="3:25" ht="15.75" thickBot="1" x14ac:dyDescent="0.3">
      <c r="C134" s="124"/>
      <c r="D134" s="327"/>
      <c r="E134" s="292"/>
      <c r="F134" s="293"/>
      <c r="G134" s="134"/>
      <c r="H134" s="328"/>
      <c r="I134" s="144"/>
      <c r="J134" s="144"/>
      <c r="K134" s="68"/>
      <c r="L134" s="102"/>
      <c r="M134" s="68"/>
      <c r="N134" s="145"/>
      <c r="O134" s="68"/>
      <c r="S134" s="68"/>
      <c r="T134" s="68"/>
      <c r="U134" s="68"/>
      <c r="V134" s="68"/>
      <c r="W134" s="68"/>
    </row>
    <row r="135" spans="3:25" ht="15.75" thickBot="1" x14ac:dyDescent="0.3">
      <c r="C135" s="103" t="s">
        <v>29</v>
      </c>
      <c r="D135" s="284">
        <f>SUM(D126:D133)</f>
        <v>924.00000000000011</v>
      </c>
      <c r="E135" s="284">
        <f>SUM(E126:E132)</f>
        <v>0</v>
      </c>
      <c r="F135" s="284" t="e">
        <f>SUM(F126:F132)/2</f>
        <v>#DIV/0!</v>
      </c>
      <c r="H135" s="101">
        <f>SUM(H126:H133)</f>
        <v>303.61916666666667</v>
      </c>
      <c r="K135" s="142"/>
      <c r="L135" s="104">
        <f>SUM(L126:L133)</f>
        <v>192.51666666666665</v>
      </c>
      <c r="M135" s="101">
        <f>SUM(M126:M133)</f>
        <v>-111.10250000000001</v>
      </c>
      <c r="N135" s="101">
        <f>SUM(N126:N133)</f>
        <v>-177.60000000000002</v>
      </c>
      <c r="R135" s="100" t="s">
        <v>29</v>
      </c>
      <c r="S135" s="101">
        <f>SUM(S126:S130)</f>
        <v>9.98</v>
      </c>
      <c r="T135" s="101">
        <f>SUM(T126:T130)</f>
        <v>1.4533980582524271</v>
      </c>
      <c r="U135" s="68"/>
      <c r="V135" s="68"/>
      <c r="W135" s="68"/>
    </row>
    <row r="136" spans="3:25" x14ac:dyDescent="0.25">
      <c r="T136">
        <v>0</v>
      </c>
      <c r="Y136">
        <v>0</v>
      </c>
    </row>
    <row r="144" spans="3:25" x14ac:dyDescent="0.25">
      <c r="I144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6:AG122" name="Rango12"/>
    <protectedRange sqref="AC6:AD122" name="Rango10"/>
    <protectedRange sqref="Z119:AA122 Z6:AA8" name="Rango8"/>
    <protectedRange sqref="X6:X122" name="Rango6"/>
    <protectedRange sqref="R6:V122" name="Rango5"/>
    <protectedRange sqref="P6:P122" name="Rango3"/>
    <protectedRange sqref="J121:N122 J119:K120 J6:N118 E6:H122" name="Rango2"/>
    <protectedRange sqref="A6:C122" name="Rango1"/>
    <protectedRange sqref="B4:C4" name="Rango16"/>
    <protectedRange sqref="Z9:AA118" name="Rango8_1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75 J88:J122">
    <cfRule type="cellIs" dxfId="183" priority="12" operator="greaterThan">
      <formula>"S5"</formula>
    </cfRule>
  </conditionalFormatting>
  <conditionalFormatting sqref="I9:I68 I70:I75 I88:I122">
    <cfRule type="cellIs" dxfId="182" priority="11" operator="greaterThan">
      <formula>0</formula>
    </cfRule>
  </conditionalFormatting>
  <conditionalFormatting sqref="J69">
    <cfRule type="cellIs" dxfId="181" priority="10" operator="greaterThan">
      <formula>"S5"</formula>
    </cfRule>
  </conditionalFormatting>
  <conditionalFormatting sqref="I69">
    <cfRule type="cellIs" dxfId="180" priority="9" operator="greaterThan">
      <formula>0</formula>
    </cfRule>
  </conditionalFormatting>
  <conditionalFormatting sqref="J6:J8">
    <cfRule type="cellIs" dxfId="179" priority="8" operator="greaterThan">
      <formula>"S5"</formula>
    </cfRule>
  </conditionalFormatting>
  <conditionalFormatting sqref="I6:I8">
    <cfRule type="cellIs" dxfId="178" priority="7" operator="greaterThan">
      <formula>0</formula>
    </cfRule>
  </conditionalFormatting>
  <conditionalFormatting sqref="J76:J81 J84:J87">
    <cfRule type="cellIs" dxfId="177" priority="6" operator="greaterThan">
      <formula>"S5"</formula>
    </cfRule>
  </conditionalFormatting>
  <conditionalFormatting sqref="I76:I81 I84:I87">
    <cfRule type="cellIs" dxfId="176" priority="5" operator="greaterThan">
      <formula>0</formula>
    </cfRule>
  </conditionalFormatting>
  <conditionalFormatting sqref="J82">
    <cfRule type="cellIs" dxfId="175" priority="4" operator="greaterThan">
      <formula>"S5"</formula>
    </cfRule>
  </conditionalFormatting>
  <conditionalFormatting sqref="I82">
    <cfRule type="cellIs" dxfId="174" priority="3" operator="greaterThan">
      <formula>0</formula>
    </cfRule>
  </conditionalFormatting>
  <conditionalFormatting sqref="J83">
    <cfRule type="cellIs" dxfId="173" priority="2" operator="greaterThan">
      <formula>"S5"</formula>
    </cfRule>
  </conditionalFormatting>
  <conditionalFormatting sqref="I83">
    <cfRule type="cellIs" dxfId="172" priority="1" operator="greaterThan">
      <formula>0</formula>
    </cfRule>
  </conditionalFormatting>
  <dataValidations count="1">
    <dataValidation type="list" showInputMessage="1" showErrorMessage="1" sqref="E6:E122">
      <formula1>$C$126:$C$134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K144"/>
  <sheetViews>
    <sheetView tabSelected="1" zoomScaleNormal="100" workbookViewId="0">
      <pane xSplit="6" ySplit="5" topLeftCell="L19" activePane="bottomRight" state="frozen"/>
      <selection activeCell="A111" sqref="A111:G111"/>
      <selection pane="topRight" activeCell="A111" sqref="A111:G111"/>
      <selection pane="bottomLeft" activeCell="A111" sqref="A111:G111"/>
      <selection pane="bottomRight" activeCell="L35" sqref="L35"/>
    </sheetView>
  </sheetViews>
  <sheetFormatPr baseColWidth="10" defaultColWidth="11.5703125" defaultRowHeight="15" x14ac:dyDescent="0.25"/>
  <cols>
    <col min="1" max="1" width="10.42578125" customWidth="1"/>
    <col min="2" max="2" width="13.7109375" bestFit="1" customWidth="1"/>
    <col min="3" max="3" width="18.140625" customWidth="1"/>
    <col min="4" max="4" width="15.28515625" customWidth="1"/>
    <col min="5" max="5" width="22.140625" customWidth="1"/>
    <col min="6" max="6" width="33.5703125" customWidth="1"/>
    <col min="7" max="7" width="15.7109375" customWidth="1"/>
    <col min="8" max="9" width="15.7109375" style="1" customWidth="1"/>
    <col min="10" max="10" width="15.7109375" customWidth="1"/>
    <col min="11" max="11" width="15.85546875" customWidth="1"/>
    <col min="12" max="12" width="15.7109375" customWidth="1"/>
    <col min="13" max="13" width="16.85546875" customWidth="1"/>
    <col min="14" max="14" width="17.28515625" customWidth="1"/>
    <col min="15" max="15" width="19.5703125" customWidth="1"/>
    <col min="16" max="16" width="14" customWidth="1"/>
    <col min="17" max="17" width="12.7109375" customWidth="1"/>
    <col min="18" max="18" width="11.5703125" customWidth="1"/>
    <col min="19" max="19" width="12.85546875" customWidth="1"/>
    <col min="20" max="20" width="11.5703125" customWidth="1"/>
    <col min="21" max="21" width="15.140625" customWidth="1"/>
    <col min="22" max="22" width="16.7109375" customWidth="1"/>
    <col min="23" max="23" width="12.5703125" customWidth="1"/>
    <col min="24" max="24" width="11.28515625" customWidth="1"/>
    <col min="26" max="26" width="13.7109375" customWidth="1"/>
    <col min="27" max="27" width="13" customWidth="1"/>
    <col min="28" max="28" width="17.28515625" customWidth="1"/>
    <col min="29" max="29" width="12.5703125" customWidth="1"/>
    <col min="31" max="31" width="13.140625" customWidth="1"/>
    <col min="34" max="34" width="15" customWidth="1"/>
    <col min="35" max="35" width="13" customWidth="1"/>
    <col min="37" max="37" width="16.42578125" customWidth="1"/>
  </cols>
  <sheetData>
    <row r="1" spans="1:37" ht="15.75" thickBot="1" x14ac:dyDescent="0.3">
      <c r="G1" s="125"/>
      <c r="H1" s="125"/>
      <c r="I1" s="126"/>
      <c r="J1" s="126"/>
      <c r="N1" s="127"/>
    </row>
    <row r="2" spans="1:37" ht="15.75" customHeight="1" thickBot="1" x14ac:dyDescent="0.3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128"/>
    </row>
    <row r="3" spans="1:37" ht="15.75" thickBot="1" x14ac:dyDescent="0.3">
      <c r="G3" s="557" t="s">
        <v>0</v>
      </c>
      <c r="H3" s="558"/>
      <c r="I3" s="558"/>
      <c r="J3" s="558"/>
      <c r="K3" s="559"/>
      <c r="L3" s="542" t="s">
        <v>149</v>
      </c>
      <c r="M3" s="543"/>
      <c r="N3" s="543"/>
      <c r="O3" s="543"/>
      <c r="P3" s="543"/>
      <c r="Q3" s="544"/>
      <c r="R3" s="545" t="s">
        <v>150</v>
      </c>
      <c r="S3" s="546"/>
      <c r="T3" s="546"/>
      <c r="U3" s="546"/>
      <c r="V3" s="546"/>
      <c r="W3" s="546"/>
      <c r="X3" s="546"/>
      <c r="Y3" s="547"/>
      <c r="Z3" s="548" t="s">
        <v>3</v>
      </c>
      <c r="AA3" s="549"/>
      <c r="AB3" s="549"/>
      <c r="AC3" s="549"/>
      <c r="AD3" s="549"/>
      <c r="AE3" s="549"/>
      <c r="AF3" s="549"/>
      <c r="AG3" s="549"/>
      <c r="AH3" s="549"/>
      <c r="AI3" s="549"/>
      <c r="AJ3" s="549"/>
      <c r="AK3" s="550"/>
    </row>
    <row r="4" spans="1:37" ht="15.75" thickBot="1" x14ac:dyDescent="0.3">
      <c r="A4" s="339" t="s">
        <v>191</v>
      </c>
      <c r="B4" s="340">
        <v>44312</v>
      </c>
      <c r="C4" s="341">
        <v>0.5</v>
      </c>
      <c r="D4" s="1"/>
      <c r="E4" s="4"/>
      <c r="F4" s="4"/>
      <c r="G4" s="539"/>
      <c r="H4" s="540"/>
      <c r="I4" s="540"/>
      <c r="J4" s="540"/>
      <c r="K4" s="541"/>
      <c r="L4" s="551" t="s">
        <v>182</v>
      </c>
      <c r="M4" s="552"/>
      <c r="N4" s="552"/>
      <c r="O4" s="552"/>
      <c r="P4" s="552"/>
      <c r="Q4" s="283">
        <v>206.85</v>
      </c>
      <c r="R4" s="553" t="s">
        <v>183</v>
      </c>
      <c r="S4" s="554"/>
      <c r="T4" s="554"/>
      <c r="U4" s="554"/>
      <c r="V4" s="554"/>
      <c r="W4" s="554"/>
      <c r="X4" s="555"/>
      <c r="Y4" s="283">
        <v>57.27</v>
      </c>
      <c r="Z4" s="6"/>
      <c r="AA4" s="7" t="s">
        <v>184</v>
      </c>
      <c r="AB4" s="304">
        <v>2287</v>
      </c>
      <c r="AC4" s="9"/>
      <c r="AD4" s="7" t="s">
        <v>184</v>
      </c>
      <c r="AE4" s="304">
        <v>3900</v>
      </c>
      <c r="AG4" s="7" t="s">
        <v>184</v>
      </c>
      <c r="AH4" s="304">
        <v>3750</v>
      </c>
      <c r="AJ4" s="7" t="s">
        <v>184</v>
      </c>
      <c r="AK4" s="304">
        <v>2350</v>
      </c>
    </row>
    <row r="5" spans="1:37" ht="30.75" thickBot="1" x14ac:dyDescent="0.3">
      <c r="A5" s="112" t="s">
        <v>7</v>
      </c>
      <c r="B5" s="113" t="s">
        <v>8</v>
      </c>
      <c r="C5" s="114" t="s">
        <v>9</v>
      </c>
      <c r="D5" s="114" t="s">
        <v>10</v>
      </c>
      <c r="E5" s="114" t="s">
        <v>11</v>
      </c>
      <c r="F5" s="115" t="s">
        <v>12</v>
      </c>
      <c r="G5" s="14" t="s">
        <v>13</v>
      </c>
      <c r="H5" s="129" t="s">
        <v>14</v>
      </c>
      <c r="I5" s="16" t="s">
        <v>15</v>
      </c>
      <c r="J5" s="16" t="s">
        <v>16</v>
      </c>
      <c r="K5" s="17" t="s">
        <v>17</v>
      </c>
      <c r="L5" s="18" t="s">
        <v>18</v>
      </c>
      <c r="M5" s="19" t="s">
        <v>19</v>
      </c>
      <c r="N5" s="19" t="s">
        <v>20</v>
      </c>
      <c r="O5" s="19" t="s">
        <v>21</v>
      </c>
      <c r="P5" s="19" t="s">
        <v>22</v>
      </c>
      <c r="Q5" s="20" t="s">
        <v>23</v>
      </c>
      <c r="R5" s="107" t="s">
        <v>24</v>
      </c>
      <c r="S5" s="108" t="s">
        <v>25</v>
      </c>
      <c r="T5" s="108" t="s">
        <v>26</v>
      </c>
      <c r="U5" s="106" t="s">
        <v>27</v>
      </c>
      <c r="V5" s="106" t="s">
        <v>28</v>
      </c>
      <c r="W5" s="106" t="s">
        <v>29</v>
      </c>
      <c r="X5" s="109" t="s">
        <v>30</v>
      </c>
      <c r="Y5" s="110" t="s">
        <v>31</v>
      </c>
      <c r="Z5" s="21" t="s">
        <v>32</v>
      </c>
      <c r="AA5" s="22" t="s">
        <v>33</v>
      </c>
      <c r="AB5" s="21" t="s">
        <v>34</v>
      </c>
      <c r="AC5" s="23" t="s">
        <v>35</v>
      </c>
      <c r="AD5" s="23" t="s">
        <v>36</v>
      </c>
      <c r="AE5" s="23" t="s">
        <v>37</v>
      </c>
      <c r="AF5" s="23" t="s">
        <v>38</v>
      </c>
      <c r="AG5" s="23" t="s">
        <v>39</v>
      </c>
      <c r="AH5" s="23" t="s">
        <v>40</v>
      </c>
      <c r="AI5" s="23" t="s">
        <v>41</v>
      </c>
      <c r="AJ5" s="24" t="s">
        <v>42</v>
      </c>
      <c r="AK5" s="25" t="s">
        <v>43</v>
      </c>
    </row>
    <row r="6" spans="1:37" x14ac:dyDescent="0.25">
      <c r="A6" s="431" t="s">
        <v>477</v>
      </c>
      <c r="B6" s="526">
        <v>44312</v>
      </c>
      <c r="C6" s="237">
        <v>0.52916666666666667</v>
      </c>
      <c r="D6" s="418">
        <v>0.7</v>
      </c>
      <c r="E6" s="527" t="s">
        <v>47</v>
      </c>
      <c r="F6" s="528" t="s">
        <v>476</v>
      </c>
      <c r="G6" s="529"/>
      <c r="H6" s="530"/>
      <c r="I6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6" s="532"/>
      <c r="K6" s="533"/>
      <c r="L6" s="245">
        <v>0.15</v>
      </c>
      <c r="M6" s="246">
        <v>0.05</v>
      </c>
      <c r="N6" s="246">
        <v>0.03</v>
      </c>
      <c r="O6" s="246">
        <f>SUM(V062A_203031333436353739404142[[#This Row],[MPAL]]+V062A_203031333436353739404142[[#This Row],[AUX.]]+V062A_203031333436353739404142[[#This Row],[CALDERA]])</f>
        <v>0.23</v>
      </c>
      <c r="P6" s="319"/>
      <c r="Q6" s="270">
        <f>(Q4-V062A_203031333436353739404142[[#This Row],[TOTAL ]])+V062A_203031333436353739404142[[#This Row],[FAENA]]</f>
        <v>206.62</v>
      </c>
      <c r="R6" s="245">
        <v>0</v>
      </c>
      <c r="S6" s="246">
        <v>0</v>
      </c>
      <c r="T6" s="246">
        <v>0</v>
      </c>
      <c r="U6" s="246">
        <v>0</v>
      </c>
      <c r="V6" s="246">
        <v>0</v>
      </c>
      <c r="W6" s="246">
        <f>SUM(V062A_203031333436353739404142[[#This Row],[MPAL2]:[GI]])</f>
        <v>0</v>
      </c>
      <c r="X6" s="246"/>
      <c r="Y6" s="300">
        <f>(Y4-V062A_203031333436353739404142[[#This Row],[TOTAL]])+V062A_203031333436353739404142[[#This Row],[FAENA2]]</f>
        <v>57.27</v>
      </c>
      <c r="Z6" s="245">
        <v>0</v>
      </c>
      <c r="AA6" s="246">
        <v>0</v>
      </c>
      <c r="AB6" s="438">
        <f>(AB4-V062A_203031333436353739404142[[#This Row],[CYLINDER MP]])+V062A_203031333436353739404142[[#This Row],[FAENA EN LTS]]</f>
        <v>2287</v>
      </c>
      <c r="AC6" s="246">
        <v>0</v>
      </c>
      <c r="AD6" s="246">
        <v>0</v>
      </c>
      <c r="AE6" s="438">
        <f>(AE4-V062A_203031333436353739404142[[#This Row],[CARTER MP.]])+V062A_203031333436353739404142[[#This Row],[FAENA EN LTS2]]</f>
        <v>3900</v>
      </c>
      <c r="AF6" s="246">
        <v>0</v>
      </c>
      <c r="AG6" s="246">
        <v>0</v>
      </c>
      <c r="AH6" s="438">
        <f>(AH4-V062A_203031333436353739404142[[#This Row],[MOT AUX]])+V062A_203031333436353739404142[[#This Row],[FAENA EN  LTS]]</f>
        <v>3750</v>
      </c>
      <c r="AI6" s="246">
        <v>0</v>
      </c>
      <c r="AJ6" s="246">
        <v>0</v>
      </c>
      <c r="AK6" s="439">
        <f>(AK4-V062A_203031333436353739404142[[#This Row],[HIDRAULICO]])+V062A_203031333436353739404142[[#This Row],[FAENA EN LTS3]]</f>
        <v>2350</v>
      </c>
    </row>
    <row r="7" spans="1:37" x14ac:dyDescent="0.25">
      <c r="A7" s="431" t="s">
        <v>477</v>
      </c>
      <c r="B7" s="526">
        <v>44313</v>
      </c>
      <c r="C7" s="237">
        <v>0.33333333333333331</v>
      </c>
      <c r="D7" s="418">
        <f>IF(V062A_203031333436353739404142[[#This Row],[FECHA]]-B6=1,((V062A_203031333436353739404142[[#This Row],[HORA]]-C6)*24)+24,(V062A_203031333436353739404142[[#This Row],[HORA]]-C6)*24)</f>
        <v>19.299999999999997</v>
      </c>
      <c r="E7" s="527" t="s">
        <v>45</v>
      </c>
      <c r="F7" s="528" t="s">
        <v>417</v>
      </c>
      <c r="G7" s="529"/>
      <c r="H7" s="530"/>
      <c r="I7" s="531">
        <f>IF(ISERROR(V062A_2030313334363537394041[[#This Row],[DISTANCIA POR CARTA]]/V062A_2030313334363537394041[[#This Row],[TIEMPO DE NAVEGACION]]),0,V062A_2030313334363537394041[[#This Row],[DISTANCIA POR CARTA]]/V062A_2030313334363537394041[[#This Row],[TIEMPO DE NAVEGACION]])</f>
        <v>0</v>
      </c>
      <c r="J7" s="532"/>
      <c r="K7" s="533"/>
      <c r="L7" s="245">
        <v>0</v>
      </c>
      <c r="M7" s="246">
        <v>1.29</v>
      </c>
      <c r="N7" s="246">
        <v>0.8</v>
      </c>
      <c r="O7" s="246">
        <f>SUM(V062A_203031333436353739404142[[#This Row],[MPAL]]+V062A_203031333436353739404142[[#This Row],[AUX.]]+V062A_203031333436353739404142[[#This Row],[CALDERA]])</f>
        <v>2.09</v>
      </c>
      <c r="P7" s="319"/>
      <c r="Q7" s="270">
        <f>(Q6-V062A_203031333436353739404142[[#This Row],[TOTAL ]])+V062A_203031333436353739404142[[#This Row],[FAENA]]</f>
        <v>204.53</v>
      </c>
      <c r="R7" s="245">
        <v>0</v>
      </c>
      <c r="S7" s="246">
        <v>0</v>
      </c>
      <c r="T7" s="246">
        <v>0</v>
      </c>
      <c r="U7" s="246">
        <v>0</v>
      </c>
      <c r="V7" s="246">
        <v>0</v>
      </c>
      <c r="W7" s="246">
        <f>SUM(V062A_203031333436353739404142[[#This Row],[MPAL2]:[GI]])</f>
        <v>0</v>
      </c>
      <c r="X7" s="246"/>
      <c r="Y7" s="300">
        <f>(Y6-V062A_203031333436353739404142[[#This Row],[TOTAL]])+V062A_203031333436353739404142[[#This Row],[FAENA2]]</f>
        <v>57.27</v>
      </c>
      <c r="Z7" s="245">
        <v>0</v>
      </c>
      <c r="AA7" s="246">
        <v>0</v>
      </c>
      <c r="AB7" s="438">
        <f>(AB6-V062A_203031333436353739404142[[#This Row],[CYLINDER MP]])+V062A_203031333436353739404142[[#This Row],[FAENA EN LTS]]</f>
        <v>2287</v>
      </c>
      <c r="AC7" s="246">
        <v>0</v>
      </c>
      <c r="AD7" s="246">
        <v>0</v>
      </c>
      <c r="AE7" s="438">
        <f>(AE6-V062A_203031333436353739404142[[#This Row],[CARTER MP.]])+V062A_203031333436353739404142[[#This Row],[FAENA EN LTS2]]</f>
        <v>3900</v>
      </c>
      <c r="AF7" s="246">
        <v>0</v>
      </c>
      <c r="AG7" s="246">
        <v>0</v>
      </c>
      <c r="AH7" s="438">
        <f>(AH6-V062A_203031333436353739404142[[#This Row],[MOT AUX]])+V062A_203031333436353739404142[[#This Row],[FAENA EN  LTS]]</f>
        <v>3750</v>
      </c>
      <c r="AI7" s="246">
        <v>0</v>
      </c>
      <c r="AJ7" s="246">
        <v>0</v>
      </c>
      <c r="AK7" s="439">
        <f>(AK6-V062A_203031333436353739404142[[#This Row],[HIDRAULICO]])+V062A_203031333436353739404142[[#This Row],[FAENA EN LTS3]]</f>
        <v>2350</v>
      </c>
    </row>
    <row r="8" spans="1:37" x14ac:dyDescent="0.25">
      <c r="A8" s="431" t="s">
        <v>477</v>
      </c>
      <c r="B8" s="526">
        <v>44314</v>
      </c>
      <c r="C8" s="237">
        <v>0.33333333333333331</v>
      </c>
      <c r="D8" s="418">
        <f>IF(V062A_203031333436353739404142[[#This Row],[FECHA]]-B7=1,((V062A_203031333436353739404142[[#This Row],[HORA]]-C7)*24)+24,(V062A_203031333436353739404142[[#This Row],[HORA]]-C7)*24)</f>
        <v>24</v>
      </c>
      <c r="E8" s="506" t="s">
        <v>45</v>
      </c>
      <c r="F8" s="528" t="s">
        <v>417</v>
      </c>
      <c r="G8" s="508"/>
      <c r="H8" s="509"/>
      <c r="I8" s="510"/>
      <c r="J8" s="511"/>
      <c r="K8" s="512"/>
      <c r="L8" s="245">
        <v>0</v>
      </c>
      <c r="M8" s="246">
        <v>1.6</v>
      </c>
      <c r="N8" s="246">
        <v>1</v>
      </c>
      <c r="O8" s="246">
        <f>SUM(V062A_203031333436353739404142[[#This Row],[MPAL]]+V062A_203031333436353739404142[[#This Row],[AUX.]]+V062A_203031333436353739404142[[#This Row],[CALDERA]])</f>
        <v>2.6</v>
      </c>
      <c r="P8" s="319"/>
      <c r="Q8" s="270">
        <f>(Q7-V062A_203031333436353739404142[[#This Row],[TOTAL ]])+V062A_203031333436353739404142[[#This Row],[FAENA]]</f>
        <v>201.93</v>
      </c>
      <c r="R8" s="245">
        <v>0</v>
      </c>
      <c r="S8" s="246">
        <v>0</v>
      </c>
      <c r="T8" s="246">
        <v>0</v>
      </c>
      <c r="U8" s="246">
        <v>0</v>
      </c>
      <c r="V8" s="246">
        <v>0</v>
      </c>
      <c r="W8" s="246">
        <f>SUM(V062A_203031333436353739404142[[#This Row],[MPAL2]:[GI]])</f>
        <v>0</v>
      </c>
      <c r="X8" s="246"/>
      <c r="Y8" s="300">
        <f>(Y7-V062A_203031333436353739404142[[#This Row],[TOTAL]])+V062A_203031333436353739404142[[#This Row],[FAENA2]]</f>
        <v>57.27</v>
      </c>
      <c r="Z8" s="245">
        <v>0</v>
      </c>
      <c r="AA8" s="246">
        <v>0</v>
      </c>
      <c r="AB8" s="438">
        <f>(AB7-V062A_203031333436353739404142[[#This Row],[CYLINDER MP]])+V062A_203031333436353739404142[[#This Row],[FAENA EN LTS]]</f>
        <v>2287</v>
      </c>
      <c r="AC8" s="246">
        <v>0</v>
      </c>
      <c r="AD8" s="246">
        <v>0</v>
      </c>
      <c r="AE8" s="438">
        <f>(AE7-V062A_203031333436353739404142[[#This Row],[CARTER MP.]])+V062A_203031333436353739404142[[#This Row],[FAENA EN LTS2]]</f>
        <v>3900</v>
      </c>
      <c r="AF8" s="246">
        <v>0</v>
      </c>
      <c r="AG8" s="246">
        <v>0</v>
      </c>
      <c r="AH8" s="438">
        <f>(AH7-V062A_203031333436353739404142[[#This Row],[MOT AUX]])+V062A_203031333436353739404142[[#This Row],[FAENA EN  LTS]]</f>
        <v>3750</v>
      </c>
      <c r="AI8" s="246">
        <v>0</v>
      </c>
      <c r="AJ8" s="246">
        <v>0</v>
      </c>
      <c r="AK8" s="439">
        <f>(AK7-V062A_203031333436353739404142[[#This Row],[HIDRAULICO]])+V062A_203031333436353739404142[[#This Row],[FAENA EN LTS3]]</f>
        <v>2350</v>
      </c>
    </row>
    <row r="9" spans="1:37" x14ac:dyDescent="0.25">
      <c r="A9" s="431" t="s">
        <v>477</v>
      </c>
      <c r="B9" s="526">
        <v>44315</v>
      </c>
      <c r="C9" s="41">
        <v>0.33333333333333331</v>
      </c>
      <c r="D9" s="418">
        <f>IF(V062A_203031333436353739404142[[#This Row],[FECHA]]-B8=1,((V062A_203031333436353739404142[[#This Row],[HORA]]-C8)*24)+24,(V062A_203031333436353739404142[[#This Row],[HORA]]-C8)*24)</f>
        <v>24</v>
      </c>
      <c r="E9" s="409" t="s">
        <v>45</v>
      </c>
      <c r="F9" s="528" t="s">
        <v>417</v>
      </c>
      <c r="G9" s="324"/>
      <c r="H9" s="306"/>
      <c r="I9" s="259"/>
      <c r="J9" s="242"/>
      <c r="K9" s="325"/>
      <c r="L9" s="483">
        <v>0</v>
      </c>
      <c r="M9" s="246">
        <v>1.6</v>
      </c>
      <c r="N9" s="484">
        <v>1</v>
      </c>
      <c r="O9" s="246">
        <f>SUM(V062A_203031333436353739404142[[#This Row],[MPAL]]+V062A_203031333436353739404142[[#This Row],[AUX.]]+V062A_203031333436353739404142[[#This Row],[CALDERA]])</f>
        <v>2.6</v>
      </c>
      <c r="P9" s="319"/>
      <c r="Q9" s="270">
        <f>(Q8-V062A_203031333436353739404142[[#This Row],[TOTAL ]])+V062A_203031333436353739404142[[#This Row],[FAENA]]</f>
        <v>199.33</v>
      </c>
      <c r="R9" s="245">
        <v>0</v>
      </c>
      <c r="S9" s="246">
        <v>0</v>
      </c>
      <c r="T9" s="246">
        <v>0</v>
      </c>
      <c r="U9" s="246">
        <v>0</v>
      </c>
      <c r="V9" s="246">
        <v>0</v>
      </c>
      <c r="W9" s="246">
        <f>SUM(V062A_203031333436353739404142[[#This Row],[MPAL2]:[GI]])</f>
        <v>0</v>
      </c>
      <c r="X9" s="246"/>
      <c r="Y9" s="300">
        <f>(Y8-V062A_203031333436353739404142[[#This Row],[TOTAL]])+V062A_203031333436353739404142[[#This Row],[FAENA2]]</f>
        <v>57.27</v>
      </c>
      <c r="Z9" s="245">
        <v>0</v>
      </c>
      <c r="AA9" s="246">
        <v>0</v>
      </c>
      <c r="AB9" s="438">
        <f>(AB8-V062A_203031333436353739404142[[#This Row],[CYLINDER MP]])+V062A_203031333436353739404142[[#This Row],[FAENA EN LTS]]</f>
        <v>2287</v>
      </c>
      <c r="AC9" s="246">
        <v>0</v>
      </c>
      <c r="AD9" s="246">
        <v>0</v>
      </c>
      <c r="AE9" s="438">
        <f>(AE8-V062A_203031333436353739404142[[#This Row],[CARTER MP.]])+V062A_203031333436353739404142[[#This Row],[FAENA EN LTS2]]</f>
        <v>3900</v>
      </c>
      <c r="AF9" s="246">
        <v>0</v>
      </c>
      <c r="AG9" s="246">
        <v>0</v>
      </c>
      <c r="AH9" s="438">
        <f>(AH8-V062A_203031333436353739404142[[#This Row],[MOT AUX]])+V062A_203031333436353739404142[[#This Row],[FAENA EN  LTS]]</f>
        <v>3750</v>
      </c>
      <c r="AI9" s="246">
        <v>0</v>
      </c>
      <c r="AJ9" s="246">
        <v>0</v>
      </c>
      <c r="AK9" s="439">
        <f>(AK8-V062A_203031333436353739404142[[#This Row],[HIDRAULICO]])+V062A_203031333436353739404142[[#This Row],[FAENA EN LTS3]]</f>
        <v>2350</v>
      </c>
    </row>
    <row r="10" spans="1:37" x14ac:dyDescent="0.25">
      <c r="A10" s="431" t="s">
        <v>477</v>
      </c>
      <c r="B10" s="526">
        <v>44316</v>
      </c>
      <c r="C10" s="41">
        <v>0.33333333333333331</v>
      </c>
      <c r="D10" s="418">
        <f>IF(V062A_203031333436353739404142[[#This Row],[FECHA]]-B9=1,((V062A_203031333436353739404142[[#This Row],[HORA]]-C9)*24)+24,(V062A_203031333436353739404142[[#This Row],[HORA]]-C9)*24)</f>
        <v>24</v>
      </c>
      <c r="E10" s="409" t="s">
        <v>45</v>
      </c>
      <c r="F10" s="528" t="s">
        <v>417</v>
      </c>
      <c r="G10" s="324"/>
      <c r="H10" s="306"/>
      <c r="I10" s="259"/>
      <c r="J10" s="242"/>
      <c r="K10" s="325"/>
      <c r="L10" s="483">
        <v>0</v>
      </c>
      <c r="M10" s="246">
        <v>1.6</v>
      </c>
      <c r="N10" s="484">
        <v>1</v>
      </c>
      <c r="O10" s="246">
        <f>SUM(V062A_203031333436353739404142[[#This Row],[MPAL]]+V062A_203031333436353739404142[[#This Row],[AUX.]]+V062A_203031333436353739404142[[#This Row],[CALDERA]])</f>
        <v>2.6</v>
      </c>
      <c r="P10" s="319"/>
      <c r="Q10" s="270">
        <f>(Q9-V062A_203031333436353739404142[[#This Row],[TOTAL ]])+V062A_203031333436353739404142[[#This Row],[FAENA]]</f>
        <v>196.73000000000002</v>
      </c>
      <c r="R10" s="245">
        <v>0</v>
      </c>
      <c r="S10" s="246">
        <v>0</v>
      </c>
      <c r="T10" s="246">
        <v>0</v>
      </c>
      <c r="U10" s="246">
        <v>0</v>
      </c>
      <c r="V10" s="246">
        <v>0</v>
      </c>
      <c r="W10" s="246">
        <f>SUM(V062A_203031333436353739404142[[#This Row],[MPAL2]:[GI]])</f>
        <v>0</v>
      </c>
      <c r="X10" s="246"/>
      <c r="Y10" s="300">
        <f>(Y9-V062A_203031333436353739404142[[#This Row],[TOTAL]])+V062A_203031333436353739404142[[#This Row],[FAENA2]]</f>
        <v>57.27</v>
      </c>
      <c r="Z10" s="245">
        <v>0</v>
      </c>
      <c r="AA10" s="246">
        <v>0</v>
      </c>
      <c r="AB10" s="438">
        <f>(AB9-V062A_203031333436353739404142[[#This Row],[CYLINDER MP]])+V062A_203031333436353739404142[[#This Row],[FAENA EN LTS]]</f>
        <v>2287</v>
      </c>
      <c r="AC10" s="246">
        <v>0</v>
      </c>
      <c r="AD10" s="246">
        <v>0</v>
      </c>
      <c r="AE10" s="438">
        <f>(AE9-V062A_203031333436353739404142[[#This Row],[CARTER MP.]])+V062A_203031333436353739404142[[#This Row],[FAENA EN LTS2]]</f>
        <v>3900</v>
      </c>
      <c r="AF10" s="246">
        <v>0</v>
      </c>
      <c r="AG10" s="246">
        <v>0</v>
      </c>
      <c r="AH10" s="438">
        <f>(AH9-V062A_203031333436353739404142[[#This Row],[MOT AUX]])+V062A_203031333436353739404142[[#This Row],[FAENA EN  LTS]]</f>
        <v>3750</v>
      </c>
      <c r="AI10" s="246">
        <v>0</v>
      </c>
      <c r="AJ10" s="246">
        <v>0</v>
      </c>
      <c r="AK10" s="439">
        <f>(AK9-V062A_203031333436353739404142[[#This Row],[HIDRAULICO]])+V062A_203031333436353739404142[[#This Row],[FAENA EN LTS3]]</f>
        <v>2350</v>
      </c>
    </row>
    <row r="11" spans="1:37" x14ac:dyDescent="0.25">
      <c r="A11" s="431" t="s">
        <v>477</v>
      </c>
      <c r="B11" s="526">
        <v>44317</v>
      </c>
      <c r="C11" s="41">
        <v>0</v>
      </c>
      <c r="D11" s="418">
        <f>IF(V062A_203031333436353739404142[[#This Row],[FECHA]]-B10=1,((V062A_203031333436353739404142[[#This Row],[HORA]]-C10)*24)+24,(V062A_203031333436353739404142[[#This Row],[HORA]]-C10)*24)</f>
        <v>16</v>
      </c>
      <c r="E11" s="239" t="s">
        <v>45</v>
      </c>
      <c r="F11" s="528" t="s">
        <v>417</v>
      </c>
      <c r="G11" s="324"/>
      <c r="H11" s="306"/>
      <c r="I11" s="259"/>
      <c r="J11" s="380"/>
      <c r="K11" s="325"/>
      <c r="L11" s="483">
        <v>0</v>
      </c>
      <c r="M11" s="246">
        <v>1.07</v>
      </c>
      <c r="N11" s="484">
        <v>0.67</v>
      </c>
      <c r="O11" s="246">
        <f>SUM(V062A_203031333436353739404142[[#This Row],[MPAL]]+V062A_203031333436353739404142[[#This Row],[AUX.]]+V062A_203031333436353739404142[[#This Row],[CALDERA]])</f>
        <v>1.7400000000000002</v>
      </c>
      <c r="P11" s="319"/>
      <c r="Q11" s="270">
        <f>(Q10-V062A_203031333436353739404142[[#This Row],[TOTAL ]])+V062A_203031333436353739404142[[#This Row],[FAENA]]</f>
        <v>194.99</v>
      </c>
      <c r="R11" s="245">
        <v>0</v>
      </c>
      <c r="S11" s="246">
        <v>0</v>
      </c>
      <c r="T11" s="246">
        <v>0</v>
      </c>
      <c r="U11" s="246">
        <v>0</v>
      </c>
      <c r="V11" s="246">
        <v>0</v>
      </c>
      <c r="W11" s="246">
        <f>SUM(V062A_203031333436353739404142[[#This Row],[MPAL2]:[GI]])</f>
        <v>0</v>
      </c>
      <c r="X11" s="246"/>
      <c r="Y11" s="300">
        <f>(Y10-V062A_203031333436353739404142[[#This Row],[TOTAL]])+V062A_203031333436353739404142[[#This Row],[FAENA2]]</f>
        <v>57.27</v>
      </c>
      <c r="Z11" s="245">
        <v>0</v>
      </c>
      <c r="AA11" s="246">
        <v>0</v>
      </c>
      <c r="AB11" s="438">
        <f>(AB10-V062A_203031333436353739404142[[#This Row],[CYLINDER MP]])+V062A_203031333436353739404142[[#This Row],[FAENA EN LTS]]</f>
        <v>2287</v>
      </c>
      <c r="AC11" s="246">
        <v>0</v>
      </c>
      <c r="AD11" s="246">
        <v>0</v>
      </c>
      <c r="AE11" s="438">
        <f>(AE10-V062A_203031333436353739404142[[#This Row],[CARTER MP.]])+V062A_203031333436353739404142[[#This Row],[FAENA EN LTS2]]</f>
        <v>3900</v>
      </c>
      <c r="AF11" s="246">
        <v>0</v>
      </c>
      <c r="AG11" s="246">
        <v>0</v>
      </c>
      <c r="AH11" s="438">
        <f>(AH10-V062A_203031333436353739404142[[#This Row],[MOT AUX]])+V062A_203031333436353739404142[[#This Row],[FAENA EN  LTS]]</f>
        <v>3750</v>
      </c>
      <c r="AI11" s="246">
        <v>0</v>
      </c>
      <c r="AJ11" s="246">
        <v>0</v>
      </c>
      <c r="AK11" s="439">
        <f>(AK10-V062A_203031333436353739404142[[#This Row],[HIDRAULICO]])+V062A_203031333436353739404142[[#This Row],[FAENA EN LTS3]]</f>
        <v>2350</v>
      </c>
    </row>
    <row r="12" spans="1:37" x14ac:dyDescent="0.25">
      <c r="A12" s="431" t="s">
        <v>477</v>
      </c>
      <c r="B12" s="526">
        <v>44317</v>
      </c>
      <c r="C12" s="41">
        <v>0.33333333333333331</v>
      </c>
      <c r="D12" s="418">
        <f>IF(V062A_203031333436353739404142[[#This Row],[FECHA]]-B11=1,((V062A_203031333436353739404142[[#This Row],[HORA]]-C11)*24)+24,(V062A_203031333436353739404142[[#This Row],[HORA]]-C11)*24)</f>
        <v>8</v>
      </c>
      <c r="E12" s="239" t="s">
        <v>45</v>
      </c>
      <c r="F12" s="528" t="s">
        <v>417</v>
      </c>
      <c r="G12" s="324"/>
      <c r="H12" s="306"/>
      <c r="I12" s="259"/>
      <c r="J12" s="242"/>
      <c r="K12" s="325"/>
      <c r="L12" s="483">
        <v>0</v>
      </c>
      <c r="M12" s="246">
        <v>0.53</v>
      </c>
      <c r="N12" s="484">
        <v>0.33</v>
      </c>
      <c r="O12" s="246">
        <f>SUM(V062A_203031333436353739404142[[#This Row],[MPAL]]+V062A_203031333436353739404142[[#This Row],[AUX.]]+V062A_203031333436353739404142[[#This Row],[CALDERA]])</f>
        <v>0.8600000000000001</v>
      </c>
      <c r="P12" s="319"/>
      <c r="Q12" s="270">
        <f>(Q11-V062A_203031333436353739404142[[#This Row],[TOTAL ]])+V062A_203031333436353739404142[[#This Row],[FAENA]]</f>
        <v>194.13</v>
      </c>
      <c r="R12" s="245">
        <v>0</v>
      </c>
      <c r="S12" s="246">
        <v>0</v>
      </c>
      <c r="T12" s="246">
        <v>0</v>
      </c>
      <c r="U12" s="246">
        <v>0</v>
      </c>
      <c r="V12" s="246">
        <v>2.5</v>
      </c>
      <c r="W12" s="246">
        <f>SUM(V062A_203031333436353739404142[[#This Row],[MPAL2]:[GI]])</f>
        <v>2.5</v>
      </c>
      <c r="X12" s="246"/>
      <c r="Y12" s="300">
        <f>(Y11-V062A_203031333436353739404142[[#This Row],[TOTAL]])+V062A_203031333436353739404142[[#This Row],[FAENA2]]</f>
        <v>54.77</v>
      </c>
      <c r="Z12" s="245">
        <v>0</v>
      </c>
      <c r="AA12" s="246">
        <v>0</v>
      </c>
      <c r="AB12" s="438">
        <f>(AB11-V062A_203031333436353739404142[[#This Row],[CYLINDER MP]])+V062A_203031333436353739404142[[#This Row],[FAENA EN LTS]]</f>
        <v>2287</v>
      </c>
      <c r="AC12" s="246">
        <v>0</v>
      </c>
      <c r="AD12" s="246">
        <v>0</v>
      </c>
      <c r="AE12" s="438">
        <f>(AE11-V062A_203031333436353739404142[[#This Row],[CARTER MP.]])+V062A_203031333436353739404142[[#This Row],[FAENA EN LTS2]]</f>
        <v>3900</v>
      </c>
      <c r="AF12" s="246">
        <v>0</v>
      </c>
      <c r="AG12" s="246">
        <v>0</v>
      </c>
      <c r="AH12" s="438">
        <f>(AH11-V062A_203031333436353739404142[[#This Row],[MOT AUX]])+V062A_203031333436353739404142[[#This Row],[FAENA EN  LTS]]</f>
        <v>3750</v>
      </c>
      <c r="AI12" s="246">
        <v>0</v>
      </c>
      <c r="AJ12" s="246">
        <v>0</v>
      </c>
      <c r="AK12" s="439">
        <f>(AK11-V062A_203031333436353739404142[[#This Row],[HIDRAULICO]])+V062A_203031333436353739404142[[#This Row],[FAENA EN LTS3]]</f>
        <v>2350</v>
      </c>
    </row>
    <row r="13" spans="1:37" x14ac:dyDescent="0.25">
      <c r="A13" s="431" t="s">
        <v>477</v>
      </c>
      <c r="B13" s="526">
        <v>44318</v>
      </c>
      <c r="C13" s="41">
        <v>0.33333333333333331</v>
      </c>
      <c r="D13" s="418">
        <f>IF(V062A_203031333436353739404142[[#This Row],[FECHA]]-B12=1,((V062A_203031333436353739404142[[#This Row],[HORA]]-C12)*24)+24,(V062A_203031333436353739404142[[#This Row],[HORA]]-C12)*24)</f>
        <v>24</v>
      </c>
      <c r="E13" s="409" t="s">
        <v>45</v>
      </c>
      <c r="F13" s="528" t="s">
        <v>417</v>
      </c>
      <c r="G13" s="324"/>
      <c r="H13" s="306"/>
      <c r="I13" s="259"/>
      <c r="J13" s="242"/>
      <c r="K13" s="325"/>
      <c r="L13" s="483">
        <v>0</v>
      </c>
      <c r="M13" s="246">
        <v>1.6</v>
      </c>
      <c r="N13" s="484">
        <v>1</v>
      </c>
      <c r="O13" s="246">
        <f>SUM(V062A_203031333436353739404142[[#This Row],[MPAL]]+V062A_203031333436353739404142[[#This Row],[AUX.]]+V062A_203031333436353739404142[[#This Row],[CALDERA]])</f>
        <v>2.6</v>
      </c>
      <c r="P13" s="319"/>
      <c r="Q13" s="270">
        <f>(Q12-V062A_203031333436353739404142[[#This Row],[TOTAL ]])+V062A_203031333436353739404142[[#This Row],[FAENA]]</f>
        <v>191.53</v>
      </c>
      <c r="R13" s="245">
        <v>0</v>
      </c>
      <c r="S13" s="246">
        <v>0</v>
      </c>
      <c r="T13" s="246">
        <v>0</v>
      </c>
      <c r="U13" s="246">
        <v>0</v>
      </c>
      <c r="V13" s="246">
        <v>0</v>
      </c>
      <c r="W13" s="246">
        <f>SUM(V062A_203031333436353739404142[[#This Row],[MPAL2]:[GI]])</f>
        <v>0</v>
      </c>
      <c r="X13" s="246"/>
      <c r="Y13" s="300">
        <f>(Y12-V062A_203031333436353739404142[[#This Row],[TOTAL]])+V062A_203031333436353739404142[[#This Row],[FAENA2]]</f>
        <v>54.77</v>
      </c>
      <c r="Z13" s="245">
        <v>0</v>
      </c>
      <c r="AA13" s="246">
        <v>0</v>
      </c>
      <c r="AB13" s="438">
        <f>(AB12-V062A_203031333436353739404142[[#This Row],[CYLINDER MP]])+V062A_203031333436353739404142[[#This Row],[FAENA EN LTS]]</f>
        <v>2287</v>
      </c>
      <c r="AC13" s="246">
        <v>0</v>
      </c>
      <c r="AD13" s="246">
        <v>0</v>
      </c>
      <c r="AE13" s="438">
        <f>(AE12-V062A_203031333436353739404142[[#This Row],[CARTER MP.]])+V062A_203031333436353739404142[[#This Row],[FAENA EN LTS2]]</f>
        <v>3900</v>
      </c>
      <c r="AF13" s="246">
        <v>0</v>
      </c>
      <c r="AG13" s="246">
        <v>0</v>
      </c>
      <c r="AH13" s="438">
        <f>(AH12-V062A_203031333436353739404142[[#This Row],[MOT AUX]])+V062A_203031333436353739404142[[#This Row],[FAENA EN  LTS]]</f>
        <v>3750</v>
      </c>
      <c r="AI13" s="246">
        <v>0</v>
      </c>
      <c r="AJ13" s="246">
        <v>0</v>
      </c>
      <c r="AK13" s="439">
        <f>(AK12-V062A_203031333436353739404142[[#This Row],[HIDRAULICO]])+V062A_203031333436353739404142[[#This Row],[FAENA EN LTS3]]</f>
        <v>2350</v>
      </c>
    </row>
    <row r="14" spans="1:37" x14ac:dyDescent="0.25">
      <c r="A14" s="431" t="s">
        <v>477</v>
      </c>
      <c r="B14" s="526">
        <v>44319</v>
      </c>
      <c r="C14" s="41">
        <v>0.33333333333333331</v>
      </c>
      <c r="D14" s="418">
        <f>IF(V062A_203031333436353739404142[[#This Row],[FECHA]]-B13=1,((V062A_203031333436353739404142[[#This Row],[HORA]]-C13)*24)+24,(V062A_203031333436353739404142[[#This Row],[HORA]]-C13)*24)</f>
        <v>24</v>
      </c>
      <c r="E14" s="499" t="s">
        <v>45</v>
      </c>
      <c r="F14" s="528" t="s">
        <v>417</v>
      </c>
      <c r="G14" s="500"/>
      <c r="H14" s="501"/>
      <c r="I14" s="502"/>
      <c r="J14" s="503"/>
      <c r="K14" s="504"/>
      <c r="L14" s="245">
        <v>0</v>
      </c>
      <c r="M14" s="246">
        <v>1.6</v>
      </c>
      <c r="N14" s="246">
        <v>1</v>
      </c>
      <c r="O14" s="246">
        <f>SUM(V062A_203031333436353739404142[[#This Row],[MPAL]]+V062A_203031333436353739404142[[#This Row],[AUX.]]+V062A_203031333436353739404142[[#This Row],[CALDERA]])</f>
        <v>2.6</v>
      </c>
      <c r="P14" s="319"/>
      <c r="Q14" s="270">
        <f>(Q13-V062A_203031333436353739404142[[#This Row],[TOTAL ]])+V062A_203031333436353739404142[[#This Row],[FAENA]]</f>
        <v>188.93</v>
      </c>
      <c r="R14" s="245">
        <v>0</v>
      </c>
      <c r="S14" s="246">
        <v>0</v>
      </c>
      <c r="T14" s="246">
        <v>0</v>
      </c>
      <c r="U14" s="246">
        <v>0</v>
      </c>
      <c r="V14" s="246">
        <v>0</v>
      </c>
      <c r="W14" s="246">
        <f>SUM(V062A_203031333436353739404142[[#This Row],[MPAL2]:[GI]])</f>
        <v>0</v>
      </c>
      <c r="X14" s="246"/>
      <c r="Y14" s="300">
        <f>(Y13-V062A_203031333436353739404142[[#This Row],[TOTAL]])+V062A_203031333436353739404142[[#This Row],[FAENA2]]</f>
        <v>54.77</v>
      </c>
      <c r="Z14" s="245">
        <v>0</v>
      </c>
      <c r="AA14" s="246">
        <v>0</v>
      </c>
      <c r="AB14" s="438">
        <f>(AB13-V062A_203031333436353739404142[[#This Row],[CYLINDER MP]])+V062A_203031333436353739404142[[#This Row],[FAENA EN LTS]]</f>
        <v>2287</v>
      </c>
      <c r="AC14" s="246">
        <v>0</v>
      </c>
      <c r="AD14" s="246">
        <v>0</v>
      </c>
      <c r="AE14" s="438">
        <f>(AE13-V062A_203031333436353739404142[[#This Row],[CARTER MP.]])+V062A_203031333436353739404142[[#This Row],[FAENA EN LTS2]]</f>
        <v>3900</v>
      </c>
      <c r="AF14" s="246">
        <v>0</v>
      </c>
      <c r="AG14" s="246">
        <v>0</v>
      </c>
      <c r="AH14" s="438">
        <f>(AH13-V062A_203031333436353739404142[[#This Row],[MOT AUX]])+V062A_203031333436353739404142[[#This Row],[FAENA EN  LTS]]</f>
        <v>3750</v>
      </c>
      <c r="AI14" s="246">
        <v>0</v>
      </c>
      <c r="AJ14" s="246">
        <v>0</v>
      </c>
      <c r="AK14" s="439">
        <f>(AK13-V062A_203031333436353739404142[[#This Row],[HIDRAULICO]])+V062A_203031333436353739404142[[#This Row],[FAENA EN LTS3]]</f>
        <v>2350</v>
      </c>
    </row>
    <row r="15" spans="1:37" x14ac:dyDescent="0.25">
      <c r="A15" s="431" t="s">
        <v>477</v>
      </c>
      <c r="B15" s="526">
        <v>44319</v>
      </c>
      <c r="C15" s="41">
        <v>0.6791666666666667</v>
      </c>
      <c r="D15" s="418">
        <f>IF(V062A_203031333436353739404142[[#This Row],[FECHA]]-B14=1,((V062A_203031333436353739404142[[#This Row],[HORA]]-C14)*24)+24,(V062A_203031333436353739404142[[#This Row],[HORA]]-C14)*24)</f>
        <v>8.3000000000000007</v>
      </c>
      <c r="E15" s="409" t="s">
        <v>45</v>
      </c>
      <c r="F15" s="29" t="s">
        <v>46</v>
      </c>
      <c r="G15" s="324"/>
      <c r="H15" s="306"/>
      <c r="I15" s="259"/>
      <c r="J15" s="242"/>
      <c r="K15" s="325"/>
      <c r="L15" s="483">
        <v>0</v>
      </c>
      <c r="M15" s="246">
        <v>0.55000000000000004</v>
      </c>
      <c r="N15" s="484">
        <v>0.35</v>
      </c>
      <c r="O15" s="246">
        <f>SUM(V062A_203031333436353739404142[[#This Row],[MPAL]]+V062A_203031333436353739404142[[#This Row],[AUX.]]+V062A_203031333436353739404142[[#This Row],[CALDERA]])</f>
        <v>0.9</v>
      </c>
      <c r="P15" s="319"/>
      <c r="Q15" s="270">
        <f>(Q14-V062A_203031333436353739404142[[#This Row],[TOTAL ]])+V062A_203031333436353739404142[[#This Row],[FAENA]]</f>
        <v>188.03</v>
      </c>
      <c r="R15" s="245">
        <v>0</v>
      </c>
      <c r="S15" s="246">
        <v>0</v>
      </c>
      <c r="T15" s="246">
        <v>0</v>
      </c>
      <c r="U15" s="246">
        <v>0</v>
      </c>
      <c r="V15" s="246">
        <v>0</v>
      </c>
      <c r="W15" s="246">
        <f>SUM(V062A_203031333436353739404142[[#This Row],[MPAL2]:[GI]])</f>
        <v>0</v>
      </c>
      <c r="X15" s="246"/>
      <c r="Y15" s="300">
        <f>(Y14-V062A_203031333436353739404142[[#This Row],[TOTAL]])+V062A_203031333436353739404142[[#This Row],[FAENA2]]</f>
        <v>54.77</v>
      </c>
      <c r="Z15" s="245">
        <v>0</v>
      </c>
      <c r="AA15" s="246">
        <v>0</v>
      </c>
      <c r="AB15" s="438">
        <f>(AB14-V062A_203031333436353739404142[[#This Row],[CYLINDER MP]])+V062A_203031333436353739404142[[#This Row],[FAENA EN LTS]]</f>
        <v>2287</v>
      </c>
      <c r="AC15" s="246">
        <v>0</v>
      </c>
      <c r="AD15" s="246">
        <v>0</v>
      </c>
      <c r="AE15" s="438">
        <f>(AE14-V062A_203031333436353739404142[[#This Row],[CARTER MP.]])+V062A_203031333436353739404142[[#This Row],[FAENA EN LTS2]]</f>
        <v>3900</v>
      </c>
      <c r="AF15" s="246">
        <v>0</v>
      </c>
      <c r="AG15" s="246">
        <v>0</v>
      </c>
      <c r="AH15" s="438">
        <f>AH14</f>
        <v>3750</v>
      </c>
      <c r="AI15" s="246">
        <v>0</v>
      </c>
      <c r="AJ15" s="246">
        <v>0</v>
      </c>
      <c r="AK15" s="439">
        <f>(AK14-V062A_203031333436353739404142[[#This Row],[HIDRAULICO]])+V062A_203031333436353739404142[[#This Row],[FAENA EN LTS3]]</f>
        <v>2350</v>
      </c>
    </row>
    <row r="16" spans="1:37" x14ac:dyDescent="0.25">
      <c r="A16" s="431" t="s">
        <v>477</v>
      </c>
      <c r="B16" s="526">
        <v>44319</v>
      </c>
      <c r="C16" s="41">
        <v>0.70000000000000007</v>
      </c>
      <c r="D16" s="418">
        <f>IF(V062A_203031333436353739404142[[#This Row],[FECHA]]-B15=1,((V062A_203031333436353739404142[[#This Row],[HORA]]-C15)*24)+24,(V062A_203031333436353739404142[[#This Row],[HORA]]-C15)*24)</f>
        <v>0.50000000000000089</v>
      </c>
      <c r="E16" s="409" t="s">
        <v>47</v>
      </c>
      <c r="F16" s="29" t="s">
        <v>478</v>
      </c>
      <c r="G16" s="324"/>
      <c r="H16" s="306"/>
      <c r="I16" s="259"/>
      <c r="J16" s="242"/>
      <c r="K16" s="325"/>
      <c r="L16" s="483">
        <v>0.05</v>
      </c>
      <c r="M16" s="246">
        <v>0.03</v>
      </c>
      <c r="N16" s="484">
        <v>0.02</v>
      </c>
      <c r="O16" s="246">
        <f>SUM(V062A_203031333436353739404142[[#This Row],[MPAL]]+V062A_203031333436353739404142[[#This Row],[AUX.]]+V062A_203031333436353739404142[[#This Row],[CALDERA]])</f>
        <v>0.1</v>
      </c>
      <c r="P16" s="319"/>
      <c r="Q16" s="270">
        <f>(Q15-V062A_203031333436353739404142[[#This Row],[TOTAL ]])+V062A_203031333436353739404142[[#This Row],[FAENA]]</f>
        <v>187.93</v>
      </c>
      <c r="R16" s="245">
        <v>0</v>
      </c>
      <c r="S16" s="246">
        <v>0</v>
      </c>
      <c r="T16" s="246">
        <v>0</v>
      </c>
      <c r="U16" s="246">
        <v>0</v>
      </c>
      <c r="V16" s="246">
        <v>0</v>
      </c>
      <c r="W16" s="246">
        <f>SUM(V062A_203031333436353739404142[[#This Row],[MPAL2]:[GI]])</f>
        <v>0</v>
      </c>
      <c r="X16" s="246"/>
      <c r="Y16" s="300">
        <f>(Y15-V062A_203031333436353739404142[[#This Row],[TOTAL]])+V062A_203031333436353739404142[[#This Row],[FAENA2]]</f>
        <v>54.77</v>
      </c>
      <c r="Z16" s="245">
        <v>0</v>
      </c>
      <c r="AA16" s="246">
        <v>0</v>
      </c>
      <c r="AB16" s="438">
        <f>(AB15-V062A_203031333436353739404142[[#This Row],[CYLINDER MP]])+V062A_203031333436353739404142[[#This Row],[FAENA EN LTS]]</f>
        <v>2287</v>
      </c>
      <c r="AC16" s="246">
        <v>0</v>
      </c>
      <c r="AD16" s="246">
        <v>0</v>
      </c>
      <c r="AE16" s="438">
        <f>(AE15-V062A_203031333436353739404142[[#This Row],[CARTER MP.]])+V062A_203031333436353739404142[[#This Row],[FAENA EN LTS2]]</f>
        <v>3900</v>
      </c>
      <c r="AF16" s="246">
        <v>0</v>
      </c>
      <c r="AG16" s="246">
        <v>0</v>
      </c>
      <c r="AH16" s="438">
        <f>(AH15-V062A_203031333436353739404142[[#This Row],[MOT AUX]])+V062A_203031333436353739404142[[#This Row],[FAENA EN  LTS]]</f>
        <v>3750</v>
      </c>
      <c r="AI16" s="246">
        <v>0</v>
      </c>
      <c r="AJ16" s="246">
        <v>0</v>
      </c>
      <c r="AK16" s="439">
        <f>(AK15-V062A_203031333436353739404142[[#This Row],[HIDRAULICO]])+V062A_203031333436353739404142[[#This Row],[FAENA EN LTS3]]</f>
        <v>2350</v>
      </c>
    </row>
    <row r="17" spans="1:37" x14ac:dyDescent="0.25">
      <c r="A17" s="431" t="s">
        <v>477</v>
      </c>
      <c r="B17" s="526">
        <v>44320</v>
      </c>
      <c r="C17" s="41">
        <v>0.33333333333333331</v>
      </c>
      <c r="D17" s="418">
        <f>IF(V062A_203031333436353739404142[[#This Row],[FECHA]]-B16=1,((V062A_203031333436353739404142[[#This Row],[HORA]]-C16)*24)+24,(V062A_203031333436353739404142[[#This Row],[HORA]]-C16)*24)</f>
        <v>15.199999999999998</v>
      </c>
      <c r="E17" s="409" t="s">
        <v>55</v>
      </c>
      <c r="F17" s="29" t="s">
        <v>56</v>
      </c>
      <c r="G17" s="324"/>
      <c r="H17" s="306"/>
      <c r="I17" s="259"/>
      <c r="J17" s="242"/>
      <c r="K17" s="325"/>
      <c r="L17" s="483">
        <v>14.82</v>
      </c>
      <c r="M17" s="246">
        <v>1.01</v>
      </c>
      <c r="N17" s="484">
        <v>0.63</v>
      </c>
      <c r="O17" s="246">
        <f>SUM(V062A_203031333436353739404142[[#This Row],[MPAL]]+V062A_203031333436353739404142[[#This Row],[AUX.]]+V062A_203031333436353739404142[[#This Row],[CALDERA]])</f>
        <v>16.46</v>
      </c>
      <c r="P17" s="319"/>
      <c r="Q17" s="270">
        <f>(Q16-V062A_203031333436353739404142[[#This Row],[TOTAL ]])+V062A_203031333436353739404142[[#This Row],[FAENA]]</f>
        <v>171.47</v>
      </c>
      <c r="R17" s="245">
        <v>0</v>
      </c>
      <c r="S17" s="246">
        <v>0</v>
      </c>
      <c r="T17" s="246">
        <v>0</v>
      </c>
      <c r="U17" s="246">
        <v>0</v>
      </c>
      <c r="V17" s="246">
        <v>0</v>
      </c>
      <c r="W17" s="246">
        <f>SUM(V062A_203031333436353739404142[[#This Row],[MPAL2]:[GI]])</f>
        <v>0</v>
      </c>
      <c r="X17" s="246"/>
      <c r="Y17" s="300">
        <f>(Y16-V062A_203031333436353739404142[[#This Row],[TOTAL]])+V062A_203031333436353739404142[[#This Row],[FAENA2]]</f>
        <v>54.77</v>
      </c>
      <c r="Z17" s="245">
        <v>152</v>
      </c>
      <c r="AA17" s="246">
        <v>0</v>
      </c>
      <c r="AB17" s="438">
        <f>(AB16-V062A_203031333436353739404142[[#This Row],[CYLINDER MP]])+V062A_203031333436353739404142[[#This Row],[FAENA EN LTS]]</f>
        <v>2135</v>
      </c>
      <c r="AC17" s="246">
        <v>0</v>
      </c>
      <c r="AD17" s="246">
        <v>0</v>
      </c>
      <c r="AE17" s="438">
        <f>(AE16-V062A_203031333436353739404142[[#This Row],[CARTER MP.]])+V062A_203031333436353739404142[[#This Row],[FAENA EN LTS2]]</f>
        <v>3900</v>
      </c>
      <c r="AF17" s="246">
        <v>20</v>
      </c>
      <c r="AG17" s="246">
        <v>0</v>
      </c>
      <c r="AH17" s="438">
        <f>(AH16-V062A_203031333436353739404142[[#This Row],[MOT AUX]])+V062A_203031333436353739404142[[#This Row],[FAENA EN  LTS]]</f>
        <v>3730</v>
      </c>
      <c r="AI17" s="246">
        <v>0</v>
      </c>
      <c r="AJ17" s="246">
        <v>0</v>
      </c>
      <c r="AK17" s="439">
        <f>(AK16-V062A_203031333436353739404142[[#This Row],[HIDRAULICO]])+V062A_203031333436353739404142[[#This Row],[FAENA EN LTS3]]</f>
        <v>2350</v>
      </c>
    </row>
    <row r="18" spans="1:37" x14ac:dyDescent="0.25">
      <c r="A18" s="431" t="s">
        <v>477</v>
      </c>
      <c r="B18" s="526">
        <v>44321</v>
      </c>
      <c r="C18" s="41">
        <v>0.33333333333333331</v>
      </c>
      <c r="D18" s="418">
        <f>IF(V062A_203031333436353739404142[[#This Row],[FECHA]]-B17=1,((V062A_203031333436353739404142[[#This Row],[HORA]]-C17)*24)+24,(V062A_203031333436353739404142[[#This Row],[HORA]]-C17)*24)</f>
        <v>24</v>
      </c>
      <c r="E18" s="409" t="s">
        <v>55</v>
      </c>
      <c r="F18" s="29" t="s">
        <v>56</v>
      </c>
      <c r="G18" s="324"/>
      <c r="H18" s="306"/>
      <c r="I18" s="259"/>
      <c r="J18" s="242"/>
      <c r="K18" s="325"/>
      <c r="L18" s="483">
        <v>23.4</v>
      </c>
      <c r="M18" s="246">
        <v>1.6</v>
      </c>
      <c r="N18" s="484">
        <v>0</v>
      </c>
      <c r="O18" s="246">
        <f>SUM(V062A_203031333436353739404142[[#This Row],[MPAL]]+V062A_203031333436353739404142[[#This Row],[AUX.]]+V062A_203031333436353739404142[[#This Row],[CALDERA]])</f>
        <v>25</v>
      </c>
      <c r="P18" s="319"/>
      <c r="Q18" s="270">
        <f>(Q17-V062A_203031333436353739404142[[#This Row],[TOTAL ]])+V062A_203031333436353739404142[[#This Row],[FAENA]]</f>
        <v>146.47</v>
      </c>
      <c r="R18" s="245">
        <v>0</v>
      </c>
      <c r="S18" s="246">
        <v>0</v>
      </c>
      <c r="T18" s="246">
        <v>0</v>
      </c>
      <c r="U18" s="246">
        <v>0</v>
      </c>
      <c r="V18" s="246">
        <v>0</v>
      </c>
      <c r="W18" s="246">
        <f>SUM(V062A_203031333436353739404142[[#This Row],[MPAL2]:[GI]])</f>
        <v>0</v>
      </c>
      <c r="X18" s="246"/>
      <c r="Y18" s="300">
        <f>(Y17-V062A_203031333436353739404142[[#This Row],[TOTAL]])+V062A_203031333436353739404142[[#This Row],[FAENA2]]</f>
        <v>54.77</v>
      </c>
      <c r="Z18" s="245">
        <v>240</v>
      </c>
      <c r="AA18" s="246">
        <v>0</v>
      </c>
      <c r="AB18" s="438">
        <f>(AB17-V062A_203031333436353739404142[[#This Row],[CYLINDER MP]])+V062A_203031333436353739404142[[#This Row],[FAENA EN LTS]]</f>
        <v>1895</v>
      </c>
      <c r="AC18" s="246">
        <v>0</v>
      </c>
      <c r="AD18" s="246">
        <v>0</v>
      </c>
      <c r="AE18" s="438">
        <f>(AE17-V062A_203031333436353739404142[[#This Row],[CARTER MP.]])+V062A_203031333436353739404142[[#This Row],[FAENA EN LTS2]]</f>
        <v>3900</v>
      </c>
      <c r="AF18" s="246">
        <v>900</v>
      </c>
      <c r="AG18" s="246">
        <v>0</v>
      </c>
      <c r="AH18" s="438">
        <f>(AH17-V062A_203031333436353739404142[[#This Row],[MOT AUX]])+V062A_203031333436353739404142[[#This Row],[FAENA EN  LTS]]</f>
        <v>2830</v>
      </c>
      <c r="AI18" s="246">
        <v>0</v>
      </c>
      <c r="AJ18" s="246">
        <v>0</v>
      </c>
      <c r="AK18" s="439">
        <f>(AK17-V062A_203031333436353739404142[[#This Row],[HIDRAULICO]])+V062A_203031333436353739404142[[#This Row],[FAENA EN LTS3]]</f>
        <v>2350</v>
      </c>
    </row>
    <row r="19" spans="1:37" x14ac:dyDescent="0.25">
      <c r="A19" s="431" t="s">
        <v>477</v>
      </c>
      <c r="B19" s="526">
        <v>44321</v>
      </c>
      <c r="C19" s="41">
        <v>0.53749999999999998</v>
      </c>
      <c r="D19" s="418">
        <f>IF(V062A_203031333436353739404142[[#This Row],[FECHA]]-B18=1,((V062A_203031333436353739404142[[#This Row],[HORA]]-C18)*24)+24,(V062A_203031333436353739404142[[#This Row],[HORA]]-C18)*24)</f>
        <v>4.9000000000000004</v>
      </c>
      <c r="E19" s="239" t="s">
        <v>55</v>
      </c>
      <c r="F19" s="29" t="s">
        <v>62</v>
      </c>
      <c r="G19" s="324"/>
      <c r="H19" s="306"/>
      <c r="I19" s="259"/>
      <c r="J19" s="242"/>
      <c r="K19" s="325"/>
      <c r="L19" s="483">
        <v>4.78</v>
      </c>
      <c r="M19" s="246">
        <v>0.33</v>
      </c>
      <c r="N19" s="484">
        <v>0</v>
      </c>
      <c r="O19" s="246">
        <f>SUM(V062A_203031333436353739404142[[#This Row],[MPAL]]+V062A_203031333436353739404142[[#This Row],[AUX.]]+V062A_203031333436353739404142[[#This Row],[CALDERA]])</f>
        <v>5.1100000000000003</v>
      </c>
      <c r="P19" s="319"/>
      <c r="Q19" s="270">
        <f>(Q18-V062A_203031333436353739404142[[#This Row],[TOTAL ]])+V062A_203031333436353739404142[[#This Row],[FAENA]]</f>
        <v>141.35999999999999</v>
      </c>
      <c r="R19" s="245">
        <v>0</v>
      </c>
      <c r="S19" s="246">
        <v>0</v>
      </c>
      <c r="T19" s="246">
        <v>0</v>
      </c>
      <c r="U19" s="246">
        <v>0</v>
      </c>
      <c r="V19" s="246">
        <v>0</v>
      </c>
      <c r="W19" s="246">
        <f>SUM(V062A_203031333436353739404142[[#This Row],[MPAL2]:[GI]])</f>
        <v>0</v>
      </c>
      <c r="X19" s="246"/>
      <c r="Y19" s="300">
        <f>(Y18-V062A_203031333436353739404142[[#This Row],[TOTAL]])+V062A_203031333436353739404142[[#This Row],[FAENA2]]</f>
        <v>54.77</v>
      </c>
      <c r="Z19" s="245">
        <v>49</v>
      </c>
      <c r="AA19" s="246">
        <v>0</v>
      </c>
      <c r="AB19" s="438">
        <f>(AB18-V062A_203031333436353739404142[[#This Row],[CYLINDER MP]])+V062A_203031333436353739404142[[#This Row],[FAENA EN LTS]]</f>
        <v>1846</v>
      </c>
      <c r="AC19" s="246">
        <v>0</v>
      </c>
      <c r="AD19" s="246">
        <v>0</v>
      </c>
      <c r="AE19" s="438">
        <f>(AE18-V062A_203031333436353739404142[[#This Row],[CARTER MP.]])+V062A_203031333436353739404142[[#This Row],[FAENA EN LTS2]]</f>
        <v>3900</v>
      </c>
      <c r="AF19" s="246">
        <v>0</v>
      </c>
      <c r="AG19" s="246">
        <v>0</v>
      </c>
      <c r="AH19" s="438">
        <f>(AH18-V062A_203031333436353739404142[[#This Row],[MOT AUX]])+V062A_203031333436353739404142[[#This Row],[FAENA EN  LTS]]</f>
        <v>2830</v>
      </c>
      <c r="AI19" s="246">
        <v>0</v>
      </c>
      <c r="AJ19" s="246">
        <v>0</v>
      </c>
      <c r="AK19" s="439">
        <f>(AK18-V062A_203031333436353739404142[[#This Row],[HIDRAULICO]])+V062A_203031333436353739404142[[#This Row],[FAENA EN LTS3]]</f>
        <v>2350</v>
      </c>
    </row>
    <row r="20" spans="1:37" x14ac:dyDescent="0.25">
      <c r="A20" s="431" t="s">
        <v>477</v>
      </c>
      <c r="B20" s="526">
        <v>44321</v>
      </c>
      <c r="C20" s="41">
        <v>0.57916666666666672</v>
      </c>
      <c r="D20" s="418">
        <f>IF(V062A_203031333436353739404142[[#This Row],[FECHA]]-B19=1,((V062A_203031333436353739404142[[#This Row],[HORA]]-C19)*24)+24,(V062A_203031333436353739404142[[#This Row],[HORA]]-C19)*24)</f>
        <v>1.0000000000000018</v>
      </c>
      <c r="E20" s="239" t="s">
        <v>47</v>
      </c>
      <c r="F20" s="29" t="s">
        <v>146</v>
      </c>
      <c r="G20" s="324"/>
      <c r="H20" s="306"/>
      <c r="I20" s="259"/>
      <c r="J20" s="242"/>
      <c r="K20" s="325"/>
      <c r="L20" s="483">
        <v>0.11</v>
      </c>
      <c r="M20" s="246">
        <v>7.0000000000000007E-2</v>
      </c>
      <c r="N20" s="484">
        <v>0.04</v>
      </c>
      <c r="O20" s="246">
        <f>SUM(V062A_203031333436353739404142[[#This Row],[MPAL]]+V062A_203031333436353739404142[[#This Row],[AUX.]]+V062A_203031333436353739404142[[#This Row],[CALDERA]])</f>
        <v>0.22</v>
      </c>
      <c r="P20" s="319"/>
      <c r="Q20" s="270">
        <f>(Q19-V062A_203031333436353739404142[[#This Row],[TOTAL ]])+V062A_203031333436353739404142[[#This Row],[FAENA]]</f>
        <v>141.13999999999999</v>
      </c>
      <c r="R20" s="245">
        <v>0</v>
      </c>
      <c r="S20" s="246">
        <v>0</v>
      </c>
      <c r="T20" s="246">
        <v>0</v>
      </c>
      <c r="U20" s="246">
        <v>0</v>
      </c>
      <c r="V20" s="246">
        <v>0</v>
      </c>
      <c r="W20" s="246">
        <f>SUM(V062A_203031333436353739404142[[#This Row],[MPAL2]:[GI]])</f>
        <v>0</v>
      </c>
      <c r="X20" s="246"/>
      <c r="Y20" s="300">
        <f>(Y19-V062A_203031333436353739404142[[#This Row],[TOTAL]])+V062A_203031333436353739404142[[#This Row],[FAENA2]]</f>
        <v>54.77</v>
      </c>
      <c r="Z20" s="245">
        <v>0</v>
      </c>
      <c r="AA20" s="246">
        <v>0</v>
      </c>
      <c r="AB20" s="438">
        <f>(AB19-V062A_203031333436353739404142[[#This Row],[CYLINDER MP]])+V062A_203031333436353739404142[[#This Row],[FAENA EN LTS]]</f>
        <v>1846</v>
      </c>
      <c r="AC20" s="246">
        <v>0</v>
      </c>
      <c r="AD20" s="246">
        <v>0</v>
      </c>
      <c r="AE20" s="438">
        <f>(AE19-V062A_203031333436353739404142[[#This Row],[CARTER MP.]])+V062A_203031333436353739404142[[#This Row],[FAENA EN LTS2]]</f>
        <v>3900</v>
      </c>
      <c r="AF20" s="246">
        <v>0</v>
      </c>
      <c r="AG20" s="246">
        <v>0</v>
      </c>
      <c r="AH20" s="438">
        <f>(AH19-V062A_203031333436353739404142[[#This Row],[MOT AUX]])+V062A_203031333436353739404142[[#This Row],[FAENA EN  LTS]]</f>
        <v>2830</v>
      </c>
      <c r="AI20" s="246">
        <v>0</v>
      </c>
      <c r="AJ20" s="246">
        <v>0</v>
      </c>
      <c r="AK20" s="439">
        <f>(AK19-V062A_203031333436353739404142[[#This Row],[HIDRAULICO]])+V062A_203031333436353739404142[[#This Row],[FAENA EN LTS3]]</f>
        <v>2350</v>
      </c>
    </row>
    <row r="21" spans="1:37" x14ac:dyDescent="0.25">
      <c r="A21" s="431" t="s">
        <v>477</v>
      </c>
      <c r="B21" s="526">
        <v>44321</v>
      </c>
      <c r="C21" s="41">
        <v>0.66666666666666663</v>
      </c>
      <c r="D21" s="418">
        <f>IF(V062A_203031333436353739404142[[#This Row],[FECHA]]-B20=1,((V062A_203031333436353739404142[[#This Row],[HORA]]-C20)*24)+24,(V062A_203031333436353739404142[[#This Row],[HORA]]-C20)*24)</f>
        <v>2.0999999999999979</v>
      </c>
      <c r="E21" s="239" t="s">
        <v>49</v>
      </c>
      <c r="F21" s="29" t="s">
        <v>479</v>
      </c>
      <c r="G21" s="324"/>
      <c r="H21" s="306"/>
      <c r="I21" s="259"/>
      <c r="J21" s="242"/>
      <c r="K21" s="325"/>
      <c r="L21" s="483">
        <v>0</v>
      </c>
      <c r="M21" s="246">
        <v>0.8</v>
      </c>
      <c r="N21" s="484">
        <v>0.44</v>
      </c>
      <c r="O21" s="246">
        <f>SUM(V062A_203031333436353739404142[[#This Row],[MPAL]]+V062A_203031333436353739404142[[#This Row],[AUX.]]+V062A_203031333436353739404142[[#This Row],[CALDERA]])</f>
        <v>1.24</v>
      </c>
      <c r="P21" s="319"/>
      <c r="Q21" s="270">
        <f>(Q20-V062A_203031333436353739404142[[#This Row],[TOTAL ]])+V062A_203031333436353739404142[[#This Row],[FAENA]]</f>
        <v>139.89999999999998</v>
      </c>
      <c r="R21" s="245">
        <v>0</v>
      </c>
      <c r="S21" s="246">
        <v>0</v>
      </c>
      <c r="T21" s="246">
        <v>0</v>
      </c>
      <c r="U21" s="246">
        <v>0</v>
      </c>
      <c r="V21" s="246">
        <v>0.23</v>
      </c>
      <c r="W21" s="246">
        <f>SUM(V062A_203031333436353739404142[[#This Row],[MPAL2]:[GI]])</f>
        <v>0.23</v>
      </c>
      <c r="X21" s="246"/>
      <c r="Y21" s="300">
        <f>(Y20-V062A_203031333436353739404142[[#This Row],[TOTAL]])+V062A_203031333436353739404142[[#This Row],[FAENA2]]</f>
        <v>54.540000000000006</v>
      </c>
      <c r="Z21" s="245">
        <v>0</v>
      </c>
      <c r="AA21" s="246">
        <v>0</v>
      </c>
      <c r="AB21" s="438">
        <f>(AB20-V062A_203031333436353739404142[[#This Row],[CYLINDER MP]])+V062A_203031333436353739404142[[#This Row],[FAENA EN LTS]]</f>
        <v>1846</v>
      </c>
      <c r="AC21" s="246">
        <v>0</v>
      </c>
      <c r="AD21" s="246">
        <v>0</v>
      </c>
      <c r="AE21" s="438">
        <f>(AE20-V062A_203031333436353739404142[[#This Row],[CARTER MP.]])+V062A_203031333436353739404142[[#This Row],[FAENA EN LTS2]]</f>
        <v>3900</v>
      </c>
      <c r="AF21" s="246">
        <v>0</v>
      </c>
      <c r="AG21" s="246">
        <v>0</v>
      </c>
      <c r="AH21" s="438">
        <f>(AH20-V062A_203031333436353739404142[[#This Row],[MOT AUX]])+V062A_203031333436353739404142[[#This Row],[FAENA EN  LTS]]</f>
        <v>2830</v>
      </c>
      <c r="AI21" s="246">
        <v>0</v>
      </c>
      <c r="AJ21" s="246">
        <v>0</v>
      </c>
      <c r="AK21" s="439">
        <f>(AK20-V062A_203031333436353739404142[[#This Row],[HIDRAULICO]])+V062A_203031333436353739404142[[#This Row],[FAENA EN LTS3]]</f>
        <v>2350</v>
      </c>
    </row>
    <row r="22" spans="1:37" x14ac:dyDescent="0.25">
      <c r="A22" s="431" t="s">
        <v>477</v>
      </c>
      <c r="B22" s="526">
        <v>44322</v>
      </c>
      <c r="C22" s="41">
        <v>0.33333333333333331</v>
      </c>
      <c r="D22" s="418">
        <f>IF(V062A_203031333436353739404142[[#This Row],[FECHA]]-B21=1,((V062A_203031333436353739404142[[#This Row],[HORA]]-C21)*24)+24,(V062A_203031333436353739404142[[#This Row],[HORA]]-C21)*24)</f>
        <v>16</v>
      </c>
      <c r="E22" s="239" t="s">
        <v>45</v>
      </c>
      <c r="F22" s="29" t="s">
        <v>394</v>
      </c>
      <c r="G22" s="324"/>
      <c r="H22" s="306"/>
      <c r="I22" s="259"/>
      <c r="J22" s="380"/>
      <c r="K22" s="325"/>
      <c r="L22" s="483">
        <v>0</v>
      </c>
      <c r="M22" s="246">
        <v>1.07</v>
      </c>
      <c r="N22" s="484">
        <v>0.67</v>
      </c>
      <c r="O22" s="246">
        <f>SUM(V062A_203031333436353739404142[[#This Row],[MPAL]]+V062A_203031333436353739404142[[#This Row],[AUX.]]+V062A_203031333436353739404142[[#This Row],[CALDERA]])</f>
        <v>1.7400000000000002</v>
      </c>
      <c r="P22" s="319"/>
      <c r="Q22" s="270">
        <f>(Q21-V062A_203031333436353739404142[[#This Row],[TOTAL ]])+V062A_203031333436353739404142[[#This Row],[FAENA]]</f>
        <v>138.15999999999997</v>
      </c>
      <c r="R22" s="245">
        <v>0</v>
      </c>
      <c r="S22" s="246">
        <v>0</v>
      </c>
      <c r="T22" s="246">
        <v>0</v>
      </c>
      <c r="U22" s="246">
        <v>0</v>
      </c>
      <c r="V22" s="246">
        <v>0</v>
      </c>
      <c r="W22" s="246">
        <f>SUM(V062A_203031333436353739404142[[#This Row],[MPAL2]:[GI]])</f>
        <v>0</v>
      </c>
      <c r="X22" s="246"/>
      <c r="Y22" s="300">
        <f>(Y21-V062A_203031333436353739404142[[#This Row],[TOTAL]])+V062A_203031333436353739404142[[#This Row],[FAENA2]]</f>
        <v>54.540000000000006</v>
      </c>
      <c r="Z22" s="245">
        <v>0</v>
      </c>
      <c r="AA22" s="246">
        <v>0</v>
      </c>
      <c r="AB22" s="438">
        <f>(AB21-V062A_203031333436353739404142[[#This Row],[CYLINDER MP]])+V062A_203031333436353739404142[[#This Row],[FAENA EN LTS]]</f>
        <v>1846</v>
      </c>
      <c r="AC22" s="246">
        <v>100</v>
      </c>
      <c r="AD22" s="246">
        <v>0</v>
      </c>
      <c r="AE22" s="438">
        <f>(AE21-V062A_203031333436353739404142[[#This Row],[CARTER MP.]])+V062A_203031333436353739404142[[#This Row],[FAENA EN LTS2]]</f>
        <v>3800</v>
      </c>
      <c r="AF22" s="246">
        <v>0</v>
      </c>
      <c r="AG22" s="246">
        <v>0</v>
      </c>
      <c r="AH22" s="438">
        <f>(AH21-V062A_203031333436353739404142[[#This Row],[MOT AUX]])+V062A_203031333436353739404142[[#This Row],[FAENA EN  LTS]]</f>
        <v>2830</v>
      </c>
      <c r="AI22" s="246">
        <v>0</v>
      </c>
      <c r="AJ22" s="246">
        <v>0</v>
      </c>
      <c r="AK22" s="439">
        <f>(AK21-V062A_203031333436353739404142[[#This Row],[HIDRAULICO]])+V062A_203031333436353739404142[[#This Row],[FAENA EN LTS3]]</f>
        <v>2350</v>
      </c>
    </row>
    <row r="23" spans="1:37" x14ac:dyDescent="0.25">
      <c r="A23" s="431" t="s">
        <v>477</v>
      </c>
      <c r="B23" s="526">
        <v>44323</v>
      </c>
      <c r="C23" s="41">
        <v>0.33333333333333331</v>
      </c>
      <c r="D23" s="418">
        <f>IF(V062A_203031333436353739404142[[#This Row],[FECHA]]-B22=1,((V062A_203031333436353739404142[[#This Row],[HORA]]-C22)*24)+24,(V062A_203031333436353739404142[[#This Row],[HORA]]-C22)*24)</f>
        <v>24</v>
      </c>
      <c r="E23" s="499" t="s">
        <v>45</v>
      </c>
      <c r="F23" s="29" t="s">
        <v>394</v>
      </c>
      <c r="G23" s="500"/>
      <c r="H23" s="501"/>
      <c r="I23" s="502"/>
      <c r="J23" s="503"/>
      <c r="K23" s="504"/>
      <c r="L23" s="245">
        <v>0</v>
      </c>
      <c r="M23" s="246">
        <v>1.6</v>
      </c>
      <c r="N23" s="246">
        <v>1</v>
      </c>
      <c r="O23" s="246">
        <f>SUM(V062A_203031333436353739404142[[#This Row],[MPAL]]+V062A_203031333436353739404142[[#This Row],[AUX.]]+V062A_203031333436353739404142[[#This Row],[CALDERA]])</f>
        <v>2.6</v>
      </c>
      <c r="P23" s="319"/>
      <c r="Q23" s="270">
        <f>(Q22-V062A_203031333436353739404142[[#This Row],[TOTAL ]])+V062A_203031333436353739404142[[#This Row],[FAENA]]</f>
        <v>135.55999999999997</v>
      </c>
      <c r="R23" s="245">
        <v>0</v>
      </c>
      <c r="S23" s="246">
        <v>0</v>
      </c>
      <c r="T23" s="246">
        <v>0</v>
      </c>
      <c r="U23" s="246">
        <v>0</v>
      </c>
      <c r="V23" s="246">
        <v>0</v>
      </c>
      <c r="W23" s="246">
        <f>SUM(V062A_203031333436353739404142[[#This Row],[MPAL2]:[GI]])</f>
        <v>0</v>
      </c>
      <c r="X23" s="246"/>
      <c r="Y23" s="300">
        <f>(Y22-V062A_203031333436353739404142[[#This Row],[TOTAL]])+V062A_203031333436353739404142[[#This Row],[FAENA2]]</f>
        <v>54.540000000000006</v>
      </c>
      <c r="Z23" s="245">
        <v>0</v>
      </c>
      <c r="AA23" s="246">
        <v>0</v>
      </c>
      <c r="AB23" s="438">
        <f>(AB22-V062A_203031333436353739404142[[#This Row],[CYLINDER MP]])+V062A_203031333436353739404142[[#This Row],[FAENA EN LTS]]</f>
        <v>1846</v>
      </c>
      <c r="AC23" s="246">
        <v>0</v>
      </c>
      <c r="AD23" s="246">
        <v>0</v>
      </c>
      <c r="AE23" s="438">
        <f>(AE22-V062A_203031333436353739404142[[#This Row],[CARTER MP.]])+V062A_203031333436353739404142[[#This Row],[FAENA EN LTS2]]</f>
        <v>3800</v>
      </c>
      <c r="AF23" s="246">
        <v>20</v>
      </c>
      <c r="AG23" s="246">
        <v>0</v>
      </c>
      <c r="AH23" s="438">
        <f>(AH22-V062A_203031333436353739404142[[#This Row],[MOT AUX]])+V062A_203031333436353739404142[[#This Row],[FAENA EN  LTS]]</f>
        <v>2810</v>
      </c>
      <c r="AI23" s="246">
        <v>0</v>
      </c>
      <c r="AJ23" s="246">
        <v>0</v>
      </c>
      <c r="AK23" s="439">
        <f>(AK22-V062A_203031333436353739404142[[#This Row],[HIDRAULICO]])+V062A_203031333436353739404142[[#This Row],[FAENA EN LTS3]]</f>
        <v>2350</v>
      </c>
    </row>
    <row r="24" spans="1:37" x14ac:dyDescent="0.25">
      <c r="A24" s="431" t="s">
        <v>477</v>
      </c>
      <c r="B24" s="526">
        <v>44324</v>
      </c>
      <c r="C24" s="41">
        <v>0.33333333333333331</v>
      </c>
      <c r="D24" s="418">
        <f>IF(V062A_203031333436353739404142[[#This Row],[FECHA]]-B23=1,((V062A_203031333436353739404142[[#This Row],[HORA]]-C23)*24)+24,(V062A_203031333436353739404142[[#This Row],[HORA]]-C23)*24)</f>
        <v>24</v>
      </c>
      <c r="E24" s="499" t="s">
        <v>45</v>
      </c>
      <c r="F24" s="29" t="s">
        <v>394</v>
      </c>
      <c r="G24" s="500"/>
      <c r="H24" s="501"/>
      <c r="I24" s="502"/>
      <c r="J24" s="503"/>
      <c r="K24" s="504"/>
      <c r="L24" s="245">
        <v>0</v>
      </c>
      <c r="M24" s="246">
        <v>1.6</v>
      </c>
      <c r="N24" s="246">
        <v>1</v>
      </c>
      <c r="O24" s="246">
        <f>SUM(V062A_203031333436353739404142[[#This Row],[MPAL]]+V062A_203031333436353739404142[[#This Row],[AUX.]]+V062A_203031333436353739404142[[#This Row],[CALDERA]])</f>
        <v>2.6</v>
      </c>
      <c r="P24" s="319"/>
      <c r="Q24" s="270">
        <f>(Q23-V062A_203031333436353739404142[[#This Row],[TOTAL ]])+V062A_203031333436353739404142[[#This Row],[FAENA]]</f>
        <v>132.95999999999998</v>
      </c>
      <c r="R24" s="245">
        <v>0</v>
      </c>
      <c r="S24" s="246">
        <v>0</v>
      </c>
      <c r="T24" s="246">
        <v>0</v>
      </c>
      <c r="U24" s="246">
        <v>0</v>
      </c>
      <c r="V24" s="246">
        <v>0</v>
      </c>
      <c r="W24" s="246">
        <f>SUM(V062A_203031333436353739404142[[#This Row],[MPAL2]:[GI]])</f>
        <v>0</v>
      </c>
      <c r="X24" s="246"/>
      <c r="Y24" s="300">
        <f>(Y23-V062A_203031333436353739404142[[#This Row],[TOTAL]])+V062A_203031333436353739404142[[#This Row],[FAENA2]]</f>
        <v>54.540000000000006</v>
      </c>
      <c r="Z24" s="245">
        <v>0</v>
      </c>
      <c r="AA24" s="246">
        <v>2600</v>
      </c>
      <c r="AB24" s="438">
        <f>(AB23-V062A_203031333436353739404142[[#This Row],[CYLINDER MP]])+V062A_203031333436353739404142[[#This Row],[FAENA EN LTS]]</f>
        <v>4446</v>
      </c>
      <c r="AC24" s="246">
        <v>0</v>
      </c>
      <c r="AD24" s="246">
        <v>2400</v>
      </c>
      <c r="AE24" s="438">
        <f>(AE23-V062A_203031333436353739404142[[#This Row],[CARTER MP.]])+V062A_203031333436353739404142[[#This Row],[FAENA EN LTS2]]</f>
        <v>6200</v>
      </c>
      <c r="AF24" s="246">
        <v>20</v>
      </c>
      <c r="AG24" s="246">
        <v>800</v>
      </c>
      <c r="AH24" s="438">
        <f>(AH23-V062A_203031333436353739404142[[#This Row],[MOT AUX]])+V062A_203031333436353739404142[[#This Row],[FAENA EN  LTS]]</f>
        <v>3590</v>
      </c>
      <c r="AI24" s="246">
        <v>0</v>
      </c>
      <c r="AJ24" s="246">
        <v>0</v>
      </c>
      <c r="AK24" s="439">
        <f>(AK23-V062A_203031333436353739404142[[#This Row],[HIDRAULICO]])+V062A_203031333436353739404142[[#This Row],[FAENA EN LTS3]]</f>
        <v>2350</v>
      </c>
    </row>
    <row r="25" spans="1:37" x14ac:dyDescent="0.25">
      <c r="A25" s="431" t="s">
        <v>477</v>
      </c>
      <c r="B25" s="526">
        <v>44324</v>
      </c>
      <c r="C25" s="41">
        <v>0.8833333333333333</v>
      </c>
      <c r="D25" s="418">
        <f>IF(V062A_203031333436353739404142[[#This Row],[FECHA]]-B24=1,((V062A_203031333436353739404142[[#This Row],[HORA]]-C24)*24)+24,(V062A_203031333436353739404142[[#This Row],[HORA]]-C24)*24)</f>
        <v>13.200000000000001</v>
      </c>
      <c r="E25" s="432" t="s">
        <v>45</v>
      </c>
      <c r="F25" s="29" t="s">
        <v>46</v>
      </c>
      <c r="G25" s="433"/>
      <c r="H25" s="434"/>
      <c r="I25" s="435"/>
      <c r="J25" s="436"/>
      <c r="K25" s="437"/>
      <c r="L25" s="483">
        <v>0</v>
      </c>
      <c r="M25" s="246">
        <v>0.88</v>
      </c>
      <c r="N25" s="484">
        <v>0.55000000000000004</v>
      </c>
      <c r="O25" s="246">
        <f>SUM(V062A_203031333436353739404142[[#This Row],[MPAL]]+V062A_203031333436353739404142[[#This Row],[AUX.]]+V062A_203031333436353739404142[[#This Row],[CALDERA]])</f>
        <v>1.4300000000000002</v>
      </c>
      <c r="P25" s="319"/>
      <c r="Q25" s="270">
        <f>(Q24-V062A_203031333436353739404142[[#This Row],[TOTAL ]])+V062A_203031333436353739404142[[#This Row],[FAENA]]</f>
        <v>131.52999999999997</v>
      </c>
      <c r="R25" s="245">
        <v>0</v>
      </c>
      <c r="S25" s="246">
        <v>0</v>
      </c>
      <c r="T25" s="246">
        <v>0</v>
      </c>
      <c r="U25" s="246">
        <v>0</v>
      </c>
      <c r="V25" s="246">
        <v>0</v>
      </c>
      <c r="W25" s="246">
        <f>SUM(V062A_203031333436353739404142[[#This Row],[MPAL2]:[GI]])</f>
        <v>0</v>
      </c>
      <c r="X25" s="246"/>
      <c r="Y25" s="300">
        <f>(Y24-V062A_203031333436353739404142[[#This Row],[TOTAL]])+V062A_203031333436353739404142[[#This Row],[FAENA2]]</f>
        <v>54.540000000000006</v>
      </c>
      <c r="Z25" s="245">
        <v>0</v>
      </c>
      <c r="AA25" s="246">
        <v>0</v>
      </c>
      <c r="AB25" s="438">
        <f>(AB24-V062A_203031333436353739404142[[#This Row],[CYLINDER MP]])+V062A_203031333436353739404142[[#This Row],[FAENA EN LTS]]</f>
        <v>4446</v>
      </c>
      <c r="AC25" s="246">
        <v>0</v>
      </c>
      <c r="AD25" s="246">
        <v>0</v>
      </c>
      <c r="AE25" s="438">
        <f>(AE24-V062A_203031333436353739404142[[#This Row],[CARTER MP.]])+V062A_203031333436353739404142[[#This Row],[FAENA EN LTS2]]</f>
        <v>6200</v>
      </c>
      <c r="AF25" s="246">
        <v>0</v>
      </c>
      <c r="AG25" s="246">
        <v>0</v>
      </c>
      <c r="AH25" s="438">
        <f>(AH24-V062A_203031333436353739404142[[#This Row],[MOT AUX]])+V062A_203031333436353739404142[[#This Row],[FAENA EN  LTS]]</f>
        <v>3590</v>
      </c>
      <c r="AI25" s="246">
        <v>800</v>
      </c>
      <c r="AJ25" s="246">
        <v>0</v>
      </c>
      <c r="AK25" s="439">
        <f>(AK24-V062A_203031333436353739404142[[#This Row],[HIDRAULICO]])+V062A_203031333436353739404142[[#This Row],[FAENA EN LTS3]]</f>
        <v>1550</v>
      </c>
    </row>
    <row r="26" spans="1:37" x14ac:dyDescent="0.25">
      <c r="A26" s="431" t="s">
        <v>477</v>
      </c>
      <c r="B26" s="526">
        <v>44324</v>
      </c>
      <c r="C26" s="41">
        <v>0.99583333333333324</v>
      </c>
      <c r="D26" s="418">
        <f>IF(V062A_203031333436353739404142[[#This Row],[FECHA]]-B25=1,((V062A_203031333436353739404142[[#This Row],[HORA]]-C25)*24)+24,(V062A_203031333436353739404142[[#This Row],[HORA]]-C25)*24)</f>
        <v>2.6999999999999984</v>
      </c>
      <c r="E26" s="432" t="s">
        <v>47</v>
      </c>
      <c r="F26" s="29" t="s">
        <v>480</v>
      </c>
      <c r="G26" s="433"/>
      <c r="H26" s="434"/>
      <c r="I26" s="435"/>
      <c r="J26" s="436"/>
      <c r="K26" s="437"/>
      <c r="L26" s="483">
        <v>0.28999999999999998</v>
      </c>
      <c r="M26" s="246">
        <v>0.18</v>
      </c>
      <c r="N26" s="484">
        <v>0.11</v>
      </c>
      <c r="O26" s="246">
        <f>SUM(V062A_203031333436353739404142[[#This Row],[MPAL]]+V062A_203031333436353739404142[[#This Row],[AUX.]]+V062A_203031333436353739404142[[#This Row],[CALDERA]])</f>
        <v>0.57999999999999996</v>
      </c>
      <c r="P26" s="319"/>
      <c r="Q26" s="270">
        <f>(Q25-V062A_203031333436353739404142[[#This Row],[TOTAL ]])+V062A_203031333436353739404142[[#This Row],[FAENA]]</f>
        <v>130.94999999999996</v>
      </c>
      <c r="R26" s="245">
        <v>0</v>
      </c>
      <c r="S26" s="246">
        <v>0</v>
      </c>
      <c r="T26" s="246">
        <v>0</v>
      </c>
      <c r="U26" s="246">
        <v>0</v>
      </c>
      <c r="V26" s="246">
        <v>0</v>
      </c>
      <c r="W26" s="246">
        <f>SUM(V062A_203031333436353739404142[[#This Row],[MPAL2]:[GI]])</f>
        <v>0</v>
      </c>
      <c r="X26" s="246"/>
      <c r="Y26" s="300">
        <f>(Y25-V062A_203031333436353739404142[[#This Row],[TOTAL]])+V062A_203031333436353739404142[[#This Row],[FAENA2]]</f>
        <v>54.540000000000006</v>
      </c>
      <c r="Z26" s="245">
        <v>0</v>
      </c>
      <c r="AA26" s="246">
        <v>0</v>
      </c>
      <c r="AB26" s="438">
        <f>(AB25-V062A_203031333436353739404142[[#This Row],[CYLINDER MP]])+V062A_203031333436353739404142[[#This Row],[FAENA EN LTS]]</f>
        <v>4446</v>
      </c>
      <c r="AC26" s="246">
        <v>0</v>
      </c>
      <c r="AD26" s="246">
        <v>0</v>
      </c>
      <c r="AE26" s="438">
        <f>(AE25-V062A_203031333436353739404142[[#This Row],[CARTER MP.]])+V062A_203031333436353739404142[[#This Row],[FAENA EN LTS2]]</f>
        <v>6200</v>
      </c>
      <c r="AF26" s="246">
        <v>0</v>
      </c>
      <c r="AG26" s="246">
        <v>0</v>
      </c>
      <c r="AH26" s="438">
        <f>(AH25-V062A_203031333436353739404142[[#This Row],[MOT AUX]])+V062A_203031333436353739404142[[#This Row],[FAENA EN  LTS]]</f>
        <v>3590</v>
      </c>
      <c r="AI26" s="246">
        <v>0</v>
      </c>
      <c r="AJ26" s="246">
        <v>0</v>
      </c>
      <c r="AK26" s="439">
        <f>(AK25-V062A_203031333436353739404142[[#This Row],[HIDRAULICO]])+V062A_203031333436353739404142[[#This Row],[FAENA EN LTS3]]</f>
        <v>1550</v>
      </c>
    </row>
    <row r="27" spans="1:37" x14ac:dyDescent="0.25">
      <c r="A27" s="431" t="s">
        <v>477</v>
      </c>
      <c r="B27" s="526">
        <v>44325</v>
      </c>
      <c r="C27" s="41">
        <v>0.33333333333333331</v>
      </c>
      <c r="D27" s="418">
        <f>IF(V062A_203031333436353739404142[[#This Row],[FECHA]]-B26=1,((V062A_203031333436353739404142[[#This Row],[HORA]]-C26)*24)+24,(V062A_203031333436353739404142[[#This Row],[HORA]]-C26)*24)</f>
        <v>8.1000000000000032</v>
      </c>
      <c r="E27" s="432" t="s">
        <v>49</v>
      </c>
      <c r="F27" s="378" t="s">
        <v>481</v>
      </c>
      <c r="G27" s="433"/>
      <c r="H27" s="434"/>
      <c r="I27" s="435"/>
      <c r="J27" s="436"/>
      <c r="K27" s="437"/>
      <c r="L27" s="483">
        <v>0</v>
      </c>
      <c r="M27" s="246">
        <v>0.54</v>
      </c>
      <c r="N27" s="484">
        <v>0.34</v>
      </c>
      <c r="O27" s="246">
        <f>SUM(V062A_203031333436353739404142[[#This Row],[MPAL]]+V062A_203031333436353739404142[[#This Row],[AUX.]]+V062A_203031333436353739404142[[#This Row],[CALDERA]])</f>
        <v>0.88000000000000012</v>
      </c>
      <c r="P27" s="319"/>
      <c r="Q27" s="270">
        <f>(Q26-V062A_203031333436353739404142[[#This Row],[TOTAL ]])+V062A_203031333436353739404142[[#This Row],[FAENA]]</f>
        <v>130.06999999999996</v>
      </c>
      <c r="R27" s="245">
        <v>0</v>
      </c>
      <c r="S27" s="246">
        <v>0</v>
      </c>
      <c r="T27" s="246">
        <v>0</v>
      </c>
      <c r="U27" s="246">
        <v>0</v>
      </c>
      <c r="V27" s="246">
        <v>0</v>
      </c>
      <c r="W27" s="246">
        <f>SUM(V062A_203031333436353739404142[[#This Row],[MPAL2]:[GI]])</f>
        <v>0</v>
      </c>
      <c r="X27" s="246"/>
      <c r="Y27" s="300">
        <f>(Y26-V062A_203031333436353739404142[[#This Row],[TOTAL]])+V062A_203031333436353739404142[[#This Row],[FAENA2]]</f>
        <v>54.540000000000006</v>
      </c>
      <c r="Z27" s="245">
        <v>0</v>
      </c>
      <c r="AA27" s="246">
        <v>0</v>
      </c>
      <c r="AB27" s="438">
        <f>(AB26-V062A_203031333436353739404142[[#This Row],[CYLINDER MP]])+V062A_203031333436353739404142[[#This Row],[FAENA EN LTS]]</f>
        <v>4446</v>
      </c>
      <c r="AC27" s="246">
        <v>0</v>
      </c>
      <c r="AD27" s="246">
        <v>0</v>
      </c>
      <c r="AE27" s="438">
        <f>(AE26-V062A_203031333436353739404142[[#This Row],[CARTER MP.]])+V062A_203031333436353739404142[[#This Row],[FAENA EN LTS2]]</f>
        <v>6200</v>
      </c>
      <c r="AF27" s="246">
        <v>20</v>
      </c>
      <c r="AG27" s="246">
        <v>0</v>
      </c>
      <c r="AH27" s="438">
        <f>(AH26-V062A_203031333436353739404142[[#This Row],[MOT AUX]])+V062A_203031333436353739404142[[#This Row],[FAENA EN  LTS]]</f>
        <v>3570</v>
      </c>
      <c r="AI27" s="246">
        <v>0</v>
      </c>
      <c r="AJ27" s="246">
        <v>0</v>
      </c>
      <c r="AK27" s="439">
        <f>(AK26-V062A_203031333436353739404142[[#This Row],[HIDRAULICO]])+V062A_203031333436353739404142[[#This Row],[FAENA EN LTS3]]</f>
        <v>1550</v>
      </c>
    </row>
    <row r="28" spans="1:37" x14ac:dyDescent="0.25">
      <c r="A28" s="431" t="s">
        <v>477</v>
      </c>
      <c r="B28" s="526">
        <v>44325</v>
      </c>
      <c r="C28" s="41">
        <v>0.34375</v>
      </c>
      <c r="D28" s="418">
        <f>IF(V062A_203031333436353739404142[[#This Row],[FECHA]]-B27=1,((V062A_203031333436353739404142[[#This Row],[HORA]]-C27)*24)+24,(V062A_203031333436353739404142[[#This Row],[HORA]]-C27)*24)</f>
        <v>0.25000000000000044</v>
      </c>
      <c r="E28" s="432" t="s">
        <v>71</v>
      </c>
      <c r="F28" s="29" t="s">
        <v>483</v>
      </c>
      <c r="G28" s="433"/>
      <c r="H28" s="434"/>
      <c r="I28" s="435"/>
      <c r="J28" s="436"/>
      <c r="K28" s="437"/>
      <c r="L28" s="483">
        <v>0</v>
      </c>
      <c r="M28" s="246">
        <v>0.02</v>
      </c>
      <c r="N28" s="484">
        <v>0.01</v>
      </c>
      <c r="O28" s="246">
        <f>SUM(V062A_203031333436353739404142[[#This Row],[MPAL]]+V062A_203031333436353739404142[[#This Row],[AUX.]]+V062A_203031333436353739404142[[#This Row],[CALDERA]])</f>
        <v>0.03</v>
      </c>
      <c r="P28" s="319"/>
      <c r="Q28" s="270">
        <f>(Q27-V062A_203031333436353739404142[[#This Row],[TOTAL ]])+V062A_203031333436353739404142[[#This Row],[FAENA]]</f>
        <v>130.03999999999996</v>
      </c>
      <c r="R28" s="245">
        <v>0</v>
      </c>
      <c r="S28" s="246">
        <v>0</v>
      </c>
      <c r="T28" s="246">
        <v>0</v>
      </c>
      <c r="U28" s="246">
        <v>0</v>
      </c>
      <c r="V28" s="246">
        <v>0</v>
      </c>
      <c r="W28" s="246">
        <f>SUM(V062A_203031333436353739404142[[#This Row],[MPAL2]:[GI]])</f>
        <v>0</v>
      </c>
      <c r="X28" s="246"/>
      <c r="Y28" s="300">
        <f>(Y27-V062A_203031333436353739404142[[#This Row],[TOTAL]])+V062A_203031333436353739404142[[#This Row],[FAENA2]]</f>
        <v>54.540000000000006</v>
      </c>
      <c r="Z28" s="245">
        <v>0</v>
      </c>
      <c r="AA28" s="246">
        <v>0</v>
      </c>
      <c r="AB28" s="438">
        <f>(AB27-V062A_203031333436353739404142[[#This Row],[CYLINDER MP]])+V062A_203031333436353739404142[[#This Row],[FAENA EN LTS]]</f>
        <v>4446</v>
      </c>
      <c r="AC28" s="246">
        <v>0</v>
      </c>
      <c r="AD28" s="246">
        <v>0</v>
      </c>
      <c r="AE28" s="438">
        <f>(AE27-V062A_203031333436353739404142[[#This Row],[CARTER MP.]])+V062A_203031333436353739404142[[#This Row],[FAENA EN LTS2]]</f>
        <v>6200</v>
      </c>
      <c r="AF28" s="246">
        <v>0</v>
      </c>
      <c r="AG28" s="246">
        <v>0</v>
      </c>
      <c r="AH28" s="438">
        <f>(AH27-V062A_203031333436353739404142[[#This Row],[MOT AUX]])+V062A_203031333436353739404142[[#This Row],[FAENA EN  LTS]]</f>
        <v>3570</v>
      </c>
      <c r="AI28" s="246">
        <v>0</v>
      </c>
      <c r="AJ28" s="246">
        <v>0</v>
      </c>
      <c r="AK28" s="439">
        <f>(AK27-V062A_203031333436353739404142[[#This Row],[HIDRAULICO]])+V062A_203031333436353739404142[[#This Row],[FAENA EN LTS3]]</f>
        <v>1550</v>
      </c>
    </row>
    <row r="29" spans="1:37" x14ac:dyDescent="0.25">
      <c r="A29" s="431" t="s">
        <v>477</v>
      </c>
      <c r="B29" s="526">
        <v>44325</v>
      </c>
      <c r="C29" s="41">
        <v>0.98333333333333339</v>
      </c>
      <c r="D29" s="418">
        <f>IF(V062A_203031333436353739404142[[#This Row],[FECHA]]-B28=1,((V062A_203031333436353739404142[[#This Row],[HORA]]-C28)*24)+24,(V062A_203031333436353739404142[[#This Row],[HORA]]-C28)*24)</f>
        <v>15.350000000000001</v>
      </c>
      <c r="E29" s="432" t="s">
        <v>71</v>
      </c>
      <c r="F29" s="29" t="s">
        <v>482</v>
      </c>
      <c r="G29" s="433"/>
      <c r="H29" s="434"/>
      <c r="I29" s="435"/>
      <c r="J29" s="436"/>
      <c r="K29" s="437"/>
      <c r="L29" s="483">
        <v>0</v>
      </c>
      <c r="M29" s="246">
        <v>1.02</v>
      </c>
      <c r="N29" s="484">
        <v>0.64</v>
      </c>
      <c r="O29" s="246">
        <f>SUM(V062A_203031333436353739404142[[#This Row],[MPAL]]+V062A_203031333436353739404142[[#This Row],[AUX.]]+V062A_203031333436353739404142[[#This Row],[CALDERA]])</f>
        <v>1.6600000000000001</v>
      </c>
      <c r="P29" s="319"/>
      <c r="Q29" s="270">
        <f>(Q28-V062A_203031333436353739404142[[#This Row],[TOTAL ]])+V062A_203031333436353739404142[[#This Row],[FAENA]]</f>
        <v>128.37999999999997</v>
      </c>
      <c r="R29" s="245">
        <v>0</v>
      </c>
      <c r="S29" s="246">
        <v>0</v>
      </c>
      <c r="T29" s="246">
        <v>0</v>
      </c>
      <c r="U29" s="246">
        <v>0</v>
      </c>
      <c r="V29" s="246">
        <v>0</v>
      </c>
      <c r="W29" s="246">
        <f>SUM(V062A_203031333436353739404142[[#This Row],[MPAL2]:[GI]])</f>
        <v>0</v>
      </c>
      <c r="X29" s="246"/>
      <c r="Y29" s="300">
        <f>(Y28-V062A_203031333436353739404142[[#This Row],[TOTAL]])+V062A_203031333436353739404142[[#This Row],[FAENA2]]</f>
        <v>54.540000000000006</v>
      </c>
      <c r="Z29" s="245">
        <v>0</v>
      </c>
      <c r="AA29" s="246">
        <v>0</v>
      </c>
      <c r="AB29" s="438">
        <f>(AB28-V062A_203031333436353739404142[[#This Row],[CYLINDER MP]])+V062A_203031333436353739404142[[#This Row],[FAENA EN LTS]]</f>
        <v>4446</v>
      </c>
      <c r="AC29" s="246">
        <v>0</v>
      </c>
      <c r="AD29" s="246">
        <v>0</v>
      </c>
      <c r="AE29" s="438">
        <f>(AE28-V062A_203031333436353739404142[[#This Row],[CARTER MP.]])+V062A_203031333436353739404142[[#This Row],[FAENA EN LTS2]]</f>
        <v>6200</v>
      </c>
      <c r="AF29" s="246">
        <v>0</v>
      </c>
      <c r="AG29" s="246">
        <v>0</v>
      </c>
      <c r="AH29" s="438">
        <f>(AH28-V062A_203031333436353739404142[[#This Row],[MOT AUX]])+V062A_203031333436353739404142[[#This Row],[FAENA EN  LTS]]</f>
        <v>3570</v>
      </c>
      <c r="AI29" s="246">
        <v>0</v>
      </c>
      <c r="AJ29" s="246">
        <v>0</v>
      </c>
      <c r="AK29" s="439">
        <f>(AK28-V062A_203031333436353739404142[[#This Row],[HIDRAULICO]])+V062A_203031333436353739404142[[#This Row],[FAENA EN LTS3]]</f>
        <v>1550</v>
      </c>
    </row>
    <row r="30" spans="1:37" x14ac:dyDescent="0.25">
      <c r="A30" s="431" t="s">
        <v>477</v>
      </c>
      <c r="B30" s="526">
        <v>44326</v>
      </c>
      <c r="C30" s="41">
        <v>0.24166666666666667</v>
      </c>
      <c r="D30" s="418">
        <f>IF(V062A_203031333436353739404142[[#This Row],[FECHA]]-B29=1,((V062A_203031333436353739404142[[#This Row],[HORA]]-C29)*24)+24,(V062A_203031333436353739404142[[#This Row],[HORA]]-C29)*24)</f>
        <v>6.1999999999999993</v>
      </c>
      <c r="E30" s="432" t="s">
        <v>49</v>
      </c>
      <c r="F30" s="29" t="s">
        <v>470</v>
      </c>
      <c r="G30" s="433"/>
      <c r="H30" s="434"/>
      <c r="I30" s="435"/>
      <c r="J30" s="436"/>
      <c r="K30" s="437"/>
      <c r="L30" s="483">
        <v>0</v>
      </c>
      <c r="M30" s="246">
        <v>0.41</v>
      </c>
      <c r="N30" s="484">
        <v>0.26</v>
      </c>
      <c r="O30" s="246">
        <f>SUM(V062A_203031333436353739404142[[#This Row],[MPAL]]+V062A_203031333436353739404142[[#This Row],[AUX.]]+V062A_203031333436353739404142[[#This Row],[CALDERA]])</f>
        <v>0.66999999999999993</v>
      </c>
      <c r="P30" s="319"/>
      <c r="Q30" s="270">
        <f>(Q29-V062A_203031333436353739404142[[#This Row],[TOTAL ]])+V062A_203031333436353739404142[[#This Row],[FAENA]]</f>
        <v>127.70999999999997</v>
      </c>
      <c r="R30" s="245">
        <v>0</v>
      </c>
      <c r="S30" s="246">
        <v>0</v>
      </c>
      <c r="T30" s="246">
        <v>0</v>
      </c>
      <c r="U30" s="246">
        <v>0</v>
      </c>
      <c r="V30" s="246">
        <v>0</v>
      </c>
      <c r="W30" s="246">
        <f>SUM(V062A_203031333436353739404142[[#This Row],[MPAL2]:[GI]])</f>
        <v>0</v>
      </c>
      <c r="X30" s="246"/>
      <c r="Y30" s="300">
        <f>(Y29-V062A_203031333436353739404142[[#This Row],[TOTAL]])+V062A_203031333436353739404142[[#This Row],[FAENA2]]</f>
        <v>54.540000000000006</v>
      </c>
      <c r="Z30" s="245">
        <v>0</v>
      </c>
      <c r="AA30" s="246">
        <v>0</v>
      </c>
      <c r="AB30" s="438">
        <f>(AB29-V062A_203031333436353739404142[[#This Row],[CYLINDER MP]])+V062A_203031333436353739404142[[#This Row],[FAENA EN LTS]]</f>
        <v>4446</v>
      </c>
      <c r="AC30" s="246">
        <v>0</v>
      </c>
      <c r="AD30" s="246">
        <v>0</v>
      </c>
      <c r="AE30" s="438">
        <f>(AE29-V062A_203031333436353739404142[[#This Row],[CARTER MP.]])+V062A_203031333436353739404142[[#This Row],[FAENA EN LTS2]]</f>
        <v>6200</v>
      </c>
      <c r="AF30" s="246">
        <v>0</v>
      </c>
      <c r="AG30" s="246">
        <v>0</v>
      </c>
      <c r="AH30" s="438">
        <f>(AH29-V062A_203031333436353739404142[[#This Row],[MOT AUX]])+V062A_203031333436353739404142[[#This Row],[FAENA EN  LTS]]</f>
        <v>3570</v>
      </c>
      <c r="AI30" s="246">
        <v>0</v>
      </c>
      <c r="AJ30" s="246">
        <v>0</v>
      </c>
      <c r="AK30" s="439">
        <f>(AK29-V062A_203031333436353739404142[[#This Row],[HIDRAULICO]])+V062A_203031333436353739404142[[#This Row],[FAENA EN LTS3]]</f>
        <v>1550</v>
      </c>
    </row>
    <row r="31" spans="1:37" x14ac:dyDescent="0.25">
      <c r="A31" s="431" t="s">
        <v>477</v>
      </c>
      <c r="B31" s="526">
        <v>44326</v>
      </c>
      <c r="C31" s="41">
        <v>0.29166666666666669</v>
      </c>
      <c r="D31" s="418">
        <f>IF(V062A_203031333436353739404142[[#This Row],[FECHA]]-B30=1,((V062A_203031333436353739404142[[#This Row],[HORA]]-C30)*24)+24,(V062A_203031333436353739404142[[#This Row],[HORA]]-C30)*24)</f>
        <v>1.2000000000000004</v>
      </c>
      <c r="E31" s="432" t="s">
        <v>47</v>
      </c>
      <c r="F31" s="29" t="s">
        <v>393</v>
      </c>
      <c r="G31" s="433"/>
      <c r="H31" s="434"/>
      <c r="I31" s="435"/>
      <c r="J31" s="436"/>
      <c r="K31" s="437"/>
      <c r="L31" s="483">
        <v>0.13</v>
      </c>
      <c r="M31" s="246">
        <v>0.08</v>
      </c>
      <c r="N31" s="484">
        <v>0.05</v>
      </c>
      <c r="O31" s="246">
        <f>SUM(V062A_203031333436353739404142[[#This Row],[MPAL]]+V062A_203031333436353739404142[[#This Row],[AUX.]]+V062A_203031333436353739404142[[#This Row],[CALDERA]])</f>
        <v>0.26</v>
      </c>
      <c r="P31" s="319"/>
      <c r="Q31" s="270">
        <f>(Q30-V062A_203031333436353739404142[[#This Row],[TOTAL ]])+V062A_203031333436353739404142[[#This Row],[FAENA]]</f>
        <v>127.44999999999996</v>
      </c>
      <c r="R31" s="245">
        <v>0</v>
      </c>
      <c r="S31" s="246">
        <v>0</v>
      </c>
      <c r="T31" s="246">
        <v>0</v>
      </c>
      <c r="U31" s="246">
        <v>0</v>
      </c>
      <c r="V31" s="246">
        <v>0</v>
      </c>
      <c r="W31" s="246">
        <f>SUM(V062A_203031333436353739404142[[#This Row],[MPAL2]:[GI]])</f>
        <v>0</v>
      </c>
      <c r="X31" s="246"/>
      <c r="Y31" s="300">
        <f>(Y30-V062A_203031333436353739404142[[#This Row],[TOTAL]])+V062A_203031333436353739404142[[#This Row],[FAENA2]]</f>
        <v>54.540000000000006</v>
      </c>
      <c r="Z31" s="245">
        <v>0</v>
      </c>
      <c r="AA31" s="246">
        <v>0</v>
      </c>
      <c r="AB31" s="438">
        <f>(AB30-V062A_203031333436353739404142[[#This Row],[CYLINDER MP]])+V062A_203031333436353739404142[[#This Row],[FAENA EN LTS]]</f>
        <v>4446</v>
      </c>
      <c r="AC31" s="246">
        <v>0</v>
      </c>
      <c r="AD31" s="246">
        <v>0</v>
      </c>
      <c r="AE31" s="438">
        <f>(AE30-V062A_203031333436353739404142[[#This Row],[CARTER MP.]])+V062A_203031333436353739404142[[#This Row],[FAENA EN LTS2]]</f>
        <v>6200</v>
      </c>
      <c r="AF31" s="246">
        <v>0</v>
      </c>
      <c r="AG31" s="246">
        <v>0</v>
      </c>
      <c r="AH31" s="438">
        <f>(AH30-V062A_203031333436353739404142[[#This Row],[MOT AUX]])+V062A_203031333436353739404142[[#This Row],[FAENA EN  LTS]]</f>
        <v>3570</v>
      </c>
      <c r="AI31" s="246">
        <v>0</v>
      </c>
      <c r="AJ31" s="246">
        <v>0</v>
      </c>
      <c r="AK31" s="439">
        <f>(AK30-V062A_203031333436353739404142[[#This Row],[HIDRAULICO]])+V062A_203031333436353739404142[[#This Row],[FAENA EN LTS3]]</f>
        <v>1550</v>
      </c>
    </row>
    <row r="32" spans="1:37" x14ac:dyDescent="0.25">
      <c r="A32" s="431" t="s">
        <v>477</v>
      </c>
      <c r="B32" s="526">
        <v>44326</v>
      </c>
      <c r="C32" s="41">
        <v>0.33333333333333331</v>
      </c>
      <c r="D32" s="418">
        <f>IF(V062A_203031333436353739404142[[#This Row],[FECHA]]-B31=1,((V062A_203031333436353739404142[[#This Row],[HORA]]-C31)*24)+24,(V062A_203031333436353739404142[[#This Row],[HORA]]-C31)*24)</f>
        <v>0.99999999999999911</v>
      </c>
      <c r="E32" s="432" t="s">
        <v>45</v>
      </c>
      <c r="F32" s="29" t="s">
        <v>394</v>
      </c>
      <c r="G32" s="433"/>
      <c r="H32" s="434"/>
      <c r="I32" s="435"/>
      <c r="J32" s="436"/>
      <c r="K32" s="437"/>
      <c r="L32" s="483">
        <v>0</v>
      </c>
      <c r="M32" s="246">
        <v>7.0000000000000007E-2</v>
      </c>
      <c r="N32" s="484">
        <v>0.04</v>
      </c>
      <c r="O32" s="246">
        <f>SUM(V062A_203031333436353739404142[[#This Row],[MPAL]]+V062A_203031333436353739404142[[#This Row],[AUX.]]+V062A_203031333436353739404142[[#This Row],[CALDERA]])</f>
        <v>0.11000000000000001</v>
      </c>
      <c r="P32" s="319"/>
      <c r="Q32" s="270">
        <f>(Q31-V062A_203031333436353739404142[[#This Row],[TOTAL ]])+V062A_203031333436353739404142[[#This Row],[FAENA]]</f>
        <v>127.33999999999996</v>
      </c>
      <c r="R32" s="245">
        <v>0</v>
      </c>
      <c r="S32" s="246">
        <v>0</v>
      </c>
      <c r="T32" s="246">
        <v>0</v>
      </c>
      <c r="U32" s="246">
        <v>0</v>
      </c>
      <c r="V32" s="246">
        <v>0</v>
      </c>
      <c r="W32" s="246">
        <f>SUM(V062A_203031333436353739404142[[#This Row],[MPAL2]:[GI]])</f>
        <v>0</v>
      </c>
      <c r="X32" s="246"/>
      <c r="Y32" s="300">
        <f>(Y31-V062A_203031333436353739404142[[#This Row],[TOTAL]])+V062A_203031333436353739404142[[#This Row],[FAENA2]]</f>
        <v>54.540000000000006</v>
      </c>
      <c r="Z32" s="245">
        <v>0</v>
      </c>
      <c r="AA32" s="246">
        <v>0</v>
      </c>
      <c r="AB32" s="320">
        <f>(AB31-V062A_203031333436353739404142[[#This Row],[CYLINDER MP]])+V062A_203031333436353739404142[[#This Row],[FAENA EN LTS]]</f>
        <v>4446</v>
      </c>
      <c r="AC32" s="246">
        <v>0</v>
      </c>
      <c r="AD32" s="246">
        <v>0</v>
      </c>
      <c r="AE32" s="438">
        <f>(AE31-V062A_203031333436353739404142[[#This Row],[CARTER MP.]])+V062A_203031333436353739404142[[#This Row],[FAENA EN LTS2]]</f>
        <v>6200</v>
      </c>
      <c r="AF32" s="246">
        <v>0</v>
      </c>
      <c r="AG32" s="246">
        <v>0</v>
      </c>
      <c r="AH32" s="438">
        <f>(AH31-V062A_203031333436353739404142[[#This Row],[MOT AUX]])+V062A_203031333436353739404142[[#This Row],[FAENA EN  LTS]]</f>
        <v>3570</v>
      </c>
      <c r="AI32" s="246">
        <v>0</v>
      </c>
      <c r="AJ32" s="246">
        <v>0</v>
      </c>
      <c r="AK32" s="439">
        <f>(AK31-V062A_203031333436353739404142[[#This Row],[HIDRAULICO]])+V062A_203031333436353739404142[[#This Row],[FAENA EN LTS3]]</f>
        <v>1550</v>
      </c>
    </row>
    <row r="33" spans="1:37" x14ac:dyDescent="0.25">
      <c r="A33" s="431" t="s">
        <v>477</v>
      </c>
      <c r="B33" s="526">
        <v>44327</v>
      </c>
      <c r="C33" s="41">
        <v>0.33333333333333331</v>
      </c>
      <c r="D33" s="418">
        <f>IF(V062A_203031333436353739404142[[#This Row],[FECHA]]-B32=1,((V062A_203031333436353739404142[[#This Row],[HORA]]-C32)*24)+24,(V062A_203031333436353739404142[[#This Row],[HORA]]-C32)*24)</f>
        <v>24</v>
      </c>
      <c r="E33" s="409" t="s">
        <v>45</v>
      </c>
      <c r="F33" s="29" t="s">
        <v>394</v>
      </c>
      <c r="G33" s="433"/>
      <c r="H33" s="434"/>
      <c r="I33" s="435"/>
      <c r="J33" s="436"/>
      <c r="K33" s="437"/>
      <c r="L33" s="483">
        <v>0</v>
      </c>
      <c r="M33" s="246">
        <v>1.6</v>
      </c>
      <c r="N33" s="484">
        <v>1</v>
      </c>
      <c r="O33" s="246">
        <f>SUM(V062A_203031333436353739404142[[#This Row],[MPAL]]+V062A_203031333436353739404142[[#This Row],[AUX.]]+V062A_203031333436353739404142[[#This Row],[CALDERA]])</f>
        <v>2.6</v>
      </c>
      <c r="P33" s="319"/>
      <c r="Q33" s="270">
        <f>(Q32-V062A_203031333436353739404142[[#This Row],[TOTAL ]])+V062A_203031333436353739404142[[#This Row],[FAENA]]</f>
        <v>124.73999999999997</v>
      </c>
      <c r="R33" s="245">
        <v>0</v>
      </c>
      <c r="S33" s="246">
        <v>0</v>
      </c>
      <c r="T33" s="246">
        <v>0</v>
      </c>
      <c r="U33" s="246">
        <v>0</v>
      </c>
      <c r="V33" s="246">
        <v>0</v>
      </c>
      <c r="W33" s="246">
        <f>SUM(V062A_203031333436353739404142[[#This Row],[MPAL2]:[GI]])</f>
        <v>0</v>
      </c>
      <c r="X33" s="246"/>
      <c r="Y33" s="300">
        <f>(Y32-V062A_203031333436353739404142[[#This Row],[TOTAL]])+V062A_203031333436353739404142[[#This Row],[FAENA2]]</f>
        <v>54.540000000000006</v>
      </c>
      <c r="Z33" s="245">
        <v>0</v>
      </c>
      <c r="AA33" s="246">
        <v>0</v>
      </c>
      <c r="AB33" s="320">
        <f>(AB32-V062A_203031333436353739404142[[#This Row],[CYLINDER MP]])+V062A_203031333436353739404142[[#This Row],[FAENA EN LTS]]</f>
        <v>4446</v>
      </c>
      <c r="AC33" s="246">
        <v>0</v>
      </c>
      <c r="AD33" s="246">
        <v>0</v>
      </c>
      <c r="AE33" s="438">
        <f>(AE32-V062A_203031333436353739404142[[#This Row],[CARTER MP.]])+V062A_203031333436353739404142[[#This Row],[FAENA EN LTS2]]</f>
        <v>6200</v>
      </c>
      <c r="AF33" s="246">
        <v>0</v>
      </c>
      <c r="AG33" s="246">
        <v>0</v>
      </c>
      <c r="AH33" s="438">
        <f>(AH32-V062A_203031333436353739404142[[#This Row],[MOT AUX]])+V062A_203031333436353739404142[[#This Row],[FAENA EN  LTS]]</f>
        <v>3570</v>
      </c>
      <c r="AI33" s="246">
        <v>0</v>
      </c>
      <c r="AJ33" s="246">
        <v>0</v>
      </c>
      <c r="AK33" s="439">
        <f>(AK32-V062A_203031333436353739404142[[#This Row],[HIDRAULICO]])+V062A_203031333436353739404142[[#This Row],[FAENA EN LTS3]]</f>
        <v>1550</v>
      </c>
    </row>
    <row r="34" spans="1:37" x14ac:dyDescent="0.25">
      <c r="A34" s="431" t="s">
        <v>477</v>
      </c>
      <c r="B34" s="526">
        <v>44328</v>
      </c>
      <c r="C34" s="351">
        <v>0.33333333333333331</v>
      </c>
      <c r="D34" s="418">
        <f>IF(V062A_203031333436353739404142[[#This Row],[FECHA]]-B33=1,((V062A_203031333436353739404142[[#This Row],[HORA]]-C33)*24)+24,(V062A_203031333436353739404142[[#This Row],[HORA]]-C33)*24)</f>
        <v>24</v>
      </c>
      <c r="E34" s="409" t="s">
        <v>45</v>
      </c>
      <c r="F34" s="29" t="s">
        <v>394</v>
      </c>
      <c r="G34" s="433"/>
      <c r="H34" s="434"/>
      <c r="I34" s="435"/>
      <c r="J34" s="436"/>
      <c r="K34" s="437"/>
      <c r="L34" s="483">
        <v>0</v>
      </c>
      <c r="M34" s="246">
        <v>2.29</v>
      </c>
      <c r="N34" s="484">
        <v>1</v>
      </c>
      <c r="O34" s="246">
        <f>SUM(V062A_203031333436353739404142[[#This Row],[MPAL]]+V062A_203031333436353739404142[[#This Row],[AUX.]]+V062A_203031333436353739404142[[#This Row],[CALDERA]])</f>
        <v>3.29</v>
      </c>
      <c r="P34" s="319"/>
      <c r="Q34" s="270">
        <f>(Q33-V062A_203031333436353739404142[[#This Row],[TOTAL ]])+V062A_203031333436353739404142[[#This Row],[FAENA]]</f>
        <v>121.44999999999996</v>
      </c>
      <c r="R34" s="245">
        <v>0</v>
      </c>
      <c r="S34" s="246">
        <v>0</v>
      </c>
      <c r="T34" s="246">
        <v>0</v>
      </c>
      <c r="U34" s="246">
        <v>0</v>
      </c>
      <c r="V34" s="246">
        <v>0</v>
      </c>
      <c r="W34" s="246">
        <f>SUM(V062A_203031333436353739404142[[#This Row],[MPAL2]:[GI]])</f>
        <v>0</v>
      </c>
      <c r="X34" s="246"/>
      <c r="Y34" s="300">
        <f>(Y33-V062A_203031333436353739404142[[#This Row],[TOTAL]])+V062A_203031333436353739404142[[#This Row],[FAENA2]]</f>
        <v>54.540000000000006</v>
      </c>
      <c r="Z34" s="245">
        <v>0</v>
      </c>
      <c r="AA34" s="246">
        <v>0</v>
      </c>
      <c r="AB34" s="320">
        <f>(AB33-V062A_203031333436353739404142[[#This Row],[CYLINDER MP]])+V062A_203031333436353739404142[[#This Row],[FAENA EN LTS]]</f>
        <v>4446</v>
      </c>
      <c r="AC34" s="246">
        <v>0</v>
      </c>
      <c r="AD34" s="246">
        <v>0</v>
      </c>
      <c r="AE34" s="438">
        <f>(AE33-V062A_203031333436353739404142[[#This Row],[CARTER MP.]])+V062A_203031333436353739404142[[#This Row],[FAENA EN LTS2]]</f>
        <v>6200</v>
      </c>
      <c r="AF34" s="246">
        <v>0</v>
      </c>
      <c r="AG34" s="246">
        <v>0</v>
      </c>
      <c r="AH34" s="438">
        <f>(AH33-V062A_203031333436353739404142[[#This Row],[MOT AUX]])+V062A_203031333436353739404142[[#This Row],[FAENA EN  LTS]]</f>
        <v>3570</v>
      </c>
      <c r="AI34" s="246">
        <v>0</v>
      </c>
      <c r="AJ34" s="246">
        <v>0</v>
      </c>
      <c r="AK34" s="439">
        <f>(AK33-V062A_203031333436353739404142[[#This Row],[HIDRAULICO]])+V062A_203031333436353739404142[[#This Row],[FAENA EN LTS3]]</f>
        <v>1550</v>
      </c>
    </row>
    <row r="35" spans="1:37" x14ac:dyDescent="0.25">
      <c r="A35" s="431" t="s">
        <v>477</v>
      </c>
      <c r="B35" s="526">
        <v>44329</v>
      </c>
      <c r="C35" s="41">
        <v>0.33333333333333331</v>
      </c>
      <c r="D35" s="418">
        <f>IF(V062A_203031333436353739404142[[#This Row],[FECHA]]-B34=1,((V062A_203031333436353739404142[[#This Row],[HORA]]-C34)*24)+24,(V062A_203031333436353739404142[[#This Row],[HORA]]-C34)*24)</f>
        <v>24</v>
      </c>
      <c r="E35" s="409" t="s">
        <v>45</v>
      </c>
      <c r="F35" s="29" t="s">
        <v>394</v>
      </c>
      <c r="G35" s="433"/>
      <c r="H35" s="434"/>
      <c r="I35" s="435"/>
      <c r="J35" s="436"/>
      <c r="K35" s="437"/>
      <c r="L35" s="483">
        <v>0</v>
      </c>
      <c r="M35" s="246">
        <v>1.6</v>
      </c>
      <c r="N35" s="484">
        <v>1</v>
      </c>
      <c r="O35" s="246">
        <f>SUM(V062A_203031333436353739404142[[#This Row],[MPAL]]+V062A_203031333436353739404142[[#This Row],[AUX.]]+V062A_203031333436353739404142[[#This Row],[CALDERA]])</f>
        <v>2.6</v>
      </c>
      <c r="P35" s="319"/>
      <c r="Q35" s="270">
        <f>(Q34-V062A_203031333436353739404142[[#This Row],[TOTAL ]])+V062A_203031333436353739404142[[#This Row],[FAENA]]</f>
        <v>118.84999999999997</v>
      </c>
      <c r="R35" s="245">
        <v>0</v>
      </c>
      <c r="S35" s="246">
        <v>0</v>
      </c>
      <c r="T35" s="246">
        <v>0</v>
      </c>
      <c r="U35" s="246">
        <v>0</v>
      </c>
      <c r="V35" s="246">
        <v>0</v>
      </c>
      <c r="W35" s="246">
        <f>SUM(V062A_203031333436353739404142[[#This Row],[MPAL2]:[GI]])</f>
        <v>0</v>
      </c>
      <c r="X35" s="246"/>
      <c r="Y35" s="300">
        <f>(Y34-V062A_203031333436353739404142[[#This Row],[TOTAL]])+V062A_203031333436353739404142[[#This Row],[FAENA2]]</f>
        <v>54.540000000000006</v>
      </c>
      <c r="Z35" s="245">
        <v>0</v>
      </c>
      <c r="AA35" s="246">
        <v>0</v>
      </c>
      <c r="AB35" s="320">
        <f>(AB34-V062A_203031333436353739404142[[#This Row],[CYLINDER MP]])+V062A_203031333436353739404142[[#This Row],[FAENA EN LTS]]</f>
        <v>4446</v>
      </c>
      <c r="AC35" s="246">
        <v>0</v>
      </c>
      <c r="AD35" s="246">
        <v>0</v>
      </c>
      <c r="AE35" s="438">
        <f>(AE34-V062A_203031333436353739404142[[#This Row],[CARTER MP.]])+V062A_203031333436353739404142[[#This Row],[FAENA EN LTS2]]</f>
        <v>6200</v>
      </c>
      <c r="AF35" s="246">
        <v>0</v>
      </c>
      <c r="AG35" s="246">
        <v>0</v>
      </c>
      <c r="AH35" s="438">
        <f>(AH34-V062A_203031333436353739404142[[#This Row],[MOT AUX]])+V062A_203031333436353739404142[[#This Row],[FAENA EN  LTS]]</f>
        <v>3570</v>
      </c>
      <c r="AI35" s="246">
        <v>0</v>
      </c>
      <c r="AJ35" s="246">
        <v>0</v>
      </c>
      <c r="AK35" s="439">
        <f>(AK34-V062A_203031333436353739404142[[#This Row],[HIDRAULICO]])+V062A_203031333436353739404142[[#This Row],[FAENA EN LTS3]]</f>
        <v>1550</v>
      </c>
    </row>
    <row r="36" spans="1:37" x14ac:dyDescent="0.25">
      <c r="A36" s="431"/>
      <c r="B36" s="526"/>
      <c r="C36" s="41"/>
      <c r="D36" s="418">
        <f>IF(V062A_203031333436353739404142[[#This Row],[FECHA]]-B35=1,((V062A_203031333436353739404142[[#This Row],[HORA]]-C35)*24)+24,(V062A_203031333436353739404142[[#This Row],[HORA]]-C35)*24)</f>
        <v>-8</v>
      </c>
      <c r="E36" s="409"/>
      <c r="F36" s="29"/>
      <c r="G36" s="433"/>
      <c r="H36" s="434"/>
      <c r="I36" s="435"/>
      <c r="J36" s="436"/>
      <c r="K36" s="437"/>
      <c r="L36" s="483"/>
      <c r="M36" s="246"/>
      <c r="N36" s="484"/>
      <c r="O36" s="246">
        <f>SUM(V062A_203031333436353739404142[[#This Row],[MPAL]]+V062A_203031333436353739404142[[#This Row],[AUX.]]+V062A_203031333436353739404142[[#This Row],[CALDERA]])</f>
        <v>0</v>
      </c>
      <c r="P36" s="319"/>
      <c r="Q36" s="270">
        <f>(Q35-V062A_203031333436353739404142[[#This Row],[TOTAL ]])+V062A_203031333436353739404142[[#This Row],[FAENA]]</f>
        <v>118.84999999999997</v>
      </c>
      <c r="R36" s="245"/>
      <c r="S36" s="246"/>
      <c r="T36" s="246"/>
      <c r="U36" s="246"/>
      <c r="V36" s="246"/>
      <c r="W36" s="246">
        <f>SUM(V062A_203031333436353739404142[[#This Row],[MPAL2]:[GI]])</f>
        <v>0</v>
      </c>
      <c r="X36" s="246"/>
      <c r="Y36" s="300">
        <f>(Y35-V062A_203031333436353739404142[[#This Row],[TOTAL]])+V062A_203031333436353739404142[[#This Row],[FAENA2]]</f>
        <v>54.540000000000006</v>
      </c>
      <c r="Z36" s="245"/>
      <c r="AA36" s="246"/>
      <c r="AB36" s="320">
        <f>(AB35-V062A_203031333436353739404142[[#This Row],[CYLINDER MP]])+V062A_203031333436353739404142[[#This Row],[FAENA EN LTS]]</f>
        <v>4446</v>
      </c>
      <c r="AC36" s="246"/>
      <c r="AD36" s="246"/>
      <c r="AE36" s="438">
        <f>(AE35-V062A_203031333436353739404142[[#This Row],[CARTER MP.]])+V062A_203031333436353739404142[[#This Row],[FAENA EN LTS2]]</f>
        <v>6200</v>
      </c>
      <c r="AF36" s="246"/>
      <c r="AG36" s="246"/>
      <c r="AH36" s="438">
        <f>(AH35-V062A_203031333436353739404142[[#This Row],[MOT AUX]])+V062A_203031333436353739404142[[#This Row],[FAENA EN  LTS]]</f>
        <v>3570</v>
      </c>
      <c r="AI36" s="246"/>
      <c r="AJ36" s="246"/>
      <c r="AK36" s="439">
        <f>(AK35-V062A_203031333436353739404142[[#This Row],[HIDRAULICO]])+V062A_203031333436353739404142[[#This Row],[FAENA EN LTS3]]</f>
        <v>1550</v>
      </c>
    </row>
    <row r="37" spans="1:37" x14ac:dyDescent="0.25">
      <c r="A37" s="431"/>
      <c r="B37" s="526"/>
      <c r="C37" s="41"/>
      <c r="D37" s="418">
        <f>IF(V062A_203031333436353739404142[[#This Row],[FECHA]]-B36=1,((V062A_203031333436353739404142[[#This Row],[HORA]]-C36)*24)+24,(V062A_203031333436353739404142[[#This Row],[HORA]]-C36)*24)</f>
        <v>0</v>
      </c>
      <c r="E37" s="409"/>
      <c r="F37" s="29"/>
      <c r="G37" s="433"/>
      <c r="H37" s="434"/>
      <c r="I37" s="435"/>
      <c r="J37" s="436"/>
      <c r="K37" s="437"/>
      <c r="L37" s="483"/>
      <c r="M37" s="246"/>
      <c r="N37" s="484"/>
      <c r="O37" s="246">
        <f>SUM(V062A_203031333436353739404142[[#This Row],[MPAL]]+V062A_203031333436353739404142[[#This Row],[AUX.]]+V062A_203031333436353739404142[[#This Row],[CALDERA]])</f>
        <v>0</v>
      </c>
      <c r="P37" s="319"/>
      <c r="Q37" s="270">
        <f>(Q36-V062A_203031333436353739404142[[#This Row],[TOTAL ]])+V062A_203031333436353739404142[[#This Row],[FAENA]]</f>
        <v>118.84999999999997</v>
      </c>
      <c r="R37" s="245"/>
      <c r="S37" s="246"/>
      <c r="T37" s="246"/>
      <c r="U37" s="246"/>
      <c r="V37" s="246"/>
      <c r="W37" s="246">
        <f>SUM(V062A_203031333436353739404142[[#This Row],[MPAL2]:[GI]])</f>
        <v>0</v>
      </c>
      <c r="X37" s="246"/>
      <c r="Y37" s="300">
        <f>(Y36-V062A_203031333436353739404142[[#This Row],[TOTAL]])+V062A_203031333436353739404142[[#This Row],[FAENA2]]</f>
        <v>54.540000000000006</v>
      </c>
      <c r="Z37" s="245"/>
      <c r="AA37" s="246"/>
      <c r="AB37" s="320">
        <f>(AB36-V062A_203031333436353739404142[[#This Row],[CYLINDER MP]])+V062A_203031333436353739404142[[#This Row],[FAENA EN LTS]]</f>
        <v>4446</v>
      </c>
      <c r="AC37" s="246"/>
      <c r="AD37" s="246"/>
      <c r="AE37" s="438">
        <f>(AE36-V062A_203031333436353739404142[[#This Row],[CARTER MP.]])+V062A_203031333436353739404142[[#This Row],[FAENA EN LTS2]]</f>
        <v>6200</v>
      </c>
      <c r="AF37" s="246"/>
      <c r="AG37" s="246"/>
      <c r="AH37" s="438">
        <f>(AH36-V062A_203031333436353739404142[[#This Row],[MOT AUX]])+V062A_203031333436353739404142[[#This Row],[FAENA EN  LTS]]</f>
        <v>3570</v>
      </c>
      <c r="AI37" s="246"/>
      <c r="AJ37" s="246"/>
      <c r="AK37" s="439">
        <f>(AK36-V062A_203031333436353739404142[[#This Row],[HIDRAULICO]])+V062A_203031333436353739404142[[#This Row],[FAENA EN LTS3]]</f>
        <v>1550</v>
      </c>
    </row>
    <row r="38" spans="1:37" x14ac:dyDescent="0.25">
      <c r="A38" s="431"/>
      <c r="B38" s="526"/>
      <c r="C38" s="41"/>
      <c r="D38" s="418">
        <f>IF(V062A_203031333436353739404142[[#This Row],[FECHA]]-B37=1,((V062A_203031333436353739404142[[#This Row],[HORA]]-C37)*24)+24,(V062A_203031333436353739404142[[#This Row],[HORA]]-C37)*24)</f>
        <v>0</v>
      </c>
      <c r="E38" s="409"/>
      <c r="F38" s="29"/>
      <c r="G38" s="433"/>
      <c r="H38" s="434"/>
      <c r="I38" s="435"/>
      <c r="J38" s="436"/>
      <c r="K38" s="437"/>
      <c r="L38" s="483"/>
      <c r="M38" s="246"/>
      <c r="N38" s="484"/>
      <c r="O38" s="246">
        <f>SUM(V062A_203031333436353739404142[[#This Row],[MPAL]]+V062A_203031333436353739404142[[#This Row],[AUX.]]+V062A_203031333436353739404142[[#This Row],[CALDERA]])</f>
        <v>0</v>
      </c>
      <c r="P38" s="319"/>
      <c r="Q38" s="270">
        <f>(Q37-V062A_203031333436353739404142[[#This Row],[TOTAL ]])+V062A_203031333436353739404142[[#This Row],[FAENA]]</f>
        <v>118.84999999999997</v>
      </c>
      <c r="R38" s="484"/>
      <c r="S38" s="246"/>
      <c r="T38" s="246"/>
      <c r="U38" s="246"/>
      <c r="V38" s="246"/>
      <c r="W38" s="246">
        <f>SUM(V062A_203031333436353739404142[[#This Row],[MPAL2]:[GI]])</f>
        <v>0</v>
      </c>
      <c r="X38" s="246"/>
      <c r="Y38" s="300">
        <f>(Y37-V062A_203031333436353739404142[[#This Row],[TOTAL]])+V062A_203031333436353739404142[[#This Row],[FAENA2]]</f>
        <v>54.540000000000006</v>
      </c>
      <c r="Z38" s="245"/>
      <c r="AA38" s="246"/>
      <c r="AB38" s="320">
        <f>(AB37-V062A_203031333436353739404142[[#This Row],[CYLINDER MP]])+V062A_203031333436353739404142[[#This Row],[FAENA EN LTS]]</f>
        <v>4446</v>
      </c>
      <c r="AC38" s="246"/>
      <c r="AD38" s="246"/>
      <c r="AE38" s="438">
        <f>(AE37-V062A_203031333436353739404142[[#This Row],[CARTER MP.]])+V062A_203031333436353739404142[[#This Row],[FAENA EN LTS2]]</f>
        <v>6200</v>
      </c>
      <c r="AF38" s="246"/>
      <c r="AG38" s="246"/>
      <c r="AH38" s="438">
        <f>(AH37-V062A_203031333436353739404142[[#This Row],[MOT AUX]])+V062A_203031333436353739404142[[#This Row],[FAENA EN  LTS]]</f>
        <v>3570</v>
      </c>
      <c r="AI38" s="246"/>
      <c r="AJ38" s="246"/>
      <c r="AK38" s="439">
        <f>(AK37-V062A_203031333436353739404142[[#This Row],[HIDRAULICO]])+V062A_203031333436353739404142[[#This Row],[FAENA EN LTS3]]</f>
        <v>1550</v>
      </c>
    </row>
    <row r="39" spans="1:37" x14ac:dyDescent="0.25">
      <c r="A39" s="431"/>
      <c r="B39" s="526"/>
      <c r="C39" s="41"/>
      <c r="D39" s="418">
        <f>IF(V062A_203031333436353739404142[[#This Row],[FECHA]]-B38=1,((V062A_203031333436353739404142[[#This Row],[HORA]]-C38)*24)+24,(V062A_203031333436353739404142[[#This Row],[HORA]]-C38)*24)</f>
        <v>0</v>
      </c>
      <c r="E39" s="473"/>
      <c r="F39" s="29"/>
      <c r="G39" s="475"/>
      <c r="H39" s="476"/>
      <c r="I39" s="477"/>
      <c r="J39" s="478"/>
      <c r="K39" s="479"/>
      <c r="L39" s="483"/>
      <c r="M39" s="246"/>
      <c r="N39" s="484"/>
      <c r="O39" s="246">
        <f>SUM(V062A_203031333436353739404142[[#This Row],[MPAL]]+V062A_203031333436353739404142[[#This Row],[AUX.]]+V062A_203031333436353739404142[[#This Row],[CALDERA]])</f>
        <v>0</v>
      </c>
      <c r="P39" s="319"/>
      <c r="Q39" s="270">
        <f>(Q38-V062A_203031333436353739404142[[#This Row],[TOTAL ]])+V062A_203031333436353739404142[[#This Row],[FAENA]]</f>
        <v>118.84999999999997</v>
      </c>
      <c r="R39" s="484"/>
      <c r="S39" s="246"/>
      <c r="T39" s="246"/>
      <c r="U39" s="246"/>
      <c r="V39" s="484"/>
      <c r="W39" s="246">
        <f>SUM(V062A_203031333436353739404142[[#This Row],[MPAL2]:[GI]])</f>
        <v>0</v>
      </c>
      <c r="X39" s="246"/>
      <c r="Y39" s="300">
        <f>(Y38-V062A_203031333436353739404142[[#This Row],[TOTAL]])+V062A_203031333436353739404142[[#This Row],[FAENA2]]</f>
        <v>54.540000000000006</v>
      </c>
      <c r="Z39" s="245"/>
      <c r="AA39" s="246"/>
      <c r="AB39" s="320">
        <f>(AB38-V062A_203031333436353739404142[[#This Row],[CYLINDER MP]])+V062A_203031333436353739404142[[#This Row],[FAENA EN LTS]]</f>
        <v>4446</v>
      </c>
      <c r="AC39" s="246"/>
      <c r="AD39" s="246"/>
      <c r="AE39" s="438">
        <f>(AE38-V062A_203031333436353739404142[[#This Row],[CARTER MP.]])+V062A_203031333436353739404142[[#This Row],[FAENA EN LTS2]]</f>
        <v>6200</v>
      </c>
      <c r="AF39" s="246"/>
      <c r="AG39" s="246"/>
      <c r="AH39" s="438">
        <f>(AH38-V062A_203031333436353739404142[[#This Row],[MOT AUX]])+V062A_203031333436353739404142[[#This Row],[FAENA EN  LTS]]</f>
        <v>3570</v>
      </c>
      <c r="AI39" s="246"/>
      <c r="AJ39" s="246"/>
      <c r="AK39" s="439">
        <f>(AK38-V062A_203031333436353739404142[[#This Row],[HIDRAULICO]])+V062A_203031333436353739404142[[#This Row],[FAENA EN LTS3]]</f>
        <v>1550</v>
      </c>
    </row>
    <row r="40" spans="1:37" x14ac:dyDescent="0.25">
      <c r="A40" s="431"/>
      <c r="B40" s="526"/>
      <c r="C40" s="41"/>
      <c r="D40" s="418">
        <f>IF(V062A_203031333436353739404142[[#This Row],[FECHA]]-B39=1,((V062A_203031333436353739404142[[#This Row],[HORA]]-C39)*24)+24,(V062A_203031333436353739404142[[#This Row],[HORA]]-C39)*24)</f>
        <v>0</v>
      </c>
      <c r="E40" s="473"/>
      <c r="F40" s="29"/>
      <c r="G40" s="475"/>
      <c r="H40" s="476"/>
      <c r="I40" s="477"/>
      <c r="J40" s="478"/>
      <c r="K40" s="479"/>
      <c r="L40" s="483"/>
      <c r="M40" s="246"/>
      <c r="N40" s="484"/>
      <c r="O40" s="246">
        <f>SUM(V062A_203031333436353739404142[[#This Row],[MPAL]]+V062A_203031333436353739404142[[#This Row],[AUX.]]+V062A_203031333436353739404142[[#This Row],[CALDERA]])</f>
        <v>0</v>
      </c>
      <c r="P40" s="319"/>
      <c r="Q40" s="270">
        <f>(Q39-V062A_203031333436353739404142[[#This Row],[TOTAL ]])+V062A_203031333436353739404142[[#This Row],[FAENA]]</f>
        <v>118.84999999999997</v>
      </c>
      <c r="R40" s="484"/>
      <c r="S40" s="246"/>
      <c r="T40" s="246"/>
      <c r="U40" s="246"/>
      <c r="V40" s="484"/>
      <c r="W40" s="246">
        <f>SUM(V062A_203031333436353739404142[[#This Row],[MPAL2]:[GI]])</f>
        <v>0</v>
      </c>
      <c r="X40" s="246"/>
      <c r="Y40" s="300">
        <f>(Y39-V062A_203031333436353739404142[[#This Row],[TOTAL]])+V062A_203031333436353739404142[[#This Row],[FAENA2]]</f>
        <v>54.540000000000006</v>
      </c>
      <c r="Z40" s="245"/>
      <c r="AA40" s="246"/>
      <c r="AB40" s="320">
        <f>(AB39-V062A_203031333436353739404142[[#This Row],[CYLINDER MP]])+V062A_203031333436353739404142[[#This Row],[FAENA EN LTS]]</f>
        <v>4446</v>
      </c>
      <c r="AC40" s="246"/>
      <c r="AD40" s="246"/>
      <c r="AE40" s="438">
        <f>(AE39-V062A_203031333436353739404142[[#This Row],[CARTER MP.]])+V062A_203031333436353739404142[[#This Row],[FAENA EN LTS2]]</f>
        <v>6200</v>
      </c>
      <c r="AF40" s="246"/>
      <c r="AG40" s="246"/>
      <c r="AH40" s="438">
        <f>(AH39-V062A_203031333436353739404142[[#This Row],[MOT AUX]])+V062A_203031333436353739404142[[#This Row],[FAENA EN  LTS]]</f>
        <v>3570</v>
      </c>
      <c r="AI40" s="246"/>
      <c r="AJ40" s="246"/>
      <c r="AK40" s="439">
        <f>(AK39-V062A_203031333436353739404142[[#This Row],[HIDRAULICO]])+V062A_203031333436353739404142[[#This Row],[FAENA EN LTS3]]</f>
        <v>1550</v>
      </c>
    </row>
    <row r="41" spans="1:37" x14ac:dyDescent="0.25">
      <c r="A41" s="431"/>
      <c r="B41" s="526"/>
      <c r="C41" s="41"/>
      <c r="D41" s="418">
        <f>IF(V062A_203031333436353739404142[[#This Row],[FECHA]]-B40=1,((V062A_203031333436353739404142[[#This Row],[HORA]]-C40)*24)+24,(V062A_203031333436353739404142[[#This Row],[HORA]]-C40)*24)</f>
        <v>0</v>
      </c>
      <c r="E41" s="473"/>
      <c r="F41" s="29"/>
      <c r="G41" s="475"/>
      <c r="H41" s="476"/>
      <c r="I41" s="477"/>
      <c r="J41" s="478"/>
      <c r="K41" s="479"/>
      <c r="L41" s="483"/>
      <c r="M41" s="246"/>
      <c r="N41" s="484"/>
      <c r="O41" s="246">
        <f>SUM(V062A_203031333436353739404142[[#This Row],[MPAL]]+V062A_203031333436353739404142[[#This Row],[AUX.]]+V062A_203031333436353739404142[[#This Row],[CALDERA]])</f>
        <v>0</v>
      </c>
      <c r="P41" s="319"/>
      <c r="Q41" s="270">
        <f>(Q40-V062A_203031333436353739404142[[#This Row],[TOTAL ]])+V062A_203031333436353739404142[[#This Row],[FAENA]]</f>
        <v>118.84999999999997</v>
      </c>
      <c r="R41" s="484"/>
      <c r="S41" s="246"/>
      <c r="T41" s="246"/>
      <c r="U41" s="246"/>
      <c r="V41" s="484"/>
      <c r="W41" s="246">
        <f>SUM(V062A_203031333436353739404142[[#This Row],[MPAL2]:[GI]])</f>
        <v>0</v>
      </c>
      <c r="X41" s="246"/>
      <c r="Y41" s="300">
        <f>(Y40-V062A_203031333436353739404142[[#This Row],[TOTAL]])+V062A_203031333436353739404142[[#This Row],[FAENA2]]</f>
        <v>54.540000000000006</v>
      </c>
      <c r="Z41" s="245"/>
      <c r="AA41" s="246"/>
      <c r="AB41" s="320">
        <f>(AB40-V062A_203031333436353739404142[[#This Row],[CYLINDER MP]])+V062A_203031333436353739404142[[#This Row],[FAENA EN LTS]]</f>
        <v>4446</v>
      </c>
      <c r="AC41" s="246"/>
      <c r="AD41" s="246"/>
      <c r="AE41" s="438">
        <f>(AE40-V062A_203031333436353739404142[[#This Row],[CARTER MP.]])+V062A_203031333436353739404142[[#This Row],[FAENA EN LTS2]]</f>
        <v>6200</v>
      </c>
      <c r="AF41" s="246"/>
      <c r="AG41" s="246"/>
      <c r="AH41" s="438">
        <f>(AH40-V062A_203031333436353739404142[[#This Row],[MOT AUX]])+V062A_203031333436353739404142[[#This Row],[FAENA EN  LTS]]</f>
        <v>3570</v>
      </c>
      <c r="AI41" s="246"/>
      <c r="AJ41" s="246"/>
      <c r="AK41" s="439">
        <f>(AK40-V062A_203031333436353739404142[[#This Row],[HIDRAULICO]])+V062A_203031333436353739404142[[#This Row],[FAENA EN LTS3]]</f>
        <v>1550</v>
      </c>
    </row>
    <row r="42" spans="1:37" x14ac:dyDescent="0.25">
      <c r="A42" s="431"/>
      <c r="B42" s="526"/>
      <c r="C42" s="41"/>
      <c r="D42" s="418">
        <f>IF(V062A_203031333436353739404142[[#This Row],[FECHA]]-B41=1,((V062A_203031333436353739404142[[#This Row],[HORA]]-C41)*24)+24,(V062A_203031333436353739404142[[#This Row],[HORA]]-C41)*24)</f>
        <v>0</v>
      </c>
      <c r="E42" s="473"/>
      <c r="F42" s="29"/>
      <c r="G42" s="475"/>
      <c r="H42" s="476"/>
      <c r="I42" s="477"/>
      <c r="J42" s="478"/>
      <c r="K42" s="479"/>
      <c r="L42" s="483"/>
      <c r="M42" s="246"/>
      <c r="N42" s="484"/>
      <c r="O42" s="246">
        <f>SUM(V062A_203031333436353739404142[[#This Row],[MPAL]]+V062A_203031333436353739404142[[#This Row],[AUX.]]+V062A_203031333436353739404142[[#This Row],[CALDERA]])</f>
        <v>0</v>
      </c>
      <c r="P42" s="319"/>
      <c r="Q42" s="270">
        <f>(Q41-V062A_203031333436353739404142[[#This Row],[TOTAL ]])+V062A_203031333436353739404142[[#This Row],[FAENA]]</f>
        <v>118.84999999999997</v>
      </c>
      <c r="R42" s="484"/>
      <c r="S42" s="246"/>
      <c r="T42" s="246"/>
      <c r="U42" s="246"/>
      <c r="V42" s="484"/>
      <c r="W42" s="246">
        <f>SUM(V062A_203031333436353739404142[[#This Row],[MPAL2]:[GI]])</f>
        <v>0</v>
      </c>
      <c r="X42" s="246"/>
      <c r="Y42" s="300">
        <f>(Y41-V062A_203031333436353739404142[[#This Row],[TOTAL]])+V062A_203031333436353739404142[[#This Row],[FAENA2]]</f>
        <v>54.540000000000006</v>
      </c>
      <c r="Z42" s="245"/>
      <c r="AA42" s="246"/>
      <c r="AB42" s="438">
        <f>(AB41-V062A_203031333436353739404142[[#This Row],[CYLINDER MP]])+V062A_203031333436353739404142[[#This Row],[FAENA EN LTS]]</f>
        <v>4446</v>
      </c>
      <c r="AC42" s="246"/>
      <c r="AD42" s="246"/>
      <c r="AE42" s="438">
        <f>(AE41-V062A_203031333436353739404142[[#This Row],[CARTER MP.]])+V062A_203031333436353739404142[[#This Row],[FAENA EN LTS2]]</f>
        <v>6200</v>
      </c>
      <c r="AF42" s="246"/>
      <c r="AG42" s="246"/>
      <c r="AH42" s="438">
        <f>(AH41-V062A_203031333436353739404142[[#This Row],[MOT AUX]])+V062A_203031333436353739404142[[#This Row],[FAENA EN  LTS]]</f>
        <v>3570</v>
      </c>
      <c r="AI42" s="246"/>
      <c r="AJ42" s="246"/>
      <c r="AK42" s="439">
        <f>(AK41-V062A_203031333436353739404142[[#This Row],[HIDRAULICO]])+V062A_203031333436353739404142[[#This Row],[FAENA EN LTS3]]</f>
        <v>1550</v>
      </c>
    </row>
    <row r="43" spans="1:37" x14ac:dyDescent="0.25">
      <c r="A43" s="431"/>
      <c r="B43" s="526"/>
      <c r="C43" s="41"/>
      <c r="D43" s="418">
        <f>IF(V062A_203031333436353739404142[[#This Row],[FECHA]]-B42=1,((V062A_203031333436353739404142[[#This Row],[HORA]]-C42)*24)+24,(V062A_203031333436353739404142[[#This Row],[HORA]]-C42)*24)</f>
        <v>0</v>
      </c>
      <c r="E43" s="473"/>
      <c r="F43" s="29"/>
      <c r="G43" s="475"/>
      <c r="H43" s="476"/>
      <c r="I43" s="477"/>
      <c r="J43" s="478"/>
      <c r="K43" s="479"/>
      <c r="L43" s="483"/>
      <c r="M43" s="246"/>
      <c r="N43" s="484"/>
      <c r="O43" s="246">
        <f>SUM(V062A_203031333436353739404142[[#This Row],[MPAL]]+V062A_203031333436353739404142[[#This Row],[AUX.]]+V062A_203031333436353739404142[[#This Row],[CALDERA]])</f>
        <v>0</v>
      </c>
      <c r="P43" s="319"/>
      <c r="Q43" s="270">
        <f>(Q42-V062A_203031333436353739404142[[#This Row],[TOTAL ]])+V062A_203031333436353739404142[[#This Row],[FAENA]]</f>
        <v>118.84999999999997</v>
      </c>
      <c r="R43" s="484"/>
      <c r="S43" s="246"/>
      <c r="T43" s="246"/>
      <c r="U43" s="246"/>
      <c r="V43" s="484"/>
      <c r="W43" s="246">
        <f>SUM(V062A_203031333436353739404142[[#This Row],[MPAL2]:[GI]])</f>
        <v>0</v>
      </c>
      <c r="X43" s="246"/>
      <c r="Y43" s="300">
        <f>(Y42-V062A_203031333436353739404142[[#This Row],[TOTAL]])+V062A_203031333436353739404142[[#This Row],[FAENA2]]</f>
        <v>54.540000000000006</v>
      </c>
      <c r="Z43" s="245"/>
      <c r="AA43" s="246"/>
      <c r="AB43" s="438">
        <f>(AB42-V062A_203031333436353739404142[[#This Row],[CYLINDER MP]])+V062A_203031333436353739404142[[#This Row],[FAENA EN LTS]]</f>
        <v>4446</v>
      </c>
      <c r="AC43" s="246"/>
      <c r="AD43" s="246"/>
      <c r="AE43" s="438">
        <f>(AE42-V062A_203031333436353739404142[[#This Row],[CARTER MP.]])+V062A_203031333436353739404142[[#This Row],[FAENA EN LTS2]]</f>
        <v>6200</v>
      </c>
      <c r="AF43" s="246"/>
      <c r="AG43" s="246"/>
      <c r="AH43" s="438">
        <f>(AH42-V062A_203031333436353739404142[[#This Row],[MOT AUX]])+V062A_203031333436353739404142[[#This Row],[FAENA EN  LTS]]</f>
        <v>3570</v>
      </c>
      <c r="AI43" s="246"/>
      <c r="AJ43" s="246"/>
      <c r="AK43" s="439">
        <f>(AK42-V062A_203031333436353739404142[[#This Row],[HIDRAULICO]])+V062A_203031333436353739404142[[#This Row],[FAENA EN LTS3]]</f>
        <v>1550</v>
      </c>
    </row>
    <row r="44" spans="1:37" x14ac:dyDescent="0.25">
      <c r="A44" s="431"/>
      <c r="B44" s="526"/>
      <c r="C44" s="41"/>
      <c r="D44" s="418">
        <f>IF(V062A_203031333436353739404142[[#This Row],[FECHA]]-B43=1,((V062A_203031333436353739404142[[#This Row],[HORA]]-C43)*24)+24,(V062A_203031333436353739404142[[#This Row],[HORA]]-C43)*24)</f>
        <v>0</v>
      </c>
      <c r="E44" s="473"/>
      <c r="F44" s="29"/>
      <c r="G44" s="475"/>
      <c r="H44" s="476"/>
      <c r="I44" s="477"/>
      <c r="J44" s="478"/>
      <c r="K44" s="479"/>
      <c r="L44" s="483"/>
      <c r="M44" s="246"/>
      <c r="N44" s="484"/>
      <c r="O44" s="246">
        <f>SUM(V062A_203031333436353739404142[[#This Row],[MPAL]]+V062A_203031333436353739404142[[#This Row],[AUX.]]+V062A_203031333436353739404142[[#This Row],[CALDERA]])</f>
        <v>0</v>
      </c>
      <c r="P44" s="319"/>
      <c r="Q44" s="270">
        <f>(Q43-V062A_203031333436353739404142[[#This Row],[TOTAL ]])+V062A_203031333436353739404142[[#This Row],[FAENA]]</f>
        <v>118.84999999999997</v>
      </c>
      <c r="R44" s="484"/>
      <c r="S44" s="246"/>
      <c r="T44" s="246"/>
      <c r="U44" s="246"/>
      <c r="V44" s="484"/>
      <c r="W44" s="246">
        <f>SUM(V062A_203031333436353739404142[[#This Row],[MPAL2]:[GI]])</f>
        <v>0</v>
      </c>
      <c r="X44" s="246"/>
      <c r="Y44" s="300">
        <f>(Y43-V062A_203031333436353739404142[[#This Row],[TOTAL]])+V062A_203031333436353739404142[[#This Row],[FAENA2]]</f>
        <v>54.540000000000006</v>
      </c>
      <c r="Z44" s="245"/>
      <c r="AA44" s="246"/>
      <c r="AB44" s="438">
        <f>(AB43-V062A_203031333436353739404142[[#This Row],[CYLINDER MP]])+V062A_203031333436353739404142[[#This Row],[FAENA EN LTS]]</f>
        <v>4446</v>
      </c>
      <c r="AC44" s="246"/>
      <c r="AD44" s="246"/>
      <c r="AE44" s="438">
        <f>(AE43-V062A_203031333436353739404142[[#This Row],[CARTER MP.]])+V062A_203031333436353739404142[[#This Row],[FAENA EN LTS2]]</f>
        <v>6200</v>
      </c>
      <c r="AF44" s="246"/>
      <c r="AG44" s="246"/>
      <c r="AH44" s="438">
        <f>(AH43-V062A_203031333436353739404142[[#This Row],[MOT AUX]])+V062A_203031333436353739404142[[#This Row],[FAENA EN  LTS]]</f>
        <v>3570</v>
      </c>
      <c r="AI44" s="246"/>
      <c r="AJ44" s="246"/>
      <c r="AK44" s="439">
        <f>(AK43-V062A_203031333436353739404142[[#This Row],[HIDRAULICO]])+V062A_203031333436353739404142[[#This Row],[FAENA EN LTS3]]</f>
        <v>1550</v>
      </c>
    </row>
    <row r="45" spans="1:37" x14ac:dyDescent="0.25">
      <c r="A45" s="431"/>
      <c r="B45" s="526"/>
      <c r="C45" s="41"/>
      <c r="D45" s="418">
        <f>IF(V062A_203031333436353739404142[[#This Row],[FECHA]]-B44=1,((V062A_203031333436353739404142[[#This Row],[HORA]]-C44)*24)+24,(V062A_203031333436353739404142[[#This Row],[HORA]]-C44)*24)</f>
        <v>0</v>
      </c>
      <c r="E45" s="432"/>
      <c r="F45" s="29"/>
      <c r="G45" s="433"/>
      <c r="H45" s="434"/>
      <c r="I45" s="435"/>
      <c r="J45" s="436"/>
      <c r="K45" s="437"/>
      <c r="L45" s="483"/>
      <c r="M45" s="246"/>
      <c r="N45" s="484"/>
      <c r="O45" s="246">
        <f>SUM(V062A_203031333436353739404142[[#This Row],[MPAL]]+V062A_203031333436353739404142[[#This Row],[AUX.]]+V062A_203031333436353739404142[[#This Row],[CALDERA]])</f>
        <v>0</v>
      </c>
      <c r="P45" s="319"/>
      <c r="Q45" s="270">
        <f>(Q44-V062A_203031333436353739404142[[#This Row],[TOTAL ]])+V062A_203031333436353739404142[[#This Row],[FAENA]]</f>
        <v>118.84999999999997</v>
      </c>
      <c r="R45" s="245"/>
      <c r="S45" s="246"/>
      <c r="T45" s="246"/>
      <c r="U45" s="246"/>
      <c r="V45" s="246"/>
      <c r="W45" s="246">
        <f>SUM(V062A_203031333436353739404142[[#This Row],[MPAL2]:[GI]])</f>
        <v>0</v>
      </c>
      <c r="X45" s="246"/>
      <c r="Y45" s="300">
        <f>(Y44-V062A_203031333436353739404142[[#This Row],[TOTAL]])+V062A_203031333436353739404142[[#This Row],[FAENA2]]</f>
        <v>54.540000000000006</v>
      </c>
      <c r="Z45" s="245"/>
      <c r="AA45" s="246"/>
      <c r="AB45" s="438">
        <f>(AB44-V062A_203031333436353739404142[[#This Row],[CYLINDER MP]])+V062A_203031333436353739404142[[#This Row],[FAENA EN LTS]]</f>
        <v>4446</v>
      </c>
      <c r="AC45" s="246"/>
      <c r="AD45" s="246"/>
      <c r="AE45" s="438">
        <f>(AE44-V062A_203031333436353739404142[[#This Row],[CARTER MP.]])+V062A_203031333436353739404142[[#This Row],[FAENA EN LTS2]]</f>
        <v>6200</v>
      </c>
      <c r="AF45" s="246"/>
      <c r="AG45" s="246"/>
      <c r="AH45" s="438">
        <f>(AH44-V062A_203031333436353739404142[[#This Row],[MOT AUX]])+V062A_203031333436353739404142[[#This Row],[FAENA EN  LTS]]</f>
        <v>3570</v>
      </c>
      <c r="AI45" s="246"/>
      <c r="AJ45" s="246"/>
      <c r="AK45" s="439">
        <f>(AK44-V062A_203031333436353739404142[[#This Row],[HIDRAULICO]])+V062A_203031333436353739404142[[#This Row],[FAENA EN LTS3]]</f>
        <v>1550</v>
      </c>
    </row>
    <row r="46" spans="1:37" x14ac:dyDescent="0.25">
      <c r="A46" s="431"/>
      <c r="B46" s="526"/>
      <c r="C46" s="41"/>
      <c r="D46" s="418">
        <f>IF(V062A_203031333436353739404142[[#This Row],[FECHA]]-B45=1,((V062A_203031333436353739404142[[#This Row],[HORA]]-C45)*24)+24,(V062A_203031333436353739404142[[#This Row],[HORA]]-C45)*24)</f>
        <v>0</v>
      </c>
      <c r="E46" s="473"/>
      <c r="F46" s="29"/>
      <c r="G46" s="475"/>
      <c r="H46" s="476"/>
      <c r="I46" s="477"/>
      <c r="J46" s="478"/>
      <c r="K46" s="479"/>
      <c r="L46" s="483"/>
      <c r="M46" s="246"/>
      <c r="N46" s="484"/>
      <c r="O46" s="246">
        <f>SUM(V062A_203031333436353739404142[[#This Row],[MPAL]]+V062A_203031333436353739404142[[#This Row],[AUX.]]+V062A_203031333436353739404142[[#This Row],[CALDERA]])</f>
        <v>0</v>
      </c>
      <c r="P46" s="319"/>
      <c r="Q46" s="270">
        <f>(Q45-V062A_203031333436353739404142[[#This Row],[TOTAL ]])+V062A_203031333436353739404142[[#This Row],[FAENA]]</f>
        <v>118.84999999999997</v>
      </c>
      <c r="R46" s="245"/>
      <c r="S46" s="246"/>
      <c r="T46" s="246"/>
      <c r="U46" s="246"/>
      <c r="V46" s="246"/>
      <c r="W46" s="246">
        <f>SUM(V062A_203031333436353739404142[[#This Row],[MPAL2]:[GI]])</f>
        <v>0</v>
      </c>
      <c r="X46" s="246"/>
      <c r="Y46" s="300">
        <f>(Y45-V062A_203031333436353739404142[[#This Row],[TOTAL]])+V062A_203031333436353739404142[[#This Row],[FAENA2]]</f>
        <v>54.540000000000006</v>
      </c>
      <c r="Z46" s="245"/>
      <c r="AA46" s="246"/>
      <c r="AB46" s="438">
        <f>(AB45-V062A_203031333436353739404142[[#This Row],[CYLINDER MP]])+V062A_203031333436353739404142[[#This Row],[FAENA EN LTS]]</f>
        <v>4446</v>
      </c>
      <c r="AC46" s="246"/>
      <c r="AD46" s="246"/>
      <c r="AE46" s="438">
        <f>(AE45-V062A_203031333436353739404142[[#This Row],[CARTER MP.]])+V062A_203031333436353739404142[[#This Row],[FAENA EN LTS2]]</f>
        <v>6200</v>
      </c>
      <c r="AF46" s="246"/>
      <c r="AG46" s="246"/>
      <c r="AH46" s="438">
        <f>(AH45-V062A_203031333436353739404142[[#This Row],[MOT AUX]])+V062A_203031333436353739404142[[#This Row],[FAENA EN  LTS]]</f>
        <v>3570</v>
      </c>
      <c r="AI46" s="246"/>
      <c r="AJ46" s="246"/>
      <c r="AK46" s="439">
        <f>(AK45-V062A_203031333436353739404142[[#This Row],[HIDRAULICO]])+V062A_203031333436353739404142[[#This Row],[FAENA EN LTS3]]</f>
        <v>1550</v>
      </c>
    </row>
    <row r="47" spans="1:37" x14ac:dyDescent="0.25">
      <c r="A47" s="431"/>
      <c r="B47" s="526"/>
      <c r="C47" s="41"/>
      <c r="D47" s="418">
        <f>IF(V062A_203031333436353739404142[[#This Row],[FECHA]]-B46=1,((V062A_203031333436353739404142[[#This Row],[HORA]]-C46)*24)+24,(V062A_203031333436353739404142[[#This Row],[HORA]]-C46)*24)</f>
        <v>0</v>
      </c>
      <c r="E47" s="473"/>
      <c r="F47" s="29"/>
      <c r="G47" s="475"/>
      <c r="H47" s="476"/>
      <c r="I47" s="477"/>
      <c r="J47" s="478"/>
      <c r="K47" s="479"/>
      <c r="L47" s="483"/>
      <c r="M47" s="246"/>
      <c r="N47" s="484"/>
      <c r="O47" s="246">
        <f>SUM(V062A_203031333436353739404142[[#This Row],[MPAL]]+V062A_203031333436353739404142[[#This Row],[AUX.]]+V062A_203031333436353739404142[[#This Row],[CALDERA]])</f>
        <v>0</v>
      </c>
      <c r="P47" s="246"/>
      <c r="Q47" s="270">
        <f>(Q46-V062A_203031333436353739404142[[#This Row],[TOTAL ]])+V062A_203031333436353739404142[[#This Row],[FAENA]]</f>
        <v>118.84999999999997</v>
      </c>
      <c r="R47" s="245"/>
      <c r="S47" s="246"/>
      <c r="T47" s="246"/>
      <c r="U47" s="246"/>
      <c r="V47" s="246"/>
      <c r="W47" s="246">
        <f>SUM(V062A_203031333436353739404142[[#This Row],[MPAL2]:[GI]])</f>
        <v>0</v>
      </c>
      <c r="X47" s="246"/>
      <c r="Y47" s="300">
        <f>(Y46-V062A_203031333436353739404142[[#This Row],[TOTAL]])+V062A_203031333436353739404142[[#This Row],[FAENA2]]</f>
        <v>54.540000000000006</v>
      </c>
      <c r="Z47" s="245"/>
      <c r="AA47" s="246"/>
      <c r="AB47" s="438">
        <f>(AB46-V062A_203031333436353739404142[[#This Row],[CYLINDER MP]])+V062A_203031333436353739404142[[#This Row],[FAENA EN LTS]]</f>
        <v>4446</v>
      </c>
      <c r="AC47" s="246"/>
      <c r="AD47" s="246"/>
      <c r="AE47" s="438">
        <f>(AE46-V062A_203031333436353739404142[[#This Row],[CARTER MP.]])+V062A_203031333436353739404142[[#This Row],[FAENA EN LTS2]]</f>
        <v>6200</v>
      </c>
      <c r="AF47" s="246"/>
      <c r="AG47" s="246"/>
      <c r="AH47" s="438">
        <f>(AH46-V062A_203031333436353739404142[[#This Row],[MOT AUX]])+V062A_203031333436353739404142[[#This Row],[FAENA EN  LTS]]</f>
        <v>3570</v>
      </c>
      <c r="AI47" s="246"/>
      <c r="AJ47" s="246"/>
      <c r="AK47" s="439">
        <f>(AK46-V062A_203031333436353739404142[[#This Row],[HIDRAULICO]])+V062A_203031333436353739404142[[#This Row],[FAENA EN LTS3]]</f>
        <v>1550</v>
      </c>
    </row>
    <row r="48" spans="1:37" x14ac:dyDescent="0.25">
      <c r="A48" s="431"/>
      <c r="B48" s="526"/>
      <c r="C48" s="41"/>
      <c r="D48" s="418">
        <f>IF(V062A_203031333436353739404142[[#This Row],[FECHA]]-B47=1,((V062A_203031333436353739404142[[#This Row],[HORA]]-C47)*24)+24,(V062A_203031333436353739404142[[#This Row],[HORA]]-C47)*24)</f>
        <v>0</v>
      </c>
      <c r="E48" s="473"/>
      <c r="F48" s="29"/>
      <c r="G48" s="475"/>
      <c r="H48" s="476"/>
      <c r="I48" s="477"/>
      <c r="J48" s="478"/>
      <c r="K48" s="479"/>
      <c r="L48" s="483"/>
      <c r="M48" s="246"/>
      <c r="N48" s="484"/>
      <c r="O48" s="246">
        <f>SUM(V062A_203031333436353739404142[[#This Row],[MPAL]]+V062A_203031333436353739404142[[#This Row],[AUX.]]+V062A_203031333436353739404142[[#This Row],[CALDERA]])</f>
        <v>0</v>
      </c>
      <c r="P48" s="246"/>
      <c r="Q48" s="270">
        <f>(Q47-V062A_203031333436353739404142[[#This Row],[TOTAL ]])+V062A_203031333436353739404142[[#This Row],[FAENA]]</f>
        <v>118.84999999999997</v>
      </c>
      <c r="R48" s="245"/>
      <c r="S48" s="246"/>
      <c r="T48" s="246"/>
      <c r="U48" s="246"/>
      <c r="V48" s="246"/>
      <c r="W48" s="246">
        <f>SUM(V062A_203031333436353739404142[[#This Row],[MPAL2]:[GI]])</f>
        <v>0</v>
      </c>
      <c r="X48" s="246"/>
      <c r="Y48" s="300">
        <f>(Y47-V062A_203031333436353739404142[[#This Row],[TOTAL]])+V062A_203031333436353739404142[[#This Row],[FAENA2]]</f>
        <v>54.540000000000006</v>
      </c>
      <c r="Z48" s="245"/>
      <c r="AA48" s="246"/>
      <c r="AB48" s="438">
        <f>(AB47-V062A_203031333436353739404142[[#This Row],[CYLINDER MP]])+V062A_203031333436353739404142[[#This Row],[FAENA EN LTS]]</f>
        <v>4446</v>
      </c>
      <c r="AC48" s="246"/>
      <c r="AD48" s="246"/>
      <c r="AE48" s="438">
        <f>(AE47-V062A_203031333436353739404142[[#This Row],[CARTER MP.]])+V062A_203031333436353739404142[[#This Row],[FAENA EN LTS2]]</f>
        <v>6200</v>
      </c>
      <c r="AF48" s="246"/>
      <c r="AG48" s="246"/>
      <c r="AH48" s="438">
        <f>(AH47-V062A_203031333436353739404142[[#This Row],[MOT AUX]])+V062A_203031333436353739404142[[#This Row],[FAENA EN  LTS]]</f>
        <v>3570</v>
      </c>
      <c r="AI48" s="246"/>
      <c r="AJ48" s="246"/>
      <c r="AK48" s="439">
        <f>(AK47-V062A_203031333436353739404142[[#This Row],[HIDRAULICO]])+V062A_203031333436353739404142[[#This Row],[FAENA EN LTS3]]</f>
        <v>1550</v>
      </c>
    </row>
    <row r="49" spans="1:37" x14ac:dyDescent="0.25">
      <c r="A49" s="431"/>
      <c r="B49" s="526"/>
      <c r="C49" s="41"/>
      <c r="D49" s="418">
        <f>IF(V062A_203031333436353739404142[[#This Row],[FECHA]]-B48=1,((V062A_203031333436353739404142[[#This Row],[HORA]]-C48)*24)+24,(V062A_203031333436353739404142[[#This Row],[HORA]]-C48)*24)</f>
        <v>0</v>
      </c>
      <c r="E49" s="473"/>
      <c r="F49" s="29"/>
      <c r="G49" s="475"/>
      <c r="H49" s="476"/>
      <c r="I49" s="477"/>
      <c r="J49" s="478"/>
      <c r="K49" s="479"/>
      <c r="L49" s="483"/>
      <c r="M49" s="246"/>
      <c r="N49" s="484"/>
      <c r="O49" s="246">
        <f>SUM(V062A_203031333436353739404142[[#This Row],[MPAL]]+V062A_203031333436353739404142[[#This Row],[AUX.]]+V062A_203031333436353739404142[[#This Row],[CALDERA]])</f>
        <v>0</v>
      </c>
      <c r="P49" s="246"/>
      <c r="Q49" s="270">
        <f>(Q48-V062A_203031333436353739404142[[#This Row],[TOTAL ]])+V062A_203031333436353739404142[[#This Row],[FAENA]]</f>
        <v>118.84999999999997</v>
      </c>
      <c r="R49" s="245"/>
      <c r="S49" s="246"/>
      <c r="T49" s="246"/>
      <c r="U49" s="246"/>
      <c r="V49" s="246"/>
      <c r="W49" s="246">
        <f>SUM(V062A_203031333436353739404142[[#This Row],[MPAL2]:[GI]])</f>
        <v>0</v>
      </c>
      <c r="X49" s="246"/>
      <c r="Y49" s="300">
        <f>(Y48-V062A_203031333436353739404142[[#This Row],[TOTAL]])+V062A_203031333436353739404142[[#This Row],[FAENA2]]</f>
        <v>54.540000000000006</v>
      </c>
      <c r="Z49" s="245"/>
      <c r="AA49" s="246"/>
      <c r="AB49" s="438">
        <f>(AB48-V062A_203031333436353739404142[[#This Row],[CYLINDER MP]])+V062A_203031333436353739404142[[#This Row],[FAENA EN LTS]]</f>
        <v>4446</v>
      </c>
      <c r="AC49" s="246"/>
      <c r="AD49" s="246"/>
      <c r="AE49" s="438">
        <f>(AE48-V062A_203031333436353739404142[[#This Row],[CARTER MP.]])+V062A_203031333436353739404142[[#This Row],[FAENA EN LTS2]]</f>
        <v>6200</v>
      </c>
      <c r="AF49" s="246"/>
      <c r="AG49" s="246"/>
      <c r="AH49" s="438">
        <f>(AH48-V062A_203031333436353739404142[[#This Row],[MOT AUX]])+V062A_203031333436353739404142[[#This Row],[FAENA EN  LTS]]</f>
        <v>3570</v>
      </c>
      <c r="AI49" s="246"/>
      <c r="AJ49" s="246"/>
      <c r="AK49" s="439">
        <f>(AK48-V062A_203031333436353739404142[[#This Row],[HIDRAULICO]])+V062A_203031333436353739404142[[#This Row],[FAENA EN LTS3]]</f>
        <v>1550</v>
      </c>
    </row>
    <row r="50" spans="1:37" x14ac:dyDescent="0.25">
      <c r="A50" s="431"/>
      <c r="B50" s="526"/>
      <c r="C50" s="41"/>
      <c r="D50" s="418">
        <f>IF(V062A_203031333436353739404142[[#This Row],[FECHA]]-B49=1,((V062A_203031333436353739404142[[#This Row],[HORA]]-C49)*24)+24,(V062A_203031333436353739404142[[#This Row],[HORA]]-C49)*24)</f>
        <v>0</v>
      </c>
      <c r="E50" s="473"/>
      <c r="F50" s="29"/>
      <c r="G50" s="475"/>
      <c r="H50" s="476"/>
      <c r="I50" s="477"/>
      <c r="J50" s="478"/>
      <c r="K50" s="479"/>
      <c r="L50" s="483"/>
      <c r="M50" s="246"/>
      <c r="N50" s="484"/>
      <c r="O50" s="246">
        <f>SUM(V062A_203031333436353739404142[[#This Row],[MPAL]]+V062A_203031333436353739404142[[#This Row],[AUX.]]+V062A_203031333436353739404142[[#This Row],[CALDERA]])</f>
        <v>0</v>
      </c>
      <c r="P50" s="319"/>
      <c r="Q50" s="270">
        <f>(Q49-V062A_203031333436353739404142[[#This Row],[TOTAL ]])+V062A_203031333436353739404142[[#This Row],[FAENA]]</f>
        <v>118.84999999999997</v>
      </c>
      <c r="R50" s="245"/>
      <c r="S50" s="246"/>
      <c r="T50" s="246"/>
      <c r="U50" s="246"/>
      <c r="V50" s="246"/>
      <c r="W50" s="246">
        <f>SUM(V062A_203031333436353739404142[[#This Row],[MPAL2]:[GI]])</f>
        <v>0</v>
      </c>
      <c r="X50" s="246"/>
      <c r="Y50" s="300">
        <f>(Y49-V062A_203031333436353739404142[[#This Row],[TOTAL]])+V062A_203031333436353739404142[[#This Row],[FAENA2]]</f>
        <v>54.540000000000006</v>
      </c>
      <c r="Z50" s="245"/>
      <c r="AA50" s="246"/>
      <c r="AB50" s="438">
        <f>(AB49-V062A_203031333436353739404142[[#This Row],[CYLINDER MP]])+V062A_203031333436353739404142[[#This Row],[FAENA EN LTS]]</f>
        <v>4446</v>
      </c>
      <c r="AC50" s="246"/>
      <c r="AD50" s="246"/>
      <c r="AE50" s="438">
        <f>(AE49-V062A_203031333436353739404142[[#This Row],[CARTER MP.]])+V062A_203031333436353739404142[[#This Row],[FAENA EN LTS2]]</f>
        <v>6200</v>
      </c>
      <c r="AF50" s="246"/>
      <c r="AG50" s="246"/>
      <c r="AH50" s="438">
        <f>(AH49-V062A_203031333436353739404142[[#This Row],[MOT AUX]])+V062A_203031333436353739404142[[#This Row],[FAENA EN  LTS]]</f>
        <v>3570</v>
      </c>
      <c r="AI50" s="246"/>
      <c r="AJ50" s="246"/>
      <c r="AK50" s="439">
        <f>(AK49-V062A_203031333436353739404142[[#This Row],[HIDRAULICO]])+V062A_203031333436353739404142[[#This Row],[FAENA EN LTS3]]</f>
        <v>1550</v>
      </c>
    </row>
    <row r="51" spans="1:37" x14ac:dyDescent="0.25">
      <c r="A51" s="431"/>
      <c r="B51" s="526"/>
      <c r="C51" s="41"/>
      <c r="D51" s="418">
        <f>IF(V062A_203031333436353739404142[[#This Row],[FECHA]]-B50=1,((V062A_203031333436353739404142[[#This Row],[HORA]]-C50)*24)+24,(V062A_203031333436353739404142[[#This Row],[HORA]]-C50)*24)</f>
        <v>0</v>
      </c>
      <c r="E51" s="473"/>
      <c r="F51" s="29"/>
      <c r="G51" s="475"/>
      <c r="H51" s="476"/>
      <c r="I51" s="477"/>
      <c r="J51" s="478"/>
      <c r="K51" s="479"/>
      <c r="L51" s="483"/>
      <c r="M51" s="246"/>
      <c r="N51" s="484"/>
      <c r="O51" s="246">
        <f>SUM(V062A_203031333436353739404142[[#This Row],[MPAL]]+V062A_203031333436353739404142[[#This Row],[AUX.]]+V062A_203031333436353739404142[[#This Row],[CALDERA]])</f>
        <v>0</v>
      </c>
      <c r="P51" s="319"/>
      <c r="Q51" s="270">
        <f>(Q50-V062A_203031333436353739404142[[#This Row],[TOTAL ]])+V062A_203031333436353739404142[[#This Row],[FAENA]]</f>
        <v>118.84999999999997</v>
      </c>
      <c r="R51" s="245"/>
      <c r="S51" s="246"/>
      <c r="T51" s="246"/>
      <c r="U51" s="246"/>
      <c r="V51" s="246"/>
      <c r="W51" s="246">
        <f>SUM(V062A_203031333436353739404142[[#This Row],[MPAL2]:[GI]])</f>
        <v>0</v>
      </c>
      <c r="X51" s="246"/>
      <c r="Y51" s="300">
        <f>(Y50-V062A_203031333436353739404142[[#This Row],[TOTAL]])+V062A_203031333436353739404142[[#This Row],[FAENA2]]</f>
        <v>54.540000000000006</v>
      </c>
      <c r="Z51" s="245"/>
      <c r="AA51" s="246"/>
      <c r="AB51" s="438">
        <f>(AB50-V062A_203031333436353739404142[[#This Row],[CYLINDER MP]])+V062A_203031333436353739404142[[#This Row],[FAENA EN LTS]]</f>
        <v>4446</v>
      </c>
      <c r="AC51" s="246"/>
      <c r="AD51" s="246"/>
      <c r="AE51" s="438">
        <f>(AE50-V062A_203031333436353739404142[[#This Row],[CARTER MP.]])+V062A_203031333436353739404142[[#This Row],[FAENA EN LTS2]]</f>
        <v>6200</v>
      </c>
      <c r="AF51" s="246"/>
      <c r="AG51" s="246"/>
      <c r="AH51" s="438">
        <f>(AH50-V062A_203031333436353739404142[[#This Row],[MOT AUX]])+V062A_203031333436353739404142[[#This Row],[FAENA EN  LTS]]</f>
        <v>3570</v>
      </c>
      <c r="AI51" s="246"/>
      <c r="AJ51" s="246"/>
      <c r="AK51" s="439">
        <f>(AK50-V062A_203031333436353739404142[[#This Row],[HIDRAULICO]])+V062A_203031333436353739404142[[#This Row],[FAENA EN LTS3]]</f>
        <v>1550</v>
      </c>
    </row>
    <row r="52" spans="1:37" x14ac:dyDescent="0.25">
      <c r="A52" s="431"/>
      <c r="B52" s="526"/>
      <c r="C52" s="41"/>
      <c r="D52" s="418">
        <f>IF(V062A_203031333436353739404142[[#This Row],[FECHA]]-B51=1,((V062A_203031333436353739404142[[#This Row],[HORA]]-C51)*24)+24,(V062A_203031333436353739404142[[#This Row],[HORA]]-C51)*24)</f>
        <v>0</v>
      </c>
      <c r="E52" s="473"/>
      <c r="F52" s="29"/>
      <c r="G52" s="475"/>
      <c r="H52" s="476"/>
      <c r="I52" s="477"/>
      <c r="J52" s="478"/>
      <c r="K52" s="479"/>
      <c r="L52" s="483"/>
      <c r="M52" s="246"/>
      <c r="N52" s="484"/>
      <c r="O52" s="246">
        <f>SUM(V062A_203031333436353739404142[[#This Row],[MPAL]]+V062A_203031333436353739404142[[#This Row],[AUX.]]+V062A_203031333436353739404142[[#This Row],[CALDERA]])</f>
        <v>0</v>
      </c>
      <c r="P52" s="319"/>
      <c r="Q52" s="270">
        <f>(Q51-V062A_203031333436353739404142[[#This Row],[TOTAL ]])+V062A_203031333436353739404142[[#This Row],[FAENA]]</f>
        <v>118.84999999999997</v>
      </c>
      <c r="R52" s="245"/>
      <c r="S52" s="246"/>
      <c r="T52" s="246"/>
      <c r="U52" s="246"/>
      <c r="V52" s="246"/>
      <c r="W52" s="246">
        <f>SUM(V062A_203031333436353739404142[[#This Row],[MPAL2]:[GI]])</f>
        <v>0</v>
      </c>
      <c r="X52" s="246"/>
      <c r="Y52" s="300">
        <f>(Y51-V062A_203031333436353739404142[[#This Row],[TOTAL]])+V062A_203031333436353739404142[[#This Row],[FAENA2]]</f>
        <v>54.540000000000006</v>
      </c>
      <c r="Z52" s="245"/>
      <c r="AA52" s="246"/>
      <c r="AB52" s="438">
        <f>(AB51-V062A_203031333436353739404142[[#This Row],[CYLINDER MP]])+V062A_203031333436353739404142[[#This Row],[FAENA EN LTS]]</f>
        <v>4446</v>
      </c>
      <c r="AC52" s="246"/>
      <c r="AD52" s="246"/>
      <c r="AE52" s="438">
        <f>(AE51-V062A_203031333436353739404142[[#This Row],[CARTER MP.]])+V062A_203031333436353739404142[[#This Row],[FAENA EN LTS2]]</f>
        <v>6200</v>
      </c>
      <c r="AF52" s="246"/>
      <c r="AG52" s="246"/>
      <c r="AH52" s="438">
        <f>(AH51-V062A_203031333436353739404142[[#This Row],[MOT AUX]])+V062A_203031333436353739404142[[#This Row],[FAENA EN  LTS]]</f>
        <v>3570</v>
      </c>
      <c r="AI52" s="246"/>
      <c r="AJ52" s="246"/>
      <c r="AK52" s="439">
        <f>(AK51-V062A_203031333436353739404142[[#This Row],[HIDRAULICO]])+V062A_203031333436353739404142[[#This Row],[FAENA EN LTS3]]</f>
        <v>1550</v>
      </c>
    </row>
    <row r="53" spans="1:37" x14ac:dyDescent="0.25">
      <c r="A53" s="431"/>
      <c r="B53" s="526"/>
      <c r="C53" s="41"/>
      <c r="D53" s="418">
        <f>IF(V062A_203031333436353739404142[[#This Row],[FECHA]]-B52=1,((V062A_203031333436353739404142[[#This Row],[HORA]]-C52)*24)+24,(V062A_203031333436353739404142[[#This Row],[HORA]]-C52)*24)</f>
        <v>0</v>
      </c>
      <c r="E53" s="432"/>
      <c r="F53" s="29"/>
      <c r="G53" s="433"/>
      <c r="H53" s="434"/>
      <c r="I53" s="435"/>
      <c r="J53" s="436"/>
      <c r="K53" s="437"/>
      <c r="L53" s="483"/>
      <c r="M53" s="246"/>
      <c r="N53" s="484"/>
      <c r="O53" s="246">
        <f>SUM(V062A_203031333436353739404142[[#This Row],[MPAL]]+V062A_203031333436353739404142[[#This Row],[AUX.]]+V062A_203031333436353739404142[[#This Row],[CALDERA]])</f>
        <v>0</v>
      </c>
      <c r="P53" s="319"/>
      <c r="Q53" s="270">
        <f>(Q52-V062A_203031333436353739404142[[#This Row],[TOTAL ]])+V062A_203031333436353739404142[[#This Row],[FAENA]]</f>
        <v>118.84999999999997</v>
      </c>
      <c r="R53" s="245"/>
      <c r="S53" s="246"/>
      <c r="T53" s="246"/>
      <c r="U53" s="246"/>
      <c r="V53" s="246"/>
      <c r="W53" s="246">
        <f>SUM(V062A_203031333436353739404142[[#This Row],[MPAL2]:[GI]])</f>
        <v>0</v>
      </c>
      <c r="X53" s="246"/>
      <c r="Y53" s="300">
        <f>(Y52-V062A_203031333436353739404142[[#This Row],[TOTAL]])+V062A_203031333436353739404142[[#This Row],[FAENA2]]</f>
        <v>54.540000000000006</v>
      </c>
      <c r="Z53" s="245"/>
      <c r="AA53" s="246"/>
      <c r="AB53" s="438">
        <f>(AB52-V062A_203031333436353739404142[[#This Row],[CYLINDER MP]])+V062A_203031333436353739404142[[#This Row],[FAENA EN LTS]]</f>
        <v>4446</v>
      </c>
      <c r="AC53" s="246"/>
      <c r="AD53" s="246"/>
      <c r="AE53" s="438">
        <f>(AE52-V062A_203031333436353739404142[[#This Row],[CARTER MP.]])+V062A_203031333436353739404142[[#This Row],[FAENA EN LTS2]]</f>
        <v>6200</v>
      </c>
      <c r="AF53" s="246"/>
      <c r="AG53" s="246"/>
      <c r="AH53" s="438">
        <f>(AH52-V062A_203031333436353739404142[[#This Row],[MOT AUX]])+V062A_203031333436353739404142[[#This Row],[FAENA EN  LTS]]</f>
        <v>3570</v>
      </c>
      <c r="AI53" s="246"/>
      <c r="AJ53" s="246"/>
      <c r="AK53" s="439">
        <f>(AK52-V062A_203031333436353739404142[[#This Row],[HIDRAULICO]])+V062A_203031333436353739404142[[#This Row],[FAENA EN LTS3]]</f>
        <v>1550</v>
      </c>
    </row>
    <row r="54" spans="1:37" x14ac:dyDescent="0.25">
      <c r="A54" s="431"/>
      <c r="B54" s="526"/>
      <c r="C54" s="41"/>
      <c r="D54" s="418">
        <f>IF(V062A_203031333436353739404142[[#This Row],[FECHA]]-B53=1,((V062A_203031333436353739404142[[#This Row],[HORA]]-C53)*24)+24,(V062A_203031333436353739404142[[#This Row],[HORA]]-C53)*24)</f>
        <v>0</v>
      </c>
      <c r="E54" s="473"/>
      <c r="F54" s="29"/>
      <c r="G54" s="475"/>
      <c r="H54" s="476"/>
      <c r="I54" s="477"/>
      <c r="J54" s="478"/>
      <c r="K54" s="479"/>
      <c r="L54" s="483"/>
      <c r="M54" s="246"/>
      <c r="N54" s="484"/>
      <c r="O54" s="246">
        <f>SUM(V062A_203031333436353739404142[[#This Row],[MPAL]]+V062A_203031333436353739404142[[#This Row],[AUX.]]+V062A_203031333436353739404142[[#This Row],[CALDERA]])</f>
        <v>0</v>
      </c>
      <c r="P54" s="319"/>
      <c r="Q54" s="270">
        <f>(Q53-V062A_203031333436353739404142[[#This Row],[TOTAL ]])+V062A_203031333436353739404142[[#This Row],[FAENA]]</f>
        <v>118.84999999999997</v>
      </c>
      <c r="R54" s="245"/>
      <c r="S54" s="246"/>
      <c r="T54" s="246"/>
      <c r="U54" s="246"/>
      <c r="V54" s="246"/>
      <c r="W54" s="246">
        <f>SUM(V062A_203031333436353739404142[[#This Row],[MPAL2]:[GI]])</f>
        <v>0</v>
      </c>
      <c r="X54" s="246"/>
      <c r="Y54" s="300">
        <f>(Y53-V062A_203031333436353739404142[[#This Row],[TOTAL]])+V062A_203031333436353739404142[[#This Row],[FAENA2]]</f>
        <v>54.540000000000006</v>
      </c>
      <c r="Z54" s="245"/>
      <c r="AA54" s="246"/>
      <c r="AB54" s="438">
        <f>(AB53-V062A_203031333436353739404142[[#This Row],[CYLINDER MP]])+V062A_203031333436353739404142[[#This Row],[FAENA EN LTS]]</f>
        <v>4446</v>
      </c>
      <c r="AC54" s="246"/>
      <c r="AD54" s="246"/>
      <c r="AE54" s="438">
        <f>(AE53-V062A_203031333436353739404142[[#This Row],[CARTER MP.]])+V062A_203031333436353739404142[[#This Row],[FAENA EN LTS2]]</f>
        <v>6200</v>
      </c>
      <c r="AF54" s="246"/>
      <c r="AG54" s="246"/>
      <c r="AH54" s="438">
        <f>(AH53-V062A_203031333436353739404142[[#This Row],[MOT AUX]])+V062A_203031333436353739404142[[#This Row],[FAENA EN  LTS]]</f>
        <v>3570</v>
      </c>
      <c r="AI54" s="246"/>
      <c r="AJ54" s="246"/>
      <c r="AK54" s="439">
        <f>(AK53-V062A_203031333436353739404142[[#This Row],[HIDRAULICO]])+V062A_203031333436353739404142[[#This Row],[FAENA EN LTS3]]</f>
        <v>1550</v>
      </c>
    </row>
    <row r="55" spans="1:37" x14ac:dyDescent="0.25">
      <c r="A55" s="431"/>
      <c r="B55" s="526"/>
      <c r="C55" s="41"/>
      <c r="D55" s="418">
        <f>IF(V062A_203031333436353739404142[[#This Row],[FECHA]]-B54=1,((V062A_203031333436353739404142[[#This Row],[HORA]]-C54)*24)+24,(V062A_203031333436353739404142[[#This Row],[HORA]]-C54)*24)</f>
        <v>0</v>
      </c>
      <c r="E55" s="473"/>
      <c r="F55" s="29"/>
      <c r="G55" s="475"/>
      <c r="H55" s="476"/>
      <c r="I55" s="477"/>
      <c r="J55" s="478"/>
      <c r="K55" s="479"/>
      <c r="L55" s="483"/>
      <c r="M55" s="246"/>
      <c r="N55" s="484"/>
      <c r="O55" s="246">
        <f>SUM(V062A_203031333436353739404142[[#This Row],[MPAL]]+V062A_203031333436353739404142[[#This Row],[AUX.]]+V062A_203031333436353739404142[[#This Row],[CALDERA]])</f>
        <v>0</v>
      </c>
      <c r="P55" s="319"/>
      <c r="Q55" s="270">
        <f>(Q54-V062A_203031333436353739404142[[#This Row],[TOTAL ]])+V062A_203031333436353739404142[[#This Row],[FAENA]]</f>
        <v>118.84999999999997</v>
      </c>
      <c r="R55" s="245"/>
      <c r="S55" s="246"/>
      <c r="T55" s="246"/>
      <c r="U55" s="246"/>
      <c r="V55" s="246"/>
      <c r="W55" s="246">
        <f>SUM(V062A_203031333436353739404142[[#This Row],[MPAL2]:[GI]])</f>
        <v>0</v>
      </c>
      <c r="X55" s="246"/>
      <c r="Y55" s="300">
        <f>(Y54-V062A_203031333436353739404142[[#This Row],[TOTAL]])+V062A_203031333436353739404142[[#This Row],[FAENA2]]</f>
        <v>54.540000000000006</v>
      </c>
      <c r="Z55" s="245"/>
      <c r="AA55" s="246"/>
      <c r="AB55" s="438">
        <f>(AB54-V062A_203031333436353739404142[[#This Row],[CYLINDER MP]])+V062A_203031333436353739404142[[#This Row],[FAENA EN LTS]]</f>
        <v>4446</v>
      </c>
      <c r="AC55" s="246"/>
      <c r="AD55" s="246"/>
      <c r="AE55" s="438">
        <f>(AE54-V062A_203031333436353739404142[[#This Row],[CARTER MP.]])+V062A_203031333436353739404142[[#This Row],[FAENA EN LTS2]]</f>
        <v>6200</v>
      </c>
      <c r="AF55" s="246"/>
      <c r="AG55" s="246"/>
      <c r="AH55" s="438">
        <f>(AH54-V062A_203031333436353739404142[[#This Row],[MOT AUX]])+V062A_203031333436353739404142[[#This Row],[FAENA EN  LTS]]</f>
        <v>3570</v>
      </c>
      <c r="AI55" s="246"/>
      <c r="AJ55" s="246"/>
      <c r="AK55" s="439">
        <f>(AK54-V062A_203031333436353739404142[[#This Row],[HIDRAULICO]])+V062A_203031333436353739404142[[#This Row],[FAENA EN LTS3]]</f>
        <v>1550</v>
      </c>
    </row>
    <row r="56" spans="1:37" x14ac:dyDescent="0.25">
      <c r="A56" s="431"/>
      <c r="B56" s="526"/>
      <c r="C56" s="41"/>
      <c r="D56" s="418">
        <f>IF(V062A_203031333436353739404142[[#This Row],[FECHA]]-B55=1,((V062A_203031333436353739404142[[#This Row],[HORA]]-C55)*24)+24,(V062A_203031333436353739404142[[#This Row],[HORA]]-C55)*24)</f>
        <v>0</v>
      </c>
      <c r="E56" s="473"/>
      <c r="F56" s="29"/>
      <c r="G56" s="475"/>
      <c r="H56" s="476"/>
      <c r="I56" s="477"/>
      <c r="J56" s="478"/>
      <c r="K56" s="479"/>
      <c r="L56" s="483"/>
      <c r="M56" s="246"/>
      <c r="N56" s="484"/>
      <c r="O56" s="246">
        <f>SUM(V062A_203031333436353739404142[[#This Row],[MPAL]]+V062A_203031333436353739404142[[#This Row],[AUX.]]+V062A_203031333436353739404142[[#This Row],[CALDERA]])</f>
        <v>0</v>
      </c>
      <c r="P56" s="319"/>
      <c r="Q56" s="270">
        <f>(Q55-V062A_203031333436353739404142[[#This Row],[TOTAL ]])+V062A_203031333436353739404142[[#This Row],[FAENA]]</f>
        <v>118.84999999999997</v>
      </c>
      <c r="R56" s="245"/>
      <c r="S56" s="246"/>
      <c r="T56" s="246"/>
      <c r="U56" s="246"/>
      <c r="V56" s="246"/>
      <c r="W56" s="246">
        <f>SUM(V062A_203031333436353739404142[[#This Row],[MPAL2]:[GI]])</f>
        <v>0</v>
      </c>
      <c r="X56" s="246"/>
      <c r="Y56" s="300">
        <f>(Y55-V062A_203031333436353739404142[[#This Row],[TOTAL]])+V062A_203031333436353739404142[[#This Row],[FAENA2]]</f>
        <v>54.540000000000006</v>
      </c>
      <c r="Z56" s="245"/>
      <c r="AA56" s="246"/>
      <c r="AB56" s="438">
        <f>(AB55-V062A_203031333436353739404142[[#This Row],[CYLINDER MP]])+V062A_203031333436353739404142[[#This Row],[FAENA EN LTS]]</f>
        <v>4446</v>
      </c>
      <c r="AC56" s="246"/>
      <c r="AD56" s="246"/>
      <c r="AE56" s="438">
        <f>(AE55-V062A_203031333436353739404142[[#This Row],[CARTER MP.]])+V062A_203031333436353739404142[[#This Row],[FAENA EN LTS2]]</f>
        <v>6200</v>
      </c>
      <c r="AF56" s="246"/>
      <c r="AG56" s="246"/>
      <c r="AH56" s="438">
        <f>(AH55-V062A_203031333436353739404142[[#This Row],[MOT AUX]])+V062A_203031333436353739404142[[#This Row],[FAENA EN  LTS]]</f>
        <v>3570</v>
      </c>
      <c r="AI56" s="246"/>
      <c r="AJ56" s="246"/>
      <c r="AK56" s="439">
        <f>(AK55-V062A_203031333436353739404142[[#This Row],[HIDRAULICO]])+V062A_203031333436353739404142[[#This Row],[FAENA EN LTS3]]</f>
        <v>1550</v>
      </c>
    </row>
    <row r="57" spans="1:37" x14ac:dyDescent="0.25">
      <c r="A57" s="431"/>
      <c r="B57" s="526"/>
      <c r="C57" s="41"/>
      <c r="D57" s="418">
        <f>IF(V062A_203031333436353739404142[[#This Row],[FECHA]]-B56=1,((V062A_203031333436353739404142[[#This Row],[HORA]]-C56)*24)+24,(V062A_203031333436353739404142[[#This Row],[HORA]]-C56)*24)</f>
        <v>0</v>
      </c>
      <c r="E57" s="473"/>
      <c r="F57" s="29"/>
      <c r="G57" s="475"/>
      <c r="H57" s="476"/>
      <c r="I57" s="477"/>
      <c r="J57" s="478"/>
      <c r="K57" s="479"/>
      <c r="L57" s="483"/>
      <c r="M57" s="246"/>
      <c r="N57" s="484"/>
      <c r="O57" s="246">
        <f>SUM(V062A_203031333436353739404142[[#This Row],[MPAL]]+V062A_203031333436353739404142[[#This Row],[AUX.]]+V062A_203031333436353739404142[[#This Row],[CALDERA]])</f>
        <v>0</v>
      </c>
      <c r="P57" s="319"/>
      <c r="Q57" s="270">
        <f>(Q56-V062A_203031333436353739404142[[#This Row],[TOTAL ]])+V062A_203031333436353739404142[[#This Row],[FAENA]]</f>
        <v>118.84999999999997</v>
      </c>
      <c r="R57" s="245"/>
      <c r="S57" s="246"/>
      <c r="T57" s="246"/>
      <c r="U57" s="246"/>
      <c r="V57" s="246"/>
      <c r="W57" s="246">
        <f>SUM(V062A_203031333436353739404142[[#This Row],[MPAL2]:[GI]])</f>
        <v>0</v>
      </c>
      <c r="X57" s="246"/>
      <c r="Y57" s="300">
        <f>(Y56-V062A_203031333436353739404142[[#This Row],[TOTAL]])+V062A_203031333436353739404142[[#This Row],[FAENA2]]</f>
        <v>54.540000000000006</v>
      </c>
      <c r="Z57" s="245"/>
      <c r="AA57" s="246"/>
      <c r="AB57" s="438">
        <f>(AB56-V062A_203031333436353739404142[[#This Row],[CYLINDER MP]])+V062A_203031333436353739404142[[#This Row],[FAENA EN LTS]]</f>
        <v>4446</v>
      </c>
      <c r="AC57" s="246"/>
      <c r="AD57" s="246"/>
      <c r="AE57" s="438">
        <f>(AE56-V062A_203031333436353739404142[[#This Row],[CARTER MP.]])+V062A_203031333436353739404142[[#This Row],[FAENA EN LTS2]]</f>
        <v>6200</v>
      </c>
      <c r="AF57" s="246"/>
      <c r="AG57" s="246"/>
      <c r="AH57" s="438">
        <f>(AH56-V062A_203031333436353739404142[[#This Row],[MOT AUX]])+V062A_203031333436353739404142[[#This Row],[FAENA EN  LTS]]</f>
        <v>3570</v>
      </c>
      <c r="AI57" s="246"/>
      <c r="AJ57" s="246"/>
      <c r="AK57" s="439">
        <f>(AK56-V062A_203031333436353739404142[[#This Row],[HIDRAULICO]])+V062A_203031333436353739404142[[#This Row],[FAENA EN LTS3]]</f>
        <v>1550</v>
      </c>
    </row>
    <row r="58" spans="1:37" x14ac:dyDescent="0.25">
      <c r="A58" s="431"/>
      <c r="B58" s="526"/>
      <c r="C58" s="41"/>
      <c r="D58" s="418">
        <f>IF(V062A_203031333436353739404142[[#This Row],[FECHA]]-B57=1,((V062A_203031333436353739404142[[#This Row],[HORA]]-C57)*24)+24,(V062A_203031333436353739404142[[#This Row],[HORA]]-C57)*24)</f>
        <v>0</v>
      </c>
      <c r="E58" s="473"/>
      <c r="F58" s="29"/>
      <c r="G58" s="475"/>
      <c r="H58" s="476"/>
      <c r="I58" s="477"/>
      <c r="J58" s="478"/>
      <c r="K58" s="479"/>
      <c r="L58" s="483"/>
      <c r="M58" s="246"/>
      <c r="N58" s="484"/>
      <c r="O58" s="246">
        <f>SUM(V062A_203031333436353739404142[[#This Row],[MPAL]]+V062A_203031333436353739404142[[#This Row],[AUX.]]+V062A_203031333436353739404142[[#This Row],[CALDERA]])</f>
        <v>0</v>
      </c>
      <c r="P58" s="319"/>
      <c r="Q58" s="270">
        <f>(Q57-V062A_203031333436353739404142[[#This Row],[TOTAL ]])+V062A_203031333436353739404142[[#This Row],[FAENA]]</f>
        <v>118.84999999999997</v>
      </c>
      <c r="R58" s="245"/>
      <c r="S58" s="246"/>
      <c r="T58" s="246"/>
      <c r="U58" s="246"/>
      <c r="V58" s="246"/>
      <c r="W58" s="246">
        <f>SUM(V062A_203031333436353739404142[[#This Row],[MPAL2]:[GI]])</f>
        <v>0</v>
      </c>
      <c r="X58" s="246"/>
      <c r="Y58" s="300">
        <f>(Y57-V062A_203031333436353739404142[[#This Row],[TOTAL]])+V062A_203031333436353739404142[[#This Row],[FAENA2]]</f>
        <v>54.540000000000006</v>
      </c>
      <c r="Z58" s="245"/>
      <c r="AA58" s="246"/>
      <c r="AB58" s="438">
        <f>(AB57-V062A_203031333436353739404142[[#This Row],[CYLINDER MP]])+V062A_203031333436353739404142[[#This Row],[FAENA EN LTS]]</f>
        <v>4446</v>
      </c>
      <c r="AC58" s="246"/>
      <c r="AD58" s="246"/>
      <c r="AE58" s="438">
        <f>(AE57-V062A_203031333436353739404142[[#This Row],[CARTER MP.]])+V062A_203031333436353739404142[[#This Row],[FAENA EN LTS2]]</f>
        <v>6200</v>
      </c>
      <c r="AF58" s="246"/>
      <c r="AG58" s="246"/>
      <c r="AH58" s="438">
        <f>(AH57-V062A_203031333436353739404142[[#This Row],[MOT AUX]])+V062A_203031333436353739404142[[#This Row],[FAENA EN  LTS]]</f>
        <v>3570</v>
      </c>
      <c r="AI58" s="246"/>
      <c r="AJ58" s="246"/>
      <c r="AK58" s="439">
        <f>(AK57-V062A_203031333436353739404142[[#This Row],[HIDRAULICO]])+V062A_203031333436353739404142[[#This Row],[FAENA EN LTS3]]</f>
        <v>1550</v>
      </c>
    </row>
    <row r="59" spans="1:37" x14ac:dyDescent="0.25">
      <c r="A59" s="431"/>
      <c r="B59" s="526"/>
      <c r="C59" s="41"/>
      <c r="D59" s="418">
        <f>IF(V062A_203031333436353739404142[[#This Row],[FECHA]]-B58=1,((V062A_203031333436353739404142[[#This Row],[HORA]]-C58)*24)+24,(V062A_203031333436353739404142[[#This Row],[HORA]]-C58)*24)</f>
        <v>0</v>
      </c>
      <c r="E59" s="473"/>
      <c r="F59" s="29"/>
      <c r="G59" s="475"/>
      <c r="H59" s="476"/>
      <c r="I59" s="477"/>
      <c r="J59" s="478"/>
      <c r="K59" s="479"/>
      <c r="L59" s="483"/>
      <c r="M59" s="246"/>
      <c r="N59" s="484"/>
      <c r="O59" s="246">
        <f>SUM(V062A_203031333436353739404142[[#This Row],[MPAL]]+V062A_203031333436353739404142[[#This Row],[AUX.]]+V062A_203031333436353739404142[[#This Row],[CALDERA]])</f>
        <v>0</v>
      </c>
      <c r="P59" s="319"/>
      <c r="Q59" s="270">
        <f>(Q58-V062A_203031333436353739404142[[#This Row],[TOTAL ]])+V062A_203031333436353739404142[[#This Row],[FAENA]]</f>
        <v>118.84999999999997</v>
      </c>
      <c r="R59" s="245"/>
      <c r="S59" s="246"/>
      <c r="T59" s="246"/>
      <c r="U59" s="246"/>
      <c r="V59" s="246"/>
      <c r="W59" s="246">
        <f>SUM(V062A_203031333436353739404142[[#This Row],[MPAL2]:[GI]])</f>
        <v>0</v>
      </c>
      <c r="X59" s="246"/>
      <c r="Y59" s="300">
        <f>(Y58-V062A_203031333436353739404142[[#This Row],[TOTAL]])+V062A_203031333436353739404142[[#This Row],[FAENA2]]</f>
        <v>54.540000000000006</v>
      </c>
      <c r="Z59" s="245"/>
      <c r="AA59" s="246"/>
      <c r="AB59" s="438">
        <f>(AB58-V062A_203031333436353739404142[[#This Row],[CYLINDER MP]])+V062A_203031333436353739404142[[#This Row],[FAENA EN LTS]]</f>
        <v>4446</v>
      </c>
      <c r="AC59" s="246"/>
      <c r="AD59" s="246"/>
      <c r="AE59" s="438">
        <f>(AE58-V062A_203031333436353739404142[[#This Row],[CARTER MP.]])+V062A_203031333436353739404142[[#This Row],[FAENA EN LTS2]]</f>
        <v>6200</v>
      </c>
      <c r="AF59" s="246"/>
      <c r="AG59" s="246"/>
      <c r="AH59" s="438">
        <f>(AH58-V062A_203031333436353739404142[[#This Row],[MOT AUX]])+V062A_203031333436353739404142[[#This Row],[FAENA EN  LTS]]</f>
        <v>3570</v>
      </c>
      <c r="AI59" s="246"/>
      <c r="AJ59" s="246"/>
      <c r="AK59" s="439">
        <f>(AK58-V062A_203031333436353739404142[[#This Row],[HIDRAULICO]])+V062A_203031333436353739404142[[#This Row],[FAENA EN LTS3]]</f>
        <v>1550</v>
      </c>
    </row>
    <row r="60" spans="1:37" x14ac:dyDescent="0.25">
      <c r="A60" s="431"/>
      <c r="B60" s="526"/>
      <c r="C60" s="41"/>
      <c r="D60" s="418">
        <f>IF(V062A_203031333436353739404142[[#This Row],[FECHA]]-B59=1,((V062A_203031333436353739404142[[#This Row],[HORA]]-C59)*24)+24,(V062A_203031333436353739404142[[#This Row],[HORA]]-C59)*24)</f>
        <v>0</v>
      </c>
      <c r="E60" s="473"/>
      <c r="F60" s="29"/>
      <c r="G60" s="475"/>
      <c r="H60" s="476"/>
      <c r="I60" s="477"/>
      <c r="J60" s="478"/>
      <c r="K60" s="479"/>
      <c r="L60" s="483"/>
      <c r="M60" s="246"/>
      <c r="N60" s="484"/>
      <c r="O60" s="246">
        <f>SUM(V062A_203031333436353739404142[[#This Row],[MPAL]]+V062A_203031333436353739404142[[#This Row],[AUX.]]+V062A_203031333436353739404142[[#This Row],[CALDERA]])</f>
        <v>0</v>
      </c>
      <c r="P60" s="319"/>
      <c r="Q60" s="270">
        <f>(Q59-V062A_203031333436353739404142[[#This Row],[TOTAL ]])+V062A_203031333436353739404142[[#This Row],[FAENA]]</f>
        <v>118.84999999999997</v>
      </c>
      <c r="R60" s="245"/>
      <c r="S60" s="246"/>
      <c r="T60" s="246"/>
      <c r="U60" s="246"/>
      <c r="V60" s="246"/>
      <c r="W60" s="246">
        <f>SUM(V062A_203031333436353739404142[[#This Row],[MPAL2]:[GI]])</f>
        <v>0</v>
      </c>
      <c r="X60" s="246"/>
      <c r="Y60" s="300">
        <f>(Y59-V062A_203031333436353739404142[[#This Row],[TOTAL]])+V062A_203031333436353739404142[[#This Row],[FAENA2]]</f>
        <v>54.540000000000006</v>
      </c>
      <c r="Z60" s="245"/>
      <c r="AA60" s="246"/>
      <c r="AB60" s="438">
        <f>(AB59-V062A_203031333436353739404142[[#This Row],[CYLINDER MP]])+V062A_203031333436353739404142[[#This Row],[FAENA EN LTS]]</f>
        <v>4446</v>
      </c>
      <c r="AC60" s="246"/>
      <c r="AD60" s="246"/>
      <c r="AE60" s="438">
        <f>(AE59-V062A_203031333436353739404142[[#This Row],[CARTER MP.]])+V062A_203031333436353739404142[[#This Row],[FAENA EN LTS2]]</f>
        <v>6200</v>
      </c>
      <c r="AF60" s="246"/>
      <c r="AG60" s="246"/>
      <c r="AH60" s="438">
        <f>(AH59-V062A_203031333436353739404142[[#This Row],[MOT AUX]])+V062A_203031333436353739404142[[#This Row],[FAENA EN  LTS]]</f>
        <v>3570</v>
      </c>
      <c r="AI60" s="246"/>
      <c r="AJ60" s="246"/>
      <c r="AK60" s="439">
        <f>(AK59-V062A_203031333436353739404142[[#This Row],[HIDRAULICO]])+V062A_203031333436353739404142[[#This Row],[FAENA EN LTS3]]</f>
        <v>1550</v>
      </c>
    </row>
    <row r="61" spans="1:37" x14ac:dyDescent="0.25">
      <c r="A61" s="431"/>
      <c r="B61" s="526"/>
      <c r="C61" s="41"/>
      <c r="D61" s="418">
        <f>IF(V062A_203031333436353739404142[[#This Row],[FECHA]]-B60=1,((V062A_203031333436353739404142[[#This Row],[HORA]]-C60)*24)+24,(V062A_203031333436353739404142[[#This Row],[HORA]]-C60)*24)</f>
        <v>0</v>
      </c>
      <c r="E61" s="473"/>
      <c r="F61" s="29"/>
      <c r="G61" s="475"/>
      <c r="H61" s="476"/>
      <c r="I61" s="477"/>
      <c r="J61" s="478"/>
      <c r="K61" s="479"/>
      <c r="L61" s="483"/>
      <c r="M61" s="246"/>
      <c r="N61" s="484"/>
      <c r="O61" s="246">
        <f>SUM(V062A_203031333436353739404142[[#This Row],[MPAL]]+V062A_203031333436353739404142[[#This Row],[AUX.]]+V062A_203031333436353739404142[[#This Row],[CALDERA]])</f>
        <v>0</v>
      </c>
      <c r="P61" s="246">
        <v>398.4</v>
      </c>
      <c r="Q61" s="270">
        <f>(Q60-V062A_203031333436353739404142[[#This Row],[TOTAL ]])+V062A_203031333436353739404142[[#This Row],[FAENA]]</f>
        <v>517.25</v>
      </c>
      <c r="R61" s="245"/>
      <c r="S61" s="246"/>
      <c r="T61" s="246"/>
      <c r="U61" s="246"/>
      <c r="V61" s="246"/>
      <c r="W61" s="246">
        <f>SUM(V062A_203031333436353739404142[[#This Row],[MPAL2]:[GI]])</f>
        <v>0</v>
      </c>
      <c r="X61" s="246"/>
      <c r="Y61" s="300">
        <f>(Y60-V062A_203031333436353739404142[[#This Row],[TOTAL]])+V062A_203031333436353739404142[[#This Row],[FAENA2]]</f>
        <v>54.540000000000006</v>
      </c>
      <c r="Z61" s="245"/>
      <c r="AA61" s="246"/>
      <c r="AB61" s="438">
        <f>(AB60-V062A_203031333436353739404142[[#This Row],[CYLINDER MP]])+V062A_203031333436353739404142[[#This Row],[FAENA EN LTS]]</f>
        <v>4446</v>
      </c>
      <c r="AC61" s="246"/>
      <c r="AD61" s="246"/>
      <c r="AE61" s="438">
        <f>(AE60-V062A_203031333436353739404142[[#This Row],[CARTER MP.]])+V062A_203031333436353739404142[[#This Row],[FAENA EN LTS2]]</f>
        <v>6200</v>
      </c>
      <c r="AF61" s="246"/>
      <c r="AG61" s="246"/>
      <c r="AH61" s="438">
        <f>(AH60-V062A_203031333436353739404142[[#This Row],[MOT AUX]])+V062A_203031333436353739404142[[#This Row],[FAENA EN  LTS]]</f>
        <v>3570</v>
      </c>
      <c r="AI61" s="246"/>
      <c r="AJ61" s="246"/>
      <c r="AK61" s="439">
        <f>(AK60-V062A_203031333436353739404142[[#This Row],[HIDRAULICO]])+V062A_203031333436353739404142[[#This Row],[FAENA EN LTS3]]</f>
        <v>1550</v>
      </c>
    </row>
    <row r="62" spans="1:37" x14ac:dyDescent="0.25">
      <c r="A62" s="431"/>
      <c r="B62" s="526"/>
      <c r="C62" s="41"/>
      <c r="D62" s="418">
        <f>IF(V062A_203031333436353739404142[[#This Row],[FECHA]]-B61=1,((V062A_203031333436353739404142[[#This Row],[HORA]]-C61)*24)+24,(V062A_203031333436353739404142[[#This Row],[HORA]]-C61)*24)</f>
        <v>0</v>
      </c>
      <c r="E62" s="473"/>
      <c r="F62" s="29"/>
      <c r="G62" s="475"/>
      <c r="H62" s="476"/>
      <c r="I62" s="477"/>
      <c r="J62" s="478"/>
      <c r="K62" s="479"/>
      <c r="L62" s="483"/>
      <c r="M62" s="246"/>
      <c r="N62" s="484"/>
      <c r="O62" s="246">
        <f>SUM(V062A_203031333436353739404142[[#This Row],[MPAL]]+V062A_203031333436353739404142[[#This Row],[AUX.]]+V062A_203031333436353739404142[[#This Row],[CALDERA]])</f>
        <v>0</v>
      </c>
      <c r="P62" s="319"/>
      <c r="Q62" s="270">
        <f>(Q61-V062A_203031333436353739404142[[#This Row],[TOTAL ]])+V062A_203031333436353739404142[[#This Row],[FAENA]]</f>
        <v>517.25</v>
      </c>
      <c r="R62" s="245"/>
      <c r="S62" s="246"/>
      <c r="T62" s="246"/>
      <c r="U62" s="246"/>
      <c r="V62" s="246"/>
      <c r="W62" s="246">
        <f>SUM(V062A_203031333436353739404142[[#This Row],[MPAL2]:[GI]])</f>
        <v>0</v>
      </c>
      <c r="X62" s="246"/>
      <c r="Y62" s="300">
        <f>(Y61-V062A_203031333436353739404142[[#This Row],[TOTAL]])+V062A_203031333436353739404142[[#This Row],[FAENA2]]</f>
        <v>54.540000000000006</v>
      </c>
      <c r="Z62" s="245"/>
      <c r="AA62" s="246"/>
      <c r="AB62" s="438">
        <f>(AB61-V062A_203031333436353739404142[[#This Row],[CYLINDER MP]])+V062A_203031333436353739404142[[#This Row],[FAENA EN LTS]]</f>
        <v>4446</v>
      </c>
      <c r="AC62" s="246"/>
      <c r="AD62" s="246"/>
      <c r="AE62" s="438">
        <f>(AE61-V062A_203031333436353739404142[[#This Row],[CARTER MP.]])+V062A_203031333436353739404142[[#This Row],[FAENA EN LTS2]]</f>
        <v>6200</v>
      </c>
      <c r="AF62" s="246"/>
      <c r="AG62" s="246"/>
      <c r="AH62" s="438">
        <f>(AH61-V062A_203031333436353739404142[[#This Row],[MOT AUX]])+V062A_203031333436353739404142[[#This Row],[FAENA EN  LTS]]</f>
        <v>3570</v>
      </c>
      <c r="AI62" s="246"/>
      <c r="AJ62" s="246"/>
      <c r="AK62" s="439">
        <f>(AK61-V062A_203031333436353739404142[[#This Row],[HIDRAULICO]])+V062A_203031333436353739404142[[#This Row],[FAENA EN LTS3]]</f>
        <v>1550</v>
      </c>
    </row>
    <row r="63" spans="1:37" x14ac:dyDescent="0.25">
      <c r="A63" s="431"/>
      <c r="B63" s="526"/>
      <c r="C63" s="41"/>
      <c r="D63" s="418">
        <f>IF(V062A_203031333436353739404142[[#This Row],[FECHA]]-B62=1,((V062A_203031333436353739404142[[#This Row],[HORA]]-C62)*24)+24,(V062A_203031333436353739404142[[#This Row],[HORA]]-C62)*24)</f>
        <v>0</v>
      </c>
      <c r="E63" s="473"/>
      <c r="F63" s="29"/>
      <c r="G63" s="475"/>
      <c r="H63" s="476"/>
      <c r="I63" s="477"/>
      <c r="J63" s="478"/>
      <c r="K63" s="479"/>
      <c r="L63" s="483"/>
      <c r="M63" s="246"/>
      <c r="N63" s="484"/>
      <c r="O63" s="246">
        <f>SUM(V062A_203031333436353739404142[[#This Row],[MPAL]]+V062A_203031333436353739404142[[#This Row],[AUX.]]+V062A_203031333436353739404142[[#This Row],[CALDERA]])</f>
        <v>0</v>
      </c>
      <c r="P63" s="319"/>
      <c r="Q63" s="270">
        <f>(Q62-V062A_203031333436353739404142[[#This Row],[TOTAL ]])+V062A_203031333436353739404142[[#This Row],[FAENA]]</f>
        <v>517.25</v>
      </c>
      <c r="R63" s="245"/>
      <c r="S63" s="246"/>
      <c r="T63" s="246"/>
      <c r="U63" s="246"/>
      <c r="V63" s="246"/>
      <c r="W63" s="246">
        <f>SUM(V062A_203031333436353739404142[[#This Row],[MPAL2]:[GI]])</f>
        <v>0</v>
      </c>
      <c r="X63" s="246"/>
      <c r="Y63" s="300">
        <f>(Y62-V062A_203031333436353739404142[[#This Row],[TOTAL]])+V062A_203031333436353739404142[[#This Row],[FAENA2]]</f>
        <v>54.540000000000006</v>
      </c>
      <c r="Z63" s="245"/>
      <c r="AA63" s="246"/>
      <c r="AB63" s="438">
        <f>(AB62-V062A_203031333436353739404142[[#This Row],[CYLINDER MP]])+V062A_203031333436353739404142[[#This Row],[FAENA EN LTS]]</f>
        <v>4446</v>
      </c>
      <c r="AC63" s="246"/>
      <c r="AD63" s="246"/>
      <c r="AE63" s="438">
        <f>(AE62-V062A_203031333436353739404142[[#This Row],[CARTER MP.]])+V062A_203031333436353739404142[[#This Row],[FAENA EN LTS2]]</f>
        <v>6200</v>
      </c>
      <c r="AF63" s="246"/>
      <c r="AG63" s="246"/>
      <c r="AH63" s="438">
        <f>(AH62-V062A_203031333436353739404142[[#This Row],[MOT AUX]])+V062A_203031333436353739404142[[#This Row],[FAENA EN  LTS]]</f>
        <v>3570</v>
      </c>
      <c r="AI63" s="246"/>
      <c r="AJ63" s="246"/>
      <c r="AK63" s="439">
        <f>(AK62-V062A_203031333436353739404142[[#This Row],[HIDRAULICO]])+V062A_203031333436353739404142[[#This Row],[FAENA EN LTS3]]</f>
        <v>1550</v>
      </c>
    </row>
    <row r="64" spans="1:37" x14ac:dyDescent="0.25">
      <c r="A64" s="431"/>
      <c r="B64" s="526"/>
      <c r="C64" s="41"/>
      <c r="D64" s="418">
        <f>IF(V062A_203031333436353739404142[[#This Row],[FECHA]]-B63=1,((V062A_203031333436353739404142[[#This Row],[HORA]]-C63)*24)+24,(V062A_203031333436353739404142[[#This Row],[HORA]]-C63)*24)</f>
        <v>0</v>
      </c>
      <c r="E64" s="473"/>
      <c r="F64" s="29"/>
      <c r="G64" s="475"/>
      <c r="H64" s="476"/>
      <c r="I64" s="477"/>
      <c r="J64" s="478"/>
      <c r="K64" s="479"/>
      <c r="L64" s="483"/>
      <c r="M64" s="246"/>
      <c r="N64" s="484"/>
      <c r="O64" s="246">
        <f>SUM(V062A_203031333436353739404142[[#This Row],[MPAL]]+V062A_203031333436353739404142[[#This Row],[AUX.]]+V062A_203031333436353739404142[[#This Row],[CALDERA]])</f>
        <v>0</v>
      </c>
      <c r="P64" s="319"/>
      <c r="Q64" s="270">
        <f>(Q63-V062A_203031333436353739404142[[#This Row],[TOTAL ]])+V062A_203031333436353739404142[[#This Row],[FAENA]]</f>
        <v>517.25</v>
      </c>
      <c r="R64" s="245"/>
      <c r="S64" s="246"/>
      <c r="T64" s="246"/>
      <c r="U64" s="246"/>
      <c r="V64" s="246"/>
      <c r="W64" s="246">
        <f>SUM(V062A_203031333436353739404142[[#This Row],[MPAL2]:[GI]])</f>
        <v>0</v>
      </c>
      <c r="X64" s="246"/>
      <c r="Y64" s="300">
        <f>(Y63-V062A_203031333436353739404142[[#This Row],[TOTAL]])+V062A_203031333436353739404142[[#This Row],[FAENA2]]</f>
        <v>54.540000000000006</v>
      </c>
      <c r="Z64" s="245"/>
      <c r="AA64" s="246"/>
      <c r="AB64" s="438">
        <f>(AB63-V062A_203031333436353739404142[[#This Row],[CYLINDER MP]])+V062A_203031333436353739404142[[#This Row],[FAENA EN LTS]]</f>
        <v>4446</v>
      </c>
      <c r="AC64" s="246"/>
      <c r="AD64" s="246"/>
      <c r="AE64" s="438">
        <f>(AE63-V062A_203031333436353739404142[[#This Row],[CARTER MP.]])+V062A_203031333436353739404142[[#This Row],[FAENA EN LTS2]]</f>
        <v>6200</v>
      </c>
      <c r="AF64" s="246"/>
      <c r="AG64" s="246"/>
      <c r="AH64" s="438">
        <f>(AH63-V062A_203031333436353739404142[[#This Row],[MOT AUX]])+V062A_203031333436353739404142[[#This Row],[FAENA EN  LTS]]</f>
        <v>3570</v>
      </c>
      <c r="AI64" s="246"/>
      <c r="AJ64" s="246"/>
      <c r="AK64" s="439">
        <f>(AK63-V062A_203031333436353739404142[[#This Row],[HIDRAULICO]])+V062A_203031333436353739404142[[#This Row],[FAENA EN LTS3]]</f>
        <v>1550</v>
      </c>
    </row>
    <row r="65" spans="1:37" x14ac:dyDescent="0.25">
      <c r="A65" s="431"/>
      <c r="B65" s="526"/>
      <c r="C65" s="41"/>
      <c r="D65" s="418">
        <f>IF(V062A_203031333436353739404142[[#This Row],[FECHA]]-B64=1,((V062A_203031333436353739404142[[#This Row],[HORA]]-C64)*24)+24,(V062A_203031333436353739404142[[#This Row],[HORA]]-C64)*24)</f>
        <v>0</v>
      </c>
      <c r="E65" s="444"/>
      <c r="F65" s="29"/>
      <c r="G65" s="446"/>
      <c r="H65" s="447"/>
      <c r="I65" s="448"/>
      <c r="J65" s="449"/>
      <c r="K65" s="450"/>
      <c r="L65" s="483"/>
      <c r="M65" s="246"/>
      <c r="N65" s="484"/>
      <c r="O65" s="246">
        <f>SUM(V062A_203031333436353739404142[[#This Row],[MPAL]]+V062A_203031333436353739404142[[#This Row],[AUX.]]+V062A_203031333436353739404142[[#This Row],[CALDERA]])</f>
        <v>0</v>
      </c>
      <c r="P65" s="452"/>
      <c r="Q65" s="270">
        <f>(Q64-V062A_203031333436353739404142[[#This Row],[TOTAL ]])+V062A_203031333436353739404142[[#This Row],[FAENA]]</f>
        <v>517.25</v>
      </c>
      <c r="R65" s="245"/>
      <c r="S65" s="246"/>
      <c r="T65" s="246"/>
      <c r="U65" s="246"/>
      <c r="V65" s="246"/>
      <c r="W65" s="246">
        <f>SUM(V062A_203031333436353739404142[[#This Row],[MPAL2]:[GI]])</f>
        <v>0</v>
      </c>
      <c r="X65" s="443"/>
      <c r="Y65" s="300">
        <f>(Y64-V062A_203031333436353739404142[[#This Row],[TOTAL]])+V062A_203031333436353739404142[[#This Row],[FAENA2]]</f>
        <v>54.540000000000006</v>
      </c>
      <c r="Z65" s="245"/>
      <c r="AA65" s="246"/>
      <c r="AB65" s="438">
        <f>(AB64-V062A_203031333436353739404142[[#This Row],[CYLINDER MP]])+V062A_203031333436353739404142[[#This Row],[FAENA EN LTS]]</f>
        <v>4446</v>
      </c>
      <c r="AC65" s="246"/>
      <c r="AD65" s="246"/>
      <c r="AE65" s="438">
        <f>(AE64-V062A_203031333436353739404142[[#This Row],[CARTER MP.]])+V062A_203031333436353739404142[[#This Row],[FAENA EN LTS2]]</f>
        <v>6200</v>
      </c>
      <c r="AF65" s="246"/>
      <c r="AG65" s="246"/>
      <c r="AH65" s="438">
        <f>(AH64-V062A_203031333436353739404142[[#This Row],[MOT AUX]])+V062A_203031333436353739404142[[#This Row],[FAENA EN  LTS]]</f>
        <v>3570</v>
      </c>
      <c r="AI65" s="246"/>
      <c r="AJ65" s="246"/>
      <c r="AK65" s="439">
        <f>(AK64-V062A_203031333436353739404142[[#This Row],[HIDRAULICO]])+V062A_203031333436353739404142[[#This Row],[FAENA EN LTS3]]</f>
        <v>1550</v>
      </c>
    </row>
    <row r="66" spans="1:37" x14ac:dyDescent="0.25">
      <c r="A66" s="431"/>
      <c r="B66" s="526"/>
      <c r="C66" s="41"/>
      <c r="D66" s="418">
        <f>IF(V062A_203031333436353739404142[[#This Row],[FECHA]]-B65=1,((V062A_203031333436353739404142[[#This Row],[HORA]]-C65)*24)+24,(V062A_203031333436353739404142[[#This Row],[HORA]]-C65)*24)</f>
        <v>0</v>
      </c>
      <c r="E66" s="473"/>
      <c r="F66" s="29"/>
      <c r="G66" s="475"/>
      <c r="H66" s="476"/>
      <c r="I66" s="477"/>
      <c r="J66" s="478"/>
      <c r="K66" s="479"/>
      <c r="L66" s="483"/>
      <c r="M66" s="246"/>
      <c r="N66" s="484"/>
      <c r="O66" s="246">
        <f>SUM(V062A_203031333436353739404142[[#This Row],[MPAL]]+V062A_203031333436353739404142[[#This Row],[AUX.]]+V062A_203031333436353739404142[[#This Row],[CALDERA]])</f>
        <v>0</v>
      </c>
      <c r="P66" s="319"/>
      <c r="Q66" s="270">
        <f>(Q65-V062A_203031333436353739404142[[#This Row],[TOTAL ]])+V062A_203031333436353739404142[[#This Row],[FAENA]]</f>
        <v>517.25</v>
      </c>
      <c r="R66" s="245"/>
      <c r="S66" s="246"/>
      <c r="T66" s="246"/>
      <c r="U66" s="246"/>
      <c r="V66" s="246"/>
      <c r="W66" s="246">
        <f>SUM(V062A_203031333436353739404142[[#This Row],[MPAL2]:[GI]])</f>
        <v>0</v>
      </c>
      <c r="X66" s="246"/>
      <c r="Y66" s="300">
        <f>(Y65-V062A_203031333436353739404142[[#This Row],[TOTAL]])+V062A_203031333436353739404142[[#This Row],[FAENA2]]</f>
        <v>54.540000000000006</v>
      </c>
      <c r="Z66" s="245"/>
      <c r="AA66" s="246"/>
      <c r="AB66" s="438">
        <f>(AB65-V062A_203031333436353739404142[[#This Row],[CYLINDER MP]])+V062A_203031333436353739404142[[#This Row],[FAENA EN LTS]]</f>
        <v>4446</v>
      </c>
      <c r="AC66" s="246"/>
      <c r="AD66" s="246"/>
      <c r="AE66" s="438">
        <f>(AE65-V062A_203031333436353739404142[[#This Row],[CARTER MP.]])+V062A_203031333436353739404142[[#This Row],[FAENA EN LTS2]]</f>
        <v>6200</v>
      </c>
      <c r="AF66" s="246"/>
      <c r="AG66" s="246"/>
      <c r="AH66" s="438">
        <f>(AH65-V062A_203031333436353739404142[[#This Row],[MOT AUX]])+V062A_203031333436353739404142[[#This Row],[FAENA EN  LTS]]</f>
        <v>3570</v>
      </c>
      <c r="AI66" s="246"/>
      <c r="AJ66" s="246"/>
      <c r="AK66" s="439">
        <f>(AK65-V062A_203031333436353739404142[[#This Row],[HIDRAULICO]])+V062A_203031333436353739404142[[#This Row],[FAENA EN LTS3]]</f>
        <v>1550</v>
      </c>
    </row>
    <row r="67" spans="1:37" x14ac:dyDescent="0.25">
      <c r="A67" s="431"/>
      <c r="B67" s="526"/>
      <c r="C67" s="41"/>
      <c r="D67" s="418">
        <f>IF(V062A_203031333436353739404142[[#This Row],[FECHA]]-B66=1,((V062A_203031333436353739404142[[#This Row],[HORA]]-C66)*24)+24,(V062A_203031333436353739404142[[#This Row],[HORA]]-C66)*24)</f>
        <v>0</v>
      </c>
      <c r="E67" s="473"/>
      <c r="F67" s="29"/>
      <c r="G67" s="475"/>
      <c r="H67" s="476"/>
      <c r="I67" s="477"/>
      <c r="J67" s="478"/>
      <c r="K67" s="479"/>
      <c r="L67" s="483"/>
      <c r="M67" s="246"/>
      <c r="N67" s="484"/>
      <c r="O67" s="246">
        <f>SUM(V062A_203031333436353739404142[[#This Row],[MPAL]]+V062A_203031333436353739404142[[#This Row],[AUX.]]+V062A_203031333436353739404142[[#This Row],[CALDERA]])</f>
        <v>0</v>
      </c>
      <c r="P67" s="319"/>
      <c r="Q67" s="270">
        <f>(Q66-V062A_203031333436353739404142[[#This Row],[TOTAL ]])+V062A_203031333436353739404142[[#This Row],[FAENA]]</f>
        <v>517.25</v>
      </c>
      <c r="R67" s="245"/>
      <c r="S67" s="246"/>
      <c r="T67" s="246"/>
      <c r="U67" s="246"/>
      <c r="V67" s="246"/>
      <c r="W67" s="246">
        <f>SUM(V062A_203031333436353739404142[[#This Row],[MPAL2]:[GI]])</f>
        <v>0</v>
      </c>
      <c r="X67" s="246"/>
      <c r="Y67" s="300">
        <f>(Y66-V062A_203031333436353739404142[[#This Row],[TOTAL]])+V062A_203031333436353739404142[[#This Row],[FAENA2]]</f>
        <v>54.540000000000006</v>
      </c>
      <c r="Z67" s="245"/>
      <c r="AA67" s="246"/>
      <c r="AB67" s="438">
        <f>(AB66-V062A_203031333436353739404142[[#This Row],[CYLINDER MP]])+V062A_203031333436353739404142[[#This Row],[FAENA EN LTS]]</f>
        <v>4446</v>
      </c>
      <c r="AC67" s="246"/>
      <c r="AD67" s="246"/>
      <c r="AE67" s="438">
        <f>(AE66-V062A_203031333436353739404142[[#This Row],[CARTER MP.]])+V062A_203031333436353739404142[[#This Row],[FAENA EN LTS2]]</f>
        <v>6200</v>
      </c>
      <c r="AF67" s="246"/>
      <c r="AG67" s="246"/>
      <c r="AH67" s="438">
        <f>(AH66-V062A_203031333436353739404142[[#This Row],[MOT AUX]])+V062A_203031333436353739404142[[#This Row],[FAENA EN  LTS]]</f>
        <v>3570</v>
      </c>
      <c r="AI67" s="246"/>
      <c r="AJ67" s="246"/>
      <c r="AK67" s="439">
        <f>(AK66-V062A_203031333436353739404142[[#This Row],[HIDRAULICO]])+V062A_203031333436353739404142[[#This Row],[FAENA EN LTS3]]</f>
        <v>1550</v>
      </c>
    </row>
    <row r="68" spans="1:37" x14ac:dyDescent="0.25">
      <c r="A68" s="431"/>
      <c r="B68" s="526"/>
      <c r="C68" s="41"/>
      <c r="D68" s="418">
        <f>IF(V062A_203031333436353739404142[[#This Row],[FECHA]]-B67=1,((V062A_203031333436353739404142[[#This Row],[HORA]]-C67)*24)+24,(V062A_203031333436353739404142[[#This Row],[HORA]]-C67)*24)</f>
        <v>0</v>
      </c>
      <c r="E68" s="473"/>
      <c r="F68" s="29"/>
      <c r="G68" s="475"/>
      <c r="H68" s="476"/>
      <c r="I68" s="477"/>
      <c r="J68" s="478"/>
      <c r="K68" s="479"/>
      <c r="L68" s="483"/>
      <c r="M68" s="246"/>
      <c r="N68" s="484"/>
      <c r="O68" s="246">
        <f>SUM(V062A_203031333436353739404142[[#This Row],[MPAL]]+V062A_203031333436353739404142[[#This Row],[AUX.]]+V062A_203031333436353739404142[[#This Row],[CALDERA]])</f>
        <v>0</v>
      </c>
      <c r="P68" s="319"/>
      <c r="Q68" s="270">
        <f>(Q67-V062A_203031333436353739404142[[#This Row],[TOTAL ]])+V062A_203031333436353739404142[[#This Row],[FAENA]]</f>
        <v>517.25</v>
      </c>
      <c r="R68" s="245"/>
      <c r="S68" s="246"/>
      <c r="T68" s="246"/>
      <c r="U68" s="246"/>
      <c r="V68" s="246"/>
      <c r="W68" s="246">
        <f>SUM(V062A_203031333436353739404142[[#This Row],[MPAL2]:[GI]])</f>
        <v>0</v>
      </c>
      <c r="X68" s="246"/>
      <c r="Y68" s="300">
        <f>(Y67-V062A_203031333436353739404142[[#This Row],[TOTAL]])+V062A_203031333436353739404142[[#This Row],[FAENA2]]</f>
        <v>54.540000000000006</v>
      </c>
      <c r="Z68" s="245"/>
      <c r="AA68" s="246"/>
      <c r="AB68" s="438">
        <f>(AB67-V062A_203031333436353739404142[[#This Row],[CYLINDER MP]])+V062A_203031333436353739404142[[#This Row],[FAENA EN LTS]]</f>
        <v>4446</v>
      </c>
      <c r="AC68" s="246"/>
      <c r="AD68" s="246"/>
      <c r="AE68" s="438">
        <f>(AE67-V062A_203031333436353739404142[[#This Row],[CARTER MP.]])+V062A_203031333436353739404142[[#This Row],[FAENA EN LTS2]]</f>
        <v>6200</v>
      </c>
      <c r="AF68" s="246"/>
      <c r="AG68" s="246"/>
      <c r="AH68" s="438">
        <f>(AH67-V062A_203031333436353739404142[[#This Row],[MOT AUX]])+V062A_203031333436353739404142[[#This Row],[FAENA EN  LTS]]</f>
        <v>3570</v>
      </c>
      <c r="AI68" s="246"/>
      <c r="AJ68" s="246"/>
      <c r="AK68" s="439">
        <f>(AK67-V062A_203031333436353739404142[[#This Row],[HIDRAULICO]])+V062A_203031333436353739404142[[#This Row],[FAENA EN LTS3]]</f>
        <v>1550</v>
      </c>
    </row>
    <row r="69" spans="1:37" x14ac:dyDescent="0.25">
      <c r="A69" s="431"/>
      <c r="B69" s="526"/>
      <c r="C69" s="41"/>
      <c r="D69" s="418">
        <f>IF(V062A_203031333436353739404142[[#This Row],[FECHA]]-B68=1,((V062A_203031333436353739404142[[#This Row],[HORA]]-C68)*24)+24,(V062A_203031333436353739404142[[#This Row],[HORA]]-C68)*24)</f>
        <v>0</v>
      </c>
      <c r="E69" s="473"/>
      <c r="F69" s="29"/>
      <c r="G69" s="475"/>
      <c r="H69" s="476"/>
      <c r="I69" s="477"/>
      <c r="J69" s="478"/>
      <c r="K69" s="479"/>
      <c r="L69" s="483"/>
      <c r="M69" s="246"/>
      <c r="N69" s="484"/>
      <c r="O69" s="246">
        <f>SUM(V062A_203031333436353739404142[[#This Row],[MPAL]]+V062A_203031333436353739404142[[#This Row],[AUX.]]+V062A_203031333436353739404142[[#This Row],[CALDERA]])</f>
        <v>0</v>
      </c>
      <c r="P69" s="319"/>
      <c r="Q69" s="270">
        <f>(Q68-V062A_203031333436353739404142[[#This Row],[TOTAL ]])+V062A_203031333436353739404142[[#This Row],[FAENA]]</f>
        <v>517.25</v>
      </c>
      <c r="R69" s="245"/>
      <c r="S69" s="246"/>
      <c r="T69" s="246"/>
      <c r="U69" s="246"/>
      <c r="V69" s="246"/>
      <c r="W69" s="246">
        <f>SUM(V062A_203031333436353739404142[[#This Row],[MPAL2]:[GI]])</f>
        <v>0</v>
      </c>
      <c r="X69" s="246"/>
      <c r="Y69" s="300">
        <f>(Y68-V062A_203031333436353739404142[[#This Row],[TOTAL]])+V062A_203031333436353739404142[[#This Row],[FAENA2]]</f>
        <v>54.540000000000006</v>
      </c>
      <c r="Z69" s="245"/>
      <c r="AA69" s="246"/>
      <c r="AB69" s="438">
        <f>(AB68-V062A_203031333436353739404142[[#This Row],[CYLINDER MP]])+V062A_203031333436353739404142[[#This Row],[FAENA EN LTS]]</f>
        <v>4446</v>
      </c>
      <c r="AC69" s="246"/>
      <c r="AD69" s="246"/>
      <c r="AE69" s="438">
        <f>(AE68-V062A_203031333436353739404142[[#This Row],[CARTER MP.]])+V062A_203031333436353739404142[[#This Row],[FAENA EN LTS2]]</f>
        <v>6200</v>
      </c>
      <c r="AF69" s="246"/>
      <c r="AG69" s="246"/>
      <c r="AH69" s="438">
        <f>(AH68-V062A_203031333436353739404142[[#This Row],[MOT AUX]])+V062A_203031333436353739404142[[#This Row],[FAENA EN  LTS]]</f>
        <v>3570</v>
      </c>
      <c r="AI69" s="246"/>
      <c r="AJ69" s="246"/>
      <c r="AK69" s="439">
        <f>(AK68-V062A_203031333436353739404142[[#This Row],[HIDRAULICO]])+V062A_203031333436353739404142[[#This Row],[FAENA EN LTS3]]</f>
        <v>1550</v>
      </c>
    </row>
    <row r="70" spans="1:37" x14ac:dyDescent="0.25">
      <c r="A70" s="431"/>
      <c r="B70" s="526"/>
      <c r="C70" s="41"/>
      <c r="D70" s="418">
        <f>IF(V062A_203031333436353739404142[[#This Row],[FECHA]]-B69=1,((V062A_203031333436353739404142[[#This Row],[HORA]]-C69)*24)+24,(V062A_203031333436353739404142[[#This Row],[HORA]]-C69)*24)</f>
        <v>0</v>
      </c>
      <c r="E70" s="473"/>
      <c r="F70" s="29"/>
      <c r="G70" s="475"/>
      <c r="H70" s="476"/>
      <c r="I70" s="477"/>
      <c r="J70" s="478"/>
      <c r="K70" s="479"/>
      <c r="L70" s="483"/>
      <c r="M70" s="246"/>
      <c r="N70" s="484"/>
      <c r="O70" s="246">
        <f>SUM(V062A_203031333436353739404142[[#This Row],[MPAL]]+V062A_203031333436353739404142[[#This Row],[AUX.]]+V062A_203031333436353739404142[[#This Row],[CALDERA]])</f>
        <v>0</v>
      </c>
      <c r="P70" s="319"/>
      <c r="Q70" s="270">
        <f>(Q69-V062A_203031333436353739404142[[#This Row],[TOTAL ]])+V062A_203031333436353739404142[[#This Row],[FAENA]]</f>
        <v>517.25</v>
      </c>
      <c r="R70" s="245"/>
      <c r="S70" s="246"/>
      <c r="T70" s="246"/>
      <c r="U70" s="246"/>
      <c r="V70" s="246"/>
      <c r="W70" s="246">
        <f>SUM(V062A_203031333436353739404142[[#This Row],[MPAL2]:[GI]])</f>
        <v>0</v>
      </c>
      <c r="X70" s="246"/>
      <c r="Y70" s="300">
        <f>(Y69-V062A_203031333436353739404142[[#This Row],[TOTAL]])+V062A_203031333436353739404142[[#This Row],[FAENA2]]</f>
        <v>54.540000000000006</v>
      </c>
      <c r="Z70" s="245"/>
      <c r="AA70" s="246"/>
      <c r="AB70" s="438">
        <f>(AB69-V062A_203031333436353739404142[[#This Row],[CYLINDER MP]])+V062A_203031333436353739404142[[#This Row],[FAENA EN LTS]]</f>
        <v>4446</v>
      </c>
      <c r="AC70" s="246"/>
      <c r="AD70" s="246"/>
      <c r="AE70" s="438">
        <f>(AE69-V062A_203031333436353739404142[[#This Row],[CARTER MP.]])+V062A_203031333436353739404142[[#This Row],[FAENA EN LTS2]]</f>
        <v>6200</v>
      </c>
      <c r="AF70" s="246"/>
      <c r="AG70" s="246"/>
      <c r="AH70" s="438">
        <f>(AH69-V062A_203031333436353739404142[[#This Row],[MOT AUX]])+V062A_203031333436353739404142[[#This Row],[FAENA EN  LTS]]</f>
        <v>3570</v>
      </c>
      <c r="AI70" s="246"/>
      <c r="AJ70" s="246"/>
      <c r="AK70" s="439">
        <f>(AK69-V062A_203031333436353739404142[[#This Row],[HIDRAULICO]])+V062A_203031333436353739404142[[#This Row],[FAENA EN LTS3]]</f>
        <v>1550</v>
      </c>
    </row>
    <row r="71" spans="1:37" x14ac:dyDescent="0.25">
      <c r="A71" s="431"/>
      <c r="B71" s="526"/>
      <c r="C71" s="41"/>
      <c r="D71" s="418">
        <f>IF(V062A_203031333436353739404142[[#This Row],[FECHA]]-B70=1,((V062A_203031333436353739404142[[#This Row],[HORA]]-C70)*24)+24,(V062A_203031333436353739404142[[#This Row],[HORA]]-C70)*24)</f>
        <v>0</v>
      </c>
      <c r="E71" s="409"/>
      <c r="F71" s="378"/>
      <c r="G71" s="475"/>
      <c r="H71" s="476"/>
      <c r="I71" s="477"/>
      <c r="J71" s="478"/>
      <c r="K71" s="479"/>
      <c r="L71" s="245"/>
      <c r="M71" s="246"/>
      <c r="N71" s="246"/>
      <c r="O71" s="246">
        <f>SUM(V062A_203031333436353739404142[[#This Row],[MPAL]]+V062A_203031333436353739404142[[#This Row],[AUX.]]+V062A_203031333436353739404142[[#This Row],[CALDERA]])</f>
        <v>0</v>
      </c>
      <c r="P71" s="319"/>
      <c r="Q71" s="270">
        <f>(Q70-V062A_203031333436353739404142[[#This Row],[TOTAL ]])+V062A_203031333436353739404142[[#This Row],[FAENA]]</f>
        <v>517.25</v>
      </c>
      <c r="R71" s="245"/>
      <c r="S71" s="246"/>
      <c r="T71" s="246"/>
      <c r="U71" s="246"/>
      <c r="V71" s="246"/>
      <c r="W71" s="246">
        <f>SUM(V062A_203031333436353739404142[[#This Row],[MPAL2]:[GI]])</f>
        <v>0</v>
      </c>
      <c r="X71" s="246"/>
      <c r="Y71" s="300">
        <f>(Y70-V062A_203031333436353739404142[[#This Row],[TOTAL]])+V062A_203031333436353739404142[[#This Row],[FAENA2]]</f>
        <v>54.540000000000006</v>
      </c>
      <c r="Z71" s="245"/>
      <c r="AA71" s="246"/>
      <c r="AB71" s="438">
        <f>(AB70-V062A_203031333436353739404142[[#This Row],[CYLINDER MP]])+V062A_203031333436353739404142[[#This Row],[FAENA EN LTS]]</f>
        <v>4446</v>
      </c>
      <c r="AC71" s="246"/>
      <c r="AD71" s="246"/>
      <c r="AE71" s="438">
        <f>(AE70-V062A_203031333436353739404142[[#This Row],[CARTER MP.]])+V062A_203031333436353739404142[[#This Row],[FAENA EN LTS2]]</f>
        <v>6200</v>
      </c>
      <c r="AF71" s="246"/>
      <c r="AG71" s="246"/>
      <c r="AH71" s="438">
        <f>(AH70-V062A_203031333436353739404142[[#This Row],[MOT AUX]])+V062A_203031333436353739404142[[#This Row],[FAENA EN  LTS]]</f>
        <v>3570</v>
      </c>
      <c r="AI71" s="246"/>
      <c r="AJ71" s="246"/>
      <c r="AK71" s="439">
        <f>(AK70-V062A_203031333436353739404142[[#This Row],[HIDRAULICO]])+V062A_203031333436353739404142[[#This Row],[FAENA EN LTS3]]</f>
        <v>1550</v>
      </c>
    </row>
    <row r="72" spans="1:37" x14ac:dyDescent="0.25">
      <c r="A72" s="431"/>
      <c r="B72" s="526"/>
      <c r="C72" s="237"/>
      <c r="D72" s="418">
        <f>IF(V062A_203031333436353739404142[[#This Row],[FECHA]]-B71=1,((V062A_203031333436353739404142[[#This Row],[HORA]]-C71)*24)+24,(V062A_203031333436353739404142[[#This Row],[HORA]]-C71)*24)</f>
        <v>0</v>
      </c>
      <c r="E72" s="473"/>
      <c r="F72" s="378"/>
      <c r="G72" s="475"/>
      <c r="H72" s="476"/>
      <c r="I72" s="477"/>
      <c r="J72" s="478"/>
      <c r="K72" s="479"/>
      <c r="L72" s="245"/>
      <c r="M72" s="246"/>
      <c r="N72" s="246"/>
      <c r="O72" s="246">
        <f>SUM(V062A_203031333436353739404142[[#This Row],[MPAL]]+V062A_203031333436353739404142[[#This Row],[AUX.]]+V062A_203031333436353739404142[[#This Row],[CALDERA]])</f>
        <v>0</v>
      </c>
      <c r="P72" s="319"/>
      <c r="Q72" s="270">
        <f>(Q71-V062A_203031333436353739404142[[#This Row],[TOTAL ]])+V062A_203031333436353739404142[[#This Row],[FAENA]]</f>
        <v>517.25</v>
      </c>
      <c r="R72" s="245"/>
      <c r="S72" s="246"/>
      <c r="T72" s="246"/>
      <c r="U72" s="246"/>
      <c r="V72" s="246"/>
      <c r="W72" s="246">
        <f>SUM(V062A_203031333436353739404142[[#This Row],[MPAL2]:[GI]])</f>
        <v>0</v>
      </c>
      <c r="X72" s="246"/>
      <c r="Y72" s="300">
        <f>(Y71-V062A_203031333436353739404142[[#This Row],[TOTAL]])+V062A_203031333436353739404142[[#This Row],[FAENA2]]</f>
        <v>54.540000000000006</v>
      </c>
      <c r="Z72" s="245"/>
      <c r="AA72" s="246"/>
      <c r="AB72" s="438">
        <f>(AB71-V062A_203031333436353739404142[[#This Row],[CYLINDER MP]])+V062A_203031333436353739404142[[#This Row],[FAENA EN LTS]]</f>
        <v>4446</v>
      </c>
      <c r="AC72" s="246"/>
      <c r="AD72" s="246"/>
      <c r="AE72" s="438">
        <f>(AE71-V062A_203031333436353739404142[[#This Row],[CARTER MP.]])+V062A_203031333436353739404142[[#This Row],[FAENA EN LTS2]]</f>
        <v>6200</v>
      </c>
      <c r="AF72" s="246"/>
      <c r="AG72" s="246"/>
      <c r="AH72" s="438">
        <f>(AH71-V062A_203031333436353739404142[[#This Row],[MOT AUX]])+V062A_203031333436353739404142[[#This Row],[FAENA EN  LTS]]</f>
        <v>3570</v>
      </c>
      <c r="AI72" s="246"/>
      <c r="AJ72" s="246"/>
      <c r="AK72" s="439">
        <f>(AK71-V062A_203031333436353739404142[[#This Row],[HIDRAULICO]])+V062A_203031333436353739404142[[#This Row],[FAENA EN LTS3]]</f>
        <v>1550</v>
      </c>
    </row>
    <row r="73" spans="1:37" x14ac:dyDescent="0.25">
      <c r="A73" s="431"/>
      <c r="B73" s="526"/>
      <c r="C73" s="237"/>
      <c r="D73" s="418">
        <f>IF(V062A_203031333436353739404142[[#This Row],[FECHA]]-B72=1,((V062A_203031333436353739404142[[#This Row],[HORA]]-C72)*24)+24,(V062A_203031333436353739404142[[#This Row],[HORA]]-C72)*24)</f>
        <v>0</v>
      </c>
      <c r="E73" s="506"/>
      <c r="F73" s="507"/>
      <c r="G73" s="508"/>
      <c r="H73" s="509"/>
      <c r="I73" s="510"/>
      <c r="J73" s="511"/>
      <c r="K73" s="512"/>
      <c r="L73" s="245"/>
      <c r="M73" s="246"/>
      <c r="N73" s="246"/>
      <c r="O73" s="246">
        <f>SUM(V062A_203031333436353739404142[[#This Row],[MPAL]]+V062A_203031333436353739404142[[#This Row],[AUX.]]+V062A_203031333436353739404142[[#This Row],[CALDERA]])</f>
        <v>0</v>
      </c>
      <c r="P73" s="319"/>
      <c r="Q73" s="270">
        <f>(Q72-V062A_203031333436353739404142[[#This Row],[TOTAL ]])+V062A_203031333436353739404142[[#This Row],[FAENA]]</f>
        <v>517.25</v>
      </c>
      <c r="R73" s="245"/>
      <c r="S73" s="246"/>
      <c r="T73" s="246"/>
      <c r="U73" s="246"/>
      <c r="V73" s="246"/>
      <c r="W73" s="246">
        <f>SUM(V062A_203031333436353739404142[[#This Row],[MPAL2]:[GI]])</f>
        <v>0</v>
      </c>
      <c r="X73" s="246"/>
      <c r="Y73" s="300">
        <f>(Y72-V062A_203031333436353739404142[[#This Row],[TOTAL]])+V062A_203031333436353739404142[[#This Row],[FAENA2]]</f>
        <v>54.540000000000006</v>
      </c>
      <c r="Z73" s="245"/>
      <c r="AA73" s="246"/>
      <c r="AB73" s="438">
        <f>(AB72-V062A_203031333436353739404142[[#This Row],[CYLINDER MP]])+V062A_203031333436353739404142[[#This Row],[FAENA EN LTS]]</f>
        <v>4446</v>
      </c>
      <c r="AC73" s="246"/>
      <c r="AD73" s="246"/>
      <c r="AE73" s="438">
        <f>(AE72-V062A_203031333436353739404142[[#This Row],[CARTER MP.]])+V062A_203031333436353739404142[[#This Row],[FAENA EN LTS2]]</f>
        <v>6200</v>
      </c>
      <c r="AF73" s="246"/>
      <c r="AG73" s="246"/>
      <c r="AH73" s="438">
        <f>(AH72-V062A_203031333436353739404142[[#This Row],[MOT AUX]])+V062A_203031333436353739404142[[#This Row],[FAENA EN  LTS]]</f>
        <v>3570</v>
      </c>
      <c r="AI73" s="246"/>
      <c r="AJ73" s="246"/>
      <c r="AK73" s="439">
        <f>(AK72-V062A_203031333436353739404142[[#This Row],[HIDRAULICO]])+V062A_203031333436353739404142[[#This Row],[FAENA EN LTS3]]</f>
        <v>1550</v>
      </c>
    </row>
    <row r="74" spans="1:37" x14ac:dyDescent="0.25">
      <c r="A74" s="431"/>
      <c r="B74" s="526"/>
      <c r="C74" s="237"/>
      <c r="D74" s="418">
        <f>IF(V062A_203031333436353739404142[[#This Row],[FECHA]]-B73=1,((V062A_203031333436353739404142[[#This Row],[HORA]]-C73)*24)+24,(V062A_203031333436353739404142[[#This Row],[HORA]]-C73)*24)</f>
        <v>0</v>
      </c>
      <c r="E74" s="506"/>
      <c r="F74" s="507"/>
      <c r="G74" s="508"/>
      <c r="H74" s="509"/>
      <c r="I74" s="510"/>
      <c r="J74" s="511"/>
      <c r="K74" s="512"/>
      <c r="L74" s="245"/>
      <c r="M74" s="246"/>
      <c r="N74" s="246"/>
      <c r="O74" s="246">
        <f>SUM(V062A_203031333436353739404142[[#This Row],[MPAL]]+V062A_203031333436353739404142[[#This Row],[AUX.]]+V062A_203031333436353739404142[[#This Row],[CALDERA]])</f>
        <v>0</v>
      </c>
      <c r="P74" s="319"/>
      <c r="Q74" s="270">
        <f>(Q73-V062A_203031333436353739404142[[#This Row],[TOTAL ]])+V062A_203031333436353739404142[[#This Row],[FAENA]]</f>
        <v>517.25</v>
      </c>
      <c r="R74" s="245"/>
      <c r="S74" s="246"/>
      <c r="T74" s="246"/>
      <c r="U74" s="246"/>
      <c r="V74" s="246"/>
      <c r="W74" s="246">
        <f>SUM(V062A_203031333436353739404142[[#This Row],[MPAL2]:[GI]])</f>
        <v>0</v>
      </c>
      <c r="X74" s="246"/>
      <c r="Y74" s="300">
        <f>(Y73-V062A_203031333436353739404142[[#This Row],[TOTAL]])+V062A_203031333436353739404142[[#This Row],[FAENA2]]</f>
        <v>54.540000000000006</v>
      </c>
      <c r="Z74" s="245"/>
      <c r="AA74" s="246"/>
      <c r="AB74" s="438">
        <f>(AB73-V062A_203031333436353739404142[[#This Row],[CYLINDER MP]])+V062A_203031333436353739404142[[#This Row],[FAENA EN LTS]]</f>
        <v>4446</v>
      </c>
      <c r="AC74" s="246"/>
      <c r="AD74" s="246"/>
      <c r="AE74" s="438">
        <f>(AE73-V062A_203031333436353739404142[[#This Row],[CARTER MP.]])+V062A_203031333436353739404142[[#This Row],[FAENA EN LTS2]]</f>
        <v>6200</v>
      </c>
      <c r="AF74" s="246"/>
      <c r="AG74" s="246"/>
      <c r="AH74" s="438">
        <f>(AH73-V062A_203031333436353739404142[[#This Row],[MOT AUX]])+V062A_203031333436353739404142[[#This Row],[FAENA EN  LTS]]</f>
        <v>3570</v>
      </c>
      <c r="AI74" s="246"/>
      <c r="AJ74" s="246"/>
      <c r="AK74" s="439">
        <f>(AK73-V062A_203031333436353739404142[[#This Row],[HIDRAULICO]])+V062A_203031333436353739404142[[#This Row],[FAENA EN LTS3]]</f>
        <v>1550</v>
      </c>
    </row>
    <row r="75" spans="1:37" x14ac:dyDescent="0.25">
      <c r="A75" s="431"/>
      <c r="B75" s="526"/>
      <c r="C75" s="237"/>
      <c r="D75" s="418">
        <f>IF(V062A_203031333436353739404142[[#This Row],[FECHA]]-B74=1,((V062A_203031333436353739404142[[#This Row],[HORA]]-C74)*24)+24,(V062A_203031333436353739404142[[#This Row],[HORA]]-C74)*24)</f>
        <v>0</v>
      </c>
      <c r="E75" s="506"/>
      <c r="F75" s="29"/>
      <c r="G75" s="508"/>
      <c r="H75" s="509"/>
      <c r="I75" s="510"/>
      <c r="J75" s="511"/>
      <c r="K75" s="512"/>
      <c r="L75" s="245"/>
      <c r="M75" s="246"/>
      <c r="N75" s="246"/>
      <c r="O75" s="246">
        <f>SUM(V062A_203031333436353739404142[[#This Row],[MPAL]]+V062A_203031333436353739404142[[#This Row],[AUX.]]+V062A_203031333436353739404142[[#This Row],[CALDERA]])</f>
        <v>0</v>
      </c>
      <c r="P75" s="319"/>
      <c r="Q75" s="270">
        <f>(Q74-V062A_203031333436353739404142[[#This Row],[TOTAL ]])+V062A_203031333436353739404142[[#This Row],[FAENA]]</f>
        <v>517.25</v>
      </c>
      <c r="R75" s="245"/>
      <c r="S75" s="246"/>
      <c r="T75" s="246"/>
      <c r="U75" s="246"/>
      <c r="V75" s="246"/>
      <c r="W75" s="246">
        <f>SUM(V062A_203031333436353739404142[[#This Row],[MPAL2]:[GI]])</f>
        <v>0</v>
      </c>
      <c r="X75" s="246"/>
      <c r="Y75" s="300">
        <f>(Y74-V062A_203031333436353739404142[[#This Row],[TOTAL]])+V062A_203031333436353739404142[[#This Row],[FAENA2]]</f>
        <v>54.540000000000006</v>
      </c>
      <c r="Z75" s="245"/>
      <c r="AA75" s="246"/>
      <c r="AB75" s="438">
        <f>(AB74-V062A_203031333436353739404142[[#This Row],[CYLINDER MP]])+V062A_203031333436353739404142[[#This Row],[FAENA EN LTS]]</f>
        <v>4446</v>
      </c>
      <c r="AC75" s="246"/>
      <c r="AD75" s="246"/>
      <c r="AE75" s="438">
        <f>(AE74-V062A_203031333436353739404142[[#This Row],[CARTER MP.]])+V062A_203031333436353739404142[[#This Row],[FAENA EN LTS2]]</f>
        <v>6200</v>
      </c>
      <c r="AF75" s="246"/>
      <c r="AG75" s="246"/>
      <c r="AH75" s="438">
        <f>(AH74-V062A_203031333436353739404142[[#This Row],[MOT AUX]])+V062A_203031333436353739404142[[#This Row],[FAENA EN  LTS]]</f>
        <v>3570</v>
      </c>
      <c r="AI75" s="246"/>
      <c r="AJ75" s="246"/>
      <c r="AK75" s="439">
        <f>(AK74-V062A_203031333436353739404142[[#This Row],[HIDRAULICO]])+V062A_203031333436353739404142[[#This Row],[FAENA EN LTS3]]</f>
        <v>1550</v>
      </c>
    </row>
    <row r="76" spans="1:37" x14ac:dyDescent="0.25">
      <c r="A76" s="431"/>
      <c r="B76" s="526"/>
      <c r="C76" s="237"/>
      <c r="D76" s="418">
        <f>IF(V062A_203031333436353739404142[[#This Row],[FECHA]]-B75=1,((V062A_203031333436353739404142[[#This Row],[HORA]]-C75)*24)+24,(V062A_203031333436353739404142[[#This Row],[HORA]]-C75)*24)</f>
        <v>0</v>
      </c>
      <c r="E76" s="506"/>
      <c r="F76" s="29"/>
      <c r="G76" s="508"/>
      <c r="H76" s="509"/>
      <c r="I76" s="510"/>
      <c r="J76" s="511"/>
      <c r="K76" s="512"/>
      <c r="L76" s="245"/>
      <c r="M76" s="246"/>
      <c r="N76" s="246"/>
      <c r="O76" s="246">
        <f>SUM(V062A_203031333436353739404142[[#This Row],[MPAL]]+V062A_203031333436353739404142[[#This Row],[AUX.]]+V062A_203031333436353739404142[[#This Row],[CALDERA]])</f>
        <v>0</v>
      </c>
      <c r="P76" s="319"/>
      <c r="Q76" s="270">
        <f>(Q75-V062A_203031333436353739404142[[#This Row],[TOTAL ]])+V062A_203031333436353739404142[[#This Row],[FAENA]]</f>
        <v>517.25</v>
      </c>
      <c r="R76" s="245"/>
      <c r="S76" s="246"/>
      <c r="T76" s="246"/>
      <c r="U76" s="246"/>
      <c r="V76" s="246"/>
      <c r="W76" s="246">
        <f>SUM(V062A_203031333436353739404142[[#This Row],[MPAL2]:[GI]])</f>
        <v>0</v>
      </c>
      <c r="X76" s="246"/>
      <c r="Y76" s="300">
        <f>(Y75-V062A_203031333436353739404142[[#This Row],[TOTAL]])+V062A_203031333436353739404142[[#This Row],[FAENA2]]</f>
        <v>54.540000000000006</v>
      </c>
      <c r="Z76" s="245"/>
      <c r="AA76" s="246"/>
      <c r="AB76" s="438">
        <f>(AB75-V062A_203031333436353739404142[[#This Row],[CYLINDER MP]])+V062A_203031333436353739404142[[#This Row],[FAENA EN LTS]]</f>
        <v>4446</v>
      </c>
      <c r="AC76" s="246"/>
      <c r="AD76" s="246"/>
      <c r="AE76" s="438">
        <f>(AE75-V062A_203031333436353739404142[[#This Row],[CARTER MP.]])+V062A_203031333436353739404142[[#This Row],[FAENA EN LTS2]]</f>
        <v>6200</v>
      </c>
      <c r="AF76" s="246"/>
      <c r="AG76" s="246"/>
      <c r="AH76" s="438">
        <f>(AH75-V062A_203031333436353739404142[[#This Row],[MOT AUX]])+V062A_203031333436353739404142[[#This Row],[FAENA EN  LTS]]</f>
        <v>3570</v>
      </c>
      <c r="AI76" s="246"/>
      <c r="AJ76" s="246"/>
      <c r="AK76" s="439">
        <f>(AK75-V062A_203031333436353739404142[[#This Row],[HIDRAULICO]])+V062A_203031333436353739404142[[#This Row],[FAENA EN LTS3]]</f>
        <v>1550</v>
      </c>
    </row>
    <row r="77" spans="1:37" x14ac:dyDescent="0.25">
      <c r="A77" s="431"/>
      <c r="B77" s="526"/>
      <c r="C77" s="237"/>
      <c r="D77" s="418">
        <f>IF(V062A_203031333436353739404142[[#This Row],[FECHA]]-B76=1,((V062A_203031333436353739404142[[#This Row],[HORA]]-C76)*24)+24,(V062A_203031333436353739404142[[#This Row],[HORA]]-C76)*24)</f>
        <v>0</v>
      </c>
      <c r="E77" s="506"/>
      <c r="F77" s="29"/>
      <c r="G77" s="508"/>
      <c r="H77" s="509"/>
      <c r="I77" s="510"/>
      <c r="J77" s="511"/>
      <c r="K77" s="512"/>
      <c r="L77" s="245"/>
      <c r="M77" s="246"/>
      <c r="N77" s="246"/>
      <c r="O77" s="246">
        <f>SUM(V062A_203031333436353739404142[[#This Row],[MPAL]]+V062A_203031333436353739404142[[#This Row],[AUX.]]+V062A_203031333436353739404142[[#This Row],[CALDERA]])</f>
        <v>0</v>
      </c>
      <c r="P77" s="319"/>
      <c r="Q77" s="270">
        <f>(Q76-V062A_203031333436353739404142[[#This Row],[TOTAL ]])+V062A_203031333436353739404142[[#This Row],[FAENA]]</f>
        <v>517.25</v>
      </c>
      <c r="R77" s="245"/>
      <c r="S77" s="246"/>
      <c r="T77" s="246"/>
      <c r="U77" s="246"/>
      <c r="V77" s="246"/>
      <c r="W77" s="246">
        <f>SUM(V062A_203031333436353739404142[[#This Row],[MPAL2]:[GI]])</f>
        <v>0</v>
      </c>
      <c r="X77" s="246"/>
      <c r="Y77" s="300">
        <f>(Y76-V062A_203031333436353739404142[[#This Row],[TOTAL]])+V062A_203031333436353739404142[[#This Row],[FAENA2]]</f>
        <v>54.540000000000006</v>
      </c>
      <c r="Z77" s="245"/>
      <c r="AA77" s="246"/>
      <c r="AB77" s="438">
        <f>(AB76-V062A_203031333436353739404142[[#This Row],[CYLINDER MP]])+V062A_203031333436353739404142[[#This Row],[FAENA EN LTS]]</f>
        <v>4446</v>
      </c>
      <c r="AC77" s="246"/>
      <c r="AD77" s="246"/>
      <c r="AE77" s="438">
        <f>(AE76-V062A_203031333436353739404142[[#This Row],[CARTER MP.]])+V062A_203031333436353739404142[[#This Row],[FAENA EN LTS2]]</f>
        <v>6200</v>
      </c>
      <c r="AF77" s="246"/>
      <c r="AG77" s="246"/>
      <c r="AH77" s="438">
        <f>(AH76-V062A_203031333436353739404142[[#This Row],[MOT AUX]])+V062A_203031333436353739404142[[#This Row],[FAENA EN  LTS]]</f>
        <v>3570</v>
      </c>
      <c r="AI77" s="246"/>
      <c r="AJ77" s="246"/>
      <c r="AK77" s="439">
        <f>(AK76-V062A_203031333436353739404142[[#This Row],[HIDRAULICO]])+V062A_203031333436353739404142[[#This Row],[FAENA EN LTS3]]</f>
        <v>1550</v>
      </c>
    </row>
    <row r="78" spans="1:37" x14ac:dyDescent="0.25">
      <c r="A78" s="431"/>
      <c r="B78" s="526"/>
      <c r="C78" s="237"/>
      <c r="D78" s="418">
        <f>IF(V062A_203031333436353739404142[[#This Row],[FECHA]]-B77=1,((V062A_203031333436353739404142[[#This Row],[HORA]]-C77)*24)+24,(V062A_203031333436353739404142[[#This Row],[HORA]]-C77)*24)</f>
        <v>0</v>
      </c>
      <c r="E78" s="506"/>
      <c r="F78" s="29"/>
      <c r="G78" s="508"/>
      <c r="H78" s="509"/>
      <c r="I78" s="510"/>
      <c r="J78" s="511"/>
      <c r="K78" s="512"/>
      <c r="L78" s="245"/>
      <c r="M78" s="246"/>
      <c r="N78" s="246"/>
      <c r="O78" s="246">
        <f>SUM(V062A_203031333436353739404142[[#This Row],[MPAL]]+V062A_203031333436353739404142[[#This Row],[AUX.]]+V062A_203031333436353739404142[[#This Row],[CALDERA]])</f>
        <v>0</v>
      </c>
      <c r="P78" s="319"/>
      <c r="Q78" s="270">
        <f>(Q77-V062A_203031333436353739404142[[#This Row],[TOTAL ]])+V062A_203031333436353739404142[[#This Row],[FAENA]]</f>
        <v>517.25</v>
      </c>
      <c r="R78" s="245"/>
      <c r="S78" s="246"/>
      <c r="T78" s="246"/>
      <c r="U78" s="246"/>
      <c r="V78" s="246"/>
      <c r="W78" s="246">
        <f>SUM(V062A_203031333436353739404142[[#This Row],[MPAL2]:[GI]])</f>
        <v>0</v>
      </c>
      <c r="X78" s="246"/>
      <c r="Y78" s="300">
        <f>(Y77-V062A_203031333436353739404142[[#This Row],[TOTAL]])+V062A_203031333436353739404142[[#This Row],[FAENA2]]</f>
        <v>54.540000000000006</v>
      </c>
      <c r="Z78" s="245"/>
      <c r="AA78" s="246"/>
      <c r="AB78" s="438">
        <f>(AB77-V062A_203031333436353739404142[[#This Row],[CYLINDER MP]])+V062A_203031333436353739404142[[#This Row],[FAENA EN LTS]]</f>
        <v>4446</v>
      </c>
      <c r="AC78" s="246"/>
      <c r="AD78" s="246"/>
      <c r="AE78" s="438">
        <f>(AE77-V062A_203031333436353739404142[[#This Row],[CARTER MP.]])+V062A_203031333436353739404142[[#This Row],[FAENA EN LTS2]]</f>
        <v>6200</v>
      </c>
      <c r="AF78" s="246"/>
      <c r="AG78" s="246"/>
      <c r="AH78" s="438">
        <f>(AH77-V062A_203031333436353739404142[[#This Row],[MOT AUX]])+V062A_203031333436353739404142[[#This Row],[FAENA EN  LTS]]</f>
        <v>3570</v>
      </c>
      <c r="AI78" s="246"/>
      <c r="AJ78" s="246"/>
      <c r="AK78" s="439">
        <f>(AK77-V062A_203031333436353739404142[[#This Row],[HIDRAULICO]])+V062A_203031333436353739404142[[#This Row],[FAENA EN LTS3]]</f>
        <v>1550</v>
      </c>
    </row>
    <row r="79" spans="1:37" x14ac:dyDescent="0.25">
      <c r="A79" s="431"/>
      <c r="B79" s="526"/>
      <c r="C79" s="237"/>
      <c r="D79" s="418">
        <f>IF(V062A_203031333436353739404142[[#This Row],[FECHA]]-B78=1,((V062A_203031333436353739404142[[#This Row],[HORA]]-C78)*24)+24,(V062A_203031333436353739404142[[#This Row],[HORA]]-C78)*24)</f>
        <v>0</v>
      </c>
      <c r="E79" s="506"/>
      <c r="F79" s="29"/>
      <c r="G79" s="508"/>
      <c r="H79" s="509"/>
      <c r="I79" s="510"/>
      <c r="J79" s="511"/>
      <c r="K79" s="512"/>
      <c r="L79" s="245"/>
      <c r="M79" s="246"/>
      <c r="N79" s="246"/>
      <c r="O79" s="246">
        <f>SUM(V062A_203031333436353739404142[[#This Row],[MPAL]]+V062A_203031333436353739404142[[#This Row],[AUX.]]+V062A_203031333436353739404142[[#This Row],[CALDERA]])</f>
        <v>0</v>
      </c>
      <c r="P79" s="319"/>
      <c r="Q79" s="270">
        <f>(Q78-V062A_203031333436353739404142[[#This Row],[TOTAL ]])+V062A_203031333436353739404142[[#This Row],[FAENA]]</f>
        <v>517.25</v>
      </c>
      <c r="R79" s="245"/>
      <c r="S79" s="246"/>
      <c r="T79" s="246"/>
      <c r="U79" s="246"/>
      <c r="V79" s="246"/>
      <c r="W79" s="246">
        <f>SUM(V062A_203031333436353739404142[[#This Row],[MPAL2]:[GI]])</f>
        <v>0</v>
      </c>
      <c r="X79" s="246"/>
      <c r="Y79" s="300">
        <f>(Y78-V062A_203031333436353739404142[[#This Row],[TOTAL]])+V062A_203031333436353739404142[[#This Row],[FAENA2]]</f>
        <v>54.540000000000006</v>
      </c>
      <c r="Z79" s="245"/>
      <c r="AA79" s="246"/>
      <c r="AB79" s="438">
        <f>(AB78-V062A_203031333436353739404142[[#This Row],[CYLINDER MP]])+V062A_203031333436353739404142[[#This Row],[FAENA EN LTS]]</f>
        <v>4446</v>
      </c>
      <c r="AC79" s="246"/>
      <c r="AD79" s="246"/>
      <c r="AE79" s="438">
        <f>(AE78-V062A_203031333436353739404142[[#This Row],[CARTER MP.]])+V062A_203031333436353739404142[[#This Row],[FAENA EN LTS2]]</f>
        <v>6200</v>
      </c>
      <c r="AF79" s="246"/>
      <c r="AG79" s="246"/>
      <c r="AH79" s="438">
        <f>(AH78-V062A_203031333436353739404142[[#This Row],[MOT AUX]])+V062A_203031333436353739404142[[#This Row],[FAENA EN  LTS]]</f>
        <v>3570</v>
      </c>
      <c r="AI79" s="246"/>
      <c r="AJ79" s="246"/>
      <c r="AK79" s="439">
        <f>(AK78-V062A_203031333436353739404142[[#This Row],[HIDRAULICO]])+V062A_203031333436353739404142[[#This Row],[FAENA EN LTS3]]</f>
        <v>1550</v>
      </c>
    </row>
    <row r="80" spans="1:37" x14ac:dyDescent="0.25">
      <c r="A80" s="431"/>
      <c r="B80" s="526"/>
      <c r="C80" s="237"/>
      <c r="D80" s="418">
        <f>IF(V062A_203031333436353739404142[[#This Row],[FECHA]]-B79=1,((V062A_203031333436353739404142[[#This Row],[HORA]]-C79)*24)+24,(V062A_203031333436353739404142[[#This Row],[HORA]]-C79)*24)</f>
        <v>0</v>
      </c>
      <c r="E80" s="506"/>
      <c r="F80" s="29"/>
      <c r="G80" s="508"/>
      <c r="H80" s="509"/>
      <c r="I80" s="510"/>
      <c r="J80" s="511"/>
      <c r="K80" s="512"/>
      <c r="L80" s="245"/>
      <c r="M80" s="246"/>
      <c r="N80" s="246"/>
      <c r="O80" s="246">
        <f>SUM(V062A_203031333436353739404142[[#This Row],[MPAL]]+V062A_203031333436353739404142[[#This Row],[AUX.]]+V062A_203031333436353739404142[[#This Row],[CALDERA]])</f>
        <v>0</v>
      </c>
      <c r="P80" s="319"/>
      <c r="Q80" s="270">
        <f>(Q79-V062A_203031333436353739404142[[#This Row],[TOTAL ]])+V062A_203031333436353739404142[[#This Row],[FAENA]]</f>
        <v>517.25</v>
      </c>
      <c r="R80" s="245"/>
      <c r="S80" s="246"/>
      <c r="T80" s="246"/>
      <c r="U80" s="246"/>
      <c r="V80" s="246"/>
      <c r="W80" s="246">
        <f>SUM(V062A_203031333436353739404142[[#This Row],[MPAL2]:[GI]])</f>
        <v>0</v>
      </c>
      <c r="X80" s="246"/>
      <c r="Y80" s="300">
        <f>(Y79-V062A_203031333436353739404142[[#This Row],[TOTAL]])+V062A_203031333436353739404142[[#This Row],[FAENA2]]</f>
        <v>54.540000000000006</v>
      </c>
      <c r="Z80" s="245"/>
      <c r="AA80" s="246"/>
      <c r="AB80" s="438">
        <f>(AB79-V062A_203031333436353739404142[[#This Row],[CYLINDER MP]])+V062A_203031333436353739404142[[#This Row],[FAENA EN LTS]]</f>
        <v>4446</v>
      </c>
      <c r="AC80" s="246"/>
      <c r="AD80" s="246"/>
      <c r="AE80" s="438">
        <f>(AE79-V062A_203031333436353739404142[[#This Row],[CARTER MP.]])+V062A_203031333436353739404142[[#This Row],[FAENA EN LTS2]]</f>
        <v>6200</v>
      </c>
      <c r="AF80" s="246"/>
      <c r="AG80" s="246"/>
      <c r="AH80" s="438">
        <f>(AH79-V062A_203031333436353739404142[[#This Row],[MOT AUX]])+V062A_203031333436353739404142[[#This Row],[FAENA EN  LTS]]</f>
        <v>3570</v>
      </c>
      <c r="AI80" s="246"/>
      <c r="AJ80" s="246"/>
      <c r="AK80" s="439">
        <f>(AK79-V062A_203031333436353739404142[[#This Row],[HIDRAULICO]])+V062A_203031333436353739404142[[#This Row],[FAENA EN LTS3]]</f>
        <v>1550</v>
      </c>
    </row>
    <row r="81" spans="1:37" x14ac:dyDescent="0.25">
      <c r="A81" s="431"/>
      <c r="B81" s="526"/>
      <c r="C81" s="237"/>
      <c r="D81" s="418">
        <f>IF(V062A_203031333436353739404142[[#This Row],[FECHA]]-B80=1,((V062A_203031333436353739404142[[#This Row],[HORA]]-C80)*24)+24,(V062A_203031333436353739404142[[#This Row],[HORA]]-C80)*24)</f>
        <v>0</v>
      </c>
      <c r="E81" s="506"/>
      <c r="F81" s="29"/>
      <c r="G81" s="508"/>
      <c r="H81" s="509"/>
      <c r="I81" s="510"/>
      <c r="J81" s="511"/>
      <c r="K81" s="512"/>
      <c r="L81" s="245"/>
      <c r="M81" s="246"/>
      <c r="N81" s="246"/>
      <c r="O81" s="246">
        <f>SUM(V062A_203031333436353739404142[[#This Row],[MPAL]]+V062A_203031333436353739404142[[#This Row],[AUX.]]+V062A_203031333436353739404142[[#This Row],[CALDERA]])</f>
        <v>0</v>
      </c>
      <c r="P81" s="319"/>
      <c r="Q81" s="270">
        <f>(Q80-V062A_203031333436353739404142[[#This Row],[TOTAL ]])+V062A_203031333436353739404142[[#This Row],[FAENA]]</f>
        <v>517.25</v>
      </c>
      <c r="R81" s="245"/>
      <c r="S81" s="246"/>
      <c r="T81" s="246"/>
      <c r="U81" s="246"/>
      <c r="V81" s="246"/>
      <c r="W81" s="246">
        <f>SUM(V062A_203031333436353739404142[[#This Row],[MPAL2]:[GI]])</f>
        <v>0</v>
      </c>
      <c r="X81" s="246"/>
      <c r="Y81" s="300">
        <f>(Y80-V062A_203031333436353739404142[[#This Row],[TOTAL]])+V062A_203031333436353739404142[[#This Row],[FAENA2]]</f>
        <v>54.540000000000006</v>
      </c>
      <c r="Z81" s="245"/>
      <c r="AA81" s="246"/>
      <c r="AB81" s="438">
        <f>(AB80-V062A_203031333436353739404142[[#This Row],[CYLINDER MP]])+V062A_203031333436353739404142[[#This Row],[FAENA EN LTS]]</f>
        <v>4446</v>
      </c>
      <c r="AC81" s="246"/>
      <c r="AD81" s="246"/>
      <c r="AE81" s="438">
        <f>(AE80-V062A_203031333436353739404142[[#This Row],[CARTER MP.]])+V062A_203031333436353739404142[[#This Row],[FAENA EN LTS2]]</f>
        <v>6200</v>
      </c>
      <c r="AF81" s="246"/>
      <c r="AG81" s="246"/>
      <c r="AH81" s="438">
        <f>(AH80-V062A_203031333436353739404142[[#This Row],[MOT AUX]])+V062A_203031333436353739404142[[#This Row],[FAENA EN  LTS]]</f>
        <v>3570</v>
      </c>
      <c r="AI81" s="246"/>
      <c r="AJ81" s="246"/>
      <c r="AK81" s="439">
        <f>(AK80-V062A_203031333436353739404142[[#This Row],[HIDRAULICO]])+V062A_203031333436353739404142[[#This Row],[FAENA EN LTS3]]</f>
        <v>1550</v>
      </c>
    </row>
    <row r="82" spans="1:37" x14ac:dyDescent="0.25">
      <c r="A82" s="431"/>
      <c r="B82" s="526"/>
      <c r="C82" s="237"/>
      <c r="D82" s="418">
        <f>IF(V062A_203031333436353739404142[[#This Row],[FECHA]]-B81=1,((V062A_203031333436353739404142[[#This Row],[HORA]]-C81)*24)+24,(V062A_203031333436353739404142[[#This Row],[HORA]]-C81)*24)</f>
        <v>0</v>
      </c>
      <c r="E82" s="506"/>
      <c r="F82" s="29"/>
      <c r="G82" s="508"/>
      <c r="H82" s="509"/>
      <c r="I82" s="510"/>
      <c r="J82" s="511"/>
      <c r="K82" s="512"/>
      <c r="L82" s="245"/>
      <c r="M82" s="246"/>
      <c r="N82" s="246"/>
      <c r="O82" s="246">
        <f>SUM(V062A_203031333436353739404142[[#This Row],[MPAL]]+V062A_203031333436353739404142[[#This Row],[AUX.]]+V062A_203031333436353739404142[[#This Row],[CALDERA]])</f>
        <v>0</v>
      </c>
      <c r="P82" s="319"/>
      <c r="Q82" s="270">
        <f>(Q81-V062A_203031333436353739404142[[#This Row],[TOTAL ]])+V062A_203031333436353739404142[[#This Row],[FAENA]]</f>
        <v>517.25</v>
      </c>
      <c r="R82" s="245"/>
      <c r="S82" s="246"/>
      <c r="T82" s="246"/>
      <c r="U82" s="246"/>
      <c r="V82" s="246"/>
      <c r="W82" s="246">
        <f>SUM(V062A_203031333436353739404142[[#This Row],[MPAL2]:[GI]])</f>
        <v>0</v>
      </c>
      <c r="X82" s="246"/>
      <c r="Y82" s="300">
        <f>(Y81-V062A_203031333436353739404142[[#This Row],[TOTAL]])+V062A_203031333436353739404142[[#This Row],[FAENA2]]</f>
        <v>54.540000000000006</v>
      </c>
      <c r="Z82" s="245"/>
      <c r="AA82" s="246"/>
      <c r="AB82" s="438">
        <f>(AB81-V062A_203031333436353739404142[[#This Row],[CYLINDER MP]])+V062A_203031333436353739404142[[#This Row],[FAENA EN LTS]]</f>
        <v>4446</v>
      </c>
      <c r="AC82" s="246"/>
      <c r="AD82" s="246"/>
      <c r="AE82" s="438">
        <f>(AE81-V062A_203031333436353739404142[[#This Row],[CARTER MP.]])+V062A_203031333436353739404142[[#This Row],[FAENA EN LTS2]]</f>
        <v>6200</v>
      </c>
      <c r="AF82" s="246"/>
      <c r="AG82" s="246"/>
      <c r="AH82" s="438">
        <f>(AH81-V062A_203031333436353739404142[[#This Row],[MOT AUX]])+V062A_203031333436353739404142[[#This Row],[FAENA EN  LTS]]</f>
        <v>3570</v>
      </c>
      <c r="AI82" s="246"/>
      <c r="AJ82" s="246"/>
      <c r="AK82" s="439">
        <f>(AK81-V062A_203031333436353739404142[[#This Row],[HIDRAULICO]])+V062A_203031333436353739404142[[#This Row],[FAENA EN LTS3]]</f>
        <v>1550</v>
      </c>
    </row>
    <row r="83" spans="1:37" x14ac:dyDescent="0.25">
      <c r="A83" s="431"/>
      <c r="B83" s="526"/>
      <c r="C83" s="237"/>
      <c r="D83" s="418">
        <f>IF(V062A_203031333436353739404142[[#This Row],[FECHA]]-B82=1,((V062A_203031333436353739404142[[#This Row],[HORA]]-C82)*24)+24,(V062A_203031333436353739404142[[#This Row],[HORA]]-C82)*24)</f>
        <v>0</v>
      </c>
      <c r="E83" s="506"/>
      <c r="F83" s="29"/>
      <c r="G83" s="508"/>
      <c r="H83" s="509"/>
      <c r="I83" s="510"/>
      <c r="J83" s="511"/>
      <c r="K83" s="512"/>
      <c r="L83" s="245"/>
      <c r="M83" s="246"/>
      <c r="N83" s="246"/>
      <c r="O83" s="246">
        <f>SUM(V062A_203031333436353739404142[[#This Row],[MPAL]]+V062A_203031333436353739404142[[#This Row],[AUX.]]+V062A_203031333436353739404142[[#This Row],[CALDERA]])</f>
        <v>0</v>
      </c>
      <c r="P83" s="319"/>
      <c r="Q83" s="270">
        <f>(Q82-V062A_203031333436353739404142[[#This Row],[TOTAL ]])+V062A_203031333436353739404142[[#This Row],[FAENA]]</f>
        <v>517.25</v>
      </c>
      <c r="R83" s="245"/>
      <c r="S83" s="246"/>
      <c r="T83" s="246"/>
      <c r="U83" s="246"/>
      <c r="V83" s="246"/>
      <c r="W83" s="246">
        <f>SUM(V062A_203031333436353739404142[[#This Row],[MPAL2]:[GI]])</f>
        <v>0</v>
      </c>
      <c r="X83" s="246"/>
      <c r="Y83" s="300">
        <f>(Y82-V062A_203031333436353739404142[[#This Row],[TOTAL]])+V062A_203031333436353739404142[[#This Row],[FAENA2]]</f>
        <v>54.540000000000006</v>
      </c>
      <c r="Z83" s="245"/>
      <c r="AA83" s="246"/>
      <c r="AB83" s="438">
        <f>(AB82-V062A_203031333436353739404142[[#This Row],[CYLINDER MP]])+V062A_203031333436353739404142[[#This Row],[FAENA EN LTS]]</f>
        <v>4446</v>
      </c>
      <c r="AC83" s="246"/>
      <c r="AD83" s="246"/>
      <c r="AE83" s="438">
        <f>(AE82-V062A_203031333436353739404142[[#This Row],[CARTER MP.]])+V062A_203031333436353739404142[[#This Row],[FAENA EN LTS2]]</f>
        <v>6200</v>
      </c>
      <c r="AF83" s="246"/>
      <c r="AG83" s="246"/>
      <c r="AH83" s="438">
        <f>(AH82-V062A_203031333436353739404142[[#This Row],[MOT AUX]])+V062A_203031333436353739404142[[#This Row],[FAENA EN  LTS]]</f>
        <v>3570</v>
      </c>
      <c r="AI83" s="246"/>
      <c r="AJ83" s="246"/>
      <c r="AK83" s="439">
        <f>(AK82-V062A_203031333436353739404142[[#This Row],[HIDRAULICO]])+V062A_203031333436353739404142[[#This Row],[FAENA EN LTS3]]</f>
        <v>1550</v>
      </c>
    </row>
    <row r="84" spans="1:37" x14ac:dyDescent="0.25">
      <c r="A84" s="431"/>
      <c r="B84" s="526"/>
      <c r="C84" s="237"/>
      <c r="D84" s="418">
        <f>IF(V062A_203031333436353739404142[[#This Row],[FECHA]]-B83=1,((V062A_203031333436353739404142[[#This Row],[HORA]]-C83)*24)+24,(V062A_203031333436353739404142[[#This Row],[HORA]]-C83)*24)</f>
        <v>0</v>
      </c>
      <c r="E84" s="506"/>
      <c r="F84" s="29"/>
      <c r="G84" s="508"/>
      <c r="H84" s="509"/>
      <c r="I84" s="510"/>
      <c r="J84" s="511"/>
      <c r="K84" s="512"/>
      <c r="L84" s="245"/>
      <c r="M84" s="246"/>
      <c r="N84" s="246"/>
      <c r="O84" s="246">
        <f>SUM(V062A_203031333436353739404142[[#This Row],[MPAL]]+V062A_203031333436353739404142[[#This Row],[AUX.]]+V062A_203031333436353739404142[[#This Row],[CALDERA]])</f>
        <v>0</v>
      </c>
      <c r="P84" s="319"/>
      <c r="Q84" s="270">
        <f>(Q83-V062A_203031333436353739404142[[#This Row],[TOTAL ]])+V062A_203031333436353739404142[[#This Row],[FAENA]]</f>
        <v>517.25</v>
      </c>
      <c r="R84" s="245"/>
      <c r="S84" s="245"/>
      <c r="T84" s="245"/>
      <c r="U84" s="245"/>
      <c r="V84" s="246"/>
      <c r="W84" s="246">
        <f>SUM(V062A_203031333436353739404142[[#This Row],[MPAL2]:[GI]])</f>
        <v>0</v>
      </c>
      <c r="X84" s="246"/>
      <c r="Y84" s="300">
        <f>(Y83-V062A_203031333436353739404142[[#This Row],[TOTAL]])+V062A_203031333436353739404142[[#This Row],[FAENA2]]</f>
        <v>54.540000000000006</v>
      </c>
      <c r="Z84" s="245"/>
      <c r="AA84" s="246"/>
      <c r="AB84" s="438">
        <f>(AB83-V062A_203031333436353739404142[[#This Row],[CYLINDER MP]])+V062A_203031333436353739404142[[#This Row],[FAENA EN LTS]]</f>
        <v>4446</v>
      </c>
      <c r="AC84" s="246"/>
      <c r="AD84" s="246"/>
      <c r="AE84" s="438">
        <f>(AE83-V062A_203031333436353739404142[[#This Row],[CARTER MP.]])+V062A_203031333436353739404142[[#This Row],[FAENA EN LTS2]]</f>
        <v>6200</v>
      </c>
      <c r="AF84" s="246"/>
      <c r="AG84" s="246"/>
      <c r="AH84" s="438">
        <f>(AH83-V062A_203031333436353739404142[[#This Row],[MOT AUX]])+V062A_203031333436353739404142[[#This Row],[FAENA EN  LTS]]</f>
        <v>3570</v>
      </c>
      <c r="AI84" s="246"/>
      <c r="AJ84" s="246"/>
      <c r="AK84" s="439">
        <f>(AK83-V062A_203031333436353739404142[[#This Row],[HIDRAULICO]])+V062A_203031333436353739404142[[#This Row],[FAENA EN LTS3]]</f>
        <v>1550</v>
      </c>
    </row>
    <row r="85" spans="1:37" x14ac:dyDescent="0.25">
      <c r="A85" s="431"/>
      <c r="B85" s="526"/>
      <c r="C85" s="237"/>
      <c r="D85" s="418">
        <f>IF(V062A_203031333436353739404142[[#This Row],[FECHA]]-B84=1,((V062A_203031333436353739404142[[#This Row],[HORA]]-C84)*24)+24,(V062A_203031333436353739404142[[#This Row],[HORA]]-C84)*24)</f>
        <v>0</v>
      </c>
      <c r="E85" s="506"/>
      <c r="F85" s="29"/>
      <c r="G85" s="508"/>
      <c r="H85" s="509"/>
      <c r="I85" s="510"/>
      <c r="J85" s="511"/>
      <c r="K85" s="512"/>
      <c r="L85" s="245"/>
      <c r="M85" s="246"/>
      <c r="N85" s="246"/>
      <c r="O85" s="246">
        <f>SUM(V062A_203031333436353739404142[[#This Row],[MPAL]]+V062A_203031333436353739404142[[#This Row],[AUX.]]+V062A_203031333436353739404142[[#This Row],[CALDERA]])</f>
        <v>0</v>
      </c>
      <c r="P85" s="319"/>
      <c r="Q85" s="270">
        <f>(Q84-V062A_203031333436353739404142[[#This Row],[TOTAL ]])+V062A_203031333436353739404142[[#This Row],[FAENA]]</f>
        <v>517.25</v>
      </c>
      <c r="R85" s="245"/>
      <c r="S85" s="246"/>
      <c r="T85" s="246"/>
      <c r="U85" s="246"/>
      <c r="V85" s="246"/>
      <c r="W85" s="246">
        <f>SUM(V062A_203031333436353739404142[[#This Row],[MPAL2]:[GI]])</f>
        <v>0</v>
      </c>
      <c r="X85" s="246"/>
      <c r="Y85" s="300">
        <f>(Y84-V062A_203031333436353739404142[[#This Row],[TOTAL]])+V062A_203031333436353739404142[[#This Row],[FAENA2]]</f>
        <v>54.540000000000006</v>
      </c>
      <c r="Z85" s="245"/>
      <c r="AA85" s="246"/>
      <c r="AB85" s="438">
        <f>(AB84-V062A_203031333436353739404142[[#This Row],[CYLINDER MP]])+V062A_203031333436353739404142[[#This Row],[FAENA EN LTS]]</f>
        <v>4446</v>
      </c>
      <c r="AC85" s="246"/>
      <c r="AD85" s="246"/>
      <c r="AE85" s="438">
        <f>(AE84-V062A_203031333436353739404142[[#This Row],[CARTER MP.]])+V062A_203031333436353739404142[[#This Row],[FAENA EN LTS2]]</f>
        <v>6200</v>
      </c>
      <c r="AF85" s="246"/>
      <c r="AG85" s="246"/>
      <c r="AH85" s="438">
        <f>(AH84-V062A_203031333436353739404142[[#This Row],[MOT AUX]])+V062A_203031333436353739404142[[#This Row],[FAENA EN  LTS]]</f>
        <v>3570</v>
      </c>
      <c r="AI85" s="246"/>
      <c r="AJ85" s="246"/>
      <c r="AK85" s="439">
        <f>(AK84-V062A_203031333436353739404142[[#This Row],[HIDRAULICO]])+V062A_203031333436353739404142[[#This Row],[FAENA EN LTS3]]</f>
        <v>1550</v>
      </c>
    </row>
    <row r="86" spans="1:37" x14ac:dyDescent="0.25">
      <c r="A86" s="431"/>
      <c r="B86" s="526"/>
      <c r="C86" s="237"/>
      <c r="D86" s="418">
        <f>IF(V062A_203031333436353739404142[[#This Row],[FECHA]]-B85=1,((V062A_203031333436353739404142[[#This Row],[HORA]]-C85)*24)+24,(V062A_203031333436353739404142[[#This Row],[HORA]]-C85)*24)</f>
        <v>0</v>
      </c>
      <c r="E86" s="506"/>
      <c r="F86" s="29"/>
      <c r="G86" s="508"/>
      <c r="H86" s="509"/>
      <c r="I86" s="510"/>
      <c r="J86" s="511"/>
      <c r="K86" s="512"/>
      <c r="L86" s="245"/>
      <c r="M86" s="246"/>
      <c r="N86" s="246"/>
      <c r="O86" s="246">
        <f>SUM(V062A_203031333436353739404142[[#This Row],[MPAL]]+V062A_203031333436353739404142[[#This Row],[AUX.]]+V062A_203031333436353739404142[[#This Row],[CALDERA]])</f>
        <v>0</v>
      </c>
      <c r="P86" s="319"/>
      <c r="Q86" s="270">
        <f>(Q85-V062A_203031333436353739404142[[#This Row],[TOTAL ]])+V062A_203031333436353739404142[[#This Row],[FAENA]]</f>
        <v>517.25</v>
      </c>
      <c r="R86" s="245"/>
      <c r="S86" s="246"/>
      <c r="T86" s="246"/>
      <c r="U86" s="246"/>
      <c r="V86" s="246"/>
      <c r="W86" s="246">
        <f>SUM(V062A_203031333436353739404142[[#This Row],[MPAL2]:[GI]])</f>
        <v>0</v>
      </c>
      <c r="X86" s="246"/>
      <c r="Y86" s="300">
        <f>(Y85-V062A_203031333436353739404142[[#This Row],[TOTAL]])+V062A_203031333436353739404142[[#This Row],[FAENA2]]</f>
        <v>54.540000000000006</v>
      </c>
      <c r="Z86" s="245"/>
      <c r="AA86" s="246"/>
      <c r="AB86" s="438">
        <f>(AB85-V062A_203031333436353739404142[[#This Row],[CYLINDER MP]])+V062A_203031333436353739404142[[#This Row],[FAENA EN LTS]]</f>
        <v>4446</v>
      </c>
      <c r="AC86" s="246"/>
      <c r="AD86" s="246"/>
      <c r="AE86" s="438">
        <f>(AE85-V062A_203031333436353739404142[[#This Row],[CARTER MP.]])+V062A_203031333436353739404142[[#This Row],[FAENA EN LTS2]]</f>
        <v>6200</v>
      </c>
      <c r="AF86" s="246"/>
      <c r="AG86" s="246"/>
      <c r="AH86" s="438">
        <f>(AH85-V062A_203031333436353739404142[[#This Row],[MOT AUX]])+V062A_203031333436353739404142[[#This Row],[FAENA EN  LTS]]</f>
        <v>3570</v>
      </c>
      <c r="AI86" s="246"/>
      <c r="AJ86" s="246"/>
      <c r="AK86" s="439">
        <f>(AK85-V062A_203031333436353739404142[[#This Row],[HIDRAULICO]])+V062A_203031333436353739404142[[#This Row],[FAENA EN LTS3]]</f>
        <v>1550</v>
      </c>
    </row>
    <row r="87" spans="1:37" x14ac:dyDescent="0.25">
      <c r="A87" s="431"/>
      <c r="B87" s="526"/>
      <c r="C87" s="237"/>
      <c r="D87" s="418">
        <f>IF(V062A_203031333436353739404142[[#This Row],[FECHA]]-B86=1,((V062A_203031333436353739404142[[#This Row],[HORA]]-C86)*24)+24,(V062A_203031333436353739404142[[#This Row],[HORA]]-C86)*24)</f>
        <v>0</v>
      </c>
      <c r="E87" s="506"/>
      <c r="F87" s="29"/>
      <c r="G87" s="508"/>
      <c r="H87" s="509"/>
      <c r="I87" s="510"/>
      <c r="J87" s="511"/>
      <c r="K87" s="512"/>
      <c r="L87" s="245"/>
      <c r="M87" s="246"/>
      <c r="N87" s="246"/>
      <c r="O87" s="246">
        <f>SUM(V062A_203031333436353739404142[[#This Row],[MPAL]]+V062A_203031333436353739404142[[#This Row],[AUX.]]+V062A_203031333436353739404142[[#This Row],[CALDERA]])</f>
        <v>0</v>
      </c>
      <c r="P87" s="319"/>
      <c r="Q87" s="270">
        <f>(Q86-V062A_203031333436353739404142[[#This Row],[TOTAL ]])+V062A_203031333436353739404142[[#This Row],[FAENA]]</f>
        <v>517.25</v>
      </c>
      <c r="R87" s="245"/>
      <c r="S87" s="246"/>
      <c r="T87" s="246"/>
      <c r="U87" s="246"/>
      <c r="V87" s="246"/>
      <c r="W87" s="246">
        <f>SUM(V062A_203031333436353739404142[[#This Row],[MPAL2]:[GI]])</f>
        <v>0</v>
      </c>
      <c r="X87" s="246"/>
      <c r="Y87" s="300">
        <f>(Y86-V062A_203031333436353739404142[[#This Row],[TOTAL]])+V062A_203031333436353739404142[[#This Row],[FAENA2]]</f>
        <v>54.540000000000006</v>
      </c>
      <c r="Z87" s="245"/>
      <c r="AA87" s="246"/>
      <c r="AB87" s="438">
        <f>(AB86-V062A_203031333436353739404142[[#This Row],[CYLINDER MP]])+V062A_203031333436353739404142[[#This Row],[FAENA EN LTS]]</f>
        <v>4446</v>
      </c>
      <c r="AC87" s="246"/>
      <c r="AD87" s="246"/>
      <c r="AE87" s="438">
        <f>(AE86-V062A_203031333436353739404142[[#This Row],[CARTER MP.]])+V062A_203031333436353739404142[[#This Row],[FAENA EN LTS2]]</f>
        <v>6200</v>
      </c>
      <c r="AF87" s="246"/>
      <c r="AG87" s="246"/>
      <c r="AH87" s="438">
        <f>(AH86-V062A_203031333436353739404142[[#This Row],[MOT AUX]])+V062A_203031333436353739404142[[#This Row],[FAENA EN  LTS]]</f>
        <v>3570</v>
      </c>
      <c r="AI87" s="246"/>
      <c r="AJ87" s="246"/>
      <c r="AK87" s="439">
        <f>(AK86-V062A_203031333436353739404142[[#This Row],[HIDRAULICO]])+V062A_203031333436353739404142[[#This Row],[FAENA EN LTS3]]</f>
        <v>1550</v>
      </c>
    </row>
    <row r="88" spans="1:37" x14ac:dyDescent="0.25">
      <c r="A88" s="431"/>
      <c r="B88" s="526"/>
      <c r="C88" s="237"/>
      <c r="D88" s="418">
        <f>IF(V062A_203031333436353739404142[[#This Row],[FECHA]]-B87=1,((V062A_203031333436353739404142[[#This Row],[HORA]]-C87)*24)+24,(V062A_203031333436353739404142[[#This Row],[HORA]]-C87)*24)</f>
        <v>0</v>
      </c>
      <c r="E88" s="506"/>
      <c r="F88" s="29"/>
      <c r="G88" s="508"/>
      <c r="H88" s="509"/>
      <c r="I88" s="510"/>
      <c r="J88" s="511"/>
      <c r="K88" s="512"/>
      <c r="L88" s="245"/>
      <c r="M88" s="246"/>
      <c r="N88" s="246"/>
      <c r="O88" s="246">
        <f>SUM(V062A_203031333436353739404142[[#This Row],[MPAL]]+V062A_203031333436353739404142[[#This Row],[AUX.]]+V062A_203031333436353739404142[[#This Row],[CALDERA]])</f>
        <v>0</v>
      </c>
      <c r="P88" s="319"/>
      <c r="Q88" s="270">
        <f>(Q87-V062A_203031333436353739404142[[#This Row],[TOTAL ]])+V062A_203031333436353739404142[[#This Row],[FAENA]]</f>
        <v>517.25</v>
      </c>
      <c r="R88" s="245"/>
      <c r="S88" s="246"/>
      <c r="T88" s="246"/>
      <c r="U88" s="246"/>
      <c r="V88" s="246"/>
      <c r="W88" s="246">
        <f>SUM(V062A_203031333436353739404142[[#This Row],[MPAL2]:[GI]])</f>
        <v>0</v>
      </c>
      <c r="X88" s="246"/>
      <c r="Y88" s="300">
        <f>(Y87-V062A_203031333436353739404142[[#This Row],[TOTAL]])+V062A_203031333436353739404142[[#This Row],[FAENA2]]</f>
        <v>54.540000000000006</v>
      </c>
      <c r="Z88" s="245"/>
      <c r="AA88" s="246"/>
      <c r="AB88" s="438">
        <f>(AB87-V062A_203031333436353739404142[[#This Row],[CYLINDER MP]])+V062A_203031333436353739404142[[#This Row],[FAENA EN LTS]]</f>
        <v>4446</v>
      </c>
      <c r="AC88" s="246"/>
      <c r="AD88" s="246"/>
      <c r="AE88" s="438">
        <f>(AE87-V062A_203031333436353739404142[[#This Row],[CARTER MP.]])+V062A_203031333436353739404142[[#This Row],[FAENA EN LTS2]]</f>
        <v>6200</v>
      </c>
      <c r="AF88" s="246"/>
      <c r="AG88" s="246"/>
      <c r="AH88" s="438">
        <f>(AH87-V062A_203031333436353739404142[[#This Row],[MOT AUX]])+V062A_203031333436353739404142[[#This Row],[FAENA EN  LTS]]</f>
        <v>3570</v>
      </c>
      <c r="AI88" s="246"/>
      <c r="AJ88" s="246"/>
      <c r="AK88" s="439">
        <f>(AK87-V062A_203031333436353739404142[[#This Row],[HIDRAULICO]])+V062A_203031333436353739404142[[#This Row],[FAENA EN LTS3]]</f>
        <v>1550</v>
      </c>
    </row>
    <row r="89" spans="1:37" x14ac:dyDescent="0.25">
      <c r="A89" s="431"/>
      <c r="B89" s="526"/>
      <c r="C89" s="237"/>
      <c r="D89" s="418">
        <f>IF(V062A_203031333436353739404142[[#This Row],[FECHA]]-B88=1,((V062A_203031333436353739404142[[#This Row],[HORA]]-C88)*24)+24,(V062A_203031333436353739404142[[#This Row],[HORA]]-C88)*24)</f>
        <v>0</v>
      </c>
      <c r="E89" s="506"/>
      <c r="F89" s="29"/>
      <c r="G89" s="508"/>
      <c r="H89" s="509"/>
      <c r="I89" s="510"/>
      <c r="J89" s="511"/>
      <c r="K89" s="512"/>
      <c r="L89" s="245"/>
      <c r="M89" s="246"/>
      <c r="N89" s="246"/>
      <c r="O89" s="246">
        <f>SUM(V062A_203031333436353739404142[[#This Row],[MPAL]]+V062A_203031333436353739404142[[#This Row],[AUX.]]+V062A_203031333436353739404142[[#This Row],[CALDERA]])</f>
        <v>0</v>
      </c>
      <c r="P89" s="319"/>
      <c r="Q89" s="270">
        <f>(Q88-V062A_203031333436353739404142[[#This Row],[TOTAL ]])+V062A_203031333436353739404142[[#This Row],[FAENA]]</f>
        <v>517.25</v>
      </c>
      <c r="R89" s="245"/>
      <c r="S89" s="246"/>
      <c r="T89" s="246"/>
      <c r="U89" s="246"/>
      <c r="V89" s="246"/>
      <c r="W89" s="246">
        <f>SUM(V062A_203031333436353739404142[[#This Row],[MPAL2]:[GI]])</f>
        <v>0</v>
      </c>
      <c r="X89" s="246"/>
      <c r="Y89" s="300">
        <f>(Y88-V062A_203031333436353739404142[[#This Row],[TOTAL]])+V062A_203031333436353739404142[[#This Row],[FAENA2]]</f>
        <v>54.540000000000006</v>
      </c>
      <c r="Z89" s="245"/>
      <c r="AA89" s="246"/>
      <c r="AB89" s="438">
        <f>(AB88-V062A_203031333436353739404142[[#This Row],[CYLINDER MP]])+V062A_203031333436353739404142[[#This Row],[FAENA EN LTS]]</f>
        <v>4446</v>
      </c>
      <c r="AC89" s="246"/>
      <c r="AD89" s="246"/>
      <c r="AE89" s="438">
        <f>(AE88-V062A_203031333436353739404142[[#This Row],[CARTER MP.]])+V062A_203031333436353739404142[[#This Row],[FAENA EN LTS2]]</f>
        <v>6200</v>
      </c>
      <c r="AF89" s="246"/>
      <c r="AG89" s="246"/>
      <c r="AH89" s="438">
        <f>(AH88-V062A_203031333436353739404142[[#This Row],[MOT AUX]])+V062A_203031333436353739404142[[#This Row],[FAENA EN  LTS]]</f>
        <v>3570</v>
      </c>
      <c r="AI89" s="246"/>
      <c r="AJ89" s="246"/>
      <c r="AK89" s="439">
        <f>(AK88-V062A_203031333436353739404142[[#This Row],[HIDRAULICO]])+V062A_203031333436353739404142[[#This Row],[FAENA EN LTS3]]</f>
        <v>1550</v>
      </c>
    </row>
    <row r="90" spans="1:37" x14ac:dyDescent="0.25">
      <c r="A90" s="431"/>
      <c r="B90" s="526"/>
      <c r="C90" s="237"/>
      <c r="D90" s="418">
        <f>IF(V062A_203031333436353739404142[[#This Row],[FECHA]]-B89=1,((V062A_203031333436353739404142[[#This Row],[HORA]]-C89)*24)+24,(V062A_203031333436353739404142[[#This Row],[HORA]]-C89)*24)</f>
        <v>0</v>
      </c>
      <c r="E90" s="506"/>
      <c r="F90" s="29"/>
      <c r="G90" s="508"/>
      <c r="H90" s="509"/>
      <c r="I90" s="510"/>
      <c r="J90" s="511"/>
      <c r="K90" s="512"/>
      <c r="L90" s="245"/>
      <c r="M90" s="246"/>
      <c r="N90" s="246"/>
      <c r="O90" s="246">
        <f>SUM(V062A_203031333436353739404142[[#This Row],[MPAL]]+V062A_203031333436353739404142[[#This Row],[AUX.]]+V062A_203031333436353739404142[[#This Row],[CALDERA]])</f>
        <v>0</v>
      </c>
      <c r="P90" s="319"/>
      <c r="Q90" s="270">
        <f>(Q89-V062A_203031333436353739404142[[#This Row],[TOTAL ]])+V062A_203031333436353739404142[[#This Row],[FAENA]]</f>
        <v>517.25</v>
      </c>
      <c r="R90" s="245"/>
      <c r="S90" s="246"/>
      <c r="T90" s="246"/>
      <c r="U90" s="246"/>
      <c r="V90" s="246"/>
      <c r="W90" s="246">
        <f>SUM(V062A_203031333436353739404142[[#This Row],[MPAL2]:[GI]])</f>
        <v>0</v>
      </c>
      <c r="X90" s="246"/>
      <c r="Y90" s="300">
        <f>(Y89-V062A_203031333436353739404142[[#This Row],[TOTAL]])+V062A_203031333436353739404142[[#This Row],[FAENA2]]</f>
        <v>54.540000000000006</v>
      </c>
      <c r="Z90" s="245"/>
      <c r="AA90" s="246"/>
      <c r="AB90" s="438">
        <f>(AB89-V062A_203031333436353739404142[[#This Row],[CYLINDER MP]])+V062A_203031333436353739404142[[#This Row],[FAENA EN LTS]]</f>
        <v>4446</v>
      </c>
      <c r="AC90" s="246"/>
      <c r="AD90" s="246"/>
      <c r="AE90" s="438">
        <f>(AE89-V062A_203031333436353739404142[[#This Row],[CARTER MP.]])+V062A_203031333436353739404142[[#This Row],[FAENA EN LTS2]]</f>
        <v>6200</v>
      </c>
      <c r="AF90" s="246"/>
      <c r="AG90" s="246"/>
      <c r="AH90" s="438">
        <f>(AH89-V062A_203031333436353739404142[[#This Row],[MOT AUX]])+V062A_203031333436353739404142[[#This Row],[FAENA EN  LTS]]</f>
        <v>3570</v>
      </c>
      <c r="AI90" s="246"/>
      <c r="AJ90" s="246"/>
      <c r="AK90" s="439">
        <f>(AK89-V062A_203031333436353739404142[[#This Row],[HIDRAULICO]])+V062A_203031333436353739404142[[#This Row],[FAENA EN LTS3]]</f>
        <v>1550</v>
      </c>
    </row>
    <row r="91" spans="1:37" x14ac:dyDescent="0.25">
      <c r="A91" s="431"/>
      <c r="B91" s="526"/>
      <c r="C91" s="237"/>
      <c r="D91" s="418">
        <f>IF(V062A_203031333436353739404142[[#This Row],[FECHA]]-B90=1,((V062A_203031333436353739404142[[#This Row],[HORA]]-C90)*24)+24,(V062A_203031333436353739404142[[#This Row],[HORA]]-C90)*24)</f>
        <v>0</v>
      </c>
      <c r="E91" s="527"/>
      <c r="F91" s="528"/>
      <c r="G91" s="529"/>
      <c r="H91" s="530"/>
      <c r="I91" s="531"/>
      <c r="J91" s="532"/>
      <c r="K91" s="533"/>
      <c r="L91" s="245"/>
      <c r="M91" s="246"/>
      <c r="N91" s="246"/>
      <c r="O91" s="246">
        <f>SUM(V062A_203031333436353739404142[[#This Row],[MPAL]]+V062A_203031333436353739404142[[#This Row],[AUX.]]+V062A_203031333436353739404142[[#This Row],[CALDERA]])</f>
        <v>0</v>
      </c>
      <c r="P91" s="319"/>
      <c r="Q91" s="270">
        <f>(Q90-V062A_203031333436353739404142[[#This Row],[TOTAL ]])+V062A_203031333436353739404142[[#This Row],[FAENA]]</f>
        <v>517.25</v>
      </c>
      <c r="R91" s="245"/>
      <c r="S91" s="246"/>
      <c r="T91" s="246"/>
      <c r="U91" s="246"/>
      <c r="V91" s="246"/>
      <c r="W91" s="246">
        <f>SUM(V062A_203031333436353739404142[[#This Row],[MPAL2]:[GI]])</f>
        <v>0</v>
      </c>
      <c r="X91" s="246"/>
      <c r="Y91" s="300">
        <f>(Y90-V062A_203031333436353739404142[[#This Row],[TOTAL]])+V062A_203031333436353739404142[[#This Row],[FAENA2]]</f>
        <v>54.540000000000006</v>
      </c>
      <c r="Z91" s="245"/>
      <c r="AA91" s="246"/>
      <c r="AB91" s="438">
        <f>(AB90-V062A_203031333436353739404142[[#This Row],[CYLINDER MP]])+V062A_203031333436353739404142[[#This Row],[FAENA EN LTS]]</f>
        <v>4446</v>
      </c>
      <c r="AC91" s="246"/>
      <c r="AD91" s="246"/>
      <c r="AE91" s="438">
        <f>(AE90-V062A_203031333436353739404142[[#This Row],[CARTER MP.]])+V062A_203031333436353739404142[[#This Row],[FAENA EN LTS2]]</f>
        <v>6200</v>
      </c>
      <c r="AF91" s="246"/>
      <c r="AG91" s="246"/>
      <c r="AH91" s="438">
        <f>(AH90-V062A_203031333436353739404142[[#This Row],[MOT AUX]])+V062A_203031333436353739404142[[#This Row],[FAENA EN  LTS]]</f>
        <v>3570</v>
      </c>
      <c r="AI91" s="246"/>
      <c r="AJ91" s="246"/>
      <c r="AK91" s="439">
        <f>(AK90-V062A_203031333436353739404142[[#This Row],[HIDRAULICO]])+V062A_203031333436353739404142[[#This Row],[FAENA EN LTS3]]</f>
        <v>1550</v>
      </c>
    </row>
    <row r="92" spans="1:37" x14ac:dyDescent="0.25">
      <c r="A92" s="431"/>
      <c r="B92" s="526"/>
      <c r="C92" s="237"/>
      <c r="D92" s="418">
        <f>IF(V062A_203031333436353739404142[[#This Row],[FECHA]]-B91=1,((V062A_203031333436353739404142[[#This Row],[HORA]]-C91)*24)+24,(V062A_203031333436353739404142[[#This Row],[HORA]]-C91)*24)</f>
        <v>0</v>
      </c>
      <c r="E92" s="527"/>
      <c r="F92" s="528"/>
      <c r="G92" s="529"/>
      <c r="H92" s="530"/>
      <c r="I92" s="531"/>
      <c r="J92" s="532"/>
      <c r="K92" s="533"/>
      <c r="L92" s="245"/>
      <c r="M92" s="246"/>
      <c r="N92" s="246"/>
      <c r="O92" s="246">
        <f>SUM(V062A_203031333436353739404142[[#This Row],[MPAL]]+V062A_203031333436353739404142[[#This Row],[AUX.]]+V062A_203031333436353739404142[[#This Row],[CALDERA]])</f>
        <v>0</v>
      </c>
      <c r="P92" s="319"/>
      <c r="Q92" s="270">
        <f>(Q91-V062A_203031333436353739404142[[#This Row],[TOTAL ]])+V062A_203031333436353739404142[[#This Row],[FAENA]]</f>
        <v>517.25</v>
      </c>
      <c r="R92" s="245"/>
      <c r="S92" s="246"/>
      <c r="T92" s="246"/>
      <c r="U92" s="246"/>
      <c r="V92" s="246"/>
      <c r="W92" s="246">
        <f>SUM(V062A_203031333436353739404142[[#This Row],[MPAL2]:[GI]])</f>
        <v>0</v>
      </c>
      <c r="X92" s="246"/>
      <c r="Y92" s="300">
        <f>(Y91-V062A_203031333436353739404142[[#This Row],[TOTAL]])+V062A_203031333436353739404142[[#This Row],[FAENA2]]</f>
        <v>54.540000000000006</v>
      </c>
      <c r="Z92" s="245"/>
      <c r="AA92" s="246"/>
      <c r="AB92" s="438">
        <f>(AB91-V062A_203031333436353739404142[[#This Row],[CYLINDER MP]])+V062A_203031333436353739404142[[#This Row],[FAENA EN LTS]]</f>
        <v>4446</v>
      </c>
      <c r="AC92" s="246"/>
      <c r="AD92" s="246"/>
      <c r="AE92" s="438">
        <f>(AE91-V062A_203031333436353739404142[[#This Row],[CARTER MP.]])+V062A_203031333436353739404142[[#This Row],[FAENA EN LTS2]]</f>
        <v>6200</v>
      </c>
      <c r="AF92" s="246"/>
      <c r="AG92" s="246"/>
      <c r="AH92" s="438">
        <f>(AH91-V062A_203031333436353739404142[[#This Row],[MOT AUX]])+V062A_203031333436353739404142[[#This Row],[FAENA EN  LTS]]</f>
        <v>3570</v>
      </c>
      <c r="AI92" s="246"/>
      <c r="AJ92" s="246"/>
      <c r="AK92" s="439">
        <f>(AK91-V062A_203031333436353739404142[[#This Row],[HIDRAULICO]])+V062A_203031333436353739404142[[#This Row],[FAENA EN LTS3]]</f>
        <v>1550</v>
      </c>
    </row>
    <row r="93" spans="1:37" x14ac:dyDescent="0.25">
      <c r="A93" s="431"/>
      <c r="B93" s="526"/>
      <c r="C93" s="237"/>
      <c r="D93" s="418">
        <f>IF(V062A_203031333436353739404142[[#This Row],[FECHA]]-B92=1,((V062A_203031333436353739404142[[#This Row],[HORA]]-C92)*24)+24,(V062A_203031333436353739404142[[#This Row],[HORA]]-C92)*24)</f>
        <v>0</v>
      </c>
      <c r="E93" s="527"/>
      <c r="F93" s="528"/>
      <c r="G93" s="529"/>
      <c r="H93" s="530"/>
      <c r="I93" s="531"/>
      <c r="J93" s="532"/>
      <c r="K93" s="533"/>
      <c r="L93" s="245"/>
      <c r="M93" s="246"/>
      <c r="N93" s="246"/>
      <c r="O93" s="246">
        <f>SUM(V062A_203031333436353739404142[[#This Row],[MPAL]]+V062A_203031333436353739404142[[#This Row],[AUX.]]+V062A_203031333436353739404142[[#This Row],[CALDERA]])</f>
        <v>0</v>
      </c>
      <c r="P93" s="319"/>
      <c r="Q93" s="270">
        <f>(Q92-V062A_203031333436353739404142[[#This Row],[TOTAL ]])+V062A_203031333436353739404142[[#This Row],[FAENA]]</f>
        <v>517.25</v>
      </c>
      <c r="R93" s="245"/>
      <c r="S93" s="246"/>
      <c r="T93" s="246"/>
      <c r="U93" s="246"/>
      <c r="V93" s="246"/>
      <c r="W93" s="246">
        <f>SUM(V062A_203031333436353739404142[[#This Row],[MPAL2]:[GI]])</f>
        <v>0</v>
      </c>
      <c r="X93" s="246"/>
      <c r="Y93" s="300">
        <f>(Y92-V062A_203031333436353739404142[[#This Row],[TOTAL]])+V062A_203031333436353739404142[[#This Row],[FAENA2]]</f>
        <v>54.540000000000006</v>
      </c>
      <c r="Z93" s="245"/>
      <c r="AA93" s="246"/>
      <c r="AB93" s="438">
        <f>(AB92-V062A_203031333436353739404142[[#This Row],[CYLINDER MP]])+V062A_203031333436353739404142[[#This Row],[FAENA EN LTS]]</f>
        <v>4446</v>
      </c>
      <c r="AC93" s="246"/>
      <c r="AD93" s="246"/>
      <c r="AE93" s="438">
        <f>(AE92-V062A_203031333436353739404142[[#This Row],[CARTER MP.]])+V062A_203031333436353739404142[[#This Row],[FAENA EN LTS2]]</f>
        <v>6200</v>
      </c>
      <c r="AF93" s="246"/>
      <c r="AG93" s="246"/>
      <c r="AH93" s="438">
        <f>(AH92-V062A_203031333436353739404142[[#This Row],[MOT AUX]])+V062A_203031333436353739404142[[#This Row],[FAENA EN  LTS]]</f>
        <v>3570</v>
      </c>
      <c r="AI93" s="246"/>
      <c r="AJ93" s="246"/>
      <c r="AK93" s="439">
        <f>(AK92-V062A_203031333436353739404142[[#This Row],[HIDRAULICO]])+V062A_203031333436353739404142[[#This Row],[FAENA EN LTS3]]</f>
        <v>1550</v>
      </c>
    </row>
    <row r="94" spans="1:37" x14ac:dyDescent="0.25">
      <c r="A94" s="431"/>
      <c r="B94" s="526"/>
      <c r="C94" s="237"/>
      <c r="D94" s="418">
        <f>IF(V062A_203031333436353739404142[[#This Row],[FECHA]]-B93=1,((V062A_203031333436353739404142[[#This Row],[HORA]]-C93)*24)+24,(V062A_203031333436353739404142[[#This Row],[HORA]]-C93)*24)</f>
        <v>0</v>
      </c>
      <c r="E94" s="527"/>
      <c r="F94" s="528"/>
      <c r="G94" s="529"/>
      <c r="H94" s="530"/>
      <c r="I94" s="531"/>
      <c r="J94" s="532"/>
      <c r="K94" s="533"/>
      <c r="L94" s="245"/>
      <c r="M94" s="246"/>
      <c r="N94" s="246"/>
      <c r="O94" s="246">
        <f>SUM(V062A_203031333436353739404142[[#This Row],[MPAL]]+V062A_203031333436353739404142[[#This Row],[AUX.]]+V062A_203031333436353739404142[[#This Row],[CALDERA]])</f>
        <v>0</v>
      </c>
      <c r="P94" s="319"/>
      <c r="Q94" s="270">
        <f>(Q93-V062A_203031333436353739404142[[#This Row],[TOTAL ]])+V062A_203031333436353739404142[[#This Row],[FAENA]]</f>
        <v>517.25</v>
      </c>
      <c r="R94" s="245"/>
      <c r="S94" s="246"/>
      <c r="T94" s="246"/>
      <c r="U94" s="246"/>
      <c r="V94" s="246"/>
      <c r="W94" s="246">
        <f>SUM(V062A_203031333436353739404142[[#This Row],[MPAL2]:[GI]])</f>
        <v>0</v>
      </c>
      <c r="X94" s="246"/>
      <c r="Y94" s="300">
        <f>(Y93-V062A_203031333436353739404142[[#This Row],[TOTAL]])+V062A_203031333436353739404142[[#This Row],[FAENA2]]</f>
        <v>54.540000000000006</v>
      </c>
      <c r="Z94" s="245"/>
      <c r="AA94" s="246"/>
      <c r="AB94" s="438">
        <f>(AB93-V062A_203031333436353739404142[[#This Row],[CYLINDER MP]])+V062A_203031333436353739404142[[#This Row],[FAENA EN LTS]]</f>
        <v>4446</v>
      </c>
      <c r="AC94" s="246"/>
      <c r="AD94" s="246"/>
      <c r="AE94" s="438">
        <f>(AE93-V062A_203031333436353739404142[[#This Row],[CARTER MP.]])+V062A_203031333436353739404142[[#This Row],[FAENA EN LTS2]]</f>
        <v>6200</v>
      </c>
      <c r="AF94" s="246"/>
      <c r="AG94" s="246"/>
      <c r="AH94" s="438">
        <f>(AH93-V062A_203031333436353739404142[[#This Row],[MOT AUX]])+V062A_203031333436353739404142[[#This Row],[FAENA EN  LTS]]</f>
        <v>3570</v>
      </c>
      <c r="AI94" s="246"/>
      <c r="AJ94" s="246"/>
      <c r="AK94" s="439">
        <f>(AK93-V062A_203031333436353739404142[[#This Row],[HIDRAULICO]])+V062A_203031333436353739404142[[#This Row],[FAENA EN LTS3]]</f>
        <v>1550</v>
      </c>
    </row>
    <row r="95" spans="1:37" x14ac:dyDescent="0.25">
      <c r="A95" s="431"/>
      <c r="B95" s="526"/>
      <c r="C95" s="237"/>
      <c r="D95" s="418">
        <f>IF(V062A_203031333436353739404142[[#This Row],[FECHA]]-B94=1,((V062A_203031333436353739404142[[#This Row],[HORA]]-C94)*24)+24,(V062A_203031333436353739404142[[#This Row],[HORA]]-C94)*24)</f>
        <v>0</v>
      </c>
      <c r="E95" s="527"/>
      <c r="F95" s="528"/>
      <c r="G95" s="529"/>
      <c r="H95" s="530"/>
      <c r="I95" s="531"/>
      <c r="J95" s="532"/>
      <c r="K95" s="533"/>
      <c r="L95" s="245"/>
      <c r="M95" s="246"/>
      <c r="N95" s="246"/>
      <c r="O95" s="246">
        <f>SUM(V062A_203031333436353739404142[[#This Row],[MPAL]]+V062A_203031333436353739404142[[#This Row],[AUX.]]+V062A_203031333436353739404142[[#This Row],[CALDERA]])</f>
        <v>0</v>
      </c>
      <c r="P95" s="319"/>
      <c r="Q95" s="270">
        <f>(Q94-V062A_203031333436353739404142[[#This Row],[TOTAL ]])+V062A_203031333436353739404142[[#This Row],[FAENA]]</f>
        <v>517.25</v>
      </c>
      <c r="R95" s="245"/>
      <c r="S95" s="246"/>
      <c r="T95" s="246"/>
      <c r="U95" s="246"/>
      <c r="V95" s="246"/>
      <c r="W95" s="246">
        <f>SUM(V062A_203031333436353739404142[[#This Row],[MPAL2]:[GI]])</f>
        <v>0</v>
      </c>
      <c r="X95" s="246"/>
      <c r="Y95" s="300">
        <f>(Y94-V062A_203031333436353739404142[[#This Row],[TOTAL]])+V062A_203031333436353739404142[[#This Row],[FAENA2]]</f>
        <v>54.540000000000006</v>
      </c>
      <c r="Z95" s="245"/>
      <c r="AA95" s="246"/>
      <c r="AB95" s="438">
        <f>(AB94-V062A_203031333436353739404142[[#This Row],[CYLINDER MP]])+V062A_203031333436353739404142[[#This Row],[FAENA EN LTS]]</f>
        <v>4446</v>
      </c>
      <c r="AC95" s="246"/>
      <c r="AD95" s="246"/>
      <c r="AE95" s="438">
        <f>(AE94-V062A_203031333436353739404142[[#This Row],[CARTER MP.]])+V062A_203031333436353739404142[[#This Row],[FAENA EN LTS2]]</f>
        <v>6200</v>
      </c>
      <c r="AF95" s="246"/>
      <c r="AG95" s="246"/>
      <c r="AH95" s="438">
        <f>(AH94-V062A_203031333436353739404142[[#This Row],[MOT AUX]])+V062A_203031333436353739404142[[#This Row],[FAENA EN  LTS]]</f>
        <v>3570</v>
      </c>
      <c r="AI95" s="246"/>
      <c r="AJ95" s="246"/>
      <c r="AK95" s="439">
        <f>(AK94-V062A_203031333436353739404142[[#This Row],[HIDRAULICO]])+V062A_203031333436353739404142[[#This Row],[FAENA EN LTS3]]</f>
        <v>1550</v>
      </c>
    </row>
    <row r="96" spans="1:37" x14ac:dyDescent="0.25">
      <c r="A96" s="431"/>
      <c r="B96" s="526"/>
      <c r="C96" s="237"/>
      <c r="D96" s="418">
        <f>IF(V062A_203031333436353739404142[[#This Row],[FECHA]]-B95=1,((V062A_203031333436353739404142[[#This Row],[HORA]]-C95)*24)+24,(V062A_203031333436353739404142[[#This Row],[HORA]]-C95)*24)</f>
        <v>0</v>
      </c>
      <c r="E96" s="527"/>
      <c r="F96" s="528"/>
      <c r="G96" s="529"/>
      <c r="H96" s="530"/>
      <c r="I96" s="531"/>
      <c r="J96" s="532"/>
      <c r="K96" s="533"/>
      <c r="L96" s="245"/>
      <c r="M96" s="246"/>
      <c r="N96" s="246"/>
      <c r="O96" s="246">
        <f>SUM(V062A_203031333436353739404142[[#This Row],[MPAL]]+V062A_203031333436353739404142[[#This Row],[AUX.]]+V062A_203031333436353739404142[[#This Row],[CALDERA]])</f>
        <v>0</v>
      </c>
      <c r="P96" s="319"/>
      <c r="Q96" s="270">
        <f>(Q95-V062A_203031333436353739404142[[#This Row],[TOTAL ]])+V062A_203031333436353739404142[[#This Row],[FAENA]]</f>
        <v>517.25</v>
      </c>
      <c r="R96" s="245"/>
      <c r="S96" s="246"/>
      <c r="T96" s="246"/>
      <c r="U96" s="246"/>
      <c r="V96" s="246"/>
      <c r="W96" s="246">
        <f>SUM(V062A_203031333436353739404142[[#This Row],[MPAL2]:[GI]])</f>
        <v>0</v>
      </c>
      <c r="X96" s="246"/>
      <c r="Y96" s="300">
        <f>(Y95-V062A_203031333436353739404142[[#This Row],[TOTAL]])+V062A_203031333436353739404142[[#This Row],[FAENA2]]</f>
        <v>54.540000000000006</v>
      </c>
      <c r="Z96" s="245"/>
      <c r="AA96" s="246"/>
      <c r="AB96" s="438">
        <f>(AB95-V062A_203031333436353739404142[[#This Row],[CYLINDER MP]])+V062A_203031333436353739404142[[#This Row],[FAENA EN LTS]]</f>
        <v>4446</v>
      </c>
      <c r="AC96" s="246"/>
      <c r="AD96" s="246"/>
      <c r="AE96" s="438">
        <f>(AE95-V062A_203031333436353739404142[[#This Row],[CARTER MP.]])+V062A_203031333436353739404142[[#This Row],[FAENA EN LTS2]]</f>
        <v>6200</v>
      </c>
      <c r="AF96" s="246"/>
      <c r="AG96" s="246"/>
      <c r="AH96" s="438">
        <f>(AH95-V062A_203031333436353739404142[[#This Row],[MOT AUX]])+V062A_203031333436353739404142[[#This Row],[FAENA EN  LTS]]</f>
        <v>3570</v>
      </c>
      <c r="AI96" s="246"/>
      <c r="AJ96" s="246"/>
      <c r="AK96" s="439">
        <f>(AK95-V062A_203031333436353739404142[[#This Row],[HIDRAULICO]])+V062A_203031333436353739404142[[#This Row],[FAENA EN LTS3]]</f>
        <v>1550</v>
      </c>
    </row>
    <row r="97" spans="1:37" x14ac:dyDescent="0.25">
      <c r="A97" s="431"/>
      <c r="B97" s="526"/>
      <c r="C97" s="237"/>
      <c r="D97" s="418">
        <f>IF(V062A_203031333436353739404142[[#This Row],[FECHA]]-B96=1,((V062A_203031333436353739404142[[#This Row],[HORA]]-C96)*24)+24,(V062A_203031333436353739404142[[#This Row],[HORA]]-C96)*24)</f>
        <v>0</v>
      </c>
      <c r="E97" s="527"/>
      <c r="F97" s="528"/>
      <c r="G97" s="529"/>
      <c r="H97" s="530"/>
      <c r="I97" s="531"/>
      <c r="J97" s="532"/>
      <c r="K97" s="533"/>
      <c r="L97" s="245"/>
      <c r="M97" s="246"/>
      <c r="N97" s="246"/>
      <c r="O97" s="246">
        <f>SUM(V062A_203031333436353739404142[[#This Row],[MPAL]]+V062A_203031333436353739404142[[#This Row],[AUX.]]+V062A_203031333436353739404142[[#This Row],[CALDERA]])</f>
        <v>0</v>
      </c>
      <c r="P97" s="319"/>
      <c r="Q97" s="270">
        <f>(Q96-V062A_203031333436353739404142[[#This Row],[TOTAL ]])+V062A_203031333436353739404142[[#This Row],[FAENA]]</f>
        <v>517.25</v>
      </c>
      <c r="R97" s="245"/>
      <c r="S97" s="246"/>
      <c r="T97" s="246"/>
      <c r="U97" s="246"/>
      <c r="V97" s="246"/>
      <c r="W97" s="246">
        <f>SUM(V062A_203031333436353739404142[[#This Row],[MPAL2]:[GI]])</f>
        <v>0</v>
      </c>
      <c r="X97" s="246"/>
      <c r="Y97" s="300">
        <f>(Y96-V062A_203031333436353739404142[[#This Row],[TOTAL]])+V062A_203031333436353739404142[[#This Row],[FAENA2]]</f>
        <v>54.540000000000006</v>
      </c>
      <c r="Z97" s="245"/>
      <c r="AA97" s="246"/>
      <c r="AB97" s="438">
        <f>(AB96-V062A_203031333436353739404142[[#This Row],[CYLINDER MP]])+V062A_203031333436353739404142[[#This Row],[FAENA EN LTS]]</f>
        <v>4446</v>
      </c>
      <c r="AC97" s="246"/>
      <c r="AD97" s="246"/>
      <c r="AE97" s="438">
        <f>(AE96-V062A_203031333436353739404142[[#This Row],[CARTER MP.]])+V062A_203031333436353739404142[[#This Row],[FAENA EN LTS2]]</f>
        <v>6200</v>
      </c>
      <c r="AF97" s="246"/>
      <c r="AG97" s="246"/>
      <c r="AH97" s="438">
        <f>(AH96-V062A_203031333436353739404142[[#This Row],[MOT AUX]])+V062A_203031333436353739404142[[#This Row],[FAENA EN  LTS]]</f>
        <v>3570</v>
      </c>
      <c r="AI97" s="246"/>
      <c r="AJ97" s="246"/>
      <c r="AK97" s="439">
        <f>(AK96-V062A_203031333436353739404142[[#This Row],[HIDRAULICO]])+V062A_203031333436353739404142[[#This Row],[FAENA EN LTS3]]</f>
        <v>1550</v>
      </c>
    </row>
    <row r="98" spans="1:37" x14ac:dyDescent="0.25">
      <c r="A98" s="431"/>
      <c r="B98" s="526"/>
      <c r="C98" s="237"/>
      <c r="D98" s="418">
        <f>IF(V062A_203031333436353739404142[[#This Row],[FECHA]]-B97=1,((V062A_203031333436353739404142[[#This Row],[HORA]]-C97)*24)+24,(V062A_203031333436353739404142[[#This Row],[HORA]]-C97)*24)</f>
        <v>0</v>
      </c>
      <c r="E98" s="527"/>
      <c r="F98" s="528"/>
      <c r="G98" s="529"/>
      <c r="H98" s="530"/>
      <c r="I98" s="531"/>
      <c r="J98" s="532"/>
      <c r="K98" s="533"/>
      <c r="L98" s="245"/>
      <c r="M98" s="246"/>
      <c r="N98" s="246"/>
      <c r="O98" s="246">
        <f>SUM(V062A_203031333436353739404142[[#This Row],[MPAL]]+V062A_203031333436353739404142[[#This Row],[AUX.]]+V062A_203031333436353739404142[[#This Row],[CALDERA]])</f>
        <v>0</v>
      </c>
      <c r="P98" s="319"/>
      <c r="Q98" s="270">
        <f>(Q97-V062A_203031333436353739404142[[#This Row],[TOTAL ]])+V062A_203031333436353739404142[[#This Row],[FAENA]]</f>
        <v>517.25</v>
      </c>
      <c r="R98" s="245"/>
      <c r="S98" s="246"/>
      <c r="T98" s="246"/>
      <c r="U98" s="246"/>
      <c r="V98" s="246"/>
      <c r="W98" s="246">
        <f>SUM(V062A_203031333436353739404142[[#This Row],[MPAL2]:[GI]])</f>
        <v>0</v>
      </c>
      <c r="X98" s="246"/>
      <c r="Y98" s="300">
        <f>(Y97-V062A_203031333436353739404142[[#This Row],[TOTAL]])+V062A_203031333436353739404142[[#This Row],[FAENA2]]</f>
        <v>54.540000000000006</v>
      </c>
      <c r="Z98" s="245"/>
      <c r="AA98" s="246"/>
      <c r="AB98" s="438">
        <f>(AB97-V062A_203031333436353739404142[[#This Row],[CYLINDER MP]])+V062A_203031333436353739404142[[#This Row],[FAENA EN LTS]]</f>
        <v>4446</v>
      </c>
      <c r="AC98" s="246"/>
      <c r="AD98" s="246"/>
      <c r="AE98" s="438">
        <f>(AE97-V062A_203031333436353739404142[[#This Row],[CARTER MP.]])+V062A_203031333436353739404142[[#This Row],[FAENA EN LTS2]]</f>
        <v>6200</v>
      </c>
      <c r="AF98" s="246"/>
      <c r="AG98" s="246"/>
      <c r="AH98" s="438">
        <f>(AH97-V062A_203031333436353739404142[[#This Row],[MOT AUX]])+V062A_203031333436353739404142[[#This Row],[FAENA EN  LTS]]</f>
        <v>3570</v>
      </c>
      <c r="AI98" s="246"/>
      <c r="AJ98" s="246"/>
      <c r="AK98" s="439">
        <f>(AK97-V062A_203031333436353739404142[[#This Row],[HIDRAULICO]])+V062A_203031333436353739404142[[#This Row],[FAENA EN LTS3]]</f>
        <v>1550</v>
      </c>
    </row>
    <row r="99" spans="1:37" x14ac:dyDescent="0.25">
      <c r="A99" s="431"/>
      <c r="B99" s="526"/>
      <c r="C99" s="237"/>
      <c r="D99" s="418">
        <f>IF(V062A_203031333436353739404142[[#This Row],[FECHA]]-B98=1,((V062A_203031333436353739404142[[#This Row],[HORA]]-C98)*24)+24,(V062A_203031333436353739404142[[#This Row],[HORA]]-C98)*24)</f>
        <v>0</v>
      </c>
      <c r="E99" s="527"/>
      <c r="F99" s="528"/>
      <c r="G99" s="529"/>
      <c r="H99" s="530"/>
      <c r="I99" s="531"/>
      <c r="J99" s="532"/>
      <c r="K99" s="533"/>
      <c r="L99" s="245"/>
      <c r="M99" s="246"/>
      <c r="N99" s="246"/>
      <c r="O99" s="246">
        <f>SUM(V062A_203031333436353739404142[[#This Row],[MPAL]]+V062A_203031333436353739404142[[#This Row],[AUX.]]+V062A_203031333436353739404142[[#This Row],[CALDERA]])</f>
        <v>0</v>
      </c>
      <c r="P99" s="319"/>
      <c r="Q99" s="270">
        <f>(Q98-V062A_203031333436353739404142[[#This Row],[TOTAL ]])+V062A_203031333436353739404142[[#This Row],[FAENA]]</f>
        <v>517.25</v>
      </c>
      <c r="R99" s="245"/>
      <c r="S99" s="246"/>
      <c r="T99" s="246"/>
      <c r="U99" s="246"/>
      <c r="V99" s="246"/>
      <c r="W99" s="246">
        <f>SUM(V062A_203031333436353739404142[[#This Row],[MPAL2]:[GI]])</f>
        <v>0</v>
      </c>
      <c r="X99" s="246"/>
      <c r="Y99" s="300">
        <f>(Y98-V062A_203031333436353739404142[[#This Row],[TOTAL]])+V062A_203031333436353739404142[[#This Row],[FAENA2]]</f>
        <v>54.540000000000006</v>
      </c>
      <c r="Z99" s="245"/>
      <c r="AA99" s="246"/>
      <c r="AB99" s="438">
        <f>(AB98-V062A_203031333436353739404142[[#This Row],[CYLINDER MP]])+V062A_203031333436353739404142[[#This Row],[FAENA EN LTS]]</f>
        <v>4446</v>
      </c>
      <c r="AC99" s="246"/>
      <c r="AD99" s="246"/>
      <c r="AE99" s="438">
        <f>(AE98-V062A_203031333436353739404142[[#This Row],[CARTER MP.]])+V062A_203031333436353739404142[[#This Row],[FAENA EN LTS2]]</f>
        <v>6200</v>
      </c>
      <c r="AF99" s="246"/>
      <c r="AG99" s="246"/>
      <c r="AH99" s="438">
        <f>(AH98-V062A_203031333436353739404142[[#This Row],[MOT AUX]])+V062A_203031333436353739404142[[#This Row],[FAENA EN  LTS]]</f>
        <v>3570</v>
      </c>
      <c r="AI99" s="246"/>
      <c r="AJ99" s="246"/>
      <c r="AK99" s="439">
        <f>(AK98-V062A_203031333436353739404142[[#This Row],[HIDRAULICO]])+V062A_203031333436353739404142[[#This Row],[FAENA EN LTS3]]</f>
        <v>1550</v>
      </c>
    </row>
    <row r="100" spans="1:37" x14ac:dyDescent="0.25">
      <c r="A100" s="431"/>
      <c r="B100" s="526"/>
      <c r="C100" s="237"/>
      <c r="D100" s="418">
        <f>IF(V062A_203031333436353739404142[[#This Row],[FECHA]]-B99=1,((V062A_203031333436353739404142[[#This Row],[HORA]]-C99)*24)+24,(V062A_203031333436353739404142[[#This Row],[HORA]]-C99)*24)</f>
        <v>0</v>
      </c>
      <c r="E100" s="527"/>
      <c r="F100" s="528"/>
      <c r="G100" s="529"/>
      <c r="H100" s="530"/>
      <c r="I100" s="531"/>
      <c r="J100" s="532"/>
      <c r="K100" s="533"/>
      <c r="L100" s="245"/>
      <c r="M100" s="246"/>
      <c r="N100" s="246"/>
      <c r="O100" s="246">
        <f>SUM(V062A_203031333436353739404142[[#This Row],[MPAL]]+V062A_203031333436353739404142[[#This Row],[AUX.]]+V062A_203031333436353739404142[[#This Row],[CALDERA]])</f>
        <v>0</v>
      </c>
      <c r="P100" s="319"/>
      <c r="Q100" s="270">
        <f>(Q99-V062A_203031333436353739404142[[#This Row],[TOTAL ]])+V062A_203031333436353739404142[[#This Row],[FAENA]]</f>
        <v>517.25</v>
      </c>
      <c r="R100" s="245"/>
      <c r="S100" s="246"/>
      <c r="T100" s="246"/>
      <c r="U100" s="246"/>
      <c r="V100" s="246"/>
      <c r="W100" s="246">
        <f>SUM(V062A_203031333436353739404142[[#This Row],[MPAL2]:[GI]])</f>
        <v>0</v>
      </c>
      <c r="X100" s="246"/>
      <c r="Y100" s="300">
        <f>(Y99-V062A_203031333436353739404142[[#This Row],[TOTAL]])+V062A_203031333436353739404142[[#This Row],[FAENA2]]</f>
        <v>54.540000000000006</v>
      </c>
      <c r="Z100" s="245"/>
      <c r="AA100" s="246"/>
      <c r="AB100" s="438">
        <f>(AB99-V062A_203031333436353739404142[[#This Row],[CYLINDER MP]])+V062A_203031333436353739404142[[#This Row],[FAENA EN LTS]]</f>
        <v>4446</v>
      </c>
      <c r="AC100" s="246"/>
      <c r="AD100" s="246"/>
      <c r="AE100" s="438">
        <f>(AE99-V062A_203031333436353739404142[[#This Row],[CARTER MP.]])+V062A_203031333436353739404142[[#This Row],[FAENA EN LTS2]]</f>
        <v>6200</v>
      </c>
      <c r="AF100" s="246"/>
      <c r="AG100" s="246"/>
      <c r="AH100" s="438">
        <f>(AH99-V062A_203031333436353739404142[[#This Row],[MOT AUX]])+V062A_203031333436353739404142[[#This Row],[FAENA EN  LTS]]</f>
        <v>3570</v>
      </c>
      <c r="AI100" s="246"/>
      <c r="AJ100" s="246"/>
      <c r="AK100" s="439">
        <f>(AK99-V062A_203031333436353739404142[[#This Row],[HIDRAULICO]])+V062A_203031333436353739404142[[#This Row],[FAENA EN LTS3]]</f>
        <v>1550</v>
      </c>
    </row>
    <row r="101" spans="1:37" x14ac:dyDescent="0.25">
      <c r="A101" s="431"/>
      <c r="B101" s="526"/>
      <c r="C101" s="237"/>
      <c r="D101" s="418">
        <f>IF(V062A_203031333436353739404142[[#This Row],[FECHA]]-B100=1,((V062A_203031333436353739404142[[#This Row],[HORA]]-C100)*24)+24,(V062A_203031333436353739404142[[#This Row],[HORA]]-C100)*24)</f>
        <v>0</v>
      </c>
      <c r="E101" s="527"/>
      <c r="F101" s="528"/>
      <c r="G101" s="529"/>
      <c r="H101" s="530"/>
      <c r="I101" s="531"/>
      <c r="J101" s="532"/>
      <c r="K101" s="533"/>
      <c r="L101" s="245"/>
      <c r="M101" s="246"/>
      <c r="N101" s="246"/>
      <c r="O101" s="246">
        <f>SUM(V062A_203031333436353739404142[[#This Row],[MPAL]]+V062A_203031333436353739404142[[#This Row],[AUX.]]+V062A_203031333436353739404142[[#This Row],[CALDERA]])</f>
        <v>0</v>
      </c>
      <c r="P101" s="319"/>
      <c r="Q101" s="270">
        <f>(Q100-V062A_203031333436353739404142[[#This Row],[TOTAL ]])+V062A_203031333436353739404142[[#This Row],[FAENA]]</f>
        <v>517.25</v>
      </c>
      <c r="R101" s="245"/>
      <c r="S101" s="246"/>
      <c r="T101" s="246"/>
      <c r="U101" s="246"/>
      <c r="V101" s="246"/>
      <c r="W101" s="246">
        <f>SUM(V062A_203031333436353739404142[[#This Row],[MPAL2]:[GI]])</f>
        <v>0</v>
      </c>
      <c r="X101" s="246"/>
      <c r="Y101" s="300">
        <f>(Y100-V062A_203031333436353739404142[[#This Row],[TOTAL]])+V062A_203031333436353739404142[[#This Row],[FAENA2]]</f>
        <v>54.540000000000006</v>
      </c>
      <c r="Z101" s="245"/>
      <c r="AA101" s="246"/>
      <c r="AB101" s="438">
        <f>(AB100-V062A_203031333436353739404142[[#This Row],[CYLINDER MP]])+V062A_203031333436353739404142[[#This Row],[FAENA EN LTS]]</f>
        <v>4446</v>
      </c>
      <c r="AC101" s="246"/>
      <c r="AD101" s="246"/>
      <c r="AE101" s="438">
        <f>(AE100-V062A_203031333436353739404142[[#This Row],[CARTER MP.]])+V062A_203031333436353739404142[[#This Row],[FAENA EN LTS2]]</f>
        <v>6200</v>
      </c>
      <c r="AF101" s="246"/>
      <c r="AG101" s="246"/>
      <c r="AH101" s="438">
        <f>(AH100-V062A_203031333436353739404142[[#This Row],[MOT AUX]])+V062A_203031333436353739404142[[#This Row],[FAENA EN  LTS]]</f>
        <v>3570</v>
      </c>
      <c r="AI101" s="246"/>
      <c r="AJ101" s="246"/>
      <c r="AK101" s="439">
        <f>(AK100-V062A_203031333436353739404142[[#This Row],[HIDRAULICO]])+V062A_203031333436353739404142[[#This Row],[FAENA EN LTS3]]</f>
        <v>1550</v>
      </c>
    </row>
    <row r="102" spans="1:37" x14ac:dyDescent="0.25">
      <c r="A102" s="431"/>
      <c r="B102" s="526"/>
      <c r="C102" s="237"/>
      <c r="D102" s="418">
        <f>IF(V062A_203031333436353739404142[[#This Row],[FECHA]]-B101=1,((V062A_203031333436353739404142[[#This Row],[HORA]]-C101)*24)+24,(V062A_203031333436353739404142[[#This Row],[HORA]]-C101)*24)</f>
        <v>0</v>
      </c>
      <c r="E102" s="527"/>
      <c r="F102" s="528"/>
      <c r="G102" s="529"/>
      <c r="H102" s="530"/>
      <c r="I102" s="531"/>
      <c r="J102" s="532"/>
      <c r="K102" s="533"/>
      <c r="L102" s="245"/>
      <c r="M102" s="246"/>
      <c r="N102" s="246"/>
      <c r="O102" s="246">
        <f>SUM(V062A_203031333436353739404142[[#This Row],[MPAL]]+V062A_203031333436353739404142[[#This Row],[AUX.]]+V062A_203031333436353739404142[[#This Row],[CALDERA]])</f>
        <v>0</v>
      </c>
      <c r="P102" s="319"/>
      <c r="Q102" s="270">
        <f>(Q101-V062A_203031333436353739404142[[#This Row],[TOTAL ]])+V062A_203031333436353739404142[[#This Row],[FAENA]]</f>
        <v>517.25</v>
      </c>
      <c r="R102" s="245"/>
      <c r="S102" s="246"/>
      <c r="T102" s="246"/>
      <c r="U102" s="246"/>
      <c r="V102" s="246"/>
      <c r="W102" s="246">
        <f>SUM(V062A_203031333436353739404142[[#This Row],[MPAL2]:[GI]])</f>
        <v>0</v>
      </c>
      <c r="X102" s="246"/>
      <c r="Y102" s="300">
        <f>(Y101-V062A_203031333436353739404142[[#This Row],[TOTAL]])+V062A_203031333436353739404142[[#This Row],[FAENA2]]</f>
        <v>54.540000000000006</v>
      </c>
      <c r="Z102" s="245"/>
      <c r="AA102" s="246"/>
      <c r="AB102" s="438">
        <f>(AB101-V062A_203031333436353739404142[[#This Row],[CYLINDER MP]])+V062A_203031333436353739404142[[#This Row],[FAENA EN LTS]]</f>
        <v>4446</v>
      </c>
      <c r="AC102" s="246"/>
      <c r="AD102" s="246"/>
      <c r="AE102" s="438">
        <f>(AE101-V062A_203031333436353739404142[[#This Row],[CARTER MP.]])+V062A_203031333436353739404142[[#This Row],[FAENA EN LTS2]]</f>
        <v>6200</v>
      </c>
      <c r="AF102" s="246"/>
      <c r="AG102" s="246"/>
      <c r="AH102" s="438">
        <f>(AH101-V062A_203031333436353739404142[[#This Row],[MOT AUX]])+V062A_203031333436353739404142[[#This Row],[FAENA EN  LTS]]</f>
        <v>3570</v>
      </c>
      <c r="AI102" s="246"/>
      <c r="AJ102" s="246"/>
      <c r="AK102" s="439">
        <f>(AK101-V062A_203031333436353739404142[[#This Row],[HIDRAULICO]])+V062A_203031333436353739404142[[#This Row],[FAENA EN LTS3]]</f>
        <v>1550</v>
      </c>
    </row>
    <row r="103" spans="1:37" x14ac:dyDescent="0.25">
      <c r="A103" s="431"/>
      <c r="B103" s="526"/>
      <c r="C103" s="237"/>
      <c r="D103" s="418">
        <f>IF(V062A_203031333436353739404142[[#This Row],[FECHA]]-B102=1,((V062A_203031333436353739404142[[#This Row],[HORA]]-C102)*24)+24,(V062A_203031333436353739404142[[#This Row],[HORA]]-C102)*24)</f>
        <v>0</v>
      </c>
      <c r="E103" s="527"/>
      <c r="F103" s="528"/>
      <c r="G103" s="529"/>
      <c r="H103" s="530"/>
      <c r="I103" s="531"/>
      <c r="J103" s="532"/>
      <c r="K103" s="533"/>
      <c r="L103" s="245"/>
      <c r="M103" s="246"/>
      <c r="N103" s="246"/>
      <c r="O103" s="246">
        <f>SUM(V062A_203031333436353739404142[[#This Row],[MPAL]]+V062A_203031333436353739404142[[#This Row],[AUX.]]+V062A_203031333436353739404142[[#This Row],[CALDERA]])</f>
        <v>0</v>
      </c>
      <c r="P103" s="319"/>
      <c r="Q103" s="270">
        <f>(Q102-V062A_203031333436353739404142[[#This Row],[TOTAL ]])+V062A_203031333436353739404142[[#This Row],[FAENA]]</f>
        <v>517.25</v>
      </c>
      <c r="R103" s="245"/>
      <c r="S103" s="246"/>
      <c r="T103" s="246"/>
      <c r="U103" s="246"/>
      <c r="V103" s="246"/>
      <c r="W103" s="246">
        <f>SUM(V062A_203031333436353739404142[[#This Row],[MPAL2]:[GI]])</f>
        <v>0</v>
      </c>
      <c r="X103" s="246"/>
      <c r="Y103" s="300">
        <f>(Y102-V062A_203031333436353739404142[[#This Row],[TOTAL]])+V062A_203031333436353739404142[[#This Row],[FAENA2]]</f>
        <v>54.540000000000006</v>
      </c>
      <c r="Z103" s="245"/>
      <c r="AA103" s="246"/>
      <c r="AB103" s="438">
        <f>(AB102-V062A_203031333436353739404142[[#This Row],[CYLINDER MP]])+V062A_203031333436353739404142[[#This Row],[FAENA EN LTS]]</f>
        <v>4446</v>
      </c>
      <c r="AC103" s="246"/>
      <c r="AD103" s="246"/>
      <c r="AE103" s="438">
        <f>(AE102-V062A_203031333436353739404142[[#This Row],[CARTER MP.]])+V062A_203031333436353739404142[[#This Row],[FAENA EN LTS2]]</f>
        <v>6200</v>
      </c>
      <c r="AF103" s="246"/>
      <c r="AG103" s="246"/>
      <c r="AH103" s="438">
        <f>(AH102-V062A_203031333436353739404142[[#This Row],[MOT AUX]])+V062A_203031333436353739404142[[#This Row],[FAENA EN  LTS]]</f>
        <v>3570</v>
      </c>
      <c r="AI103" s="246"/>
      <c r="AJ103" s="246"/>
      <c r="AK103" s="439">
        <f>(AK102-V062A_203031333436353739404142[[#This Row],[HIDRAULICO]])+V062A_203031333436353739404142[[#This Row],[FAENA EN LTS3]]</f>
        <v>1550</v>
      </c>
    </row>
    <row r="104" spans="1:37" x14ac:dyDescent="0.25">
      <c r="A104" s="431"/>
      <c r="B104" s="526"/>
      <c r="C104" s="237"/>
      <c r="D104" s="418">
        <f>IF(V062A_203031333436353739404142[[#This Row],[FECHA]]-B103=1,((V062A_203031333436353739404142[[#This Row],[HORA]]-C103)*24)+24,(V062A_203031333436353739404142[[#This Row],[HORA]]-C103)*24)</f>
        <v>0</v>
      </c>
      <c r="E104" s="409"/>
      <c r="F104" s="528"/>
      <c r="G104" s="534"/>
      <c r="H104" s="306"/>
      <c r="I104" s="535"/>
      <c r="J104" s="380"/>
      <c r="K104" s="536"/>
      <c r="L104" s="245"/>
      <c r="M104" s="246"/>
      <c r="N104" s="246"/>
      <c r="O104" s="246">
        <f>SUM(V062A_203031333436353739404142[[#This Row],[MPAL]]+V062A_203031333436353739404142[[#This Row],[AUX.]]+V062A_203031333436353739404142[[#This Row],[CALDERA]])</f>
        <v>0</v>
      </c>
      <c r="P104" s="319"/>
      <c r="Q104" s="270">
        <f>(Q103-V062A_203031333436353739404142[[#This Row],[TOTAL ]])+V062A_203031333436353739404142[[#This Row],[FAENA]]</f>
        <v>517.25</v>
      </c>
      <c r="R104" s="245"/>
      <c r="S104" s="246"/>
      <c r="T104" s="246"/>
      <c r="U104" s="246"/>
      <c r="V104" s="246"/>
      <c r="W104" s="246">
        <f>SUM(V062A_203031333436353739404142[[#This Row],[MPAL2]:[GI]])</f>
        <v>0</v>
      </c>
      <c r="X104" s="246"/>
      <c r="Y104" s="300">
        <f>(Y103-V062A_203031333436353739404142[[#This Row],[TOTAL]])+V062A_203031333436353739404142[[#This Row],[FAENA2]]</f>
        <v>54.540000000000006</v>
      </c>
      <c r="Z104" s="245"/>
      <c r="AA104" s="246"/>
      <c r="AB104" s="438">
        <f>(AB103-V062A_203031333436353739404142[[#This Row],[CYLINDER MP]])+V062A_203031333436353739404142[[#This Row],[FAENA EN LTS]]</f>
        <v>4446</v>
      </c>
      <c r="AC104" s="246"/>
      <c r="AD104" s="246"/>
      <c r="AE104" s="438">
        <f>(AE103-V062A_203031333436353739404142[[#This Row],[CARTER MP.]])+V062A_203031333436353739404142[[#This Row],[FAENA EN LTS2]]</f>
        <v>6200</v>
      </c>
      <c r="AF104" s="246"/>
      <c r="AG104" s="246"/>
      <c r="AH104" s="438">
        <f>(AH103-V062A_203031333436353739404142[[#This Row],[MOT AUX]])+V062A_203031333436353739404142[[#This Row],[FAENA EN  LTS]]</f>
        <v>3570</v>
      </c>
      <c r="AI104" s="246"/>
      <c r="AJ104" s="246"/>
      <c r="AK104" s="439">
        <f>(AK103-V062A_203031333436353739404142[[#This Row],[HIDRAULICO]])+V062A_203031333436353739404142[[#This Row],[FAENA EN LTS3]]</f>
        <v>1550</v>
      </c>
    </row>
    <row r="105" spans="1:37" x14ac:dyDescent="0.25">
      <c r="A105" s="431"/>
      <c r="B105" s="526"/>
      <c r="C105" s="237"/>
      <c r="D105" s="418">
        <f>IF(V062A_203031333436353739404142[[#This Row],[FECHA]]-B104=1,((V062A_203031333436353739404142[[#This Row],[HORA]]-C104)*24)+24,(V062A_203031333436353739404142[[#This Row],[HORA]]-C104)*24)</f>
        <v>0</v>
      </c>
      <c r="E105" s="527"/>
      <c r="F105" s="528"/>
      <c r="G105" s="529"/>
      <c r="H105" s="530"/>
      <c r="I105" s="531"/>
      <c r="J105" s="532"/>
      <c r="K105" s="533"/>
      <c r="L105" s="245"/>
      <c r="M105" s="246"/>
      <c r="N105" s="246"/>
      <c r="O105" s="246">
        <f>SUM(V062A_203031333436353739404142[[#This Row],[MPAL]]+V062A_203031333436353739404142[[#This Row],[AUX.]]+V062A_203031333436353739404142[[#This Row],[CALDERA]])</f>
        <v>0</v>
      </c>
      <c r="P105" s="319"/>
      <c r="Q105" s="270">
        <f>(Q104-V062A_203031333436353739404142[[#This Row],[TOTAL ]])+V062A_203031333436353739404142[[#This Row],[FAENA]]</f>
        <v>517.25</v>
      </c>
      <c r="R105" s="245"/>
      <c r="S105" s="246"/>
      <c r="T105" s="246"/>
      <c r="U105" s="246"/>
      <c r="V105" s="246"/>
      <c r="W105" s="246">
        <f>SUM(V062A_203031333436353739404142[[#This Row],[MPAL2]:[GI]])</f>
        <v>0</v>
      </c>
      <c r="X105" s="246"/>
      <c r="Y105" s="300">
        <f>(Y104-V062A_203031333436353739404142[[#This Row],[TOTAL]])+V062A_203031333436353739404142[[#This Row],[FAENA2]]</f>
        <v>54.540000000000006</v>
      </c>
      <c r="Z105" s="245"/>
      <c r="AA105" s="246"/>
      <c r="AB105" s="438">
        <f>(AB104-V062A_203031333436353739404142[[#This Row],[CYLINDER MP]])+V062A_203031333436353739404142[[#This Row],[FAENA EN LTS]]</f>
        <v>4446</v>
      </c>
      <c r="AC105" s="246"/>
      <c r="AD105" s="246"/>
      <c r="AE105" s="438">
        <f>(AE104-V062A_203031333436353739404142[[#This Row],[CARTER MP.]])+V062A_203031333436353739404142[[#This Row],[FAENA EN LTS2]]</f>
        <v>6200</v>
      </c>
      <c r="AF105" s="246"/>
      <c r="AG105" s="246"/>
      <c r="AH105" s="438">
        <f>(AH104-V062A_203031333436353739404142[[#This Row],[MOT AUX]])+V062A_203031333436353739404142[[#This Row],[FAENA EN  LTS]]</f>
        <v>3570</v>
      </c>
      <c r="AI105" s="246"/>
      <c r="AJ105" s="246"/>
      <c r="AK105" s="439">
        <f>(AK104-V062A_203031333436353739404142[[#This Row],[HIDRAULICO]])+V062A_203031333436353739404142[[#This Row],[FAENA EN LTS3]]</f>
        <v>1550</v>
      </c>
    </row>
    <row r="106" spans="1:37" x14ac:dyDescent="0.25">
      <c r="A106" s="431"/>
      <c r="B106" s="526"/>
      <c r="C106" s="237"/>
      <c r="D106" s="418">
        <f>IF(V062A_203031333436353739404142[[#This Row],[FECHA]]-B105=1,((V062A_203031333436353739404142[[#This Row],[HORA]]-C105)*24)+24,(V062A_203031333436353739404142[[#This Row],[HORA]]-C105)*24)</f>
        <v>0</v>
      </c>
      <c r="E106" s="527"/>
      <c r="F106" s="528"/>
      <c r="G106" s="529"/>
      <c r="H106" s="530"/>
      <c r="I106" s="531"/>
      <c r="J106" s="532"/>
      <c r="K106" s="533"/>
      <c r="L106" s="245"/>
      <c r="M106" s="246"/>
      <c r="N106" s="246"/>
      <c r="O106" s="246">
        <f>SUM(V062A_203031333436353739404142[[#This Row],[MPAL]]+V062A_203031333436353739404142[[#This Row],[AUX.]]+V062A_203031333436353739404142[[#This Row],[CALDERA]])</f>
        <v>0</v>
      </c>
      <c r="P106" s="319"/>
      <c r="Q106" s="270">
        <f>(Q105-V062A_203031333436353739404142[[#This Row],[TOTAL ]])+V062A_203031333436353739404142[[#This Row],[FAENA]]</f>
        <v>517.25</v>
      </c>
      <c r="R106" s="245"/>
      <c r="S106" s="246"/>
      <c r="T106" s="246"/>
      <c r="U106" s="246"/>
      <c r="V106" s="246"/>
      <c r="W106" s="246">
        <f>SUM(V062A_203031333436353739404142[[#This Row],[MPAL2]:[GI]])</f>
        <v>0</v>
      </c>
      <c r="X106" s="246"/>
      <c r="Y106" s="300">
        <f>(Y105-V062A_203031333436353739404142[[#This Row],[TOTAL]])+V062A_203031333436353739404142[[#This Row],[FAENA2]]</f>
        <v>54.540000000000006</v>
      </c>
      <c r="Z106" s="245"/>
      <c r="AA106" s="246"/>
      <c r="AB106" s="438">
        <f>(AB105-V062A_203031333436353739404142[[#This Row],[CYLINDER MP]])+V062A_203031333436353739404142[[#This Row],[FAENA EN LTS]]</f>
        <v>4446</v>
      </c>
      <c r="AC106" s="246"/>
      <c r="AD106" s="246"/>
      <c r="AE106" s="438">
        <f>(AE105-V062A_203031333436353739404142[[#This Row],[CARTER MP.]])+V062A_203031333436353739404142[[#This Row],[FAENA EN LTS2]]</f>
        <v>6200</v>
      </c>
      <c r="AF106" s="246"/>
      <c r="AG106" s="246"/>
      <c r="AH106" s="438">
        <f>(AH105-V062A_203031333436353739404142[[#This Row],[MOT AUX]])+V062A_203031333436353739404142[[#This Row],[FAENA EN  LTS]]</f>
        <v>3570</v>
      </c>
      <c r="AI106" s="246"/>
      <c r="AJ106" s="246"/>
      <c r="AK106" s="439">
        <f>(AK105-V062A_203031333436353739404142[[#This Row],[HIDRAULICO]])+V062A_203031333436353739404142[[#This Row],[FAENA EN LTS3]]</f>
        <v>1550</v>
      </c>
    </row>
    <row r="107" spans="1:37" x14ac:dyDescent="0.25">
      <c r="A107" s="431"/>
      <c r="B107" s="526"/>
      <c r="C107" s="237"/>
      <c r="D107" s="418">
        <f>IF(V062A_203031333436353739404142[[#This Row],[FECHA]]-B106=1,((V062A_203031333436353739404142[[#This Row],[HORA]]-C106)*24)+24,(V062A_203031333436353739404142[[#This Row],[HORA]]-C106)*24)</f>
        <v>0</v>
      </c>
      <c r="E107" s="527"/>
      <c r="F107" s="528"/>
      <c r="G107" s="529"/>
      <c r="H107" s="530"/>
      <c r="I107" s="531"/>
      <c r="J107" s="532"/>
      <c r="K107" s="533"/>
      <c r="L107" s="245"/>
      <c r="M107" s="246"/>
      <c r="N107" s="246"/>
      <c r="O107" s="246">
        <f>SUM(V062A_203031333436353739404142[[#This Row],[MPAL]]+V062A_203031333436353739404142[[#This Row],[AUX.]]+V062A_203031333436353739404142[[#This Row],[CALDERA]])</f>
        <v>0</v>
      </c>
      <c r="P107" s="319"/>
      <c r="Q107" s="270">
        <f>(Q106-V062A_203031333436353739404142[[#This Row],[TOTAL ]])+V062A_203031333436353739404142[[#This Row],[FAENA]]</f>
        <v>517.25</v>
      </c>
      <c r="R107" s="245"/>
      <c r="S107" s="246"/>
      <c r="T107" s="246"/>
      <c r="U107" s="246"/>
      <c r="V107" s="246"/>
      <c r="W107" s="246">
        <f>SUM(V062A_203031333436353739404142[[#This Row],[MPAL2]:[GI]])</f>
        <v>0</v>
      </c>
      <c r="X107" s="246"/>
      <c r="Y107" s="300">
        <f>(Y106-V062A_203031333436353739404142[[#This Row],[TOTAL]])+V062A_203031333436353739404142[[#This Row],[FAENA2]]</f>
        <v>54.540000000000006</v>
      </c>
      <c r="Z107" s="245"/>
      <c r="AA107" s="246"/>
      <c r="AB107" s="438">
        <f>(AB106-V062A_203031333436353739404142[[#This Row],[CYLINDER MP]])+V062A_203031333436353739404142[[#This Row],[FAENA EN LTS]]</f>
        <v>4446</v>
      </c>
      <c r="AC107" s="246"/>
      <c r="AD107" s="246"/>
      <c r="AE107" s="438">
        <f>(AE106-V062A_203031333436353739404142[[#This Row],[CARTER MP.]])+V062A_203031333436353739404142[[#This Row],[FAENA EN LTS2]]</f>
        <v>6200</v>
      </c>
      <c r="AF107" s="246"/>
      <c r="AG107" s="246"/>
      <c r="AH107" s="438">
        <f>(AH106-V062A_203031333436353739404142[[#This Row],[MOT AUX]])+V062A_203031333436353739404142[[#This Row],[FAENA EN  LTS]]</f>
        <v>3570</v>
      </c>
      <c r="AI107" s="246"/>
      <c r="AJ107" s="246"/>
      <c r="AK107" s="439">
        <f>(AK106-V062A_203031333436353739404142[[#This Row],[HIDRAULICO]])+V062A_203031333436353739404142[[#This Row],[FAENA EN LTS3]]</f>
        <v>1550</v>
      </c>
    </row>
    <row r="108" spans="1:37" x14ac:dyDescent="0.25">
      <c r="A108" s="431"/>
      <c r="B108" s="526"/>
      <c r="C108" s="237"/>
      <c r="D108" s="418">
        <f>IF(V062A_203031333436353739404142[[#This Row],[FECHA]]-B107=1,((V062A_203031333436353739404142[[#This Row],[HORA]]-C107)*24)+24,(V062A_203031333436353739404142[[#This Row],[HORA]]-C107)*24)</f>
        <v>0</v>
      </c>
      <c r="E108" s="527"/>
      <c r="F108" s="528"/>
      <c r="G108" s="529"/>
      <c r="H108" s="530"/>
      <c r="I108" s="531"/>
      <c r="J108" s="532"/>
      <c r="K108" s="533"/>
      <c r="L108" s="245"/>
      <c r="M108" s="246"/>
      <c r="N108" s="246"/>
      <c r="O108" s="246">
        <f>SUM(V062A_203031333436353739404142[[#This Row],[MPAL]]+V062A_203031333436353739404142[[#This Row],[AUX.]]+V062A_203031333436353739404142[[#This Row],[CALDERA]])</f>
        <v>0</v>
      </c>
      <c r="P108" s="319"/>
      <c r="Q108" s="270">
        <f>(Q107-V062A_203031333436353739404142[[#This Row],[TOTAL ]])+V062A_203031333436353739404142[[#This Row],[FAENA]]</f>
        <v>517.25</v>
      </c>
      <c r="R108" s="245"/>
      <c r="S108" s="246"/>
      <c r="T108" s="246"/>
      <c r="U108" s="246"/>
      <c r="V108" s="246"/>
      <c r="W108" s="246">
        <f>SUM(V062A_203031333436353739404142[[#This Row],[MPAL2]:[GI]])</f>
        <v>0</v>
      </c>
      <c r="X108" s="246"/>
      <c r="Y108" s="300">
        <f>(Y107-V062A_203031333436353739404142[[#This Row],[TOTAL]])+V062A_203031333436353739404142[[#This Row],[FAENA2]]</f>
        <v>54.540000000000006</v>
      </c>
      <c r="Z108" s="245"/>
      <c r="AA108" s="246"/>
      <c r="AB108" s="438">
        <f>(AB107-V062A_203031333436353739404142[[#This Row],[CYLINDER MP]])+V062A_203031333436353739404142[[#This Row],[FAENA EN LTS]]</f>
        <v>4446</v>
      </c>
      <c r="AC108" s="246"/>
      <c r="AD108" s="246"/>
      <c r="AE108" s="438">
        <f>(AE107-V062A_203031333436353739404142[[#This Row],[CARTER MP.]])+V062A_203031333436353739404142[[#This Row],[FAENA EN LTS2]]</f>
        <v>6200</v>
      </c>
      <c r="AF108" s="246"/>
      <c r="AG108" s="246"/>
      <c r="AH108" s="438">
        <f>(AH107-V062A_203031333436353739404142[[#This Row],[MOT AUX]])+V062A_203031333436353739404142[[#This Row],[FAENA EN  LTS]]</f>
        <v>3570</v>
      </c>
      <c r="AI108" s="246"/>
      <c r="AJ108" s="246"/>
      <c r="AK108" s="439">
        <f>(AK107-V062A_203031333436353739404142[[#This Row],[HIDRAULICO]])+V062A_203031333436353739404142[[#This Row],[FAENA EN LTS3]]</f>
        <v>1550</v>
      </c>
    </row>
    <row r="109" spans="1:37" x14ac:dyDescent="0.25">
      <c r="A109" s="431"/>
      <c r="B109" s="526"/>
      <c r="C109" s="237"/>
      <c r="D109" s="418">
        <f>IF(V062A_203031333436353739404142[[#This Row],[FECHA]]-B108=1,((V062A_203031333436353739404142[[#This Row],[HORA]]-C108)*24)+24,(V062A_203031333436353739404142[[#This Row],[HORA]]-C108)*24)</f>
        <v>0</v>
      </c>
      <c r="E109" s="527"/>
      <c r="F109" s="528"/>
      <c r="G109" s="529"/>
      <c r="H109" s="530"/>
      <c r="I109" s="531"/>
      <c r="J109" s="532"/>
      <c r="K109" s="533"/>
      <c r="L109" s="245"/>
      <c r="M109" s="246"/>
      <c r="N109" s="246"/>
      <c r="O109" s="246">
        <f>SUM(V062A_203031333436353739404142[[#This Row],[MPAL]]+V062A_203031333436353739404142[[#This Row],[AUX.]]+V062A_203031333436353739404142[[#This Row],[CALDERA]])</f>
        <v>0</v>
      </c>
      <c r="P109" s="319"/>
      <c r="Q109" s="270">
        <f>(Q108-V062A_203031333436353739404142[[#This Row],[TOTAL ]])+V062A_203031333436353739404142[[#This Row],[FAENA]]</f>
        <v>517.25</v>
      </c>
      <c r="R109" s="245"/>
      <c r="S109" s="246"/>
      <c r="T109" s="246"/>
      <c r="U109" s="246"/>
      <c r="V109" s="246"/>
      <c r="W109" s="246">
        <f>SUM(V062A_203031333436353739404142[[#This Row],[MPAL2]:[GI]])</f>
        <v>0</v>
      </c>
      <c r="X109" s="246"/>
      <c r="Y109" s="300">
        <f>(Y108-V062A_203031333436353739404142[[#This Row],[TOTAL]])+V062A_203031333436353739404142[[#This Row],[FAENA2]]</f>
        <v>54.540000000000006</v>
      </c>
      <c r="Z109" s="245"/>
      <c r="AA109" s="246"/>
      <c r="AB109" s="438">
        <f>(AB108-V062A_203031333436353739404142[[#This Row],[CYLINDER MP]])+V062A_203031333436353739404142[[#This Row],[FAENA EN LTS]]</f>
        <v>4446</v>
      </c>
      <c r="AC109" s="246"/>
      <c r="AD109" s="246"/>
      <c r="AE109" s="438">
        <f>(AE108-V062A_203031333436353739404142[[#This Row],[CARTER MP.]])+V062A_203031333436353739404142[[#This Row],[FAENA EN LTS2]]</f>
        <v>6200</v>
      </c>
      <c r="AF109" s="246"/>
      <c r="AG109" s="246"/>
      <c r="AH109" s="438">
        <f>(AH108-V062A_203031333436353739404142[[#This Row],[MOT AUX]])+V062A_203031333436353739404142[[#This Row],[FAENA EN  LTS]]</f>
        <v>3570</v>
      </c>
      <c r="AI109" s="246"/>
      <c r="AJ109" s="246"/>
      <c r="AK109" s="439">
        <f>(AK108-V062A_203031333436353739404142[[#This Row],[HIDRAULICO]])+V062A_203031333436353739404142[[#This Row],[FAENA EN LTS3]]</f>
        <v>1550</v>
      </c>
    </row>
    <row r="110" spans="1:37" x14ac:dyDescent="0.25">
      <c r="A110" s="431"/>
      <c r="B110" s="526"/>
      <c r="C110" s="237"/>
      <c r="D110" s="418">
        <f>IF(V062A_203031333436353739404142[[#This Row],[FECHA]]-B109=1,((V062A_203031333436353739404142[[#This Row],[HORA]]-C109)*24)+24,(V062A_203031333436353739404142[[#This Row],[HORA]]-C109)*24)</f>
        <v>0</v>
      </c>
      <c r="E110" s="527"/>
      <c r="F110" s="528"/>
      <c r="G110" s="529"/>
      <c r="H110" s="530"/>
      <c r="I110" s="531"/>
      <c r="J110" s="532"/>
      <c r="K110" s="533"/>
      <c r="L110" s="245"/>
      <c r="M110" s="246"/>
      <c r="N110" s="246"/>
      <c r="O110" s="246">
        <f>SUM(V062A_203031333436353739404142[[#This Row],[MPAL]]+V062A_203031333436353739404142[[#This Row],[AUX.]]+V062A_203031333436353739404142[[#This Row],[CALDERA]])</f>
        <v>0</v>
      </c>
      <c r="P110" s="319"/>
      <c r="Q110" s="270">
        <f>(Q109-V062A_203031333436353739404142[[#This Row],[TOTAL ]])+V062A_203031333436353739404142[[#This Row],[FAENA]]</f>
        <v>517.25</v>
      </c>
      <c r="R110" s="245"/>
      <c r="S110" s="246"/>
      <c r="T110" s="246"/>
      <c r="U110" s="246"/>
      <c r="V110" s="246"/>
      <c r="W110" s="246">
        <f>SUM(V062A_203031333436353739404142[[#This Row],[MPAL2]:[GI]])</f>
        <v>0</v>
      </c>
      <c r="X110" s="246"/>
      <c r="Y110" s="300">
        <f>(Y109-V062A_203031333436353739404142[[#This Row],[TOTAL]])+V062A_203031333436353739404142[[#This Row],[FAENA2]]</f>
        <v>54.540000000000006</v>
      </c>
      <c r="Z110" s="245"/>
      <c r="AA110" s="246"/>
      <c r="AB110" s="438">
        <f>(AB109-V062A_203031333436353739404142[[#This Row],[CYLINDER MP]])+V062A_203031333436353739404142[[#This Row],[FAENA EN LTS]]</f>
        <v>4446</v>
      </c>
      <c r="AC110" s="246"/>
      <c r="AD110" s="246"/>
      <c r="AE110" s="438">
        <f>(AE109-V062A_203031333436353739404142[[#This Row],[CARTER MP.]])+V062A_203031333436353739404142[[#This Row],[FAENA EN LTS2]]</f>
        <v>6200</v>
      </c>
      <c r="AF110" s="246"/>
      <c r="AG110" s="246"/>
      <c r="AH110" s="438">
        <f>(AH109-V062A_203031333436353739404142[[#This Row],[MOT AUX]])+V062A_203031333436353739404142[[#This Row],[FAENA EN  LTS]]</f>
        <v>3570</v>
      </c>
      <c r="AI110" s="246"/>
      <c r="AJ110" s="246"/>
      <c r="AK110" s="439">
        <f>(AK109-V062A_203031333436353739404142[[#This Row],[HIDRAULICO]])+V062A_203031333436353739404142[[#This Row],[FAENA EN LTS3]]</f>
        <v>1550</v>
      </c>
    </row>
    <row r="111" spans="1:37" x14ac:dyDescent="0.25">
      <c r="A111" s="431"/>
      <c r="B111" s="526"/>
      <c r="C111" s="237"/>
      <c r="D111" s="418">
        <f>IF(V062A_203031333436353739404142[[#This Row],[FECHA]]-B110=1,((V062A_203031333436353739404142[[#This Row],[HORA]]-C110)*24)+24,(V062A_203031333436353739404142[[#This Row],[HORA]]-C110)*24)</f>
        <v>0</v>
      </c>
      <c r="E111" s="527"/>
      <c r="F111" s="528"/>
      <c r="G111" s="529"/>
      <c r="H111" s="530"/>
      <c r="I111" s="531"/>
      <c r="J111" s="532"/>
      <c r="K111" s="533"/>
      <c r="L111" s="245"/>
      <c r="M111" s="246"/>
      <c r="N111" s="246"/>
      <c r="O111" s="246">
        <f>SUM(V062A_203031333436353739404142[[#This Row],[MPAL]]+V062A_203031333436353739404142[[#This Row],[AUX.]]+V062A_203031333436353739404142[[#This Row],[CALDERA]])</f>
        <v>0</v>
      </c>
      <c r="P111" s="319"/>
      <c r="Q111" s="270">
        <f>(Q110-V062A_203031333436353739404142[[#This Row],[TOTAL ]])+V062A_203031333436353739404142[[#This Row],[FAENA]]</f>
        <v>517.25</v>
      </c>
      <c r="R111" s="245"/>
      <c r="S111" s="246"/>
      <c r="T111" s="246"/>
      <c r="U111" s="246"/>
      <c r="V111" s="246"/>
      <c r="W111" s="246">
        <f>SUM(V062A_203031333436353739404142[[#This Row],[MPAL2]:[GI]])</f>
        <v>0</v>
      </c>
      <c r="X111" s="246"/>
      <c r="Y111" s="300">
        <f>(Y110-V062A_203031333436353739404142[[#This Row],[TOTAL]])+V062A_203031333436353739404142[[#This Row],[FAENA2]]</f>
        <v>54.540000000000006</v>
      </c>
      <c r="Z111" s="245"/>
      <c r="AA111" s="246"/>
      <c r="AB111" s="438">
        <f>(AB110-V062A_203031333436353739404142[[#This Row],[CYLINDER MP]])+V062A_203031333436353739404142[[#This Row],[FAENA EN LTS]]</f>
        <v>4446</v>
      </c>
      <c r="AC111" s="246"/>
      <c r="AD111" s="246"/>
      <c r="AE111" s="438">
        <f>(AE110-V062A_203031333436353739404142[[#This Row],[CARTER MP.]])+V062A_203031333436353739404142[[#This Row],[FAENA EN LTS2]]</f>
        <v>6200</v>
      </c>
      <c r="AF111" s="246"/>
      <c r="AG111" s="246"/>
      <c r="AH111" s="438">
        <f>(AH110-V062A_203031333436353739404142[[#This Row],[MOT AUX]])+V062A_203031333436353739404142[[#This Row],[FAENA EN  LTS]]</f>
        <v>3570</v>
      </c>
      <c r="AI111" s="246"/>
      <c r="AJ111" s="246"/>
      <c r="AK111" s="439">
        <f>(AK110-V062A_203031333436353739404142[[#This Row],[HIDRAULICO]])+V062A_203031333436353739404142[[#This Row],[FAENA EN LTS3]]</f>
        <v>1550</v>
      </c>
    </row>
    <row r="112" spans="1:37" x14ac:dyDescent="0.25">
      <c r="A112" s="431"/>
      <c r="B112" s="526"/>
      <c r="C112" s="237"/>
      <c r="D112" s="418">
        <f>IF(V062A_203031333436353739404142[[#This Row],[FECHA]]-B111=1,((V062A_203031333436353739404142[[#This Row],[HORA]]-C111)*24)+24,(V062A_203031333436353739404142[[#This Row],[HORA]]-C111)*24)</f>
        <v>0</v>
      </c>
      <c r="E112" s="527"/>
      <c r="F112" s="528"/>
      <c r="G112" s="529"/>
      <c r="H112" s="530"/>
      <c r="I112" s="531"/>
      <c r="J112" s="532"/>
      <c r="K112" s="533"/>
      <c r="L112" s="245"/>
      <c r="M112" s="246"/>
      <c r="N112" s="246"/>
      <c r="O112" s="246">
        <f>SUM(V062A_203031333436353739404142[[#This Row],[MPAL]]+V062A_203031333436353739404142[[#This Row],[AUX.]]+V062A_203031333436353739404142[[#This Row],[CALDERA]])</f>
        <v>0</v>
      </c>
      <c r="P112" s="319"/>
      <c r="Q112" s="270">
        <f>(Q111-V062A_203031333436353739404142[[#This Row],[TOTAL ]])+V062A_203031333436353739404142[[#This Row],[FAENA]]</f>
        <v>517.25</v>
      </c>
      <c r="R112" s="245"/>
      <c r="S112" s="246"/>
      <c r="T112" s="246"/>
      <c r="U112" s="246"/>
      <c r="V112" s="246"/>
      <c r="W112" s="246">
        <f>SUM(V062A_203031333436353739404142[[#This Row],[MPAL2]:[GI]])</f>
        <v>0</v>
      </c>
      <c r="X112" s="246"/>
      <c r="Y112" s="300">
        <f>(Y111-V062A_203031333436353739404142[[#This Row],[TOTAL]])+V062A_203031333436353739404142[[#This Row],[FAENA2]]</f>
        <v>54.540000000000006</v>
      </c>
      <c r="Z112" s="245"/>
      <c r="AA112" s="246"/>
      <c r="AB112" s="438">
        <f>(AB111-V062A_203031333436353739404142[[#This Row],[CYLINDER MP]])+V062A_203031333436353739404142[[#This Row],[FAENA EN LTS]]</f>
        <v>4446</v>
      </c>
      <c r="AC112" s="246"/>
      <c r="AD112" s="246"/>
      <c r="AE112" s="438">
        <f>(AE111-V062A_203031333436353739404142[[#This Row],[CARTER MP.]])+V062A_203031333436353739404142[[#This Row],[FAENA EN LTS2]]</f>
        <v>6200</v>
      </c>
      <c r="AF112" s="246"/>
      <c r="AG112" s="246"/>
      <c r="AH112" s="438">
        <f>(AH111-V062A_203031333436353739404142[[#This Row],[MOT AUX]])+V062A_203031333436353739404142[[#This Row],[FAENA EN  LTS]]</f>
        <v>3570</v>
      </c>
      <c r="AI112" s="246"/>
      <c r="AJ112" s="246"/>
      <c r="AK112" s="439">
        <f>(AK111-V062A_203031333436353739404142[[#This Row],[HIDRAULICO]])+V062A_203031333436353739404142[[#This Row],[FAENA EN LTS3]]</f>
        <v>1550</v>
      </c>
    </row>
    <row r="113" spans="1:37" x14ac:dyDescent="0.25">
      <c r="A113" s="431"/>
      <c r="B113" s="526"/>
      <c r="C113" s="237"/>
      <c r="D113" s="418">
        <f>IF(V062A_203031333436353739404142[[#This Row],[FECHA]]-B112=1,((V062A_203031333436353739404142[[#This Row],[HORA]]-C112)*24)+24,(V062A_203031333436353739404142[[#This Row],[HORA]]-C112)*24)</f>
        <v>0</v>
      </c>
      <c r="E113" s="527"/>
      <c r="F113" s="528"/>
      <c r="G113" s="529"/>
      <c r="H113" s="530"/>
      <c r="I113" s="531"/>
      <c r="J113" s="532"/>
      <c r="K113" s="533"/>
      <c r="L113" s="245"/>
      <c r="M113" s="246"/>
      <c r="N113" s="246"/>
      <c r="O113" s="246">
        <f>SUM(V062A_203031333436353739404142[[#This Row],[MPAL]]+V062A_203031333436353739404142[[#This Row],[AUX.]]+V062A_203031333436353739404142[[#This Row],[CALDERA]])</f>
        <v>0</v>
      </c>
      <c r="P113" s="319"/>
      <c r="Q113" s="270">
        <f>(Q112-V062A_203031333436353739404142[[#This Row],[TOTAL ]])+V062A_203031333436353739404142[[#This Row],[FAENA]]</f>
        <v>517.25</v>
      </c>
      <c r="R113" s="245"/>
      <c r="S113" s="246"/>
      <c r="T113" s="246"/>
      <c r="U113" s="246"/>
      <c r="V113" s="246"/>
      <c r="W113" s="246">
        <f>SUM(V062A_203031333436353739404142[[#This Row],[MPAL2]:[GI]])</f>
        <v>0</v>
      </c>
      <c r="X113" s="246"/>
      <c r="Y113" s="300">
        <f>(Y111-V062A_203031333436353739404142[[#This Row],[TOTAL]])+V062A_203031333436353739404142[[#This Row],[FAENA2]]</f>
        <v>54.540000000000006</v>
      </c>
      <c r="Z113" s="245"/>
      <c r="AA113" s="246"/>
      <c r="AB113" s="438">
        <f>(AB112-V062A_203031333436353739404142[[#This Row],[CYLINDER MP]])+V062A_203031333436353739404142[[#This Row],[FAENA EN LTS]]</f>
        <v>4446</v>
      </c>
      <c r="AC113" s="246"/>
      <c r="AD113" s="246"/>
      <c r="AE113" s="438">
        <f>(AE111-V062A_203031333436353739404142[[#This Row],[CARTER MP.]])+V062A_203031333436353739404142[[#This Row],[FAENA EN LTS2]]</f>
        <v>6200</v>
      </c>
      <c r="AF113" s="246"/>
      <c r="AG113" s="246"/>
      <c r="AH113" s="438">
        <f>(AH111-V062A_203031333436353739404142[[#This Row],[MOT AUX]])+V062A_203031333436353739404142[[#This Row],[FAENA EN  LTS]]</f>
        <v>3570</v>
      </c>
      <c r="AI113" s="246"/>
      <c r="AJ113" s="246"/>
      <c r="AK113" s="439">
        <f>(AK111-V062A_203031333436353739404142[[#This Row],[HIDRAULICO]])+V062A_203031333436353739404142[[#This Row],[FAENA EN LTS3]]</f>
        <v>1550</v>
      </c>
    </row>
    <row r="114" spans="1:37" x14ac:dyDescent="0.25">
      <c r="A114" s="431"/>
      <c r="B114" s="526"/>
      <c r="C114" s="237"/>
      <c r="D114" s="418">
        <f>IF(V062A_203031333436353739404142[[#This Row],[FECHA]]-B113=1,((V062A_203031333436353739404142[[#This Row],[HORA]]-C113)*24)+24,(V062A_203031333436353739404142[[#This Row],[HORA]]-C113)*24)</f>
        <v>0</v>
      </c>
      <c r="E114" s="527"/>
      <c r="F114" s="528"/>
      <c r="G114" s="529"/>
      <c r="H114" s="530"/>
      <c r="I114" s="531"/>
      <c r="J114" s="532"/>
      <c r="K114" s="533"/>
      <c r="L114" s="245"/>
      <c r="M114" s="246"/>
      <c r="N114" s="246"/>
      <c r="O114" s="246">
        <f>SUM(V062A_203031333436353739404142[[#This Row],[MPAL]]+V062A_203031333436353739404142[[#This Row],[AUX.]]+V062A_203031333436353739404142[[#This Row],[CALDERA]])</f>
        <v>0</v>
      </c>
      <c r="P114" s="319"/>
      <c r="Q114" s="270">
        <f>(Q113-V062A_203031333436353739404142[[#This Row],[TOTAL ]])+V062A_203031333436353739404142[[#This Row],[FAENA]]</f>
        <v>517.25</v>
      </c>
      <c r="R114" s="245"/>
      <c r="S114" s="246"/>
      <c r="T114" s="246"/>
      <c r="U114" s="246"/>
      <c r="V114" s="246"/>
      <c r="W114" s="246">
        <f>SUM(V062A_203031333436353739404142[[#This Row],[MPAL2]:[GI]])</f>
        <v>0</v>
      </c>
      <c r="X114" s="246"/>
      <c r="Y114" s="300">
        <f>(Y113-V062A_203031333436353739404142[[#This Row],[TOTAL]])+V062A_203031333436353739404142[[#This Row],[FAENA2]]</f>
        <v>54.540000000000006</v>
      </c>
      <c r="Z114" s="245"/>
      <c r="AA114" s="246"/>
      <c r="AB114" s="438">
        <f>(AB113-V062A_203031333436353739404142[[#This Row],[CYLINDER MP]])+V062A_203031333436353739404142[[#This Row],[FAENA EN LTS]]</f>
        <v>4446</v>
      </c>
      <c r="AC114" s="246"/>
      <c r="AD114" s="246"/>
      <c r="AE114" s="438">
        <f>(AE113-V062A_203031333436353739404142[[#This Row],[CARTER MP.]])+V062A_203031333436353739404142[[#This Row],[FAENA EN LTS2]]</f>
        <v>6200</v>
      </c>
      <c r="AF114" s="246"/>
      <c r="AG114" s="246"/>
      <c r="AH114" s="438">
        <f>(AH113-V062A_203031333436353739404142[[#This Row],[MOT AUX]])+V062A_203031333436353739404142[[#This Row],[FAENA EN  LTS]]</f>
        <v>3570</v>
      </c>
      <c r="AI114" s="246"/>
      <c r="AJ114" s="246"/>
      <c r="AK114" s="439">
        <f>(AK113-V062A_203031333436353739404142[[#This Row],[HIDRAULICO]])+V062A_203031333436353739404142[[#This Row],[FAENA EN LTS3]]</f>
        <v>1550</v>
      </c>
    </row>
    <row r="115" spans="1:37" x14ac:dyDescent="0.25">
      <c r="A115" s="431"/>
      <c r="B115" s="526"/>
      <c r="C115" s="237"/>
      <c r="D115" s="418">
        <f>IF(V062A_203031333436353739404142[[#This Row],[FECHA]]-B114=1,((V062A_203031333436353739404142[[#This Row],[HORA]]-C114)*24)+24,(V062A_203031333436353739404142[[#This Row],[HORA]]-C114)*24)</f>
        <v>0</v>
      </c>
      <c r="E115" s="527"/>
      <c r="F115" s="528"/>
      <c r="G115" s="529"/>
      <c r="H115" s="530"/>
      <c r="I115" s="531"/>
      <c r="J115" s="532"/>
      <c r="K115" s="533"/>
      <c r="L115" s="245"/>
      <c r="M115" s="246"/>
      <c r="N115" s="246"/>
      <c r="O115" s="246">
        <f>SUM(V062A_203031333436353739404142[[#This Row],[MPAL]]+V062A_203031333436353739404142[[#This Row],[AUX.]]+V062A_203031333436353739404142[[#This Row],[CALDERA]])</f>
        <v>0</v>
      </c>
      <c r="P115" s="319"/>
      <c r="Q115" s="270">
        <f>(Q114-V062A_203031333436353739404142[[#This Row],[TOTAL ]])+V062A_203031333436353739404142[[#This Row],[FAENA]]</f>
        <v>517.25</v>
      </c>
      <c r="R115" s="245"/>
      <c r="S115" s="246"/>
      <c r="T115" s="246"/>
      <c r="U115" s="246"/>
      <c r="V115" s="246"/>
      <c r="W115" s="246">
        <f>SUM(V062A_203031333436353739404142[[#This Row],[MPAL2]:[GI]])</f>
        <v>0</v>
      </c>
      <c r="X115" s="246"/>
      <c r="Y115" s="300">
        <f>(Y114-V062A_203031333436353739404142[[#This Row],[TOTAL]])+V062A_203031333436353739404142[[#This Row],[FAENA2]]</f>
        <v>54.540000000000006</v>
      </c>
      <c r="Z115" s="245"/>
      <c r="AA115" s="246"/>
      <c r="AB115" s="438">
        <f>(AB114-V062A_203031333436353739404142[[#This Row],[CYLINDER MP]])+V062A_203031333436353739404142[[#This Row],[FAENA EN LTS]]</f>
        <v>4446</v>
      </c>
      <c r="AC115" s="246"/>
      <c r="AD115" s="246"/>
      <c r="AE115" s="438">
        <f>(AE114-V062A_203031333436353739404142[[#This Row],[CARTER MP.]])+V062A_203031333436353739404142[[#This Row],[FAENA EN LTS2]]</f>
        <v>6200</v>
      </c>
      <c r="AF115" s="246"/>
      <c r="AG115" s="246"/>
      <c r="AH115" s="438">
        <f>(AH114-V062A_203031333436353739404142[[#This Row],[MOT AUX]])+V062A_203031333436353739404142[[#This Row],[FAENA EN  LTS]]</f>
        <v>3570</v>
      </c>
      <c r="AI115" s="246"/>
      <c r="AJ115" s="246"/>
      <c r="AK115" s="439">
        <f>(AK114-V062A_203031333436353739404142[[#This Row],[HIDRAULICO]])+V062A_203031333436353739404142[[#This Row],[FAENA EN LTS3]]</f>
        <v>1550</v>
      </c>
    </row>
    <row r="116" spans="1:37" x14ac:dyDescent="0.25">
      <c r="A116" s="431"/>
      <c r="B116" s="526"/>
      <c r="C116" s="237"/>
      <c r="D116" s="418">
        <f>IF(V062A_203031333436353739404142[[#This Row],[FECHA]]-B115=1,((V062A_203031333436353739404142[[#This Row],[HORA]]-C115)*24)+24,(V062A_203031333436353739404142[[#This Row],[HORA]]-C115)*24)</f>
        <v>0</v>
      </c>
      <c r="E116" s="527"/>
      <c r="F116" s="528"/>
      <c r="G116" s="529"/>
      <c r="H116" s="530"/>
      <c r="I116" s="531"/>
      <c r="J116" s="532"/>
      <c r="K116" s="533"/>
      <c r="L116" s="245"/>
      <c r="M116" s="246"/>
      <c r="N116" s="246"/>
      <c r="O116" s="246">
        <f>SUM(V062A_203031333436353739404142[[#This Row],[MPAL]]+V062A_203031333436353739404142[[#This Row],[AUX.]]+V062A_203031333436353739404142[[#This Row],[CALDERA]])</f>
        <v>0</v>
      </c>
      <c r="P116" s="319"/>
      <c r="Q116" s="270">
        <f>(Q115-V062A_203031333436353739404142[[#This Row],[TOTAL ]])+V062A_203031333436353739404142[[#This Row],[FAENA]]</f>
        <v>517.25</v>
      </c>
      <c r="R116" s="245"/>
      <c r="S116" s="246"/>
      <c r="T116" s="246"/>
      <c r="U116" s="246"/>
      <c r="V116" s="246"/>
      <c r="W116" s="246">
        <f>SUM(V062A_203031333436353739404142[[#This Row],[MPAL2]:[GI]])</f>
        <v>0</v>
      </c>
      <c r="X116" s="246"/>
      <c r="Y116" s="300">
        <f>(Y115-V062A_203031333436353739404142[[#This Row],[TOTAL]])+V062A_203031333436353739404142[[#This Row],[FAENA2]]</f>
        <v>54.540000000000006</v>
      </c>
      <c r="Z116" s="245"/>
      <c r="AA116" s="246"/>
      <c r="AB116" s="438">
        <f>(AB115-V062A_203031333436353739404142[[#This Row],[CYLINDER MP]])+V062A_203031333436353739404142[[#This Row],[FAENA EN LTS]]</f>
        <v>4446</v>
      </c>
      <c r="AC116" s="246"/>
      <c r="AD116" s="246"/>
      <c r="AE116" s="438">
        <f>(AE115-V062A_203031333436353739404142[[#This Row],[CARTER MP.]])+V062A_203031333436353739404142[[#This Row],[FAENA EN LTS2]]</f>
        <v>6200</v>
      </c>
      <c r="AF116" s="246"/>
      <c r="AG116" s="246"/>
      <c r="AH116" s="438">
        <f>(AH115-V062A_203031333436353739404142[[#This Row],[MOT AUX]])+V062A_203031333436353739404142[[#This Row],[FAENA EN  LTS]]</f>
        <v>3570</v>
      </c>
      <c r="AI116" s="246"/>
      <c r="AJ116" s="246"/>
      <c r="AK116" s="439">
        <f>(AK115-V062A_203031333436353739404142[[#This Row],[HIDRAULICO]])+V062A_203031333436353739404142[[#This Row],[FAENA EN LTS3]]</f>
        <v>1550</v>
      </c>
    </row>
    <row r="117" spans="1:37" x14ac:dyDescent="0.25">
      <c r="A117" s="431"/>
      <c r="B117" s="469"/>
      <c r="C117" s="237"/>
      <c r="D117" s="418">
        <f>IF(V062A_203031333436353739404142[[#This Row],[FECHA]]-B116=1,((V062A_203031333436353739404142[[#This Row],[HORA]]-C116)*24)+24,(V062A_203031333436353739404142[[#This Row],[HORA]]-C116)*24)</f>
        <v>0</v>
      </c>
      <c r="E117" s="527"/>
      <c r="F117" s="528"/>
      <c r="G117" s="529"/>
      <c r="H117" s="530"/>
      <c r="I117" s="531"/>
      <c r="J117" s="532"/>
      <c r="K117" s="533"/>
      <c r="L117" s="245"/>
      <c r="M117" s="246"/>
      <c r="N117" s="246"/>
      <c r="O117" s="246">
        <f>SUM(V062A_203031333436353739404142[[#This Row],[MPAL]]+V062A_203031333436353739404142[[#This Row],[AUX.]]+V062A_203031333436353739404142[[#This Row],[CALDERA]])</f>
        <v>0</v>
      </c>
      <c r="P117" s="319"/>
      <c r="Q117" s="270">
        <f>(Q116-V062A_203031333436353739404142[[#This Row],[TOTAL ]])+V062A_203031333436353739404142[[#This Row],[FAENA]]</f>
        <v>517.25</v>
      </c>
      <c r="R117" s="245"/>
      <c r="S117" s="246"/>
      <c r="T117" s="246"/>
      <c r="U117" s="246"/>
      <c r="V117" s="246"/>
      <c r="W117" s="246">
        <f>SUM(V062A_203031333436353739404142[[#This Row],[MPAL2]:[GI]])</f>
        <v>0</v>
      </c>
      <c r="X117" s="246"/>
      <c r="Y117" s="300">
        <f>(Y116-V062A_203031333436353739404142[[#This Row],[TOTAL]])+V062A_203031333436353739404142[[#This Row],[FAENA2]]</f>
        <v>54.540000000000006</v>
      </c>
      <c r="Z117" s="245"/>
      <c r="AA117" s="246"/>
      <c r="AB117" s="438">
        <f>(AB116-V062A_203031333436353739404142[[#This Row],[CYLINDER MP]])+V062A_203031333436353739404142[[#This Row],[FAENA EN LTS]]</f>
        <v>4446</v>
      </c>
      <c r="AC117" s="246"/>
      <c r="AD117" s="246"/>
      <c r="AE117" s="438">
        <f>(AE116-V062A_203031333436353739404142[[#This Row],[CARTER MP.]])+V062A_203031333436353739404142[[#This Row],[FAENA EN LTS2]]</f>
        <v>6200</v>
      </c>
      <c r="AF117" s="246"/>
      <c r="AG117" s="246"/>
      <c r="AH117" s="438">
        <f>(AH116-V062A_203031333436353739404142[[#This Row],[MOT AUX]])+V062A_203031333436353739404142[[#This Row],[FAENA EN  LTS]]</f>
        <v>3570</v>
      </c>
      <c r="AI117" s="246"/>
      <c r="AJ117" s="246"/>
      <c r="AK117" s="439">
        <f>(AK116-V062A_203031333436353739404142[[#This Row],[HIDRAULICO]])+V062A_203031333436353739404142[[#This Row],[FAENA EN LTS3]]</f>
        <v>1550</v>
      </c>
    </row>
    <row r="118" spans="1:37" x14ac:dyDescent="0.25">
      <c r="A118" s="431"/>
      <c r="B118" s="526"/>
      <c r="C118" s="237"/>
      <c r="D118" s="418">
        <f>IF(V062A_203031333436353739404142[[#This Row],[FECHA]]-B117=1,((V062A_203031333436353739404142[[#This Row],[HORA]]-C117)*24)+24,(V062A_203031333436353739404142[[#This Row],[HORA]]-C117)*24)</f>
        <v>0</v>
      </c>
      <c r="E118" s="506"/>
      <c r="F118" s="29"/>
      <c r="G118" s="508"/>
      <c r="H118" s="509"/>
      <c r="I118" s="510"/>
      <c r="J118" s="511"/>
      <c r="K118" s="512"/>
      <c r="L118" s="245"/>
      <c r="M118" s="246"/>
      <c r="N118" s="246"/>
      <c r="O118" s="246">
        <f>SUM(V062A_203031333436353739404142[[#This Row],[MPAL]]+V062A_203031333436353739404142[[#This Row],[AUX.]]+V062A_203031333436353739404142[[#This Row],[CALDERA]])</f>
        <v>0</v>
      </c>
      <c r="P118" s="319"/>
      <c r="Q118" s="270">
        <f>(Q117-V062A_203031333436353739404142[[#This Row],[TOTAL ]])+V062A_203031333436353739404142[[#This Row],[FAENA]]</f>
        <v>517.25</v>
      </c>
      <c r="R118" s="245"/>
      <c r="S118" s="246"/>
      <c r="T118" s="246"/>
      <c r="U118" s="246"/>
      <c r="V118" s="246"/>
      <c r="W118" s="246">
        <f>SUM(V062A_203031333436353739404142[[#This Row],[MPAL2]:[GI]])</f>
        <v>0</v>
      </c>
      <c r="X118" s="246"/>
      <c r="Y118" s="300">
        <f>(Y117-V062A_203031333436353739404142[[#This Row],[TOTAL]])+V062A_203031333436353739404142[[#This Row],[FAENA2]]</f>
        <v>54.540000000000006</v>
      </c>
      <c r="Z118" s="245"/>
      <c r="AA118" s="246"/>
      <c r="AB118" s="438">
        <f>(AB117-V062A_203031333436353739404142[[#This Row],[CYLINDER MP]])+V062A_203031333436353739404142[[#This Row],[FAENA EN LTS]]</f>
        <v>4446</v>
      </c>
      <c r="AC118" s="246"/>
      <c r="AD118" s="246"/>
      <c r="AE118" s="438">
        <f>(AE117-V062A_203031333436353739404142[[#This Row],[CARTER MP.]])+V062A_203031333436353739404142[[#This Row],[FAENA EN LTS2]]</f>
        <v>6200</v>
      </c>
      <c r="AF118" s="246"/>
      <c r="AG118" s="246"/>
      <c r="AH118" s="438">
        <f>(AH117-V062A_203031333436353739404142[[#This Row],[MOT AUX]])+V062A_203031333436353739404142[[#This Row],[FAENA EN  LTS]]</f>
        <v>3570</v>
      </c>
      <c r="AI118" s="246"/>
      <c r="AJ118" s="246"/>
      <c r="AK118" s="439">
        <f>(AK117-V062A_203031333436353739404142[[#This Row],[HIDRAULICO]])+V062A_203031333436353739404142[[#This Row],[FAENA EN LTS3]]</f>
        <v>1550</v>
      </c>
    </row>
    <row r="119" spans="1:37" x14ac:dyDescent="0.25">
      <c r="A119" s="453"/>
      <c r="B119" s="454"/>
      <c r="C119" s="455"/>
      <c r="D119" s="481"/>
      <c r="E119" s="457"/>
      <c r="F119" s="458"/>
      <c r="G119" s="459"/>
      <c r="H119" s="460"/>
      <c r="I119" s="461"/>
      <c r="J119" s="459"/>
      <c r="K119" s="459"/>
      <c r="L119" s="68"/>
      <c r="M119" s="68"/>
      <c r="N119" s="68"/>
      <c r="P119" s="462"/>
      <c r="Q119" s="456"/>
      <c r="R119" s="456"/>
      <c r="S119" s="456"/>
      <c r="T119" s="456"/>
      <c r="U119" s="456"/>
      <c r="V119" s="456"/>
      <c r="W119" s="456"/>
      <c r="X119" s="456"/>
      <c r="Y119" s="463"/>
      <c r="Z119" s="463"/>
      <c r="AA119" s="463"/>
      <c r="AB119" s="464"/>
      <c r="AC119" s="463"/>
      <c r="AD119" s="463"/>
      <c r="AE119" s="464"/>
      <c r="AF119" s="456"/>
      <c r="AG119" s="456"/>
      <c r="AH119" s="465"/>
      <c r="AI119" s="456"/>
      <c r="AJ119" s="456"/>
      <c r="AK119" s="465"/>
    </row>
    <row r="120" spans="1:37" x14ac:dyDescent="0.25">
      <c r="A120" s="453"/>
      <c r="B120" s="454"/>
      <c r="C120" s="455"/>
      <c r="D120" s="456"/>
      <c r="E120" s="457"/>
      <c r="F120" s="458"/>
      <c r="G120" s="459"/>
      <c r="H120" s="460"/>
      <c r="I120" s="461"/>
      <c r="J120" s="459"/>
      <c r="K120" s="459"/>
      <c r="O120" s="67">
        <f>SUM(L119:N119)</f>
        <v>0</v>
      </c>
      <c r="P120" s="462"/>
      <c r="Q120" s="456"/>
      <c r="R120" s="456"/>
      <c r="S120" s="456"/>
      <c r="T120" s="456"/>
      <c r="U120" s="456"/>
      <c r="V120" s="456"/>
      <c r="W120" s="456"/>
      <c r="X120" s="456"/>
      <c r="Y120" s="463"/>
      <c r="Z120" s="463"/>
      <c r="AA120" s="463"/>
      <c r="AB120" s="464"/>
      <c r="AC120" s="463"/>
      <c r="AD120" s="463"/>
      <c r="AE120" s="464"/>
      <c r="AF120" s="456"/>
      <c r="AG120" s="456"/>
      <c r="AH120" s="465"/>
      <c r="AI120" s="456"/>
      <c r="AJ120" s="456"/>
      <c r="AK120" s="465"/>
    </row>
    <row r="121" spans="1:37" x14ac:dyDescent="0.25">
      <c r="A121" s="453"/>
      <c r="B121" s="454"/>
      <c r="C121" s="455"/>
      <c r="D121" s="456"/>
      <c r="E121" s="457"/>
      <c r="F121" s="458"/>
      <c r="G121" s="459"/>
      <c r="H121" s="460"/>
      <c r="I121" s="461"/>
      <c r="J121" s="459"/>
      <c r="K121" s="459"/>
      <c r="L121" s="456"/>
      <c r="M121" s="456"/>
      <c r="N121" s="456"/>
      <c r="O121" s="456"/>
      <c r="P121" s="462"/>
      <c r="Q121" s="456"/>
      <c r="R121" s="456"/>
      <c r="S121" s="456"/>
      <c r="T121" s="456"/>
      <c r="U121" s="456"/>
      <c r="V121" s="456"/>
      <c r="W121" s="456"/>
      <c r="X121" s="456"/>
      <c r="Y121" s="463"/>
      <c r="Z121" s="463"/>
      <c r="AA121" s="463"/>
      <c r="AB121" s="464"/>
      <c r="AC121" s="463"/>
      <c r="AD121" s="463"/>
      <c r="AE121" s="464"/>
      <c r="AF121" s="456"/>
      <c r="AG121" s="456"/>
      <c r="AH121" s="465"/>
      <c r="AI121" s="456"/>
      <c r="AJ121" s="456"/>
      <c r="AK121" s="465"/>
    </row>
    <row r="122" spans="1:37" x14ac:dyDescent="0.25">
      <c r="A122" s="453"/>
      <c r="B122" s="454"/>
      <c r="C122" s="455"/>
      <c r="D122" s="456"/>
      <c r="E122" s="457"/>
      <c r="F122" s="458"/>
      <c r="G122" s="459"/>
      <c r="H122" s="460"/>
      <c r="I122" s="461"/>
      <c r="J122" s="459"/>
      <c r="K122" s="459"/>
      <c r="L122" s="456"/>
      <c r="M122" s="456"/>
      <c r="N122" s="456"/>
      <c r="O122" s="456"/>
      <c r="P122" s="462"/>
      <c r="Q122" s="456"/>
      <c r="R122" s="456"/>
      <c r="S122" s="456"/>
      <c r="T122" s="456"/>
      <c r="U122" s="456"/>
      <c r="V122" s="456"/>
      <c r="W122" s="456"/>
      <c r="X122" s="456"/>
      <c r="Y122" s="463"/>
      <c r="Z122" s="463"/>
      <c r="AA122" s="463"/>
      <c r="AB122" s="464"/>
      <c r="AC122" s="463"/>
      <c r="AD122" s="463"/>
      <c r="AE122" s="464"/>
      <c r="AF122" s="456"/>
      <c r="AG122" s="456"/>
      <c r="AH122" s="465"/>
      <c r="AI122" s="456"/>
      <c r="AJ122" s="456"/>
      <c r="AK122" s="465"/>
    </row>
    <row r="123" spans="1:37" ht="19.5" thickBot="1" x14ac:dyDescent="0.35">
      <c r="C123" s="69" t="s">
        <v>187</v>
      </c>
      <c r="D123" s="69"/>
      <c r="E123" s="69"/>
      <c r="F123" s="467"/>
      <c r="G123" s="69"/>
      <c r="N123" s="69"/>
      <c r="O123" s="69"/>
      <c r="Q123" s="466"/>
      <c r="S123" s="70" t="s">
        <v>188</v>
      </c>
      <c r="AF123" s="466"/>
      <c r="AG123" s="466"/>
      <c r="AH123" s="466"/>
      <c r="AI123" s="466"/>
      <c r="AJ123" s="466"/>
      <c r="AK123" s="466"/>
    </row>
    <row r="124" spans="1:37" ht="19.5" thickBot="1" x14ac:dyDescent="0.35">
      <c r="C124" s="69"/>
      <c r="D124" s="69"/>
      <c r="E124" s="69"/>
      <c r="F124" s="69"/>
      <c r="G124" s="69"/>
      <c r="N124" s="69"/>
      <c r="O124" s="69"/>
      <c r="S124" s="70"/>
    </row>
    <row r="125" spans="1:37" ht="45.75" thickBot="1" x14ac:dyDescent="0.3">
      <c r="C125" s="71" t="s">
        <v>11</v>
      </c>
      <c r="D125" s="71" t="s">
        <v>90</v>
      </c>
      <c r="E125" s="72" t="s">
        <v>91</v>
      </c>
      <c r="F125" s="72" t="s">
        <v>92</v>
      </c>
      <c r="G125" s="72" t="s">
        <v>93</v>
      </c>
      <c r="H125" s="71" t="s">
        <v>94</v>
      </c>
      <c r="I125" s="71" t="s">
        <v>95</v>
      </c>
      <c r="J125" s="71" t="s">
        <v>96</v>
      </c>
      <c r="K125" s="71" t="s">
        <v>97</v>
      </c>
      <c r="L125" s="71" t="s">
        <v>98</v>
      </c>
      <c r="M125" s="377" t="s">
        <v>99</v>
      </c>
      <c r="N125" s="75" t="s">
        <v>100</v>
      </c>
      <c r="R125" s="111" t="s">
        <v>101</v>
      </c>
      <c r="S125" s="111" t="s">
        <v>94</v>
      </c>
      <c r="T125" s="111" t="s">
        <v>102</v>
      </c>
      <c r="U125" s="111" t="s">
        <v>96</v>
      </c>
      <c r="V125" s="111" t="s">
        <v>103</v>
      </c>
      <c r="W125" s="111" t="s">
        <v>104</v>
      </c>
    </row>
    <row r="126" spans="1:37" x14ac:dyDescent="0.25">
      <c r="C126" s="77" t="s">
        <v>71</v>
      </c>
      <c r="D126" s="376">
        <f t="shared" ref="D126:D133" si="0">SUMIF($E$6:$E$118,C126,$D$6:$D$118)</f>
        <v>15.600000000000001</v>
      </c>
      <c r="E126" s="279"/>
      <c r="F126" s="288"/>
      <c r="G126" s="137"/>
      <c r="H126" s="84">
        <f>SUMIF($E$6:$E$67,C126,$L$6:$L$67)+SUMIF($E$6:$E$67,C126,$M$6:$M$67)+SUMIF($E$6:$E$67,C126,$N$6:$N$67)</f>
        <v>1.69</v>
      </c>
      <c r="I126" s="139">
        <f t="shared" ref="I126:I133" si="1">IF(ISERROR(H126*24/D126),0,H126*24/D126)</f>
        <v>2.6</v>
      </c>
      <c r="J126" s="137">
        <v>6</v>
      </c>
      <c r="K126" s="80"/>
      <c r="L126" s="38">
        <f>D126*J126/24</f>
        <v>3.9000000000000004</v>
      </c>
      <c r="M126" s="80">
        <f t="shared" ref="M126:M133" si="2">L126-H126</f>
        <v>2.2100000000000004</v>
      </c>
      <c r="N126" s="86"/>
      <c r="Q126" s="82"/>
      <c r="R126" s="83" t="s">
        <v>105</v>
      </c>
      <c r="S126" s="228">
        <f>SUM(V5:V67)</f>
        <v>2.73</v>
      </c>
      <c r="T126" s="84">
        <f>S126*24/($D$127+$D$133)</f>
        <v>3.9951219512195122</v>
      </c>
      <c r="U126" s="84">
        <v>6</v>
      </c>
      <c r="V126" s="85">
        <f>($D$127+$D$133)*U126/24</f>
        <v>4.0999999999999996</v>
      </c>
      <c r="W126" s="86">
        <f>V126-S126</f>
        <v>1.3699999999999997</v>
      </c>
    </row>
    <row r="127" spans="1:37" x14ac:dyDescent="0.25">
      <c r="C127" s="87" t="s">
        <v>51</v>
      </c>
      <c r="D127" s="264">
        <f t="shared" si="0"/>
        <v>0</v>
      </c>
      <c r="E127" s="264"/>
      <c r="F127" s="289"/>
      <c r="G127" s="139"/>
      <c r="H127" s="88">
        <f>SUMIF($E$6:$E$67,C127,$L$6:$L$67)+SUMIF($E$6:$E$67,C127,$M$6:$M$67)+SUMIF($E$6:$E$67,C127,$N$6:$N$67)</f>
        <v>0</v>
      </c>
      <c r="I127" s="139">
        <f t="shared" si="1"/>
        <v>0</v>
      </c>
      <c r="J127" s="139">
        <v>6</v>
      </c>
      <c r="K127" s="88"/>
      <c r="L127" s="418">
        <f t="shared" ref="L127:L133" si="3">D127*J127/24</f>
        <v>0</v>
      </c>
      <c r="M127" s="88">
        <f t="shared" si="2"/>
        <v>0</v>
      </c>
      <c r="N127" s="121"/>
      <c r="R127" s="90" t="s">
        <v>106</v>
      </c>
      <c r="S127" s="286">
        <f>SUM(S5:S22)</f>
        <v>0</v>
      </c>
      <c r="T127" s="84">
        <f>S127*24/($D$127+$D$133)</f>
        <v>0</v>
      </c>
      <c r="U127" s="88"/>
      <c r="V127" s="88"/>
      <c r="W127" s="121"/>
    </row>
    <row r="128" spans="1:37" x14ac:dyDescent="0.25">
      <c r="C128" s="87" t="s">
        <v>61</v>
      </c>
      <c r="D128" s="264">
        <f t="shared" si="0"/>
        <v>0</v>
      </c>
      <c r="E128" s="264">
        <f>SUMIF($E$6:$E$118,C128,$G$6:$G$118)</f>
        <v>0</v>
      </c>
      <c r="F128" s="289" t="e">
        <f>E128/D128</f>
        <v>#DIV/0!</v>
      </c>
      <c r="G128" s="139">
        <v>12</v>
      </c>
      <c r="H128" s="88">
        <f>SUMIF($E$6:$E$67,C128,$L$6:$L$67)+SUMIF($E$6:$E$67,C128,$M$6:$M$67)+SUMIF($E$6:$E$67,C128,$N$6:$N$67)</f>
        <v>0</v>
      </c>
      <c r="I128" s="139">
        <f t="shared" si="1"/>
        <v>0</v>
      </c>
      <c r="J128" s="139">
        <v>27</v>
      </c>
      <c r="K128" s="88">
        <f>E128/G128</f>
        <v>0</v>
      </c>
      <c r="L128" s="418">
        <f>K128*J128/24</f>
        <v>0</v>
      </c>
      <c r="M128" s="88">
        <f t="shared" si="2"/>
        <v>0</v>
      </c>
      <c r="N128" s="121">
        <f>K128-D128</f>
        <v>0</v>
      </c>
      <c r="R128" s="90" t="s">
        <v>20</v>
      </c>
      <c r="S128" s="286">
        <f>SUM(T5:T65)</f>
        <v>0</v>
      </c>
      <c r="T128" s="84">
        <f>S128*24/($D$127+$D$133)</f>
        <v>0</v>
      </c>
      <c r="U128" s="88"/>
      <c r="V128" s="88"/>
      <c r="W128" s="121"/>
    </row>
    <row r="129" spans="3:25" x14ac:dyDescent="0.25">
      <c r="C129" s="87" t="s">
        <v>55</v>
      </c>
      <c r="D129" s="264">
        <f t="shared" si="0"/>
        <v>44.099999999999994</v>
      </c>
      <c r="E129" s="264">
        <f>SUMIF($E$6:$E$118,C129,$G$6:$G$118)</f>
        <v>0</v>
      </c>
      <c r="F129" s="289">
        <f>E129/D129</f>
        <v>0</v>
      </c>
      <c r="G129" s="139">
        <v>12</v>
      </c>
      <c r="H129" s="88">
        <f>SUMIF($E$6:$E$118,C129,$L$6:$L$118)+SUMIF($E$6:$E$118,C129,$M$6:$M$118)+SUMIF($E$6:$E$118,C129,$N$6:$N$118)</f>
        <v>46.57</v>
      </c>
      <c r="I129" s="139">
        <f t="shared" si="1"/>
        <v>25.344217687074835</v>
      </c>
      <c r="J129" s="139">
        <v>27</v>
      </c>
      <c r="K129" s="88">
        <f>E129/G129</f>
        <v>0</v>
      </c>
      <c r="L129" s="418">
        <f>K129*J129/24</f>
        <v>0</v>
      </c>
      <c r="M129" s="88">
        <f t="shared" si="2"/>
        <v>-46.57</v>
      </c>
      <c r="N129" s="121">
        <f>K129-D129</f>
        <v>-44.099999999999994</v>
      </c>
      <c r="R129" s="90" t="s">
        <v>107</v>
      </c>
      <c r="S129" s="286">
        <f>SUM(U5:U118)</f>
        <v>0</v>
      </c>
      <c r="T129" s="84">
        <f>S129*24/($D$127+$D$133)</f>
        <v>0</v>
      </c>
      <c r="U129" s="88"/>
      <c r="V129" s="88"/>
      <c r="W129" s="121"/>
    </row>
    <row r="130" spans="3:25" ht="15.75" thickBot="1" x14ac:dyDescent="0.3">
      <c r="C130" s="87" t="s">
        <v>108</v>
      </c>
      <c r="D130" s="264">
        <f t="shared" si="0"/>
        <v>0</v>
      </c>
      <c r="E130" s="264">
        <f>SUMIF($E$6:$E$118,C130,$G$6:$G$118)</f>
        <v>0</v>
      </c>
      <c r="F130" s="289">
        <f>IF(ISERROR(E130/D130),0,E130/D130)</f>
        <v>0</v>
      </c>
      <c r="G130" s="139">
        <v>12</v>
      </c>
      <c r="H130" s="88">
        <f>SUMIF($E$6:$E$118,C130,$L$6:$L$118)+SUMIF($E$6:$E$118,C130,$M$6:$M$118)+SUMIF($E$6:$E$118,C130,$N$6:$N$118)</f>
        <v>0</v>
      </c>
      <c r="I130" s="139">
        <f>IF(ISERROR(H130*24/D130),0,H130*24/D130)</f>
        <v>0</v>
      </c>
      <c r="J130" s="139">
        <v>27</v>
      </c>
      <c r="K130" s="88">
        <f>E130/G130</f>
        <v>0</v>
      </c>
      <c r="L130" s="418">
        <f>K130*J130/24</f>
        <v>0</v>
      </c>
      <c r="M130" s="88">
        <f t="shared" si="2"/>
        <v>0</v>
      </c>
      <c r="N130" s="121">
        <f>K130-D130</f>
        <v>0</v>
      </c>
      <c r="R130" s="92" t="s">
        <v>24</v>
      </c>
      <c r="S130" s="287">
        <f>SUM(R5:R118)</f>
        <v>0</v>
      </c>
      <c r="T130" s="84">
        <f>S130*24/($D$127+$D$133)</f>
        <v>0</v>
      </c>
      <c r="U130" s="98"/>
      <c r="V130" s="98"/>
      <c r="W130" s="122"/>
    </row>
    <row r="131" spans="3:25" x14ac:dyDescent="0.25">
      <c r="C131" s="87" t="s">
        <v>45</v>
      </c>
      <c r="D131" s="264">
        <f t="shared" si="0"/>
        <v>321.8</v>
      </c>
      <c r="E131" s="264"/>
      <c r="F131" s="289"/>
      <c r="G131" s="139"/>
      <c r="H131" s="88">
        <f>SUMIF($E$6:$E$118,C131,$L$6:$L$118)+SUMIF($E$6:$E$118,C131,$M$6:$M$118)+SUMIF($E$6:$E$118,C131,$N$6:$N$118)</f>
        <v>35.56</v>
      </c>
      <c r="I131" s="139">
        <f t="shared" si="1"/>
        <v>2.6520820385332504</v>
      </c>
      <c r="J131" s="139">
        <v>6</v>
      </c>
      <c r="K131" s="88"/>
      <c r="L131" s="418">
        <f t="shared" si="3"/>
        <v>80.45</v>
      </c>
      <c r="M131" s="88">
        <f t="shared" si="2"/>
        <v>44.89</v>
      </c>
      <c r="N131" s="121"/>
      <c r="S131" s="68"/>
      <c r="T131" s="143"/>
      <c r="U131" s="68"/>
      <c r="V131" s="68"/>
      <c r="W131" s="68"/>
    </row>
    <row r="132" spans="3:25" x14ac:dyDescent="0.25">
      <c r="C132" s="87" t="s">
        <v>47</v>
      </c>
      <c r="D132" s="264">
        <f t="shared" si="0"/>
        <v>6.1000000000000014</v>
      </c>
      <c r="E132" s="264"/>
      <c r="F132" s="289"/>
      <c r="G132" s="139"/>
      <c r="H132" s="88">
        <f>SUMIF($E$6:$E$118,C132,$L$6:$L$118)+SUMIF($E$6:$E$118,C132,$M$6:$M$118)+SUMIF($E$6:$E$118,C132,$N$6:$N$118)</f>
        <v>1.3900000000000001</v>
      </c>
      <c r="I132" s="139">
        <f t="shared" si="1"/>
        <v>5.4688524590163921</v>
      </c>
      <c r="J132" s="139">
        <v>6</v>
      </c>
      <c r="K132" s="88"/>
      <c r="L132" s="418">
        <f t="shared" si="3"/>
        <v>1.5250000000000004</v>
      </c>
      <c r="M132" s="88">
        <f t="shared" si="2"/>
        <v>0.13500000000000023</v>
      </c>
      <c r="N132" s="121"/>
      <c r="S132" s="68"/>
      <c r="T132" s="68"/>
      <c r="U132" s="68"/>
      <c r="V132" s="68"/>
      <c r="W132" s="68"/>
    </row>
    <row r="133" spans="3:25" ht="15.75" thickBot="1" x14ac:dyDescent="0.3">
      <c r="C133" s="97" t="s">
        <v>49</v>
      </c>
      <c r="D133" s="290">
        <f t="shared" si="0"/>
        <v>16.399999999999999</v>
      </c>
      <c r="E133" s="290"/>
      <c r="F133" s="291"/>
      <c r="G133" s="140"/>
      <c r="H133" s="98">
        <f>SUMIF($E$6:$E$118,C133,$L$6:$L$118)+SUMIF($E$6:$E$118,C133,$M$6:$M$118)+SUMIF($E$6:$E$118,C133,$N$6:$N$118)</f>
        <v>2.79</v>
      </c>
      <c r="I133" s="141">
        <f t="shared" si="1"/>
        <v>4.0829268292682936</v>
      </c>
      <c r="J133" s="141">
        <v>8</v>
      </c>
      <c r="K133" s="98"/>
      <c r="L133" s="99">
        <f t="shared" si="3"/>
        <v>5.4666666666666659</v>
      </c>
      <c r="M133" s="98">
        <f t="shared" si="2"/>
        <v>2.6766666666666659</v>
      </c>
      <c r="N133" s="122"/>
      <c r="O133" s="68"/>
      <c r="S133" s="68"/>
      <c r="T133" s="68"/>
      <c r="U133" s="68"/>
      <c r="V133" s="68"/>
      <c r="W133" s="68"/>
    </row>
    <row r="134" spans="3:25" ht="15.75" thickBot="1" x14ac:dyDescent="0.3">
      <c r="C134" s="124"/>
      <c r="D134" s="327"/>
      <c r="E134" s="292"/>
      <c r="F134" s="293"/>
      <c r="G134" s="134"/>
      <c r="H134" s="328"/>
      <c r="I134" s="144"/>
      <c r="J134" s="144"/>
      <c r="K134" s="68"/>
      <c r="L134" s="102"/>
      <c r="M134" s="68"/>
      <c r="N134" s="145"/>
      <c r="O134" s="68"/>
      <c r="S134" s="68"/>
      <c r="T134" s="68"/>
      <c r="U134" s="68"/>
      <c r="V134" s="68"/>
      <c r="W134" s="68"/>
    </row>
    <row r="135" spans="3:25" ht="15.75" thickBot="1" x14ac:dyDescent="0.3">
      <c r="C135" s="103" t="s">
        <v>29</v>
      </c>
      <c r="D135" s="284">
        <f>SUM(D126:D133)</f>
        <v>404</v>
      </c>
      <c r="E135" s="284">
        <f>SUM(E126:E132)</f>
        <v>0</v>
      </c>
      <c r="F135" s="284" t="e">
        <f>SUM(F126:F132)/2</f>
        <v>#DIV/0!</v>
      </c>
      <c r="H135" s="101">
        <f>SUM(H126:H133)</f>
        <v>88</v>
      </c>
      <c r="K135" s="142"/>
      <c r="L135" s="104">
        <f>SUM(L126:L133)</f>
        <v>91.341666666666683</v>
      </c>
      <c r="M135" s="101">
        <f>SUM(M126:M133)</f>
        <v>3.3416666666666672</v>
      </c>
      <c r="N135" s="101">
        <f>SUM(N126:N133)</f>
        <v>-44.099999999999994</v>
      </c>
      <c r="R135" s="100" t="s">
        <v>29</v>
      </c>
      <c r="S135" s="101">
        <f>SUM(S126:S130)</f>
        <v>2.73</v>
      </c>
      <c r="T135" s="101">
        <f>SUM(T126:T130)</f>
        <v>3.9951219512195122</v>
      </c>
      <c r="U135" s="68"/>
      <c r="V135" s="68"/>
      <c r="W135" s="68"/>
    </row>
    <row r="136" spans="3:25" x14ac:dyDescent="0.25">
      <c r="T136">
        <v>0</v>
      </c>
      <c r="Y136">
        <v>0</v>
      </c>
    </row>
    <row r="144" spans="3:25" x14ac:dyDescent="0.25">
      <c r="I144"/>
    </row>
  </sheetData>
  <sheetProtection formatCells="0" formatColumns="0" formatRows="0" insertRows="0" insertHyperlinks="0"/>
  <protectedRanges>
    <protectedRange sqref="AK4" name="Rango15_1"/>
    <protectedRange sqref="AH4" name="Rango13_1"/>
    <protectedRange sqref="AE4" name="Rango11_1"/>
    <protectedRange sqref="AB4" name="Rango9_1"/>
    <protectedRange sqref="Y4" name="Rango7_1"/>
    <protectedRange sqref="Q4" name="Rango4_1"/>
    <protectedRange sqref="AF8:AG122" name="Rango12"/>
    <protectedRange sqref="AC8:AD122" name="Rango10"/>
    <protectedRange sqref="Z119:AA122 Z8:AA8" name="Rango8"/>
    <protectedRange sqref="X8:X122" name="Rango6"/>
    <protectedRange sqref="R8:V122" name="Rango5"/>
    <protectedRange sqref="P8:P122" name="Rango3"/>
    <protectedRange sqref="J121:N122 J119:K120 J8:N118 E8:E14 G8:H14 E15:H122" name="Rango2"/>
    <protectedRange sqref="A36:C122 C8:C35" name="Rango1"/>
    <protectedRange sqref="B4:C4" name="Rango16"/>
    <protectedRange sqref="Z9:AA118" name="Rango8_1"/>
    <protectedRange sqref="AF6:AG7" name="Rango12_5"/>
    <protectedRange sqref="AC6:AD7" name="Rango10_5"/>
    <protectedRange sqref="X6:X7" name="Rango6_5"/>
    <protectedRange sqref="R6:V7" name="Rango5_5"/>
    <protectedRange sqref="P6:P7" name="Rango3_5"/>
    <protectedRange sqref="J6:N7 E6:H7 F8:F14" name="Rango2_5"/>
    <protectedRange sqref="A6:C7 A8:B35" name="Rango1_5"/>
    <protectedRange sqref="Z6:AA7" name="Rango8_1_5"/>
  </protectedRanges>
  <mergeCells count="6">
    <mergeCell ref="G3:K4"/>
    <mergeCell ref="L3:Q3"/>
    <mergeCell ref="R3:Y3"/>
    <mergeCell ref="Z3:AK3"/>
    <mergeCell ref="L4:P4"/>
    <mergeCell ref="R4:X4"/>
  </mergeCells>
  <conditionalFormatting sqref="J9:J68 J70:J75 J88:J122">
    <cfRule type="cellIs" dxfId="130" priority="14" operator="greaterThan">
      <formula>"S5"</formula>
    </cfRule>
  </conditionalFormatting>
  <conditionalFormatting sqref="I9:I68 I70:I75 I88:I122">
    <cfRule type="cellIs" dxfId="129" priority="13" operator="greaterThan">
      <formula>0</formula>
    </cfRule>
  </conditionalFormatting>
  <conditionalFormatting sqref="J69">
    <cfRule type="cellIs" dxfId="128" priority="12" operator="greaterThan">
      <formula>"S5"</formula>
    </cfRule>
  </conditionalFormatting>
  <conditionalFormatting sqref="I69">
    <cfRule type="cellIs" dxfId="127" priority="11" operator="greaterThan">
      <formula>0</formula>
    </cfRule>
  </conditionalFormatting>
  <conditionalFormatting sqref="J8">
    <cfRule type="cellIs" dxfId="126" priority="10" operator="greaterThan">
      <formula>"S5"</formula>
    </cfRule>
  </conditionalFormatting>
  <conditionalFormatting sqref="I8">
    <cfRule type="cellIs" dxfId="125" priority="9" operator="greaterThan">
      <formula>0</formula>
    </cfRule>
  </conditionalFormatting>
  <conditionalFormatting sqref="J76:J81 J84:J87">
    <cfRule type="cellIs" dxfId="124" priority="8" operator="greaterThan">
      <formula>"S5"</formula>
    </cfRule>
  </conditionalFormatting>
  <conditionalFormatting sqref="I76:I81 I84:I87">
    <cfRule type="cellIs" dxfId="123" priority="7" operator="greaterThan">
      <formula>0</formula>
    </cfRule>
  </conditionalFormatting>
  <conditionalFormatting sqref="J82">
    <cfRule type="cellIs" dxfId="122" priority="6" operator="greaterThan">
      <formula>"S5"</formula>
    </cfRule>
  </conditionalFormatting>
  <conditionalFormatting sqref="I82">
    <cfRule type="cellIs" dxfId="121" priority="5" operator="greaterThan">
      <formula>0</formula>
    </cfRule>
  </conditionalFormatting>
  <conditionalFormatting sqref="J83">
    <cfRule type="cellIs" dxfId="120" priority="4" operator="greaterThan">
      <formula>"S5"</formula>
    </cfRule>
  </conditionalFormatting>
  <conditionalFormatting sqref="I83">
    <cfRule type="cellIs" dxfId="119" priority="3" operator="greaterThan">
      <formula>0</formula>
    </cfRule>
  </conditionalFormatting>
  <conditionalFormatting sqref="J6:J7">
    <cfRule type="cellIs" dxfId="118" priority="2" operator="greaterThan">
      <formula>"S5"</formula>
    </cfRule>
  </conditionalFormatting>
  <conditionalFormatting sqref="I6:I7">
    <cfRule type="cellIs" dxfId="117" priority="1" operator="greaterThan">
      <formula>0</formula>
    </cfRule>
  </conditionalFormatting>
  <dataValidations count="1">
    <dataValidation type="list" showInputMessage="1" showErrorMessage="1" sqref="E6:E122">
      <formula1>$C$126:$C$134</formula1>
    </dataValidation>
  </dataValidations>
  <pageMargins left="0.7" right="0.7" top="0.75" bottom="0.75" header="0.3" footer="0.3"/>
  <pageSetup paperSize="9" scale="23" orientation="landscape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AK34"/>
  <sheetViews>
    <sheetView topLeftCell="AF91"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109</v>
      </c>
      <c r="B2" s="157">
        <v>43831</v>
      </c>
      <c r="C2" s="159">
        <v>0</v>
      </c>
      <c r="D2" s="156">
        <v>0</v>
      </c>
      <c r="E2" s="156" t="s">
        <v>55</v>
      </c>
      <c r="F2" s="156" t="s">
        <v>110</v>
      </c>
      <c r="G2" s="156"/>
      <c r="H2" s="156"/>
      <c r="I2" s="68">
        <v>0</v>
      </c>
      <c r="J2" s="156" t="s">
        <v>54</v>
      </c>
      <c r="K2" s="156">
        <v>95</v>
      </c>
      <c r="L2" s="68">
        <v>0</v>
      </c>
      <c r="M2" s="68">
        <v>0</v>
      </c>
      <c r="N2" s="68">
        <v>0</v>
      </c>
      <c r="O2" s="68">
        <v>0</v>
      </c>
      <c r="P2" s="156"/>
      <c r="Q2" s="68">
        <v>370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94.34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109</v>
      </c>
      <c r="B3" s="157">
        <v>43831</v>
      </c>
      <c r="C3" s="159">
        <v>0.30000000000000004</v>
      </c>
      <c r="D3" s="156">
        <v>7.1999999999999993</v>
      </c>
      <c r="E3" s="156" t="s">
        <v>55</v>
      </c>
      <c r="F3" s="156" t="s">
        <v>76</v>
      </c>
      <c r="G3" s="156">
        <v>91</v>
      </c>
      <c r="H3" s="156">
        <v>7.2</v>
      </c>
      <c r="I3" s="68">
        <v>12.638888888888888</v>
      </c>
      <c r="J3" s="156" t="s">
        <v>54</v>
      </c>
      <c r="K3" s="156">
        <v>95</v>
      </c>
      <c r="L3" s="68">
        <v>0</v>
      </c>
      <c r="M3" s="68">
        <v>0</v>
      </c>
      <c r="N3" s="68">
        <v>0</v>
      </c>
      <c r="O3" s="68">
        <v>0</v>
      </c>
      <c r="P3" s="156"/>
      <c r="Q3" s="68">
        <v>370</v>
      </c>
      <c r="R3" s="156">
        <v>7.5</v>
      </c>
      <c r="S3" s="156">
        <v>0.75</v>
      </c>
      <c r="T3" s="156">
        <v>0.06</v>
      </c>
      <c r="U3" s="156">
        <v>0</v>
      </c>
      <c r="V3" s="156">
        <v>0</v>
      </c>
      <c r="W3" s="156">
        <v>8.31</v>
      </c>
      <c r="X3" s="156"/>
      <c r="Y3" s="156">
        <v>86.03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109</v>
      </c>
      <c r="B4" s="157">
        <v>43831</v>
      </c>
      <c r="C4" s="159">
        <v>0.33333333333333326</v>
      </c>
      <c r="D4" s="156">
        <v>0.79999999999999982</v>
      </c>
      <c r="E4" s="156" t="s">
        <v>47</v>
      </c>
      <c r="F4" s="156" t="s">
        <v>110</v>
      </c>
      <c r="G4" s="156"/>
      <c r="H4" s="156"/>
      <c r="I4" s="68">
        <v>0</v>
      </c>
      <c r="J4" s="156"/>
      <c r="K4" s="156"/>
      <c r="L4" s="68">
        <v>0</v>
      </c>
      <c r="M4" s="68">
        <v>0</v>
      </c>
      <c r="N4" s="68">
        <v>0</v>
      </c>
      <c r="O4" s="68">
        <v>0</v>
      </c>
      <c r="P4" s="156"/>
      <c r="Q4" s="68">
        <v>370</v>
      </c>
      <c r="R4" s="156">
        <v>0.33</v>
      </c>
      <c r="S4" s="156">
        <v>0.08</v>
      </c>
      <c r="T4" s="156">
        <v>7.0000000000000007E-2</v>
      </c>
      <c r="U4" s="156">
        <v>0</v>
      </c>
      <c r="V4" s="156">
        <v>0</v>
      </c>
      <c r="W4" s="156">
        <v>0.48000000000000004</v>
      </c>
      <c r="X4" s="156">
        <v>0</v>
      </c>
      <c r="Y4" s="156">
        <v>85.55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109</v>
      </c>
      <c r="B5" s="157">
        <v>43831</v>
      </c>
      <c r="C5" s="159">
        <v>0.35000000000000009</v>
      </c>
      <c r="D5" s="156">
        <v>0.40000000000000124</v>
      </c>
      <c r="E5" s="156" t="s">
        <v>47</v>
      </c>
      <c r="F5" s="156" t="s">
        <v>111</v>
      </c>
      <c r="G5" s="156"/>
      <c r="H5" s="156"/>
      <c r="I5" s="68">
        <v>0</v>
      </c>
      <c r="J5" s="156"/>
      <c r="K5" s="156"/>
      <c r="L5" s="68">
        <v>0</v>
      </c>
      <c r="M5" s="68">
        <v>4.1666666666666796E-2</v>
      </c>
      <c r="N5" s="68">
        <v>3.3333333333333437E-2</v>
      </c>
      <c r="O5" s="68">
        <v>7.5000000000000233E-2</v>
      </c>
      <c r="P5" s="156"/>
      <c r="Q5" s="68">
        <v>369.92500000000001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85.55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109</v>
      </c>
      <c r="B6" s="157">
        <v>43831</v>
      </c>
      <c r="C6" s="159">
        <v>0.38749999999999996</v>
      </c>
      <c r="D6">
        <v>0.89999999999999947</v>
      </c>
      <c r="E6" s="156" t="s">
        <v>47</v>
      </c>
      <c r="F6" s="156" t="s">
        <v>78</v>
      </c>
      <c r="I6" s="68">
        <v>0</v>
      </c>
      <c r="J6" s="156"/>
      <c r="L6" s="68">
        <v>0.37499999999999978</v>
      </c>
      <c r="M6" s="68">
        <v>9.3749999999999944E-2</v>
      </c>
      <c r="N6" s="68">
        <v>7.4999999999999956E-2</v>
      </c>
      <c r="O6" s="68">
        <v>0.54374999999999973</v>
      </c>
      <c r="Q6" s="68">
        <v>369.38125000000002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85.55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109</v>
      </c>
      <c r="B7" s="157">
        <v>43831</v>
      </c>
      <c r="C7" s="159">
        <v>0.50416666666666665</v>
      </c>
      <c r="D7">
        <v>2.7999999999999994</v>
      </c>
      <c r="E7" s="156" t="s">
        <v>49</v>
      </c>
      <c r="F7" s="156" t="s">
        <v>112</v>
      </c>
      <c r="I7" s="68">
        <v>0</v>
      </c>
      <c r="J7" s="156"/>
      <c r="L7" s="68">
        <v>0</v>
      </c>
      <c r="M7" s="68">
        <v>0.29166666666666663</v>
      </c>
      <c r="N7" s="68">
        <v>0.23333333333333328</v>
      </c>
      <c r="O7" s="68">
        <v>0.52499999999999991</v>
      </c>
      <c r="Q7" s="68">
        <v>368.85625000000005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85.55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109</v>
      </c>
      <c r="B8" s="157">
        <v>43831</v>
      </c>
      <c r="C8" s="159">
        <v>0.95833333333333326</v>
      </c>
      <c r="D8">
        <v>10.900000000000002</v>
      </c>
      <c r="E8" s="156" t="s">
        <v>51</v>
      </c>
      <c r="F8" s="156" t="s">
        <v>113</v>
      </c>
      <c r="I8" s="68">
        <v>0</v>
      </c>
      <c r="J8" s="156"/>
      <c r="L8" s="68">
        <v>0</v>
      </c>
      <c r="M8" s="68">
        <v>1.135416666666667</v>
      </c>
      <c r="N8" s="68">
        <v>0.90833333333333344</v>
      </c>
      <c r="O8" s="68">
        <v>2.0437500000000002</v>
      </c>
      <c r="Q8" s="68">
        <v>366.81250000000006</v>
      </c>
      <c r="R8">
        <v>0</v>
      </c>
      <c r="S8">
        <v>0</v>
      </c>
      <c r="T8">
        <v>0</v>
      </c>
      <c r="U8">
        <v>0</v>
      </c>
      <c r="V8">
        <v>2.8</v>
      </c>
      <c r="W8">
        <v>2.8</v>
      </c>
      <c r="Y8">
        <v>82.75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109</v>
      </c>
      <c r="B9" s="157">
        <v>43832</v>
      </c>
      <c r="C9" s="159">
        <v>8.7499999999999911E-2</v>
      </c>
      <c r="D9">
        <v>3.1000000000000014</v>
      </c>
      <c r="E9" s="156" t="s">
        <v>49</v>
      </c>
      <c r="F9" s="156" t="s">
        <v>114</v>
      </c>
      <c r="I9" s="68">
        <v>0</v>
      </c>
      <c r="J9" s="156"/>
      <c r="L9" s="68">
        <v>0</v>
      </c>
      <c r="M9" s="68">
        <v>0.32291666666666685</v>
      </c>
      <c r="N9" s="68">
        <v>0.25833333333333341</v>
      </c>
      <c r="O9" s="68">
        <v>0.58125000000000027</v>
      </c>
      <c r="Q9" s="68">
        <v>366.23125000000005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82.75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109</v>
      </c>
      <c r="B10" s="157">
        <v>43832</v>
      </c>
      <c r="C10" s="159">
        <v>0.11250000000000004</v>
      </c>
      <c r="D10">
        <v>0.59999999999999987</v>
      </c>
      <c r="E10" s="156" t="s">
        <v>47</v>
      </c>
      <c r="F10" s="156" t="s">
        <v>115</v>
      </c>
      <c r="I10" s="68">
        <v>0</v>
      </c>
      <c r="J10" s="156"/>
      <c r="L10" s="68">
        <v>0.24999999999999994</v>
      </c>
      <c r="M10" s="68">
        <v>6.2499999999999986E-2</v>
      </c>
      <c r="N10" s="68">
        <v>4.9999999999999989E-2</v>
      </c>
      <c r="O10" s="68">
        <v>0.36249999999999993</v>
      </c>
      <c r="Q10" s="68">
        <v>365.86875000000003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82.75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109</v>
      </c>
      <c r="B11" s="157">
        <v>43832</v>
      </c>
      <c r="C11" s="159">
        <v>0.33333333333333326</v>
      </c>
      <c r="D11">
        <v>5.3</v>
      </c>
      <c r="E11" s="156" t="s">
        <v>55</v>
      </c>
      <c r="F11" s="156" t="s">
        <v>116</v>
      </c>
      <c r="I11" s="68">
        <v>0</v>
      </c>
      <c r="J11" s="156" t="s">
        <v>54</v>
      </c>
      <c r="K11">
        <v>95</v>
      </c>
      <c r="L11" s="68">
        <v>5.5208333333333339</v>
      </c>
      <c r="M11" s="68">
        <v>0.55208333333333337</v>
      </c>
      <c r="N11" s="68">
        <v>0.44166666666666665</v>
      </c>
      <c r="O11" s="68">
        <v>6.5145833333333334</v>
      </c>
      <c r="Q11" s="68">
        <v>359.35416666666669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82.75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109</v>
      </c>
      <c r="B12" s="157">
        <v>43833</v>
      </c>
      <c r="C12" s="159">
        <v>9.5833333333333437E-2</v>
      </c>
      <c r="D12">
        <v>18.3</v>
      </c>
      <c r="E12" s="156" t="s">
        <v>55</v>
      </c>
      <c r="F12" s="156" t="s">
        <v>80</v>
      </c>
      <c r="G12">
        <v>266</v>
      </c>
      <c r="H12">
        <v>23.6</v>
      </c>
      <c r="I12" s="68">
        <v>11.271186440677964</v>
      </c>
      <c r="J12" s="156" t="s">
        <v>117</v>
      </c>
      <c r="K12">
        <v>95</v>
      </c>
      <c r="L12" s="68">
        <v>19.062500000000004</v>
      </c>
      <c r="M12" s="68">
        <v>1.9062500000000002</v>
      </c>
      <c r="N12" s="68">
        <v>1.5249999999999999</v>
      </c>
      <c r="O12" s="68">
        <v>22.493750000000002</v>
      </c>
      <c r="Q12" s="68">
        <v>336.86041666666671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82.75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109</v>
      </c>
      <c r="B13" s="157">
        <v>43833</v>
      </c>
      <c r="C13" s="159">
        <v>0.1166666666666667</v>
      </c>
      <c r="D13">
        <v>0.49999999999999989</v>
      </c>
      <c r="E13" s="156" t="s">
        <v>47</v>
      </c>
      <c r="F13" s="156" t="s">
        <v>118</v>
      </c>
      <c r="I13" s="68">
        <v>0</v>
      </c>
      <c r="J13" s="156"/>
      <c r="L13" s="68">
        <v>0.20833333333333329</v>
      </c>
      <c r="M13" s="68">
        <v>5.2083333333333322E-2</v>
      </c>
      <c r="N13" s="68">
        <v>4.1666666666666657E-2</v>
      </c>
      <c r="O13" s="68">
        <v>0.30208333333333326</v>
      </c>
      <c r="Q13" s="68">
        <v>336.55833333333339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82.75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109</v>
      </c>
      <c r="B14" s="157">
        <v>43833</v>
      </c>
      <c r="C14" s="159">
        <v>0.33333333333333326</v>
      </c>
      <c r="D14">
        <v>5.2</v>
      </c>
      <c r="E14" s="156" t="s">
        <v>45</v>
      </c>
      <c r="F14" s="156" t="s">
        <v>119</v>
      </c>
      <c r="I14" s="68">
        <v>0</v>
      </c>
      <c r="J14" s="156"/>
      <c r="L14" s="68">
        <v>0</v>
      </c>
      <c r="M14" s="68">
        <v>0.54166666666666674</v>
      </c>
      <c r="N14" s="68">
        <v>0.43333333333333335</v>
      </c>
      <c r="O14" s="68">
        <v>0.97500000000000009</v>
      </c>
      <c r="Q14" s="68">
        <v>335.58333333333337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82.75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109</v>
      </c>
      <c r="B15" s="157">
        <v>43834</v>
      </c>
      <c r="C15" s="159">
        <v>0.33333333333333326</v>
      </c>
      <c r="D15">
        <v>24</v>
      </c>
      <c r="E15" s="156" t="s">
        <v>45</v>
      </c>
      <c r="F15" s="156" t="s">
        <v>119</v>
      </c>
      <c r="I15" s="68">
        <v>0</v>
      </c>
      <c r="J15" s="156"/>
      <c r="L15" s="68">
        <v>0</v>
      </c>
      <c r="M15" s="68">
        <v>2.5</v>
      </c>
      <c r="N15" s="68">
        <v>2</v>
      </c>
      <c r="O15" s="68">
        <v>4.5</v>
      </c>
      <c r="Q15" s="68">
        <v>331.08333333333337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82.75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109</v>
      </c>
      <c r="B16" s="157">
        <v>43835</v>
      </c>
      <c r="C16" s="159">
        <v>0.33333333333333326</v>
      </c>
      <c r="D16">
        <v>24</v>
      </c>
      <c r="E16" s="156" t="s">
        <v>45</v>
      </c>
      <c r="F16" s="156" t="s">
        <v>119</v>
      </c>
      <c r="I16" s="68">
        <v>0</v>
      </c>
      <c r="J16" s="156"/>
      <c r="L16" s="68">
        <v>0</v>
      </c>
      <c r="M16" s="68">
        <v>2.2000000000000002</v>
      </c>
      <c r="N16" s="68">
        <v>2</v>
      </c>
      <c r="O16" s="68">
        <v>4.2</v>
      </c>
      <c r="Q16" s="68">
        <v>326.88333333333338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82.75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109</v>
      </c>
      <c r="B17" s="157">
        <v>43836</v>
      </c>
      <c r="C17" s="159">
        <v>0.33333333333333326</v>
      </c>
      <c r="D17">
        <v>24</v>
      </c>
      <c r="E17" s="156" t="s">
        <v>45</v>
      </c>
      <c r="F17" s="156" t="s">
        <v>119</v>
      </c>
      <c r="I17" s="68">
        <v>0</v>
      </c>
      <c r="J17" s="156"/>
      <c r="L17" s="68">
        <v>0</v>
      </c>
      <c r="M17" s="68">
        <v>2.2000000000000002</v>
      </c>
      <c r="N17" s="68">
        <v>2</v>
      </c>
      <c r="O17" s="68">
        <v>4.2</v>
      </c>
      <c r="Q17" s="68">
        <v>322.68333333333339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82.75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109</v>
      </c>
      <c r="B18" s="157">
        <v>43836</v>
      </c>
      <c r="C18" s="159">
        <v>0.54166666666666674</v>
      </c>
      <c r="D18">
        <v>5</v>
      </c>
      <c r="E18" s="156" t="s">
        <v>45</v>
      </c>
      <c r="F18" s="156" t="s">
        <v>120</v>
      </c>
      <c r="I18" s="68">
        <v>0</v>
      </c>
      <c r="J18" s="156"/>
      <c r="L18" s="68">
        <v>0</v>
      </c>
      <c r="M18" s="68">
        <v>0.45833333333333337</v>
      </c>
      <c r="N18" s="68">
        <v>0.41666666666666663</v>
      </c>
      <c r="O18" s="68">
        <v>0.875</v>
      </c>
      <c r="Q18" s="68">
        <v>321.80833333333339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82.75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109</v>
      </c>
      <c r="B19" s="157">
        <v>43836</v>
      </c>
      <c r="C19" s="159">
        <v>0.59583333333333344</v>
      </c>
      <c r="D19">
        <v>1.3000000000000007</v>
      </c>
      <c r="E19" s="156" t="s">
        <v>47</v>
      </c>
      <c r="F19" s="156" t="s">
        <v>121</v>
      </c>
      <c r="I19" s="68">
        <v>0</v>
      </c>
      <c r="J19" s="156"/>
      <c r="L19" s="68">
        <v>0.10833333333333339</v>
      </c>
      <c r="M19" s="68">
        <v>0.11916666666666674</v>
      </c>
      <c r="N19" s="68">
        <v>0.10833333333333339</v>
      </c>
      <c r="O19" s="68">
        <v>0.33583333333333354</v>
      </c>
      <c r="Q19" s="68">
        <v>321.47250000000008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82.75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109</v>
      </c>
      <c r="B20" s="157">
        <v>43836</v>
      </c>
      <c r="C20" s="159">
        <v>0.72083333333333344</v>
      </c>
      <c r="D20">
        <v>3</v>
      </c>
      <c r="E20" s="156" t="s">
        <v>49</v>
      </c>
      <c r="F20" s="156" t="s">
        <v>122</v>
      </c>
      <c r="I20" s="68">
        <v>0</v>
      </c>
      <c r="J20" s="156"/>
      <c r="L20" s="68">
        <v>0</v>
      </c>
      <c r="M20" s="68">
        <v>0.3125</v>
      </c>
      <c r="N20" s="68">
        <v>0.25</v>
      </c>
      <c r="O20" s="68">
        <v>0.5625</v>
      </c>
      <c r="Q20" s="68">
        <v>320.91000000000008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82.75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109</v>
      </c>
      <c r="B21" s="157">
        <v>43837</v>
      </c>
      <c r="C21" s="159">
        <v>0.33333333333333326</v>
      </c>
      <c r="D21">
        <v>14.7</v>
      </c>
      <c r="E21" s="156" t="s">
        <v>51</v>
      </c>
      <c r="F21" s="156" t="s">
        <v>51</v>
      </c>
      <c r="I21" s="68">
        <v>0</v>
      </c>
      <c r="J21" s="156"/>
      <c r="L21" s="68">
        <v>0</v>
      </c>
      <c r="M21" s="68">
        <v>1.53125</v>
      </c>
      <c r="N21" s="68">
        <v>1.2249999999999999</v>
      </c>
      <c r="O21" s="68">
        <v>2.7562499999999996</v>
      </c>
      <c r="Q21" s="68">
        <v>318.15375000000006</v>
      </c>
      <c r="R21">
        <v>0</v>
      </c>
      <c r="S21">
        <v>0</v>
      </c>
      <c r="T21">
        <v>0</v>
      </c>
      <c r="U21">
        <v>0</v>
      </c>
      <c r="V21">
        <v>2.2999999999999998</v>
      </c>
      <c r="W21">
        <v>2.2999999999999998</v>
      </c>
      <c r="Y21">
        <v>80.45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109</v>
      </c>
      <c r="B22" s="157">
        <v>43837</v>
      </c>
      <c r="C22" s="159">
        <v>0.8833333333333333</v>
      </c>
      <c r="D22">
        <v>13.200000000000001</v>
      </c>
      <c r="E22" s="156" t="s">
        <v>51</v>
      </c>
      <c r="F22" s="156" t="s">
        <v>123</v>
      </c>
      <c r="I22" s="68">
        <v>0</v>
      </c>
      <c r="J22" s="156"/>
      <c r="L22" s="68">
        <v>0</v>
      </c>
      <c r="M22" s="68">
        <v>1.3750000000000002</v>
      </c>
      <c r="N22" s="68">
        <v>1.1000000000000001</v>
      </c>
      <c r="O22" s="68">
        <v>2.4750000000000005</v>
      </c>
      <c r="Q22" s="68">
        <v>315.67875000000004</v>
      </c>
      <c r="R22">
        <v>0</v>
      </c>
      <c r="S22">
        <v>0</v>
      </c>
      <c r="T22">
        <v>0</v>
      </c>
      <c r="U22">
        <v>0</v>
      </c>
      <c r="V22">
        <v>2.2000000000000002</v>
      </c>
      <c r="W22">
        <v>2.2000000000000002</v>
      </c>
      <c r="Y22">
        <v>78.25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109</v>
      </c>
      <c r="B23" s="157">
        <v>43838</v>
      </c>
      <c r="C23" s="159">
        <v>1.6666666666666607E-2</v>
      </c>
      <c r="D23">
        <v>3.2000000000000028</v>
      </c>
      <c r="E23" s="156" t="s">
        <v>49</v>
      </c>
      <c r="F23" s="156" t="s">
        <v>120</v>
      </c>
      <c r="I23" s="68">
        <v>0</v>
      </c>
      <c r="J23" s="156"/>
      <c r="L23" s="68">
        <v>0</v>
      </c>
      <c r="M23" s="68">
        <v>0.33333333333333365</v>
      </c>
      <c r="N23" s="68">
        <v>0.26666666666666689</v>
      </c>
      <c r="O23" s="68">
        <v>0.60000000000000053</v>
      </c>
      <c r="Q23" s="68">
        <v>315.07875000000001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78.25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109</v>
      </c>
      <c r="B24" s="157">
        <v>43838</v>
      </c>
      <c r="C24" s="159">
        <v>4.1666666666666741E-2</v>
      </c>
      <c r="D24">
        <v>0.6</v>
      </c>
      <c r="E24" s="156" t="s">
        <v>47</v>
      </c>
      <c r="F24" s="156" t="s">
        <v>53</v>
      </c>
      <c r="I24" s="68">
        <v>0</v>
      </c>
      <c r="J24" s="156"/>
      <c r="L24" s="68">
        <v>0.125</v>
      </c>
      <c r="M24" s="68">
        <v>6.25E-2</v>
      </c>
      <c r="N24" s="68">
        <v>4.9999999999999996E-2</v>
      </c>
      <c r="O24" s="68">
        <v>0.23749999999999999</v>
      </c>
      <c r="Q24" s="68">
        <v>314.84125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78.25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109</v>
      </c>
      <c r="B25" s="157">
        <v>43838</v>
      </c>
      <c r="C25" s="159">
        <v>0.33333333333333326</v>
      </c>
      <c r="D25">
        <v>6.9999999999999991</v>
      </c>
      <c r="E25" s="156" t="s">
        <v>55</v>
      </c>
      <c r="F25" s="156" t="s">
        <v>124</v>
      </c>
      <c r="I25" s="68">
        <v>0</v>
      </c>
      <c r="J25" s="156" t="s">
        <v>81</v>
      </c>
      <c r="K25">
        <v>95</v>
      </c>
      <c r="L25" s="68">
        <v>6.4166666666666652</v>
      </c>
      <c r="M25" s="68">
        <v>0.72916666666666663</v>
      </c>
      <c r="N25" s="68">
        <v>0</v>
      </c>
      <c r="O25" s="68">
        <v>7.1458333333333321</v>
      </c>
      <c r="Q25" s="68">
        <v>307.69541666666669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78.25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109</v>
      </c>
      <c r="B26" s="157">
        <v>43838</v>
      </c>
      <c r="C26" s="159">
        <v>0.41666666666666674</v>
      </c>
      <c r="D26">
        <v>2.0000000000000009</v>
      </c>
      <c r="E26" s="156" t="s">
        <v>55</v>
      </c>
      <c r="F26" s="156" t="s">
        <v>57</v>
      </c>
      <c r="G26">
        <v>96</v>
      </c>
      <c r="H26">
        <v>9</v>
      </c>
      <c r="I26" s="68">
        <v>10.666666666666666</v>
      </c>
      <c r="J26" s="156" t="s">
        <v>125</v>
      </c>
      <c r="K26">
        <v>95</v>
      </c>
      <c r="L26" s="68">
        <v>1.8333333333333341</v>
      </c>
      <c r="M26" s="68">
        <v>0.20833333333333343</v>
      </c>
      <c r="N26" s="68">
        <v>0</v>
      </c>
      <c r="O26" s="68">
        <v>2.0416666666666674</v>
      </c>
      <c r="Q26" s="68">
        <v>305.65375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78.25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109</v>
      </c>
      <c r="B27" s="157">
        <v>43838</v>
      </c>
      <c r="C27" s="159">
        <v>0.49583333333333335</v>
      </c>
      <c r="D27">
        <v>1.9</v>
      </c>
      <c r="E27" s="156" t="s">
        <v>47</v>
      </c>
      <c r="F27" s="156" t="s">
        <v>126</v>
      </c>
      <c r="I27" s="68">
        <v>0</v>
      </c>
      <c r="J27" s="156"/>
      <c r="L27" s="68">
        <v>0.15833333333333333</v>
      </c>
      <c r="M27" s="68">
        <v>0.19791666666666666</v>
      </c>
      <c r="N27" s="68">
        <v>0.15833333333333333</v>
      </c>
      <c r="O27" s="68">
        <v>0.51458333333333328</v>
      </c>
      <c r="Q27" s="68">
        <v>305.13916666666665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78.25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109</v>
      </c>
      <c r="B28" s="157">
        <v>43838</v>
      </c>
      <c r="C28" s="159">
        <v>0.67500000000000004</v>
      </c>
      <c r="D28">
        <v>4.299999999999998</v>
      </c>
      <c r="E28" s="156" t="s">
        <v>49</v>
      </c>
      <c r="F28" s="156" t="s">
        <v>127</v>
      </c>
      <c r="I28" s="68">
        <v>0</v>
      </c>
      <c r="J28" s="156"/>
      <c r="L28" s="68">
        <v>0</v>
      </c>
      <c r="M28" s="68">
        <v>0.44791666666666646</v>
      </c>
      <c r="N28" s="68">
        <v>0.35833333333333317</v>
      </c>
      <c r="O28" s="68">
        <v>0.80624999999999969</v>
      </c>
      <c r="Q28" s="68">
        <v>304.33291666666668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78.25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109</v>
      </c>
      <c r="B29" s="157">
        <v>43839</v>
      </c>
      <c r="C29" s="159">
        <v>0.33333333333333326</v>
      </c>
      <c r="D29">
        <v>15.8</v>
      </c>
      <c r="E29" s="156" t="s">
        <v>51</v>
      </c>
      <c r="F29" s="156" t="s">
        <v>51</v>
      </c>
      <c r="I29" s="68">
        <v>0</v>
      </c>
      <c r="J29" s="156"/>
      <c r="L29" s="68">
        <v>0</v>
      </c>
      <c r="M29" s="68">
        <v>1.6458333333333335</v>
      </c>
      <c r="N29" s="68">
        <v>1.3166666666666667</v>
      </c>
      <c r="O29" s="68">
        <v>2.9625000000000004</v>
      </c>
      <c r="Q29" s="68">
        <v>301.3704166666667</v>
      </c>
      <c r="R29">
        <v>0</v>
      </c>
      <c r="S29">
        <v>0</v>
      </c>
      <c r="T29">
        <v>0</v>
      </c>
      <c r="U29">
        <v>0</v>
      </c>
      <c r="V29">
        <v>2.6</v>
      </c>
      <c r="W29">
        <v>2.6</v>
      </c>
      <c r="Y29">
        <v>75.650000000000006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109</v>
      </c>
      <c r="B30" s="157">
        <v>43839</v>
      </c>
      <c r="C30" s="159">
        <v>0.42500000000000004</v>
      </c>
      <c r="D30">
        <v>2.2000000000000002</v>
      </c>
      <c r="E30" s="156" t="s">
        <v>51</v>
      </c>
      <c r="F30" s="156" t="s">
        <v>128</v>
      </c>
      <c r="I30" s="68">
        <v>0</v>
      </c>
      <c r="J30" s="156"/>
      <c r="L30" s="68">
        <v>0</v>
      </c>
      <c r="M30" s="68">
        <v>0.22916666666666669</v>
      </c>
      <c r="N30" s="68">
        <v>0.18333333333333335</v>
      </c>
      <c r="O30" s="68">
        <v>0.41250000000000003</v>
      </c>
      <c r="Q30" s="68">
        <v>300.95791666666668</v>
      </c>
      <c r="R30">
        <v>0</v>
      </c>
      <c r="S30">
        <v>0</v>
      </c>
      <c r="T30">
        <v>0</v>
      </c>
      <c r="U30">
        <v>0</v>
      </c>
      <c r="V30">
        <v>0.3</v>
      </c>
      <c r="W30">
        <v>0.3</v>
      </c>
      <c r="Y30">
        <v>75.350000000000009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109</v>
      </c>
      <c r="B31" s="157">
        <v>43839</v>
      </c>
      <c r="C31" s="159">
        <v>0.57499999999999996</v>
      </c>
      <c r="D31">
        <v>3.6000000000000019</v>
      </c>
      <c r="E31" s="156" t="s">
        <v>49</v>
      </c>
      <c r="F31" s="156" t="s">
        <v>129</v>
      </c>
      <c r="I31" s="68">
        <v>0</v>
      </c>
      <c r="J31" s="156"/>
      <c r="L31" s="68">
        <v>0</v>
      </c>
      <c r="M31" s="68">
        <v>0.37500000000000022</v>
      </c>
      <c r="N31" s="68">
        <v>0.30000000000000016</v>
      </c>
      <c r="O31" s="68">
        <v>0.67500000000000038</v>
      </c>
      <c r="Q31" s="68">
        <v>300.28291666666667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75.350000000000009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109</v>
      </c>
      <c r="B32" s="157">
        <v>43839</v>
      </c>
      <c r="C32" s="159">
        <v>0.60416666666666674</v>
      </c>
      <c r="D32">
        <v>0.69999999999999751</v>
      </c>
      <c r="E32" s="156" t="s">
        <v>47</v>
      </c>
      <c r="F32" s="156" t="s">
        <v>60</v>
      </c>
      <c r="I32" s="68">
        <v>0</v>
      </c>
      <c r="J32" s="156"/>
      <c r="L32" s="68">
        <v>0.14583333333333282</v>
      </c>
      <c r="M32" s="68">
        <v>7.2916666666666408E-2</v>
      </c>
      <c r="N32" s="68">
        <v>5.8333333333333126E-2</v>
      </c>
      <c r="O32" s="68">
        <v>0.27708333333333235</v>
      </c>
      <c r="Q32" s="68">
        <v>300.00583333333333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75.350000000000009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109</v>
      </c>
      <c r="B33" s="157">
        <v>43840</v>
      </c>
      <c r="C33" s="159">
        <v>0.33333333333333326</v>
      </c>
      <c r="D33">
        <v>17.5</v>
      </c>
      <c r="E33" s="156" t="s">
        <v>61</v>
      </c>
      <c r="F33" s="156" t="s">
        <v>130</v>
      </c>
      <c r="I33" s="68">
        <v>0</v>
      </c>
      <c r="J33" s="156" t="s">
        <v>131</v>
      </c>
      <c r="K33">
        <v>95</v>
      </c>
      <c r="L33" s="68">
        <v>16.041666666666664</v>
      </c>
      <c r="M33" s="68">
        <v>1.8229166666666667</v>
      </c>
      <c r="N33" s="68">
        <v>0</v>
      </c>
      <c r="O33" s="68">
        <v>17.864583333333332</v>
      </c>
      <c r="Q33" s="68">
        <v>282.14125000000001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75.350000000000009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109</v>
      </c>
      <c r="B34" s="157">
        <v>43840</v>
      </c>
      <c r="C34" s="159">
        <v>0.625</v>
      </c>
      <c r="D34">
        <v>7</v>
      </c>
      <c r="E34" s="156" t="s">
        <v>61</v>
      </c>
      <c r="F34" s="156" t="s">
        <v>62</v>
      </c>
      <c r="G34">
        <v>265</v>
      </c>
      <c r="H34">
        <v>24.5</v>
      </c>
      <c r="I34" s="68">
        <v>10.816326530612244</v>
      </c>
      <c r="J34" s="156" t="s">
        <v>132</v>
      </c>
      <c r="K34">
        <v>95</v>
      </c>
      <c r="L34" s="68">
        <v>6.4166666666666661</v>
      </c>
      <c r="M34" s="68">
        <v>0.72916666666666674</v>
      </c>
      <c r="N34" s="68">
        <v>0</v>
      </c>
      <c r="O34" s="68">
        <v>7.145833333333333</v>
      </c>
      <c r="Q34" s="68">
        <v>274.9954166666667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Y34">
        <v>75.350000000000009</v>
      </c>
      <c r="AB34">
        <v>100</v>
      </c>
      <c r="AE34">
        <v>100</v>
      </c>
      <c r="AH34">
        <v>100</v>
      </c>
      <c r="AK3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AK5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5.7109375" bestFit="1" customWidth="1"/>
    <col min="4" max="4" width="15.85546875" bestFit="1" customWidth="1"/>
    <col min="5" max="5" width="25.5703125" bestFit="1" customWidth="1"/>
    <col min="6" max="6" width="30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2" bestFit="1" customWidth="1"/>
    <col min="16" max="16" width="10.85546875" bestFit="1" customWidth="1"/>
    <col min="17" max="17" width="12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133</v>
      </c>
      <c r="B2" s="157">
        <v>43840</v>
      </c>
      <c r="C2" s="158">
        <v>0.64583333333333326</v>
      </c>
      <c r="D2" s="156">
        <v>0.50000000000000089</v>
      </c>
      <c r="E2" s="156" t="s">
        <v>47</v>
      </c>
      <c r="F2" s="156" t="s">
        <v>83</v>
      </c>
      <c r="G2" s="156"/>
      <c r="H2" s="156"/>
      <c r="I2" s="68">
        <v>0</v>
      </c>
      <c r="J2" s="156"/>
      <c r="K2" s="156"/>
      <c r="L2" s="156">
        <v>0.10416666666666685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274.80208333333331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75.349999999999994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133</v>
      </c>
      <c r="B3" s="157">
        <v>43840</v>
      </c>
      <c r="C3" s="158">
        <v>0.6791666666666667</v>
      </c>
      <c r="D3" s="156">
        <v>0.79999999999999982</v>
      </c>
      <c r="E3" s="156" t="s">
        <v>49</v>
      </c>
      <c r="F3" s="156" t="s">
        <v>134</v>
      </c>
      <c r="G3" s="156"/>
      <c r="H3" s="156"/>
      <c r="I3" s="68">
        <v>0</v>
      </c>
      <c r="J3" s="156"/>
      <c r="K3" s="156"/>
      <c r="L3" s="156">
        <v>0</v>
      </c>
      <c r="M3" s="156">
        <v>8.3333333333333315E-2</v>
      </c>
      <c r="N3" s="156">
        <v>6.6666666666666652E-2</v>
      </c>
      <c r="O3" s="156">
        <v>0.14999999999999997</v>
      </c>
      <c r="P3" s="156"/>
      <c r="Q3" s="156">
        <v>274.65208333333334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75.349999999999994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133</v>
      </c>
      <c r="B4" s="157">
        <v>43840</v>
      </c>
      <c r="C4" s="158">
        <v>0.85000000000000009</v>
      </c>
      <c r="D4" s="156">
        <v>4.0999999999999988</v>
      </c>
      <c r="E4" s="156" t="s">
        <v>47</v>
      </c>
      <c r="F4" s="156" t="s">
        <v>83</v>
      </c>
      <c r="G4" s="156"/>
      <c r="H4" s="156"/>
      <c r="I4" s="68">
        <v>0</v>
      </c>
      <c r="J4" s="156"/>
      <c r="K4" s="156"/>
      <c r="L4" s="156">
        <v>0.51249999999999984</v>
      </c>
      <c r="M4" s="156">
        <v>0.4270833333333332</v>
      </c>
      <c r="N4" s="156">
        <v>0.34166666666666656</v>
      </c>
      <c r="O4" s="156">
        <v>1.2812499999999996</v>
      </c>
      <c r="P4" s="156"/>
      <c r="Q4" s="156">
        <v>273.37083333333334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75.349999999999994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133</v>
      </c>
      <c r="B5" s="157">
        <v>43841</v>
      </c>
      <c r="C5" s="158">
        <v>0.33333333333333326</v>
      </c>
      <c r="D5" s="156">
        <v>11.600000000000001</v>
      </c>
      <c r="E5" s="156" t="s">
        <v>45</v>
      </c>
      <c r="F5" s="156" t="s">
        <v>130</v>
      </c>
      <c r="G5" s="156"/>
      <c r="H5" s="156"/>
      <c r="I5" s="68">
        <v>0</v>
      </c>
      <c r="J5" s="156"/>
      <c r="K5" s="156"/>
      <c r="L5" s="156">
        <v>0</v>
      </c>
      <c r="M5" s="156">
        <v>1.2083333333333335</v>
      </c>
      <c r="N5" s="156">
        <v>0.96666666666666679</v>
      </c>
      <c r="O5" s="156">
        <v>2.1750000000000003</v>
      </c>
      <c r="P5" s="156"/>
      <c r="Q5" s="156">
        <v>271.19583333333333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75.349999999999994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133</v>
      </c>
      <c r="B6" s="157">
        <v>43841</v>
      </c>
      <c r="C6" s="158">
        <v>0.5541666666666667</v>
      </c>
      <c r="D6">
        <v>5.3000000000000007</v>
      </c>
      <c r="E6" s="156" t="s">
        <v>45</v>
      </c>
      <c r="F6" s="156" t="s">
        <v>134</v>
      </c>
      <c r="I6" s="68">
        <v>0</v>
      </c>
      <c r="J6" s="156"/>
      <c r="L6">
        <v>0</v>
      </c>
      <c r="M6">
        <v>0.55208333333333348</v>
      </c>
      <c r="N6">
        <v>0.44166666666666671</v>
      </c>
      <c r="O6">
        <v>0.99375000000000013</v>
      </c>
      <c r="Q6">
        <v>270.20208333333335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75.349999999999994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133</v>
      </c>
      <c r="B7" s="157">
        <v>43841</v>
      </c>
      <c r="C7" s="158">
        <v>0.65416666666666656</v>
      </c>
      <c r="D7">
        <v>2.3999999999999995</v>
      </c>
      <c r="E7" s="156" t="s">
        <v>47</v>
      </c>
      <c r="F7" s="156" t="s">
        <v>83</v>
      </c>
      <c r="I7" s="68">
        <v>0</v>
      </c>
      <c r="J7" s="156"/>
      <c r="L7">
        <v>0.29999999999999993</v>
      </c>
      <c r="M7">
        <v>0.24999999999999994</v>
      </c>
      <c r="N7">
        <v>0.19999999999999996</v>
      </c>
      <c r="O7">
        <v>0.74999999999999978</v>
      </c>
      <c r="Q7">
        <v>269.45208333333335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75.349999999999994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133</v>
      </c>
      <c r="B8" s="157">
        <v>43841</v>
      </c>
      <c r="C8" s="158">
        <v>0.91250000000000009</v>
      </c>
      <c r="D8">
        <v>6.1999999999999993</v>
      </c>
      <c r="E8" s="156" t="s">
        <v>49</v>
      </c>
      <c r="F8" s="156" t="s">
        <v>135</v>
      </c>
      <c r="I8" s="68">
        <v>0</v>
      </c>
      <c r="J8" s="156"/>
      <c r="L8">
        <v>0</v>
      </c>
      <c r="M8">
        <v>0.64583333333333326</v>
      </c>
      <c r="N8">
        <v>0.51666666666666661</v>
      </c>
      <c r="O8">
        <v>1.1624999999999999</v>
      </c>
      <c r="Q8">
        <v>268.28958333333333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75.349999999999994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133</v>
      </c>
      <c r="B9" s="157">
        <v>43842</v>
      </c>
      <c r="C9" s="158">
        <v>0.33333333333333326</v>
      </c>
      <c r="D9">
        <v>10.100000000000001</v>
      </c>
      <c r="E9" s="156" t="s">
        <v>71</v>
      </c>
      <c r="F9" s="156" t="s">
        <v>130</v>
      </c>
      <c r="I9" s="68">
        <v>0</v>
      </c>
      <c r="J9" s="156"/>
      <c r="L9">
        <v>0</v>
      </c>
      <c r="M9">
        <v>1.0520833333333335</v>
      </c>
      <c r="N9">
        <v>0.84166666666666679</v>
      </c>
      <c r="O9">
        <v>1.8937500000000003</v>
      </c>
      <c r="Q9">
        <v>266.39583333333331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75.349999999999994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133</v>
      </c>
      <c r="B10" s="157">
        <v>43843</v>
      </c>
      <c r="C10" s="158">
        <v>0.33333333333333326</v>
      </c>
      <c r="D10">
        <v>24</v>
      </c>
      <c r="E10" s="156" t="s">
        <v>71</v>
      </c>
      <c r="F10" s="156" t="s">
        <v>130</v>
      </c>
      <c r="I10" s="68">
        <v>0</v>
      </c>
      <c r="J10" s="156"/>
      <c r="L10">
        <v>0</v>
      </c>
      <c r="M10">
        <v>2.5</v>
      </c>
      <c r="N10">
        <v>2</v>
      </c>
      <c r="O10">
        <v>4.5</v>
      </c>
      <c r="Q10">
        <v>261.89583333333331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75.349999999999994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133</v>
      </c>
      <c r="B11" s="157">
        <v>43843</v>
      </c>
      <c r="C11" s="158">
        <v>0.63749999999999996</v>
      </c>
      <c r="D11">
        <v>7.3000000000000025</v>
      </c>
      <c r="E11" s="156" t="s">
        <v>71</v>
      </c>
      <c r="F11" s="156" t="s">
        <v>136</v>
      </c>
      <c r="I11" s="68">
        <v>0</v>
      </c>
      <c r="J11" s="156"/>
      <c r="L11">
        <v>0</v>
      </c>
      <c r="M11">
        <v>0.76041666666666696</v>
      </c>
      <c r="N11">
        <v>0.6083333333333335</v>
      </c>
      <c r="O11">
        <v>1.3687500000000004</v>
      </c>
      <c r="Q11">
        <v>260.52708333333334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75.349999999999994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133</v>
      </c>
      <c r="B12" s="157">
        <v>43843</v>
      </c>
      <c r="C12" s="158">
        <v>0.8125</v>
      </c>
      <c r="D12">
        <v>4.1999999999999984</v>
      </c>
      <c r="E12" s="156" t="s">
        <v>49</v>
      </c>
      <c r="F12" s="156" t="s">
        <v>134</v>
      </c>
      <c r="I12" s="68">
        <v>0</v>
      </c>
      <c r="J12" s="156"/>
      <c r="L12">
        <v>0</v>
      </c>
      <c r="M12">
        <v>0.43749999999999983</v>
      </c>
      <c r="N12">
        <v>0.34999999999999987</v>
      </c>
      <c r="O12">
        <v>0.78749999999999964</v>
      </c>
      <c r="Q12">
        <v>259.73958333333331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75.349999999999994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133</v>
      </c>
      <c r="B13" s="157">
        <v>43843</v>
      </c>
      <c r="C13" s="158">
        <v>0.84166666666666656</v>
      </c>
      <c r="D13">
        <v>0.70000000000000018</v>
      </c>
      <c r="E13" s="156" t="s">
        <v>47</v>
      </c>
      <c r="F13" s="156" t="s">
        <v>83</v>
      </c>
      <c r="I13" s="68">
        <v>0</v>
      </c>
      <c r="J13" s="156"/>
      <c r="L13">
        <v>5.8333333333333348E-2</v>
      </c>
      <c r="M13">
        <v>7.2916666666666685E-2</v>
      </c>
      <c r="N13">
        <v>5.8333333333333348E-2</v>
      </c>
      <c r="O13">
        <v>0.18958333333333338</v>
      </c>
      <c r="Q13">
        <v>259.54999999999995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75.349999999999994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133</v>
      </c>
      <c r="B14" s="157">
        <v>43844</v>
      </c>
      <c r="C14" s="158">
        <v>0.3041666666666667</v>
      </c>
      <c r="D14">
        <v>11.099999999999998</v>
      </c>
      <c r="E14" s="156" t="s">
        <v>45</v>
      </c>
      <c r="F14" s="156" t="s">
        <v>134</v>
      </c>
      <c r="I14" s="68">
        <v>0</v>
      </c>
      <c r="J14" s="156"/>
      <c r="L14">
        <v>0</v>
      </c>
      <c r="M14">
        <v>1.1562499999999998</v>
      </c>
      <c r="N14">
        <v>0.92499999999999982</v>
      </c>
      <c r="O14">
        <v>2.0812499999999998</v>
      </c>
      <c r="Q14">
        <v>257.46874999999994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75.349999999999994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133</v>
      </c>
      <c r="B15" s="157">
        <v>43844</v>
      </c>
      <c r="C15" s="158">
        <v>0.3208333333333333</v>
      </c>
      <c r="D15">
        <v>0.40000000000000124</v>
      </c>
      <c r="E15" s="156" t="s">
        <v>47</v>
      </c>
      <c r="F15" s="156" t="s">
        <v>75</v>
      </c>
      <c r="I15" s="68">
        <v>0</v>
      </c>
      <c r="J15" s="156"/>
      <c r="L15">
        <v>8.3333333333333592E-2</v>
      </c>
      <c r="M15">
        <v>4.1666666666666796E-2</v>
      </c>
      <c r="N15">
        <v>3.3333333333333437E-2</v>
      </c>
      <c r="O15">
        <v>0.15833333333333383</v>
      </c>
      <c r="Q15">
        <v>257.31041666666658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75.349999999999994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133</v>
      </c>
      <c r="B16" s="157">
        <v>43844</v>
      </c>
      <c r="C16" s="158">
        <v>0.33333333333333326</v>
      </c>
      <c r="D16">
        <v>0.29999999999999893</v>
      </c>
      <c r="E16" s="156" t="s">
        <v>55</v>
      </c>
      <c r="F16" s="156" t="s">
        <v>110</v>
      </c>
      <c r="I16" s="68">
        <v>0</v>
      </c>
      <c r="J16" s="156" t="s">
        <v>54</v>
      </c>
      <c r="K16">
        <v>95</v>
      </c>
      <c r="L16">
        <v>0.27499999999999902</v>
      </c>
      <c r="M16">
        <v>3.1249999999999889E-2</v>
      </c>
      <c r="N16">
        <v>0</v>
      </c>
      <c r="O16">
        <v>0.30624999999999891</v>
      </c>
      <c r="Q16">
        <v>257.00416666666661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75.349999999999994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133</v>
      </c>
      <c r="B17" s="157">
        <v>43844</v>
      </c>
      <c r="C17" s="158">
        <v>0.64583333333333326</v>
      </c>
      <c r="D17">
        <v>7.5000000000000018</v>
      </c>
      <c r="E17" s="156" t="s">
        <v>55</v>
      </c>
      <c r="F17" s="156" t="s">
        <v>76</v>
      </c>
      <c r="G17">
        <v>91</v>
      </c>
      <c r="H17">
        <v>7.8</v>
      </c>
      <c r="I17" s="68">
        <v>11.666666666666666</v>
      </c>
      <c r="J17" s="156" t="s">
        <v>117</v>
      </c>
      <c r="K17">
        <v>95</v>
      </c>
      <c r="L17">
        <v>6.8750000000000018</v>
      </c>
      <c r="M17">
        <v>0.78125000000000022</v>
      </c>
      <c r="N17">
        <v>0</v>
      </c>
      <c r="O17">
        <v>7.6562500000000018</v>
      </c>
      <c r="Q17">
        <v>249.34791666666661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75.349999999999994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133</v>
      </c>
      <c r="B18" s="157">
        <v>43844</v>
      </c>
      <c r="C18" s="158">
        <v>0.65416666666666656</v>
      </c>
      <c r="D18">
        <v>0.19999999999999929</v>
      </c>
      <c r="E18" s="156" t="s">
        <v>47</v>
      </c>
      <c r="F18" s="156" t="s">
        <v>78</v>
      </c>
      <c r="I18" s="68">
        <v>0</v>
      </c>
      <c r="J18" s="156"/>
      <c r="L18">
        <v>4.1666666666666519E-2</v>
      </c>
      <c r="M18">
        <v>2.0833333333333259E-2</v>
      </c>
      <c r="N18">
        <v>1.6666666666666607E-2</v>
      </c>
      <c r="O18">
        <v>7.9166666666666385E-2</v>
      </c>
      <c r="Q18">
        <v>249.26874999999993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75.349999999999994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133</v>
      </c>
      <c r="B19" s="157">
        <v>43844</v>
      </c>
      <c r="C19" s="158">
        <v>0.8666666666666667</v>
      </c>
      <c r="D19">
        <v>5.1000000000000005</v>
      </c>
      <c r="E19" s="156" t="s">
        <v>45</v>
      </c>
      <c r="F19" s="156" t="s">
        <v>137</v>
      </c>
      <c r="I19" s="68">
        <v>0</v>
      </c>
      <c r="J19" s="156"/>
      <c r="L19">
        <v>0</v>
      </c>
      <c r="M19">
        <v>0.53125000000000011</v>
      </c>
      <c r="N19">
        <v>0.42500000000000004</v>
      </c>
      <c r="O19">
        <v>0.95625000000000016</v>
      </c>
      <c r="Q19">
        <v>248.31249999999991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Y19">
        <v>75.349999999999994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133</v>
      </c>
      <c r="B20" s="157">
        <v>43844</v>
      </c>
      <c r="C20" s="158">
        <v>0.94166666666666665</v>
      </c>
      <c r="D20">
        <v>1.8000000000000016</v>
      </c>
      <c r="E20" s="156" t="s">
        <v>47</v>
      </c>
      <c r="F20" s="156" t="s">
        <v>78</v>
      </c>
      <c r="I20" s="68">
        <v>0</v>
      </c>
      <c r="J20" s="156"/>
      <c r="L20">
        <v>0.15000000000000013</v>
      </c>
      <c r="M20">
        <v>0.18750000000000017</v>
      </c>
      <c r="N20">
        <v>0.15000000000000013</v>
      </c>
      <c r="O20">
        <v>0.48750000000000043</v>
      </c>
      <c r="Q20">
        <v>247.8249999999999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75.349999999999994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133</v>
      </c>
      <c r="B21" s="157">
        <v>43844</v>
      </c>
      <c r="C21" s="158">
        <v>0.99583333333333335</v>
      </c>
      <c r="D21">
        <v>1.2999999999999954</v>
      </c>
      <c r="E21" s="156" t="s">
        <v>49</v>
      </c>
      <c r="F21" s="156" t="s">
        <v>112</v>
      </c>
      <c r="I21" s="68">
        <v>0</v>
      </c>
      <c r="J21" s="156"/>
      <c r="L21">
        <v>0</v>
      </c>
      <c r="M21">
        <v>0.14583333333333309</v>
      </c>
      <c r="N21">
        <v>0.11666666666666647</v>
      </c>
      <c r="O21">
        <v>0.26249999999999957</v>
      </c>
      <c r="Q21">
        <v>247.56249999999991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75.349999999999994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133</v>
      </c>
      <c r="B22" s="157">
        <v>43845</v>
      </c>
      <c r="C22" s="158">
        <v>0.33333333333333326</v>
      </c>
      <c r="D22">
        <v>8.1000000000000032</v>
      </c>
      <c r="E22" s="156" t="s">
        <v>51</v>
      </c>
      <c r="F22" s="156" t="s">
        <v>110</v>
      </c>
      <c r="I22" s="68">
        <v>0</v>
      </c>
      <c r="J22" s="156"/>
      <c r="L22">
        <v>0</v>
      </c>
      <c r="M22">
        <v>0.83333333333333337</v>
      </c>
      <c r="N22">
        <v>0.66666666666666663</v>
      </c>
      <c r="O22">
        <v>1.5</v>
      </c>
      <c r="Q22">
        <v>246.06249999999991</v>
      </c>
      <c r="R22">
        <v>0</v>
      </c>
      <c r="S22">
        <v>0</v>
      </c>
      <c r="T22">
        <v>0</v>
      </c>
      <c r="U22">
        <v>0</v>
      </c>
      <c r="V22">
        <v>1.3</v>
      </c>
      <c r="W22">
        <v>1.3</v>
      </c>
      <c r="Y22">
        <v>74.05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133</v>
      </c>
      <c r="B23" s="157">
        <v>43845</v>
      </c>
      <c r="C23" s="158">
        <v>0.42083333333333339</v>
      </c>
      <c r="D23">
        <v>2.1000000000000005</v>
      </c>
      <c r="E23" s="156" t="s">
        <v>51</v>
      </c>
      <c r="F23" s="156" t="s">
        <v>138</v>
      </c>
      <c r="I23" s="68">
        <v>0</v>
      </c>
      <c r="J23" s="156"/>
      <c r="L23">
        <v>0</v>
      </c>
      <c r="M23">
        <v>0.21875000000000006</v>
      </c>
      <c r="N23">
        <v>0.17500000000000004</v>
      </c>
      <c r="O23">
        <v>0.3937500000000001</v>
      </c>
      <c r="Q23">
        <v>245.6687499999999</v>
      </c>
      <c r="R23">
        <v>0</v>
      </c>
      <c r="S23">
        <v>0</v>
      </c>
      <c r="T23">
        <v>0</v>
      </c>
      <c r="U23">
        <v>0</v>
      </c>
      <c r="V23">
        <v>0.3</v>
      </c>
      <c r="W23">
        <v>0.3</v>
      </c>
      <c r="Y23">
        <v>73.75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133</v>
      </c>
      <c r="B24" s="157">
        <v>43845</v>
      </c>
      <c r="C24" s="158">
        <v>0.57499999999999996</v>
      </c>
      <c r="D24">
        <v>3.7000000000000015</v>
      </c>
      <c r="E24" s="156" t="s">
        <v>49</v>
      </c>
      <c r="F24" s="156" t="s">
        <v>137</v>
      </c>
      <c r="I24" s="68">
        <v>0</v>
      </c>
      <c r="J24" s="156"/>
      <c r="L24">
        <v>0</v>
      </c>
      <c r="M24">
        <v>0.38541666666666685</v>
      </c>
      <c r="N24">
        <v>0.30833333333333346</v>
      </c>
      <c r="O24">
        <v>0.69375000000000031</v>
      </c>
      <c r="Q24">
        <v>244.97499999999991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73.75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133</v>
      </c>
      <c r="B25" s="157">
        <v>43845</v>
      </c>
      <c r="C25" s="158">
        <v>0.60416666666666674</v>
      </c>
      <c r="D25">
        <v>0.69999999999999751</v>
      </c>
      <c r="E25" s="156" t="s">
        <v>47</v>
      </c>
      <c r="F25" s="156" t="s">
        <v>79</v>
      </c>
      <c r="I25" s="68">
        <v>0</v>
      </c>
      <c r="J25" s="156"/>
      <c r="L25">
        <v>5.8333333333333126E-2</v>
      </c>
      <c r="M25">
        <v>7.2916666666666408E-2</v>
      </c>
      <c r="N25">
        <v>5.8333333333333126E-2</v>
      </c>
      <c r="O25">
        <v>0.18958333333333266</v>
      </c>
      <c r="Q25">
        <v>244.78541666666658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73.75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133</v>
      </c>
      <c r="B26" s="157">
        <v>43846</v>
      </c>
      <c r="C26" s="158">
        <v>0.33333333333333326</v>
      </c>
      <c r="D26">
        <v>17.5</v>
      </c>
      <c r="E26" s="156" t="s">
        <v>55</v>
      </c>
      <c r="F26" s="156" t="s">
        <v>119</v>
      </c>
      <c r="I26" s="68">
        <v>0</v>
      </c>
      <c r="J26" s="156" t="s">
        <v>54</v>
      </c>
      <c r="K26">
        <v>95</v>
      </c>
      <c r="L26">
        <v>16.041666666666664</v>
      </c>
      <c r="M26">
        <v>1.8229166666666667</v>
      </c>
      <c r="N26">
        <v>0</v>
      </c>
      <c r="O26">
        <v>17.864583333333332</v>
      </c>
      <c r="Q26">
        <v>226.92083333333323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73.75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133</v>
      </c>
      <c r="B27" s="157">
        <v>43846</v>
      </c>
      <c r="C27" s="158">
        <v>0.54166666666666674</v>
      </c>
      <c r="D27">
        <v>5</v>
      </c>
      <c r="E27" s="156" t="s">
        <v>55</v>
      </c>
      <c r="F27" s="156" t="s">
        <v>139</v>
      </c>
      <c r="G27">
        <v>266</v>
      </c>
      <c r="H27">
        <v>22.5</v>
      </c>
      <c r="I27" s="68">
        <v>11.822222222222223</v>
      </c>
      <c r="J27" s="156" t="s">
        <v>117</v>
      </c>
      <c r="K27">
        <v>95</v>
      </c>
      <c r="L27">
        <v>4.583333333333333</v>
      </c>
      <c r="M27">
        <v>0.52083333333333337</v>
      </c>
      <c r="N27">
        <v>0</v>
      </c>
      <c r="O27">
        <v>5.1041666666666661</v>
      </c>
      <c r="Q27">
        <v>221.81666666666658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73.75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133</v>
      </c>
      <c r="B28" s="157">
        <v>43846</v>
      </c>
      <c r="C28" s="158">
        <v>0.5625</v>
      </c>
      <c r="D28">
        <v>0.50000000000000089</v>
      </c>
      <c r="E28" s="156" t="s">
        <v>47</v>
      </c>
      <c r="F28" s="156" t="s">
        <v>121</v>
      </c>
      <c r="I28" s="68">
        <v>0</v>
      </c>
      <c r="J28" s="156"/>
      <c r="L28">
        <v>4.1666666666666741E-2</v>
      </c>
      <c r="M28">
        <v>5.2083333333333426E-2</v>
      </c>
      <c r="N28">
        <v>4.1666666666666741E-2</v>
      </c>
      <c r="O28">
        <v>0.13541666666666691</v>
      </c>
      <c r="Q28">
        <v>221.68124999999992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73.75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133</v>
      </c>
      <c r="B29" s="157">
        <v>43847</v>
      </c>
      <c r="C29" s="158">
        <v>0.33333333333333326</v>
      </c>
      <c r="D29">
        <v>18.5</v>
      </c>
      <c r="E29" s="156" t="s">
        <v>45</v>
      </c>
      <c r="F29" s="156" t="s">
        <v>119</v>
      </c>
      <c r="I29" s="68">
        <v>0</v>
      </c>
      <c r="J29" s="156"/>
      <c r="L29">
        <v>0</v>
      </c>
      <c r="M29">
        <v>1.9270833333333335</v>
      </c>
      <c r="N29">
        <v>1.5416666666666665</v>
      </c>
      <c r="O29">
        <v>3.46875</v>
      </c>
      <c r="Q29">
        <v>218.21249999999992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73.75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133</v>
      </c>
      <c r="B30" s="157">
        <v>43848</v>
      </c>
      <c r="C30" s="158">
        <v>0.28333333333333344</v>
      </c>
      <c r="D30">
        <v>22.8</v>
      </c>
      <c r="E30" s="156" t="s">
        <v>45</v>
      </c>
      <c r="F30" s="156" t="s">
        <v>120</v>
      </c>
      <c r="I30" s="68">
        <v>0</v>
      </c>
      <c r="J30" s="156"/>
      <c r="L30">
        <v>0</v>
      </c>
      <c r="M30">
        <v>2.375</v>
      </c>
      <c r="N30">
        <v>1.9</v>
      </c>
      <c r="O30">
        <v>4.2750000000000004</v>
      </c>
      <c r="Q30">
        <v>213.93749999999991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Y30">
        <v>73.75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133</v>
      </c>
      <c r="B31" s="157">
        <v>43848</v>
      </c>
      <c r="C31" s="158">
        <v>0.33333333333333326</v>
      </c>
      <c r="D31">
        <v>1.1999999999999997</v>
      </c>
      <c r="E31" s="156" t="s">
        <v>47</v>
      </c>
      <c r="F31" s="156" t="s">
        <v>119</v>
      </c>
      <c r="I31" s="68">
        <v>0</v>
      </c>
      <c r="J31" s="156"/>
      <c r="L31">
        <v>9.9999999999999978E-2</v>
      </c>
      <c r="M31">
        <v>0.12499999999999997</v>
      </c>
      <c r="N31">
        <v>9.9999999999999978E-2</v>
      </c>
      <c r="O31">
        <v>0.32499999999999996</v>
      </c>
      <c r="Q31">
        <v>213.61249999999993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Y31">
        <v>73.75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133</v>
      </c>
      <c r="B32" s="157">
        <v>43848</v>
      </c>
      <c r="C32" s="158">
        <v>0.35416666666666674</v>
      </c>
      <c r="D32">
        <v>0.50000000000000089</v>
      </c>
      <c r="E32" s="156" t="s">
        <v>47</v>
      </c>
      <c r="F32" s="156" t="s">
        <v>121</v>
      </c>
      <c r="I32" s="68">
        <v>0</v>
      </c>
      <c r="J32" s="156"/>
      <c r="L32">
        <v>4.1666666666666741E-2</v>
      </c>
      <c r="M32">
        <v>5.2083333333333426E-2</v>
      </c>
      <c r="N32">
        <v>4.1666666666666741E-2</v>
      </c>
      <c r="O32">
        <v>0.13541666666666691</v>
      </c>
      <c r="Q32">
        <v>213.47708333333327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Y32">
        <v>73.75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133</v>
      </c>
      <c r="B33" s="157">
        <v>43848</v>
      </c>
      <c r="C33" s="158">
        <v>0.47916666666666674</v>
      </c>
      <c r="D33">
        <v>3</v>
      </c>
      <c r="E33" s="156" t="s">
        <v>49</v>
      </c>
      <c r="F33" s="156" t="s">
        <v>140</v>
      </c>
      <c r="I33" s="68">
        <v>0</v>
      </c>
      <c r="J33" s="156"/>
      <c r="L33">
        <v>0</v>
      </c>
      <c r="M33">
        <v>0.3125</v>
      </c>
      <c r="N33">
        <v>0.25</v>
      </c>
      <c r="O33">
        <v>0.5625</v>
      </c>
      <c r="Q33">
        <v>212.91458333333327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Y33">
        <v>73.75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133</v>
      </c>
      <c r="B34" s="157">
        <v>43849</v>
      </c>
      <c r="C34" s="158">
        <v>0.33333333333333326</v>
      </c>
      <c r="D34">
        <v>20.5</v>
      </c>
      <c r="E34" s="156" t="s">
        <v>51</v>
      </c>
      <c r="F34" s="156" t="s">
        <v>119</v>
      </c>
      <c r="I34" s="68">
        <v>0</v>
      </c>
      <c r="J34" s="156"/>
      <c r="L34">
        <v>0</v>
      </c>
      <c r="M34">
        <v>2.135416666666667</v>
      </c>
      <c r="N34">
        <v>1.7083333333333333</v>
      </c>
      <c r="O34">
        <v>3.84375</v>
      </c>
      <c r="Q34">
        <v>209.07083333333327</v>
      </c>
      <c r="R34">
        <v>0</v>
      </c>
      <c r="S34">
        <v>0</v>
      </c>
      <c r="T34">
        <v>0</v>
      </c>
      <c r="U34">
        <v>0</v>
      </c>
      <c r="V34">
        <v>3.35</v>
      </c>
      <c r="W34">
        <v>3.35</v>
      </c>
      <c r="Y34">
        <v>70.400000000000006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133</v>
      </c>
      <c r="B35" s="157">
        <v>43849</v>
      </c>
      <c r="C35" s="158">
        <v>0.48750000000000004</v>
      </c>
      <c r="D35">
        <v>3.7</v>
      </c>
      <c r="E35" s="156" t="s">
        <v>51</v>
      </c>
      <c r="F35" s="156" t="s">
        <v>123</v>
      </c>
      <c r="I35" s="68">
        <v>0</v>
      </c>
      <c r="J35" s="156"/>
      <c r="L35">
        <v>0</v>
      </c>
      <c r="M35">
        <v>0.38541666666666669</v>
      </c>
      <c r="N35">
        <v>0.30833333333333335</v>
      </c>
      <c r="O35">
        <v>0.69375000000000009</v>
      </c>
      <c r="Q35">
        <v>208.37708333333327</v>
      </c>
      <c r="R35">
        <v>0</v>
      </c>
      <c r="S35">
        <v>0</v>
      </c>
      <c r="T35">
        <v>0</v>
      </c>
      <c r="U35">
        <v>0</v>
      </c>
      <c r="V35">
        <v>0.6</v>
      </c>
      <c r="W35">
        <v>0.6</v>
      </c>
      <c r="Y35">
        <v>69.800000000000011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133</v>
      </c>
      <c r="B36" s="157">
        <v>43849</v>
      </c>
      <c r="C36" s="158">
        <v>0.625</v>
      </c>
      <c r="D36">
        <v>3.3000000000000003</v>
      </c>
      <c r="E36" s="156" t="s">
        <v>49</v>
      </c>
      <c r="F36" s="156" t="s">
        <v>120</v>
      </c>
      <c r="I36" s="68">
        <v>0</v>
      </c>
      <c r="J36" s="156"/>
      <c r="L36">
        <v>0</v>
      </c>
      <c r="M36">
        <v>0.34375000000000006</v>
      </c>
      <c r="N36">
        <v>0.27500000000000002</v>
      </c>
      <c r="O36">
        <v>0.61875000000000013</v>
      </c>
      <c r="Q36">
        <v>207.75833333333327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Y36">
        <v>69.800000000000011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133</v>
      </c>
      <c r="B37" s="157">
        <v>43849</v>
      </c>
      <c r="C37" s="158">
        <v>0.64583333333333326</v>
      </c>
      <c r="D37">
        <v>0.50000000000000089</v>
      </c>
      <c r="E37" s="156" t="s">
        <v>47</v>
      </c>
      <c r="F37" s="156" t="s">
        <v>141</v>
      </c>
      <c r="I37" s="68">
        <v>0</v>
      </c>
      <c r="J37" s="156" t="s">
        <v>54</v>
      </c>
      <c r="K37">
        <v>95</v>
      </c>
      <c r="L37">
        <v>0.10416666666666685</v>
      </c>
      <c r="M37">
        <v>5.2083333333333426E-2</v>
      </c>
      <c r="N37">
        <v>4.1666666666666741E-2</v>
      </c>
      <c r="O37">
        <v>0.19791666666666702</v>
      </c>
      <c r="Q37">
        <v>207.56041666666661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Y37">
        <v>69.800000000000011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133</v>
      </c>
      <c r="B38" s="157">
        <v>43850</v>
      </c>
      <c r="C38" s="158">
        <v>1.2499999999999956E-2</v>
      </c>
      <c r="D38">
        <v>8.7999999999999972</v>
      </c>
      <c r="E38" s="156" t="s">
        <v>55</v>
      </c>
      <c r="F38" s="156" t="s">
        <v>57</v>
      </c>
      <c r="G38">
        <v>96</v>
      </c>
      <c r="H38">
        <v>8.8000000000000007</v>
      </c>
      <c r="I38" s="68">
        <v>10.909090909090908</v>
      </c>
      <c r="J38" s="156" t="s">
        <v>117</v>
      </c>
      <c r="K38">
        <v>95</v>
      </c>
      <c r="L38">
        <v>8.0666666666666629</v>
      </c>
      <c r="M38">
        <v>0.91666666666666641</v>
      </c>
      <c r="N38">
        <v>0</v>
      </c>
      <c r="O38">
        <v>8.983333333333329</v>
      </c>
      <c r="Q38">
        <v>198.57708333333329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Y38">
        <v>69.800000000000011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133</v>
      </c>
      <c r="B39" s="157">
        <v>43850</v>
      </c>
      <c r="C39" s="158">
        <v>0.10000000000000009</v>
      </c>
      <c r="D39">
        <v>2.0999999999999996</v>
      </c>
      <c r="E39" s="156" t="s">
        <v>47</v>
      </c>
      <c r="F39" s="156" t="s">
        <v>126</v>
      </c>
      <c r="I39" s="68">
        <v>0</v>
      </c>
      <c r="J39" s="156"/>
      <c r="L39">
        <v>0.17499999999999996</v>
      </c>
      <c r="M39">
        <v>0.21874999999999997</v>
      </c>
      <c r="N39">
        <v>0.17499999999999996</v>
      </c>
      <c r="O39">
        <v>0.56874999999999987</v>
      </c>
      <c r="Q39">
        <v>198.0083333333333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Y39">
        <v>69.800000000000011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133</v>
      </c>
      <c r="B40" s="157">
        <v>43850</v>
      </c>
      <c r="C40" s="158">
        <v>0.30000000000000004</v>
      </c>
      <c r="D40">
        <v>4.8000000000000007</v>
      </c>
      <c r="E40" s="156" t="s">
        <v>49</v>
      </c>
      <c r="F40" s="156" t="s">
        <v>127</v>
      </c>
      <c r="I40" s="68">
        <v>0</v>
      </c>
      <c r="J40" s="156"/>
      <c r="L40">
        <v>0</v>
      </c>
      <c r="M40">
        <v>0.50000000000000011</v>
      </c>
      <c r="N40">
        <v>0.4</v>
      </c>
      <c r="O40">
        <v>0.90000000000000013</v>
      </c>
      <c r="Q40">
        <v>197.10833333333329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Y40">
        <v>69.800000000000011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133</v>
      </c>
      <c r="B41" s="157">
        <v>43850</v>
      </c>
      <c r="C41" s="158">
        <v>0.33333333333333326</v>
      </c>
      <c r="D41">
        <v>0.79999999999999982</v>
      </c>
      <c r="E41" s="156" t="s">
        <v>51</v>
      </c>
      <c r="F41" s="156" t="s">
        <v>124</v>
      </c>
      <c r="I41" s="68">
        <v>0</v>
      </c>
      <c r="J41" s="156"/>
      <c r="L41">
        <v>0</v>
      </c>
      <c r="M41">
        <v>8.3333333333333315E-2</v>
      </c>
      <c r="N41">
        <v>6.6666666666666652E-2</v>
      </c>
      <c r="O41">
        <v>0.14999999999999997</v>
      </c>
      <c r="Q41">
        <v>196.95833333333329</v>
      </c>
      <c r="R41">
        <v>0</v>
      </c>
      <c r="S41">
        <v>0</v>
      </c>
      <c r="T41">
        <v>0</v>
      </c>
      <c r="U41">
        <v>0</v>
      </c>
      <c r="V41">
        <v>0.1</v>
      </c>
      <c r="W41">
        <v>0.1</v>
      </c>
      <c r="Y41">
        <v>69.700000000000017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133</v>
      </c>
      <c r="B42" s="157">
        <v>43850</v>
      </c>
      <c r="C42" s="158">
        <v>0.90833333333333344</v>
      </c>
      <c r="D42">
        <v>13.799999999999999</v>
      </c>
      <c r="E42" s="156" t="s">
        <v>51</v>
      </c>
      <c r="F42" s="156" t="s">
        <v>128</v>
      </c>
      <c r="I42" s="68">
        <v>0</v>
      </c>
      <c r="J42" s="156"/>
      <c r="L42">
        <v>0</v>
      </c>
      <c r="M42">
        <v>1.4375</v>
      </c>
      <c r="N42">
        <v>1.1499999999999999</v>
      </c>
      <c r="O42">
        <v>2.5874999999999999</v>
      </c>
      <c r="Q42">
        <v>194.37083333333328</v>
      </c>
      <c r="R42">
        <v>0</v>
      </c>
      <c r="S42">
        <v>0</v>
      </c>
      <c r="T42">
        <v>0</v>
      </c>
      <c r="U42">
        <v>0</v>
      </c>
      <c r="V42">
        <v>2.2999999999999998</v>
      </c>
      <c r="W42">
        <v>2.2999999999999998</v>
      </c>
      <c r="Y42">
        <v>67.40000000000002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133</v>
      </c>
      <c r="B43" s="157">
        <v>43851</v>
      </c>
      <c r="C43" s="158">
        <v>2.4999999999999911E-2</v>
      </c>
      <c r="D43">
        <v>2.8000000000000007</v>
      </c>
      <c r="E43" s="156" t="s">
        <v>49</v>
      </c>
      <c r="F43" s="156" t="s">
        <v>129</v>
      </c>
      <c r="I43" s="68">
        <v>0</v>
      </c>
      <c r="J43" s="156"/>
      <c r="L43">
        <v>0</v>
      </c>
      <c r="M43">
        <v>0.29166666666666674</v>
      </c>
      <c r="N43">
        <v>0.23333333333333339</v>
      </c>
      <c r="O43">
        <v>0.52500000000000013</v>
      </c>
      <c r="Q43">
        <v>193.84583333333327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Y43">
        <v>67.40000000000002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133</v>
      </c>
      <c r="B44" s="157">
        <v>43851</v>
      </c>
      <c r="C44" s="158">
        <v>5.0000000000000044E-2</v>
      </c>
      <c r="D44">
        <v>0.6</v>
      </c>
      <c r="E44" s="156" t="s">
        <v>47</v>
      </c>
      <c r="F44" s="156" t="s">
        <v>87</v>
      </c>
      <c r="I44" s="68">
        <v>0</v>
      </c>
      <c r="J44" s="156" t="s">
        <v>54</v>
      </c>
      <c r="K44">
        <v>95</v>
      </c>
      <c r="L44">
        <v>0.125</v>
      </c>
      <c r="M44">
        <v>6.25E-2</v>
      </c>
      <c r="N44">
        <v>4.9999999999999996E-2</v>
      </c>
      <c r="O44">
        <v>0.23749999999999999</v>
      </c>
      <c r="Q44">
        <v>193.60833333333326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Y44">
        <v>67.40000000000002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133</v>
      </c>
      <c r="B45" s="157">
        <v>43851</v>
      </c>
      <c r="C45" s="158">
        <v>0.30000000000000004</v>
      </c>
      <c r="D45">
        <v>6</v>
      </c>
      <c r="E45" s="156" t="s">
        <v>55</v>
      </c>
      <c r="F45" s="156" t="s">
        <v>142</v>
      </c>
      <c r="G45">
        <v>62</v>
      </c>
      <c r="H45">
        <v>6</v>
      </c>
      <c r="I45" s="68">
        <v>10.333333333333334</v>
      </c>
      <c r="J45" s="156" t="s">
        <v>117</v>
      </c>
      <c r="K45">
        <v>95</v>
      </c>
      <c r="L45">
        <v>5.5</v>
      </c>
      <c r="M45">
        <v>0.625</v>
      </c>
      <c r="N45">
        <v>0</v>
      </c>
      <c r="O45">
        <v>6.125</v>
      </c>
      <c r="Q45">
        <v>187.48333333333326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Y45">
        <v>67.40000000000002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133</v>
      </c>
      <c r="B46" s="157">
        <v>43851</v>
      </c>
      <c r="C46" s="158">
        <v>0.33333333333333326</v>
      </c>
      <c r="D46">
        <v>0.79999999999999982</v>
      </c>
      <c r="E46" s="156" t="s">
        <v>47</v>
      </c>
      <c r="F46" s="156" t="s">
        <v>143</v>
      </c>
      <c r="I46" s="68">
        <v>0</v>
      </c>
      <c r="J46" s="156"/>
      <c r="L46">
        <v>6.6666666666666652E-2</v>
      </c>
      <c r="M46">
        <v>8.3333333333333315E-2</v>
      </c>
      <c r="N46">
        <v>6.6666666666666652E-2</v>
      </c>
      <c r="O46">
        <v>0.21666666666666662</v>
      </c>
      <c r="Q46">
        <v>187.26666666666659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Y46">
        <v>67.40000000000002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133</v>
      </c>
      <c r="B47" s="157">
        <v>43851</v>
      </c>
      <c r="C47" s="158">
        <v>0.4375</v>
      </c>
      <c r="D47">
        <v>2.5000000000000004</v>
      </c>
      <c r="E47" s="156" t="s">
        <v>47</v>
      </c>
      <c r="F47" s="156" t="s">
        <v>144</v>
      </c>
      <c r="I47" s="68">
        <v>0</v>
      </c>
      <c r="J47" s="156"/>
      <c r="L47">
        <v>0.20833333333333337</v>
      </c>
      <c r="M47">
        <v>0.26041666666666674</v>
      </c>
      <c r="N47">
        <v>0.20833333333333337</v>
      </c>
      <c r="O47">
        <v>0.67708333333333348</v>
      </c>
      <c r="Q47">
        <v>186.58958333333325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Y47">
        <v>67.40000000000002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s="156" t="s">
        <v>133</v>
      </c>
      <c r="B48" s="157">
        <v>43851</v>
      </c>
      <c r="C48" s="158">
        <v>0.97500000000000009</v>
      </c>
      <c r="D48">
        <v>12.899999999999999</v>
      </c>
      <c r="E48" s="156" t="s">
        <v>51</v>
      </c>
      <c r="F48" s="156" t="s">
        <v>143</v>
      </c>
      <c r="I48" s="68">
        <v>0</v>
      </c>
      <c r="J48" s="156"/>
      <c r="L48">
        <v>0</v>
      </c>
      <c r="M48">
        <v>1.34375</v>
      </c>
      <c r="N48">
        <v>1.0749999999999997</v>
      </c>
      <c r="O48">
        <v>2.4187499999999997</v>
      </c>
      <c r="Q48">
        <v>184.17083333333326</v>
      </c>
      <c r="R48">
        <v>0</v>
      </c>
      <c r="S48">
        <v>0</v>
      </c>
      <c r="T48">
        <v>0</v>
      </c>
      <c r="U48">
        <v>0</v>
      </c>
      <c r="V48">
        <v>2.1</v>
      </c>
      <c r="W48">
        <v>2.1</v>
      </c>
      <c r="Y48">
        <v>65.300000000000026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s="156" t="s">
        <v>133</v>
      </c>
      <c r="B49" s="157">
        <v>43852</v>
      </c>
      <c r="C49" s="158">
        <v>0.1166666666666667</v>
      </c>
      <c r="D49">
        <v>3.4000000000000021</v>
      </c>
      <c r="E49" s="156" t="s">
        <v>49</v>
      </c>
      <c r="F49" s="156" t="s">
        <v>145</v>
      </c>
      <c r="I49" s="68">
        <v>0</v>
      </c>
      <c r="J49" s="156"/>
      <c r="L49">
        <v>0</v>
      </c>
      <c r="M49">
        <v>0.35416666666666691</v>
      </c>
      <c r="N49">
        <v>0.28333333333333349</v>
      </c>
      <c r="O49">
        <v>0.6375000000000004</v>
      </c>
      <c r="Q49">
        <v>183.53333333333327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Y49">
        <v>65.300000000000026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s="156" t="s">
        <v>133</v>
      </c>
      <c r="B50" s="157">
        <v>43852</v>
      </c>
      <c r="C50" s="158">
        <v>0.15416666666666656</v>
      </c>
      <c r="D50">
        <v>0.90000000000000047</v>
      </c>
      <c r="E50" s="156" t="s">
        <v>47</v>
      </c>
      <c r="F50" s="156" t="s">
        <v>60</v>
      </c>
      <c r="I50" s="68">
        <v>0</v>
      </c>
      <c r="J50" s="156" t="s">
        <v>54</v>
      </c>
      <c r="K50">
        <v>95</v>
      </c>
      <c r="L50">
        <v>0.18750000000000011</v>
      </c>
      <c r="M50">
        <v>9.3750000000000056E-2</v>
      </c>
      <c r="N50">
        <v>7.5000000000000039E-2</v>
      </c>
      <c r="O50">
        <v>0.35625000000000018</v>
      </c>
      <c r="Q50">
        <v>183.17708333333329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Y50">
        <v>65.300000000000026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s="156" t="s">
        <v>133</v>
      </c>
      <c r="B51" s="157">
        <v>43852</v>
      </c>
      <c r="C51" s="158">
        <v>0.33333333333333326</v>
      </c>
      <c r="D51">
        <v>4.2999999999999989</v>
      </c>
      <c r="E51" s="156" t="s">
        <v>61</v>
      </c>
      <c r="F51" s="156" t="s">
        <v>130</v>
      </c>
      <c r="I51" s="68">
        <v>0</v>
      </c>
      <c r="J51" s="156" t="s">
        <v>54</v>
      </c>
      <c r="K51">
        <v>95</v>
      </c>
      <c r="L51">
        <v>3.9416666666666655</v>
      </c>
      <c r="M51">
        <v>0.44791666666666657</v>
      </c>
      <c r="N51">
        <v>0</v>
      </c>
      <c r="O51">
        <v>4.3895833333333325</v>
      </c>
      <c r="Q51">
        <v>178.78749999999997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Y51">
        <v>65.300000000000026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s="156" t="s">
        <v>133</v>
      </c>
      <c r="B52" s="157">
        <v>43852</v>
      </c>
      <c r="C52" s="158">
        <v>0.85416666666666674</v>
      </c>
      <c r="D52">
        <v>12.499999999999998</v>
      </c>
      <c r="E52" s="156" t="s">
        <v>61</v>
      </c>
      <c r="F52" s="156" t="s">
        <v>62</v>
      </c>
      <c r="G52">
        <v>201</v>
      </c>
      <c r="H52">
        <v>16.8</v>
      </c>
      <c r="I52" s="68">
        <v>11.964285714285714</v>
      </c>
      <c r="J52" s="156" t="s">
        <v>117</v>
      </c>
      <c r="K52">
        <v>95</v>
      </c>
      <c r="L52">
        <v>11.45833333333333</v>
      </c>
      <c r="M52">
        <v>1.3020833333333333</v>
      </c>
      <c r="N52">
        <v>0</v>
      </c>
      <c r="O52">
        <v>12.760416666666664</v>
      </c>
      <c r="Q52">
        <v>166.02708333333331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Y52">
        <v>65.300000000000026</v>
      </c>
      <c r="AB52">
        <v>100</v>
      </c>
      <c r="AE52">
        <v>100</v>
      </c>
      <c r="AH52">
        <v>100</v>
      </c>
      <c r="AK5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8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9"/>
  <dimension ref="A1:AK7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.425781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152</v>
      </c>
      <c r="B2" s="156">
        <v>43892</v>
      </c>
      <c r="C2" s="156">
        <v>0.82499999999999996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0.12500000000000067</v>
      </c>
      <c r="M2" s="156">
        <v>6.2500000000000333E-2</v>
      </c>
      <c r="N2" s="156">
        <v>5.0000000000000266E-2</v>
      </c>
      <c r="O2" s="156">
        <v>0</v>
      </c>
      <c r="P2" s="156"/>
      <c r="Q2" s="156">
        <v>632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27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152</v>
      </c>
      <c r="B3" s="156">
        <v>43892</v>
      </c>
      <c r="C3" s="156">
        <v>0.9916666666666667</v>
      </c>
      <c r="D3" s="156">
        <v>4</v>
      </c>
      <c r="E3" s="156" t="s">
        <v>45</v>
      </c>
      <c r="F3" s="156" t="s">
        <v>153</v>
      </c>
      <c r="G3" s="156"/>
      <c r="H3" s="156"/>
      <c r="I3" s="156">
        <v>0</v>
      </c>
      <c r="J3" s="156"/>
      <c r="K3" s="156"/>
      <c r="L3" s="156">
        <v>0</v>
      </c>
      <c r="M3" s="156">
        <v>0.41666666666666657</v>
      </c>
      <c r="N3" s="156">
        <v>0.33333333333333326</v>
      </c>
      <c r="O3" s="156">
        <v>1</v>
      </c>
      <c r="P3" s="156"/>
      <c r="Q3" s="156">
        <v>631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80</v>
      </c>
      <c r="Y3" s="156">
        <v>107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152</v>
      </c>
      <c r="B4" s="156">
        <v>43893</v>
      </c>
      <c r="C4" s="156">
        <v>0.33333333333333326</v>
      </c>
      <c r="D4" s="156">
        <v>8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0.85416666666666641</v>
      </c>
      <c r="N4" s="156">
        <v>0.68333333333333313</v>
      </c>
      <c r="O4" s="156">
        <v>2</v>
      </c>
      <c r="P4" s="156"/>
      <c r="Q4" s="156">
        <v>630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107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152</v>
      </c>
      <c r="B5" s="156">
        <v>43894</v>
      </c>
      <c r="C5" s="156">
        <v>0.33333333333333326</v>
      </c>
      <c r="D5" s="156">
        <v>24</v>
      </c>
      <c r="E5" s="156" t="s">
        <v>45</v>
      </c>
      <c r="F5" s="156" t="s">
        <v>45</v>
      </c>
      <c r="G5" s="156"/>
      <c r="H5" s="156"/>
      <c r="I5" s="156">
        <v>0</v>
      </c>
      <c r="J5" s="156"/>
      <c r="K5" s="156"/>
      <c r="L5" s="156">
        <v>0</v>
      </c>
      <c r="M5" s="156">
        <v>2.5</v>
      </c>
      <c r="N5" s="156">
        <v>2</v>
      </c>
      <c r="O5" s="156">
        <v>4</v>
      </c>
      <c r="P5" s="156"/>
      <c r="Q5" s="156">
        <v>625</v>
      </c>
      <c r="R5" s="156">
        <v>0</v>
      </c>
      <c r="S5" s="156">
        <v>0</v>
      </c>
      <c r="T5" s="156">
        <v>0</v>
      </c>
      <c r="U5" s="156">
        <v>0</v>
      </c>
      <c r="V5" s="156">
        <v>6</v>
      </c>
      <c r="W5" s="156">
        <v>6</v>
      </c>
      <c r="X5" s="156">
        <v>0</v>
      </c>
      <c r="Y5" s="156">
        <v>101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152</v>
      </c>
      <c r="B6">
        <v>43894</v>
      </c>
      <c r="C6">
        <v>0.5541666666666667</v>
      </c>
      <c r="D6">
        <v>5</v>
      </c>
      <c r="E6" t="s">
        <v>45</v>
      </c>
      <c r="F6" t="s">
        <v>46</v>
      </c>
      <c r="I6">
        <v>0</v>
      </c>
      <c r="L6">
        <v>0</v>
      </c>
      <c r="M6">
        <v>0.55208333333333348</v>
      </c>
      <c r="N6">
        <v>0.44166666666666671</v>
      </c>
      <c r="O6">
        <v>1</v>
      </c>
      <c r="Q6">
        <v>624</v>
      </c>
      <c r="R6">
        <v>0</v>
      </c>
      <c r="S6">
        <v>0</v>
      </c>
      <c r="T6">
        <v>0</v>
      </c>
      <c r="U6">
        <v>0</v>
      </c>
      <c r="V6">
        <v>1.3</v>
      </c>
      <c r="W6">
        <v>1</v>
      </c>
      <c r="X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152</v>
      </c>
      <c r="B7">
        <v>43894</v>
      </c>
      <c r="C7">
        <v>0.5708333333333333</v>
      </c>
      <c r="D7">
        <v>0</v>
      </c>
      <c r="E7" t="s">
        <v>47</v>
      </c>
      <c r="F7" t="s">
        <v>67</v>
      </c>
      <c r="I7">
        <v>0</v>
      </c>
      <c r="L7">
        <v>8.3333333333333037E-2</v>
      </c>
      <c r="M7">
        <v>4.1666666666666519E-2</v>
      </c>
      <c r="N7">
        <v>3.3333333333333215E-2</v>
      </c>
      <c r="O7">
        <v>0</v>
      </c>
      <c r="Q7">
        <v>624</v>
      </c>
      <c r="R7">
        <v>0</v>
      </c>
      <c r="S7">
        <v>0</v>
      </c>
      <c r="T7">
        <v>0</v>
      </c>
      <c r="U7">
        <v>0</v>
      </c>
      <c r="V7">
        <v>0.1</v>
      </c>
      <c r="W7">
        <v>0</v>
      </c>
      <c r="X7">
        <v>0</v>
      </c>
      <c r="Y7">
        <v>99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152</v>
      </c>
      <c r="B8">
        <v>43894</v>
      </c>
      <c r="C8">
        <v>0.59583333333333344</v>
      </c>
      <c r="D8">
        <v>1</v>
      </c>
      <c r="E8" t="s">
        <v>47</v>
      </c>
      <c r="F8" t="s">
        <v>67</v>
      </c>
      <c r="I8">
        <v>0</v>
      </c>
      <c r="L8">
        <v>0.25000000000000022</v>
      </c>
      <c r="M8">
        <v>6.2500000000000056E-2</v>
      </c>
      <c r="N8">
        <v>5.0000000000000051E-2</v>
      </c>
      <c r="O8">
        <v>0</v>
      </c>
      <c r="Q8">
        <v>624</v>
      </c>
      <c r="R8">
        <v>0</v>
      </c>
      <c r="S8">
        <v>0</v>
      </c>
      <c r="T8">
        <v>0</v>
      </c>
      <c r="U8">
        <v>0</v>
      </c>
      <c r="V8">
        <v>0.1</v>
      </c>
      <c r="W8">
        <v>0</v>
      </c>
      <c r="X8">
        <v>0</v>
      </c>
      <c r="Y8">
        <v>99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152</v>
      </c>
      <c r="B9">
        <v>43894</v>
      </c>
      <c r="C9">
        <v>0.67500000000000004</v>
      </c>
      <c r="D9">
        <v>2</v>
      </c>
      <c r="E9" t="s">
        <v>47</v>
      </c>
      <c r="F9" t="s">
        <v>48</v>
      </c>
      <c r="I9">
        <v>0</v>
      </c>
      <c r="L9">
        <v>0.15833333333333319</v>
      </c>
      <c r="M9">
        <v>0.19791666666666652</v>
      </c>
      <c r="N9">
        <v>0.15833333333333319</v>
      </c>
      <c r="O9">
        <v>1</v>
      </c>
      <c r="Q9">
        <v>623</v>
      </c>
      <c r="R9">
        <v>0</v>
      </c>
      <c r="S9">
        <v>0</v>
      </c>
      <c r="T9">
        <v>0</v>
      </c>
      <c r="U9">
        <v>0</v>
      </c>
      <c r="V9">
        <v>0.5</v>
      </c>
      <c r="W9">
        <v>0</v>
      </c>
      <c r="X9">
        <v>0</v>
      </c>
      <c r="Y9">
        <v>99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152</v>
      </c>
      <c r="B10">
        <v>43894</v>
      </c>
      <c r="C10">
        <v>0.91666666666666674</v>
      </c>
      <c r="D10">
        <v>6</v>
      </c>
      <c r="E10" t="s">
        <v>49</v>
      </c>
      <c r="F10" t="s">
        <v>154</v>
      </c>
      <c r="I10">
        <v>0</v>
      </c>
      <c r="L10">
        <v>0</v>
      </c>
      <c r="M10">
        <v>0.60416666666666674</v>
      </c>
      <c r="N10">
        <v>0.48333333333333334</v>
      </c>
      <c r="O10">
        <v>1</v>
      </c>
      <c r="Q10">
        <v>622</v>
      </c>
      <c r="R10">
        <v>0</v>
      </c>
      <c r="S10">
        <v>0</v>
      </c>
      <c r="T10">
        <v>0</v>
      </c>
      <c r="U10">
        <v>0</v>
      </c>
      <c r="V10">
        <v>1.4</v>
      </c>
      <c r="W10">
        <v>1</v>
      </c>
      <c r="X10">
        <v>0</v>
      </c>
      <c r="Y10">
        <v>97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152</v>
      </c>
      <c r="B11">
        <v>43895</v>
      </c>
      <c r="C11">
        <v>1.2499999999999956E-2</v>
      </c>
      <c r="D11">
        <v>2</v>
      </c>
      <c r="E11" t="s">
        <v>49</v>
      </c>
      <c r="F11" t="s">
        <v>155</v>
      </c>
      <c r="I11">
        <v>0</v>
      </c>
      <c r="L11">
        <v>0</v>
      </c>
      <c r="M11">
        <v>0.23958333333333345</v>
      </c>
      <c r="N11">
        <v>0.19166666666666671</v>
      </c>
      <c r="O11">
        <v>0</v>
      </c>
      <c r="Q11">
        <v>621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97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152</v>
      </c>
      <c r="B12">
        <v>43895</v>
      </c>
      <c r="C12">
        <v>0.33333333333333326</v>
      </c>
      <c r="D12">
        <v>8</v>
      </c>
      <c r="E12" t="s">
        <v>71</v>
      </c>
      <c r="F12" t="s">
        <v>71</v>
      </c>
      <c r="I12">
        <v>0</v>
      </c>
      <c r="L12">
        <v>0</v>
      </c>
      <c r="M12">
        <v>0.80208333333333326</v>
      </c>
      <c r="N12">
        <v>0.64166666666666661</v>
      </c>
      <c r="O12">
        <v>1</v>
      </c>
      <c r="Q12">
        <v>620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97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152</v>
      </c>
      <c r="B13">
        <v>43896</v>
      </c>
      <c r="C13">
        <v>0.33333333333333326</v>
      </c>
      <c r="D13">
        <v>24</v>
      </c>
      <c r="E13" t="s">
        <v>71</v>
      </c>
      <c r="F13" t="s">
        <v>71</v>
      </c>
      <c r="I13">
        <v>0</v>
      </c>
      <c r="L13">
        <v>0</v>
      </c>
      <c r="M13">
        <v>2.5</v>
      </c>
      <c r="N13">
        <v>2</v>
      </c>
      <c r="O13">
        <v>4</v>
      </c>
      <c r="Q13">
        <v>616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97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152</v>
      </c>
      <c r="B14">
        <v>43896</v>
      </c>
      <c r="C14">
        <v>0.97916666666666674</v>
      </c>
      <c r="D14">
        <v>15</v>
      </c>
      <c r="E14" t="s">
        <v>71</v>
      </c>
      <c r="F14" t="s">
        <v>156</v>
      </c>
      <c r="I14">
        <v>11</v>
      </c>
      <c r="L14">
        <v>0</v>
      </c>
      <c r="M14">
        <v>1.6145833333333333</v>
      </c>
      <c r="N14">
        <v>1.2916666666666663</v>
      </c>
      <c r="O14">
        <v>3</v>
      </c>
      <c r="Q14">
        <v>613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97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152</v>
      </c>
      <c r="B15">
        <v>43897</v>
      </c>
      <c r="C15">
        <v>0.20833333333333326</v>
      </c>
      <c r="D15">
        <v>6</v>
      </c>
      <c r="E15" t="s">
        <v>49</v>
      </c>
      <c r="F15" t="s">
        <v>46</v>
      </c>
      <c r="I15">
        <v>0</v>
      </c>
      <c r="L15">
        <v>0</v>
      </c>
      <c r="M15">
        <v>0.57291666666666674</v>
      </c>
      <c r="N15">
        <v>0.45833333333333326</v>
      </c>
      <c r="O15">
        <v>1</v>
      </c>
      <c r="Q15">
        <v>612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152</v>
      </c>
      <c r="B16">
        <v>43897</v>
      </c>
      <c r="C16">
        <v>0.23750000000000004</v>
      </c>
      <c r="D16">
        <v>1</v>
      </c>
      <c r="E16" t="s">
        <v>47</v>
      </c>
      <c r="F16" t="s">
        <v>157</v>
      </c>
      <c r="I16">
        <v>0</v>
      </c>
      <c r="L16">
        <v>0.14583333333333337</v>
      </c>
      <c r="M16">
        <v>7.2916666666666685E-2</v>
      </c>
      <c r="N16">
        <v>5.8333333333333341E-2</v>
      </c>
      <c r="O16">
        <v>0</v>
      </c>
      <c r="Q16">
        <v>611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97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152</v>
      </c>
      <c r="B17">
        <v>43897</v>
      </c>
      <c r="C17">
        <v>0.26527777777777772</v>
      </c>
      <c r="D17">
        <v>1</v>
      </c>
      <c r="E17" t="s">
        <v>47</v>
      </c>
      <c r="F17" t="s">
        <v>158</v>
      </c>
      <c r="I17">
        <v>0</v>
      </c>
      <c r="L17">
        <v>0.27777777777777762</v>
      </c>
      <c r="M17">
        <v>6.9444444444444406E-2</v>
      </c>
      <c r="N17">
        <v>5.5555555555555525E-2</v>
      </c>
      <c r="O17">
        <v>0</v>
      </c>
      <c r="Q17">
        <v>611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97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152</v>
      </c>
      <c r="B18">
        <v>43897</v>
      </c>
      <c r="C18">
        <v>0.28333333333333344</v>
      </c>
      <c r="D18">
        <v>0</v>
      </c>
      <c r="E18" t="s">
        <v>47</v>
      </c>
      <c r="F18" t="s">
        <v>48</v>
      </c>
      <c r="I18">
        <v>0</v>
      </c>
      <c r="L18">
        <v>9.0277777777777735E-2</v>
      </c>
      <c r="M18">
        <v>4.5138888888888867E-2</v>
      </c>
      <c r="N18">
        <v>3.6111111111111094E-2</v>
      </c>
      <c r="O18">
        <v>0</v>
      </c>
      <c r="Q18">
        <v>611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97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152</v>
      </c>
      <c r="B19">
        <v>43897</v>
      </c>
      <c r="C19">
        <v>0.33333333333333326</v>
      </c>
      <c r="D19">
        <v>1</v>
      </c>
      <c r="E19" t="s">
        <v>45</v>
      </c>
      <c r="F19" t="s">
        <v>45</v>
      </c>
      <c r="I19">
        <v>0</v>
      </c>
      <c r="L19">
        <v>0</v>
      </c>
      <c r="M19">
        <v>0.12499999999999996</v>
      </c>
      <c r="N19">
        <v>9.9999999999999978E-2</v>
      </c>
      <c r="O19">
        <v>0</v>
      </c>
      <c r="Q19">
        <v>611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97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152</v>
      </c>
      <c r="B20">
        <v>43898</v>
      </c>
      <c r="C20">
        <v>5.0000000000000044E-2</v>
      </c>
      <c r="D20">
        <v>17</v>
      </c>
      <c r="E20" t="s">
        <v>45</v>
      </c>
      <c r="F20" t="s">
        <v>46</v>
      </c>
      <c r="I20">
        <v>0</v>
      </c>
      <c r="L20">
        <v>0</v>
      </c>
      <c r="M20">
        <v>1.7916666666666667</v>
      </c>
      <c r="N20">
        <v>1.4333333333333331</v>
      </c>
      <c r="O20">
        <v>3</v>
      </c>
      <c r="Q20">
        <v>607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97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152</v>
      </c>
      <c r="B21">
        <v>43898</v>
      </c>
      <c r="C21">
        <v>8.3333333333333259E-2</v>
      </c>
      <c r="D21">
        <v>1</v>
      </c>
      <c r="E21" t="s">
        <v>47</v>
      </c>
      <c r="F21" t="s">
        <v>159</v>
      </c>
      <c r="I21">
        <v>0</v>
      </c>
      <c r="J21" t="s">
        <v>54</v>
      </c>
      <c r="K21">
        <v>95</v>
      </c>
      <c r="L21">
        <v>0.16666666666666669</v>
      </c>
      <c r="M21">
        <v>8.3333333333333343E-2</v>
      </c>
      <c r="N21">
        <v>6.6666666666666666E-2</v>
      </c>
      <c r="O21">
        <v>0</v>
      </c>
      <c r="Q21">
        <v>607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152</v>
      </c>
      <c r="B22">
        <v>43898</v>
      </c>
      <c r="C22">
        <v>0.33333333333333326</v>
      </c>
      <c r="D22">
        <v>6</v>
      </c>
      <c r="E22" t="s">
        <v>55</v>
      </c>
      <c r="F22" t="s">
        <v>56</v>
      </c>
      <c r="I22">
        <v>0</v>
      </c>
      <c r="J22" t="s">
        <v>54</v>
      </c>
      <c r="K22">
        <v>95</v>
      </c>
      <c r="L22">
        <v>5</v>
      </c>
      <c r="M22">
        <v>0.625</v>
      </c>
      <c r="N22">
        <v>0</v>
      </c>
      <c r="O22">
        <v>6</v>
      </c>
      <c r="Q22">
        <v>601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97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152</v>
      </c>
      <c r="B23">
        <v>43899</v>
      </c>
      <c r="C23">
        <v>0.33333333333333326</v>
      </c>
      <c r="D23">
        <v>24</v>
      </c>
      <c r="E23" t="s">
        <v>55</v>
      </c>
      <c r="F23" t="s">
        <v>56</v>
      </c>
      <c r="I23">
        <v>11</v>
      </c>
      <c r="J23" t="s">
        <v>54</v>
      </c>
      <c r="K23">
        <v>95</v>
      </c>
      <c r="L23">
        <v>22</v>
      </c>
      <c r="M23">
        <v>2.5</v>
      </c>
      <c r="N23">
        <v>0</v>
      </c>
      <c r="O23">
        <v>24</v>
      </c>
      <c r="Q23">
        <v>577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152</v>
      </c>
      <c r="B24">
        <v>43900</v>
      </c>
      <c r="C24">
        <v>0.29166666666666674</v>
      </c>
      <c r="D24">
        <v>23</v>
      </c>
      <c r="E24" t="s">
        <v>55</v>
      </c>
      <c r="F24" t="s">
        <v>160</v>
      </c>
      <c r="G24">
        <v>530</v>
      </c>
      <c r="H24">
        <v>47</v>
      </c>
      <c r="I24">
        <v>0</v>
      </c>
      <c r="J24" t="s">
        <v>54</v>
      </c>
      <c r="K24">
        <v>95</v>
      </c>
      <c r="L24">
        <v>21.083333333333332</v>
      </c>
      <c r="M24">
        <v>2.3958333333333335</v>
      </c>
      <c r="N24">
        <v>0</v>
      </c>
      <c r="O24">
        <v>23</v>
      </c>
      <c r="Q24">
        <v>553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97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152</v>
      </c>
      <c r="B25">
        <v>43900</v>
      </c>
      <c r="C25">
        <v>0.33333333333333326</v>
      </c>
      <c r="D25">
        <v>1</v>
      </c>
      <c r="E25" t="s">
        <v>47</v>
      </c>
      <c r="F25" t="s">
        <v>161</v>
      </c>
      <c r="I25">
        <v>0</v>
      </c>
      <c r="L25">
        <v>0.12499999999999988</v>
      </c>
      <c r="M25">
        <v>0.10416666666666656</v>
      </c>
      <c r="N25">
        <v>8.3333333333333259E-2</v>
      </c>
      <c r="O25">
        <v>0</v>
      </c>
      <c r="Q25">
        <v>553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97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152</v>
      </c>
      <c r="B26">
        <v>43900</v>
      </c>
      <c r="C26">
        <v>0.41250000000000009</v>
      </c>
      <c r="D26">
        <v>2</v>
      </c>
      <c r="E26" t="s">
        <v>47</v>
      </c>
      <c r="F26" t="s">
        <v>48</v>
      </c>
      <c r="I26">
        <v>0</v>
      </c>
      <c r="L26">
        <v>0.23750000000000016</v>
      </c>
      <c r="M26">
        <v>0.1979166666666668</v>
      </c>
      <c r="N26">
        <v>0.15833333333333344</v>
      </c>
      <c r="O26">
        <v>1</v>
      </c>
      <c r="Q26">
        <v>552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152</v>
      </c>
      <c r="B27">
        <v>43900</v>
      </c>
      <c r="C27">
        <v>0.58333333333333326</v>
      </c>
      <c r="D27">
        <v>4</v>
      </c>
      <c r="E27" t="s">
        <v>49</v>
      </c>
      <c r="F27" t="s">
        <v>50</v>
      </c>
      <c r="I27">
        <v>0</v>
      </c>
      <c r="L27">
        <v>0</v>
      </c>
      <c r="M27">
        <v>0.42708333333333326</v>
      </c>
      <c r="N27">
        <v>0.34166666666666662</v>
      </c>
      <c r="O27">
        <v>1</v>
      </c>
      <c r="Q27">
        <v>552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97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152</v>
      </c>
      <c r="B28">
        <v>43901</v>
      </c>
      <c r="C28">
        <v>0.33333333333333326</v>
      </c>
      <c r="D28">
        <v>18</v>
      </c>
      <c r="E28" t="s">
        <v>51</v>
      </c>
      <c r="F28" t="s">
        <v>51</v>
      </c>
      <c r="I28">
        <v>0</v>
      </c>
      <c r="L28">
        <v>0</v>
      </c>
      <c r="M28">
        <v>1.875</v>
      </c>
      <c r="N28">
        <v>1.5</v>
      </c>
      <c r="O28">
        <v>3</v>
      </c>
      <c r="Q28">
        <v>548</v>
      </c>
      <c r="R28">
        <v>0</v>
      </c>
      <c r="S28">
        <v>0</v>
      </c>
      <c r="T28">
        <v>0</v>
      </c>
      <c r="U28">
        <v>0</v>
      </c>
      <c r="V28">
        <v>4.5</v>
      </c>
      <c r="W28">
        <v>4</v>
      </c>
      <c r="X28">
        <v>0</v>
      </c>
      <c r="Y28">
        <v>93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152</v>
      </c>
      <c r="B29">
        <v>43901</v>
      </c>
      <c r="C29">
        <v>0.76666666666666661</v>
      </c>
      <c r="D29">
        <v>10</v>
      </c>
      <c r="E29" t="s">
        <v>51</v>
      </c>
      <c r="F29" t="s">
        <v>86</v>
      </c>
      <c r="I29">
        <v>0</v>
      </c>
      <c r="L29">
        <v>0</v>
      </c>
      <c r="M29">
        <v>1.0833333333333333</v>
      </c>
      <c r="N29">
        <v>0.86666666666666636</v>
      </c>
      <c r="O29">
        <v>2</v>
      </c>
      <c r="Q29">
        <v>546</v>
      </c>
      <c r="R29">
        <v>0</v>
      </c>
      <c r="S29">
        <v>0</v>
      </c>
      <c r="T29">
        <v>0</v>
      </c>
      <c r="U29">
        <v>0</v>
      </c>
      <c r="V29">
        <v>2.6</v>
      </c>
      <c r="W29">
        <v>3</v>
      </c>
      <c r="X29">
        <v>0</v>
      </c>
      <c r="Y29">
        <v>90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152</v>
      </c>
      <c r="B30">
        <v>43901</v>
      </c>
      <c r="C30">
        <v>0.90416666666666656</v>
      </c>
      <c r="D30">
        <v>3</v>
      </c>
      <c r="E30" t="s">
        <v>49</v>
      </c>
      <c r="F30" t="s">
        <v>46</v>
      </c>
      <c r="I30">
        <v>0</v>
      </c>
      <c r="L30">
        <v>0</v>
      </c>
      <c r="M30">
        <v>0.34375000000000017</v>
      </c>
      <c r="N30">
        <v>0.27500000000000013</v>
      </c>
      <c r="O30">
        <v>1</v>
      </c>
      <c r="Q30">
        <v>546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90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152</v>
      </c>
      <c r="B31">
        <v>43901</v>
      </c>
      <c r="C31">
        <v>0.9375</v>
      </c>
      <c r="D31">
        <v>1</v>
      </c>
      <c r="E31" t="s">
        <v>47</v>
      </c>
      <c r="F31" t="s">
        <v>75</v>
      </c>
      <c r="I31">
        <v>0</v>
      </c>
      <c r="J31" t="s">
        <v>54</v>
      </c>
      <c r="K31">
        <v>95</v>
      </c>
      <c r="L31">
        <v>0.16666666666666663</v>
      </c>
      <c r="M31">
        <v>8.3333333333333315E-2</v>
      </c>
      <c r="N31">
        <v>6.6666666666666652E-2</v>
      </c>
      <c r="O31">
        <v>0</v>
      </c>
      <c r="Q31">
        <v>545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90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152</v>
      </c>
      <c r="B32">
        <v>43902</v>
      </c>
      <c r="C32">
        <v>0.33333333333333326</v>
      </c>
      <c r="D32">
        <v>9</v>
      </c>
      <c r="E32" t="s">
        <v>55</v>
      </c>
      <c r="F32" t="s">
        <v>56</v>
      </c>
      <c r="I32">
        <v>0</v>
      </c>
      <c r="J32" t="s">
        <v>54</v>
      </c>
      <c r="K32">
        <v>95</v>
      </c>
      <c r="L32">
        <v>8.7083333333333321</v>
      </c>
      <c r="M32">
        <v>0.98958333333333315</v>
      </c>
      <c r="N32">
        <v>0</v>
      </c>
      <c r="O32">
        <v>10</v>
      </c>
      <c r="Q32">
        <v>536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90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152</v>
      </c>
      <c r="B33">
        <v>43903</v>
      </c>
      <c r="C33">
        <v>0.33333333333333326</v>
      </c>
      <c r="D33">
        <v>24</v>
      </c>
      <c r="E33" t="s">
        <v>55</v>
      </c>
      <c r="F33" t="s">
        <v>56</v>
      </c>
      <c r="I33">
        <v>0</v>
      </c>
      <c r="J33" t="s">
        <v>54</v>
      </c>
      <c r="K33">
        <v>95</v>
      </c>
      <c r="L33">
        <v>24</v>
      </c>
      <c r="M33">
        <v>2.5</v>
      </c>
      <c r="N33">
        <v>0</v>
      </c>
      <c r="O33">
        <v>26</v>
      </c>
      <c r="Q33">
        <v>509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90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152</v>
      </c>
      <c r="B34">
        <v>43903</v>
      </c>
      <c r="C34">
        <v>0.89166666666666661</v>
      </c>
      <c r="D34">
        <v>13</v>
      </c>
      <c r="E34" t="s">
        <v>55</v>
      </c>
      <c r="F34" t="s">
        <v>162</v>
      </c>
      <c r="G34">
        <v>446</v>
      </c>
      <c r="H34">
        <v>37.4</v>
      </c>
      <c r="I34">
        <v>0</v>
      </c>
      <c r="J34" t="s">
        <v>54</v>
      </c>
      <c r="K34">
        <v>95</v>
      </c>
      <c r="L34">
        <v>12.841666666666669</v>
      </c>
      <c r="M34">
        <v>1.3958333333333337</v>
      </c>
      <c r="N34">
        <v>0</v>
      </c>
      <c r="O34">
        <v>14</v>
      </c>
      <c r="Q34">
        <v>495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90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152</v>
      </c>
      <c r="B35">
        <v>43903</v>
      </c>
      <c r="C35">
        <v>0.97916666666666674</v>
      </c>
      <c r="D35">
        <v>2</v>
      </c>
      <c r="E35" t="s">
        <v>47</v>
      </c>
      <c r="F35" t="s">
        <v>48</v>
      </c>
      <c r="I35">
        <v>0</v>
      </c>
      <c r="L35">
        <v>0.17500000000000004</v>
      </c>
      <c r="M35">
        <v>0.21875000000000008</v>
      </c>
      <c r="N35">
        <v>0.17500000000000004</v>
      </c>
      <c r="O35">
        <v>1</v>
      </c>
      <c r="Q35">
        <v>494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90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152</v>
      </c>
      <c r="B36">
        <v>43904</v>
      </c>
      <c r="C36">
        <v>7.0833333333333304E-2</v>
      </c>
      <c r="D36">
        <v>2</v>
      </c>
      <c r="E36" t="s">
        <v>49</v>
      </c>
      <c r="F36" t="s">
        <v>50</v>
      </c>
      <c r="I36">
        <v>0</v>
      </c>
      <c r="L36">
        <v>0</v>
      </c>
      <c r="M36">
        <v>0.2291666666666666</v>
      </c>
      <c r="N36">
        <v>0.18333333333333329</v>
      </c>
      <c r="O36">
        <v>0</v>
      </c>
      <c r="Q36">
        <v>494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90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152</v>
      </c>
      <c r="B37">
        <v>43904</v>
      </c>
      <c r="C37">
        <v>0.33333333333333326</v>
      </c>
      <c r="D37">
        <v>6</v>
      </c>
      <c r="E37" t="s">
        <v>51</v>
      </c>
      <c r="F37" t="s">
        <v>51</v>
      </c>
      <c r="I37">
        <v>0</v>
      </c>
      <c r="L37">
        <v>0</v>
      </c>
      <c r="M37">
        <v>0.65624999999999989</v>
      </c>
      <c r="N37">
        <v>0.52499999999999991</v>
      </c>
      <c r="O37">
        <v>1</v>
      </c>
      <c r="Q37">
        <v>493</v>
      </c>
      <c r="R37">
        <v>0</v>
      </c>
      <c r="S37">
        <v>0</v>
      </c>
      <c r="T37">
        <v>0</v>
      </c>
      <c r="U37">
        <v>0</v>
      </c>
      <c r="V37">
        <v>1.5</v>
      </c>
      <c r="W37">
        <v>2</v>
      </c>
      <c r="X37">
        <v>0</v>
      </c>
      <c r="Y37">
        <v>89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152</v>
      </c>
      <c r="B38">
        <v>43904</v>
      </c>
      <c r="C38">
        <v>0.62916666666666665</v>
      </c>
      <c r="D38">
        <v>7</v>
      </c>
      <c r="E38" t="s">
        <v>51</v>
      </c>
      <c r="F38" t="s">
        <v>86</v>
      </c>
      <c r="I38">
        <v>0</v>
      </c>
      <c r="L38">
        <v>0</v>
      </c>
      <c r="M38">
        <v>0.73958333333333348</v>
      </c>
      <c r="N38">
        <v>0.59166666666666656</v>
      </c>
      <c r="O38">
        <v>1</v>
      </c>
      <c r="Q38">
        <v>492</v>
      </c>
      <c r="R38">
        <v>0</v>
      </c>
      <c r="S38">
        <v>0</v>
      </c>
      <c r="T38">
        <v>0</v>
      </c>
      <c r="U38">
        <v>0</v>
      </c>
      <c r="V38">
        <v>1.8</v>
      </c>
      <c r="W38">
        <v>2</v>
      </c>
      <c r="X38">
        <v>0</v>
      </c>
      <c r="Y38">
        <v>87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152</v>
      </c>
      <c r="B39">
        <v>43904</v>
      </c>
      <c r="C39">
        <v>0.72916666666666674</v>
      </c>
      <c r="D39">
        <v>2</v>
      </c>
      <c r="E39" t="s">
        <v>49</v>
      </c>
      <c r="F39" t="s">
        <v>46</v>
      </c>
      <c r="I39">
        <v>11</v>
      </c>
      <c r="L39">
        <v>0</v>
      </c>
      <c r="M39">
        <v>0.24999999999999992</v>
      </c>
      <c r="N39">
        <v>0.19999999999999996</v>
      </c>
      <c r="O39">
        <v>0</v>
      </c>
      <c r="Q39">
        <v>491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87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152</v>
      </c>
      <c r="B40">
        <v>43904</v>
      </c>
      <c r="C40">
        <v>0.75</v>
      </c>
      <c r="D40">
        <v>1</v>
      </c>
      <c r="E40" t="s">
        <v>47</v>
      </c>
      <c r="F40" t="s">
        <v>79</v>
      </c>
      <c r="I40">
        <v>0</v>
      </c>
      <c r="J40" t="s">
        <v>54</v>
      </c>
      <c r="K40">
        <v>95</v>
      </c>
      <c r="L40">
        <v>0.10416666666666684</v>
      </c>
      <c r="M40">
        <v>5.2083333333333426E-2</v>
      </c>
      <c r="N40">
        <v>4.1666666666666741E-2</v>
      </c>
      <c r="O40">
        <v>0</v>
      </c>
      <c r="Q40">
        <v>491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87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152</v>
      </c>
      <c r="B41">
        <v>43905</v>
      </c>
      <c r="C41">
        <v>0.33333333333333326</v>
      </c>
      <c r="D41">
        <v>14</v>
      </c>
      <c r="E41" t="s">
        <v>55</v>
      </c>
      <c r="F41" t="s">
        <v>56</v>
      </c>
      <c r="I41">
        <v>0</v>
      </c>
      <c r="J41" t="s">
        <v>54</v>
      </c>
      <c r="K41">
        <v>95</v>
      </c>
      <c r="L41">
        <v>14</v>
      </c>
      <c r="M41">
        <v>1.4583333333333337</v>
      </c>
      <c r="N41">
        <v>0</v>
      </c>
      <c r="O41">
        <v>15</v>
      </c>
      <c r="Q41">
        <v>475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87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152</v>
      </c>
      <c r="B42">
        <v>43905</v>
      </c>
      <c r="C42">
        <v>0.77916666666666656</v>
      </c>
      <c r="D42">
        <v>11</v>
      </c>
      <c r="E42" t="s">
        <v>55</v>
      </c>
      <c r="F42" t="s">
        <v>80</v>
      </c>
      <c r="G42">
        <v>266</v>
      </c>
      <c r="H42">
        <v>24.7</v>
      </c>
      <c r="I42">
        <v>0</v>
      </c>
      <c r="J42" t="s">
        <v>54</v>
      </c>
      <c r="K42">
        <v>95</v>
      </c>
      <c r="L42">
        <v>10.254166666666668</v>
      </c>
      <c r="M42">
        <v>1.1145833333333337</v>
      </c>
      <c r="N42">
        <v>0</v>
      </c>
      <c r="O42">
        <v>11</v>
      </c>
      <c r="Q42">
        <v>464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87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152</v>
      </c>
      <c r="B43">
        <v>43905</v>
      </c>
      <c r="C43">
        <v>0.8</v>
      </c>
      <c r="D43">
        <v>0</v>
      </c>
      <c r="E43" t="s">
        <v>47</v>
      </c>
      <c r="F43" t="s">
        <v>48</v>
      </c>
      <c r="I43">
        <v>0</v>
      </c>
      <c r="L43">
        <v>4.1666666666666519E-2</v>
      </c>
      <c r="M43">
        <v>5.2083333333333155E-2</v>
      </c>
      <c r="N43">
        <v>4.1666666666666519E-2</v>
      </c>
      <c r="O43">
        <v>0</v>
      </c>
      <c r="Q43">
        <v>464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87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152</v>
      </c>
      <c r="B44">
        <v>43906</v>
      </c>
      <c r="C44">
        <v>0.33333333333333326</v>
      </c>
      <c r="D44">
        <v>13</v>
      </c>
      <c r="E44" t="s">
        <v>45</v>
      </c>
      <c r="F44" t="s">
        <v>45</v>
      </c>
      <c r="I44">
        <v>0</v>
      </c>
      <c r="L44">
        <v>0</v>
      </c>
      <c r="M44">
        <v>1.3333333333333337</v>
      </c>
      <c r="N44">
        <v>1.0666666666666669</v>
      </c>
      <c r="O44">
        <v>2</v>
      </c>
      <c r="Q44">
        <v>462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87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152</v>
      </c>
      <c r="B45">
        <v>43907</v>
      </c>
      <c r="C45">
        <v>0.33333333333333326</v>
      </c>
      <c r="D45">
        <v>24</v>
      </c>
      <c r="E45" t="s">
        <v>45</v>
      </c>
      <c r="F45" t="s">
        <v>45</v>
      </c>
      <c r="I45">
        <v>0</v>
      </c>
      <c r="L45">
        <v>0</v>
      </c>
      <c r="M45">
        <v>2.5</v>
      </c>
      <c r="N45">
        <v>2</v>
      </c>
      <c r="O45">
        <v>4</v>
      </c>
      <c r="Q45">
        <v>457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87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152</v>
      </c>
      <c r="B46">
        <v>43908</v>
      </c>
      <c r="C46">
        <v>0.33333333333333326</v>
      </c>
      <c r="D46">
        <v>24</v>
      </c>
      <c r="E46" t="s">
        <v>45</v>
      </c>
      <c r="F46" t="s">
        <v>45</v>
      </c>
      <c r="I46">
        <v>0</v>
      </c>
      <c r="L46">
        <v>0</v>
      </c>
      <c r="M46">
        <v>2</v>
      </c>
      <c r="N46">
        <v>0</v>
      </c>
      <c r="O46">
        <v>2</v>
      </c>
      <c r="Q46">
        <v>455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87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152</v>
      </c>
      <c r="B47">
        <v>43909</v>
      </c>
      <c r="C47">
        <v>0.33333333333333326</v>
      </c>
      <c r="D47">
        <v>24</v>
      </c>
      <c r="E47" t="s">
        <v>45</v>
      </c>
      <c r="F47" t="s">
        <v>45</v>
      </c>
      <c r="I47">
        <v>11</v>
      </c>
      <c r="L47">
        <v>0</v>
      </c>
      <c r="M47">
        <v>2.5</v>
      </c>
      <c r="N47">
        <v>2</v>
      </c>
      <c r="O47">
        <v>4</v>
      </c>
      <c r="Q47">
        <v>451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87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152</v>
      </c>
      <c r="B48">
        <v>43910</v>
      </c>
      <c r="C48">
        <v>0.33333333333333326</v>
      </c>
      <c r="D48">
        <v>24</v>
      </c>
      <c r="E48" t="s">
        <v>45</v>
      </c>
      <c r="F48" t="s">
        <v>45</v>
      </c>
      <c r="I48">
        <v>0</v>
      </c>
      <c r="L48">
        <v>0</v>
      </c>
      <c r="M48">
        <v>2</v>
      </c>
      <c r="N48">
        <v>0</v>
      </c>
      <c r="O48">
        <v>2</v>
      </c>
      <c r="Q48">
        <v>449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87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152</v>
      </c>
      <c r="B49">
        <v>43911</v>
      </c>
      <c r="C49">
        <v>0.33333333333333326</v>
      </c>
      <c r="D49">
        <v>24</v>
      </c>
      <c r="E49" t="s">
        <v>45</v>
      </c>
      <c r="F49" t="s">
        <v>45</v>
      </c>
      <c r="I49">
        <v>0</v>
      </c>
      <c r="L49">
        <v>0</v>
      </c>
      <c r="M49">
        <v>2.5</v>
      </c>
      <c r="N49">
        <v>2</v>
      </c>
      <c r="O49">
        <v>4</v>
      </c>
      <c r="Q49">
        <v>444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87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152</v>
      </c>
      <c r="B50">
        <v>43912</v>
      </c>
      <c r="C50">
        <v>0.33333333333333326</v>
      </c>
      <c r="D50">
        <v>24</v>
      </c>
      <c r="E50" t="s">
        <v>45</v>
      </c>
      <c r="F50" t="s">
        <v>45</v>
      </c>
      <c r="I50">
        <v>0</v>
      </c>
      <c r="L50">
        <v>0</v>
      </c>
      <c r="M50">
        <v>2.1</v>
      </c>
      <c r="N50">
        <v>1.7999999999999998</v>
      </c>
      <c r="O50">
        <v>4</v>
      </c>
      <c r="Q50">
        <v>440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87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152</v>
      </c>
      <c r="B51">
        <v>43912</v>
      </c>
      <c r="C51">
        <v>0.70416666666666661</v>
      </c>
      <c r="D51">
        <v>9</v>
      </c>
      <c r="E51" t="s">
        <v>45</v>
      </c>
      <c r="F51" t="s">
        <v>46</v>
      </c>
      <c r="I51">
        <v>0</v>
      </c>
      <c r="L51">
        <v>0</v>
      </c>
      <c r="M51">
        <v>0.77875000000000005</v>
      </c>
      <c r="N51">
        <v>0.66749999999999987</v>
      </c>
      <c r="O51">
        <v>1</v>
      </c>
      <c r="Q51">
        <v>439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87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152</v>
      </c>
      <c r="B52">
        <v>43912</v>
      </c>
      <c r="C52">
        <v>0.76666666666666661</v>
      </c>
      <c r="D52">
        <v>2</v>
      </c>
      <c r="E52" t="s">
        <v>47</v>
      </c>
      <c r="F52" t="s">
        <v>48</v>
      </c>
      <c r="I52">
        <v>0</v>
      </c>
      <c r="L52">
        <v>0.125</v>
      </c>
      <c r="M52">
        <v>0.15625</v>
      </c>
      <c r="N52">
        <v>0.125</v>
      </c>
      <c r="O52">
        <v>0</v>
      </c>
      <c r="Q52">
        <v>438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87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152</v>
      </c>
      <c r="B53">
        <v>43912</v>
      </c>
      <c r="C53">
        <v>0.85000000000000009</v>
      </c>
      <c r="D53">
        <v>2</v>
      </c>
      <c r="E53" t="s">
        <v>49</v>
      </c>
      <c r="F53" t="s">
        <v>50</v>
      </c>
      <c r="I53">
        <v>0</v>
      </c>
      <c r="L53">
        <v>0</v>
      </c>
      <c r="M53">
        <v>0.20833333333333345</v>
      </c>
      <c r="N53">
        <v>0.16666666666666674</v>
      </c>
      <c r="O53">
        <v>0</v>
      </c>
      <c r="Q53">
        <v>438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87</v>
      </c>
      <c r="AB53">
        <v>100</v>
      </c>
      <c r="AE53">
        <v>100</v>
      </c>
      <c r="AH53">
        <v>100</v>
      </c>
      <c r="AK53">
        <v>100</v>
      </c>
    </row>
    <row r="54" spans="1:37" x14ac:dyDescent="0.25">
      <c r="A54" t="s">
        <v>152</v>
      </c>
      <c r="B54">
        <v>43913</v>
      </c>
      <c r="C54">
        <v>0.33333333333333326</v>
      </c>
      <c r="D54">
        <v>12</v>
      </c>
      <c r="E54" t="s">
        <v>51</v>
      </c>
      <c r="F54" t="s">
        <v>51</v>
      </c>
      <c r="I54">
        <v>0</v>
      </c>
      <c r="L54">
        <v>0</v>
      </c>
      <c r="M54">
        <v>1.2083333333333337</v>
      </c>
      <c r="N54">
        <v>0.96666666666666667</v>
      </c>
      <c r="O54">
        <v>2</v>
      </c>
      <c r="Q54">
        <v>436</v>
      </c>
      <c r="R54">
        <v>0</v>
      </c>
      <c r="S54">
        <v>0</v>
      </c>
      <c r="T54">
        <v>0</v>
      </c>
      <c r="U54">
        <v>0</v>
      </c>
      <c r="V54">
        <v>2.9</v>
      </c>
      <c r="W54">
        <v>3</v>
      </c>
      <c r="X54">
        <v>0</v>
      </c>
      <c r="Y54">
        <v>84</v>
      </c>
      <c r="AB54">
        <v>100</v>
      </c>
      <c r="AE54">
        <v>100</v>
      </c>
      <c r="AH54">
        <v>100</v>
      </c>
      <c r="AK54">
        <v>100</v>
      </c>
    </row>
    <row r="55" spans="1:37" x14ac:dyDescent="0.25">
      <c r="A55" t="s">
        <v>152</v>
      </c>
      <c r="B55">
        <v>43913</v>
      </c>
      <c r="C55">
        <v>0.35000000000000009</v>
      </c>
      <c r="D55">
        <v>0</v>
      </c>
      <c r="E55" t="s">
        <v>51</v>
      </c>
      <c r="F55" t="s">
        <v>51</v>
      </c>
      <c r="I55">
        <v>0</v>
      </c>
      <c r="L55">
        <v>0</v>
      </c>
      <c r="M55">
        <v>4.1666666666666803E-2</v>
      </c>
      <c r="N55">
        <v>3.3333333333333437E-2</v>
      </c>
      <c r="O55">
        <v>0</v>
      </c>
      <c r="Q55">
        <v>436</v>
      </c>
      <c r="R55">
        <v>0</v>
      </c>
      <c r="S55">
        <v>0</v>
      </c>
      <c r="T55">
        <v>0</v>
      </c>
      <c r="U55">
        <v>0</v>
      </c>
      <c r="V55">
        <v>0.1</v>
      </c>
      <c r="W55">
        <v>0</v>
      </c>
      <c r="X55">
        <v>0</v>
      </c>
      <c r="Y55">
        <v>84</v>
      </c>
      <c r="AB55">
        <v>100</v>
      </c>
      <c r="AE55">
        <v>100</v>
      </c>
      <c r="AH55">
        <v>100</v>
      </c>
      <c r="AK55">
        <v>100</v>
      </c>
    </row>
    <row r="56" spans="1:37" x14ac:dyDescent="0.25">
      <c r="A56" t="s">
        <v>152</v>
      </c>
      <c r="B56">
        <v>43913</v>
      </c>
      <c r="C56">
        <v>0.47083333333333344</v>
      </c>
      <c r="D56">
        <v>3</v>
      </c>
      <c r="E56" t="s">
        <v>49</v>
      </c>
      <c r="F56" t="s">
        <v>46</v>
      </c>
      <c r="I56">
        <v>0</v>
      </c>
      <c r="L56">
        <v>0</v>
      </c>
      <c r="M56">
        <v>0.30208333333333337</v>
      </c>
      <c r="N56">
        <v>0.2416666666666667</v>
      </c>
      <c r="O56">
        <v>1</v>
      </c>
      <c r="Q56">
        <v>435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84</v>
      </c>
      <c r="AB56">
        <v>100</v>
      </c>
      <c r="AE56">
        <v>100</v>
      </c>
      <c r="AH56">
        <v>100</v>
      </c>
      <c r="AK56">
        <v>100</v>
      </c>
    </row>
    <row r="57" spans="1:37" x14ac:dyDescent="0.25">
      <c r="A57" t="s">
        <v>152</v>
      </c>
      <c r="B57">
        <v>43913</v>
      </c>
      <c r="C57">
        <v>0.5083333333333333</v>
      </c>
      <c r="D57">
        <v>1</v>
      </c>
      <c r="E57" t="s">
        <v>47</v>
      </c>
      <c r="F57" t="s">
        <v>163</v>
      </c>
      <c r="I57">
        <v>0</v>
      </c>
      <c r="J57" t="s">
        <v>54</v>
      </c>
      <c r="K57">
        <v>95</v>
      </c>
      <c r="L57">
        <v>0.18749999999999961</v>
      </c>
      <c r="M57">
        <v>9.3749999999999806E-2</v>
      </c>
      <c r="N57">
        <v>7.4999999999999845E-2</v>
      </c>
      <c r="O57">
        <v>0</v>
      </c>
      <c r="Q57">
        <v>435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84</v>
      </c>
      <c r="AB57">
        <v>100</v>
      </c>
      <c r="AE57">
        <v>100</v>
      </c>
      <c r="AH57">
        <v>100</v>
      </c>
      <c r="AK57">
        <v>100</v>
      </c>
    </row>
    <row r="58" spans="1:37" x14ac:dyDescent="0.25">
      <c r="A58" t="s">
        <v>152</v>
      </c>
      <c r="B58">
        <v>43913</v>
      </c>
      <c r="C58">
        <v>0.90416666666666656</v>
      </c>
      <c r="D58">
        <v>10</v>
      </c>
      <c r="E58" t="s">
        <v>55</v>
      </c>
      <c r="F58" t="s">
        <v>57</v>
      </c>
      <c r="G58">
        <v>96</v>
      </c>
      <c r="H58">
        <v>10.4</v>
      </c>
      <c r="I58">
        <v>0</v>
      </c>
      <c r="J58" t="s">
        <v>54</v>
      </c>
      <c r="K58">
        <v>95</v>
      </c>
      <c r="L58">
        <v>9.1041666666666679</v>
      </c>
      <c r="M58">
        <v>0.98958333333333348</v>
      </c>
      <c r="N58">
        <v>0</v>
      </c>
      <c r="O58">
        <v>10</v>
      </c>
      <c r="Q58">
        <v>425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84</v>
      </c>
      <c r="AB58">
        <v>100</v>
      </c>
      <c r="AE58">
        <v>100</v>
      </c>
      <c r="AH58">
        <v>100</v>
      </c>
      <c r="AK58">
        <v>100</v>
      </c>
    </row>
    <row r="59" spans="1:37" x14ac:dyDescent="0.25">
      <c r="A59" t="s">
        <v>152</v>
      </c>
      <c r="B59">
        <v>43913</v>
      </c>
      <c r="C59">
        <v>0.9375</v>
      </c>
      <c r="D59">
        <v>1</v>
      </c>
      <c r="E59" t="s">
        <v>47</v>
      </c>
      <c r="F59" t="s">
        <v>48</v>
      </c>
      <c r="I59">
        <v>0</v>
      </c>
      <c r="L59">
        <v>0.16666666666666663</v>
      </c>
      <c r="M59">
        <v>8.3333333333333315E-2</v>
      </c>
      <c r="N59">
        <v>6.6666666666666652E-2</v>
      </c>
      <c r="O59">
        <v>0</v>
      </c>
      <c r="Q59">
        <v>424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84</v>
      </c>
      <c r="AB59">
        <v>100</v>
      </c>
      <c r="AE59">
        <v>100</v>
      </c>
      <c r="AH59">
        <v>100</v>
      </c>
      <c r="AK59">
        <v>100</v>
      </c>
    </row>
    <row r="60" spans="1:37" x14ac:dyDescent="0.25">
      <c r="A60" t="s">
        <v>152</v>
      </c>
      <c r="B60">
        <v>43914</v>
      </c>
      <c r="C60">
        <v>0.33333333333333326</v>
      </c>
      <c r="D60">
        <v>9</v>
      </c>
      <c r="E60" t="s">
        <v>45</v>
      </c>
      <c r="F60" t="s">
        <v>45</v>
      </c>
      <c r="I60">
        <v>0</v>
      </c>
      <c r="L60">
        <v>0</v>
      </c>
      <c r="M60">
        <v>0.87083333333333324</v>
      </c>
      <c r="N60">
        <v>0.79166666666666652</v>
      </c>
      <c r="O60">
        <v>2</v>
      </c>
      <c r="Q60">
        <v>423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84</v>
      </c>
      <c r="AB60">
        <v>100</v>
      </c>
      <c r="AE60">
        <v>100</v>
      </c>
      <c r="AH60">
        <v>100</v>
      </c>
      <c r="AK60">
        <v>100</v>
      </c>
    </row>
    <row r="61" spans="1:37" x14ac:dyDescent="0.25">
      <c r="A61" t="s">
        <v>152</v>
      </c>
      <c r="B61">
        <v>43915</v>
      </c>
      <c r="C61">
        <v>0.33333333333333326</v>
      </c>
      <c r="D61">
        <v>24</v>
      </c>
      <c r="E61" t="s">
        <v>45</v>
      </c>
      <c r="F61" t="s">
        <v>45</v>
      </c>
      <c r="I61">
        <v>0</v>
      </c>
      <c r="L61">
        <v>0</v>
      </c>
      <c r="M61">
        <v>2.2000000000000002</v>
      </c>
      <c r="N61">
        <v>2</v>
      </c>
      <c r="O61">
        <v>4</v>
      </c>
      <c r="Q61">
        <v>418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84</v>
      </c>
      <c r="AB61">
        <v>100</v>
      </c>
      <c r="AE61">
        <v>100</v>
      </c>
      <c r="AH61">
        <v>100</v>
      </c>
      <c r="AK61">
        <v>100</v>
      </c>
    </row>
    <row r="62" spans="1:37" x14ac:dyDescent="0.25">
      <c r="A62" t="s">
        <v>152</v>
      </c>
      <c r="B62">
        <v>43916</v>
      </c>
      <c r="C62">
        <v>0.33333333333333326</v>
      </c>
      <c r="D62">
        <v>24</v>
      </c>
      <c r="E62" t="s">
        <v>45</v>
      </c>
      <c r="F62" t="s">
        <v>45</v>
      </c>
      <c r="I62">
        <v>0</v>
      </c>
      <c r="L62">
        <v>0</v>
      </c>
      <c r="M62">
        <v>2.2000000000000002</v>
      </c>
      <c r="N62">
        <v>1.7999999999999998</v>
      </c>
      <c r="O62">
        <v>4</v>
      </c>
      <c r="Q62">
        <v>414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84</v>
      </c>
      <c r="AB62">
        <v>100</v>
      </c>
      <c r="AE62">
        <v>100</v>
      </c>
      <c r="AH62">
        <v>100</v>
      </c>
      <c r="AK62">
        <v>100</v>
      </c>
    </row>
    <row r="63" spans="1:37" x14ac:dyDescent="0.25">
      <c r="A63" t="s">
        <v>152</v>
      </c>
      <c r="B63">
        <v>43917</v>
      </c>
      <c r="C63">
        <v>0.33333333333333326</v>
      </c>
      <c r="D63">
        <v>24</v>
      </c>
      <c r="E63" t="s">
        <v>45</v>
      </c>
      <c r="F63" t="s">
        <v>45</v>
      </c>
      <c r="I63">
        <v>0</v>
      </c>
      <c r="L63">
        <v>0</v>
      </c>
      <c r="M63">
        <v>2.2000000000000002</v>
      </c>
      <c r="N63">
        <v>1.7999999999999998</v>
      </c>
      <c r="O63">
        <v>4</v>
      </c>
      <c r="Q63">
        <v>410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84</v>
      </c>
      <c r="AB63">
        <v>100</v>
      </c>
      <c r="AE63">
        <v>100</v>
      </c>
      <c r="AH63">
        <v>100</v>
      </c>
      <c r="AK63">
        <v>100</v>
      </c>
    </row>
    <row r="64" spans="1:37" x14ac:dyDescent="0.25">
      <c r="A64" t="s">
        <v>152</v>
      </c>
      <c r="B64">
        <v>43917</v>
      </c>
      <c r="C64">
        <v>0.66250000000000009</v>
      </c>
      <c r="D64">
        <v>8</v>
      </c>
      <c r="E64" t="s">
        <v>45</v>
      </c>
      <c r="F64" t="s">
        <v>46</v>
      </c>
      <c r="I64">
        <v>0</v>
      </c>
      <c r="L64">
        <v>0</v>
      </c>
      <c r="M64">
        <v>0.72416666666666674</v>
      </c>
      <c r="N64">
        <v>0.59250000000000003</v>
      </c>
      <c r="O64">
        <v>1</v>
      </c>
      <c r="Q64">
        <v>409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84</v>
      </c>
      <c r="AB64">
        <v>100</v>
      </c>
      <c r="AE64">
        <v>100</v>
      </c>
      <c r="AH64">
        <v>100</v>
      </c>
      <c r="AK64">
        <v>100</v>
      </c>
    </row>
    <row r="65" spans="1:37" x14ac:dyDescent="0.25">
      <c r="A65" t="s">
        <v>152</v>
      </c>
      <c r="B65">
        <v>43917</v>
      </c>
      <c r="C65">
        <v>0.73333333333333339</v>
      </c>
      <c r="D65">
        <v>2</v>
      </c>
      <c r="E65" t="s">
        <v>47</v>
      </c>
      <c r="F65" t="s">
        <v>48</v>
      </c>
      <c r="I65">
        <v>0</v>
      </c>
      <c r="L65">
        <v>7.0833333333333415E-2</v>
      </c>
      <c r="M65">
        <v>0.15583333333333352</v>
      </c>
      <c r="N65">
        <v>0.12750000000000014</v>
      </c>
      <c r="O65">
        <v>0</v>
      </c>
      <c r="Q65">
        <v>409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84</v>
      </c>
      <c r="AB65">
        <v>100</v>
      </c>
      <c r="AE65">
        <v>100</v>
      </c>
      <c r="AH65">
        <v>100</v>
      </c>
      <c r="AK65">
        <v>100</v>
      </c>
    </row>
    <row r="66" spans="1:37" x14ac:dyDescent="0.25">
      <c r="A66" t="s">
        <v>152</v>
      </c>
      <c r="B66">
        <v>43917</v>
      </c>
      <c r="C66">
        <v>0.8041666666666667</v>
      </c>
      <c r="D66">
        <v>2</v>
      </c>
      <c r="E66" t="s">
        <v>49</v>
      </c>
      <c r="F66" t="s">
        <v>50</v>
      </c>
      <c r="I66">
        <v>0</v>
      </c>
      <c r="L66">
        <v>0</v>
      </c>
      <c r="M66">
        <v>0.17708333333333326</v>
      </c>
      <c r="N66">
        <v>0.14166666666666661</v>
      </c>
      <c r="O66">
        <v>0</v>
      </c>
      <c r="Q66">
        <v>408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84</v>
      </c>
      <c r="AB66">
        <v>100</v>
      </c>
      <c r="AE66">
        <v>100</v>
      </c>
      <c r="AH66">
        <v>100</v>
      </c>
      <c r="AK66">
        <v>100</v>
      </c>
    </row>
    <row r="67" spans="1:37" x14ac:dyDescent="0.25">
      <c r="A67" t="s">
        <v>152</v>
      </c>
      <c r="B67">
        <v>43918</v>
      </c>
      <c r="C67">
        <v>0.33333333333333326</v>
      </c>
      <c r="D67">
        <v>13</v>
      </c>
      <c r="E67" t="s">
        <v>51</v>
      </c>
      <c r="F67" t="s">
        <v>51</v>
      </c>
      <c r="I67">
        <v>0</v>
      </c>
      <c r="L67">
        <v>0</v>
      </c>
      <c r="M67">
        <v>1.3229166666666667</v>
      </c>
      <c r="N67">
        <v>1.0583333333333331</v>
      </c>
      <c r="O67">
        <v>2</v>
      </c>
      <c r="Q67">
        <v>406</v>
      </c>
      <c r="R67">
        <v>0</v>
      </c>
      <c r="S67">
        <v>0</v>
      </c>
      <c r="T67">
        <v>0</v>
      </c>
      <c r="U67">
        <v>0</v>
      </c>
      <c r="V67">
        <v>2.1</v>
      </c>
      <c r="W67">
        <v>2</v>
      </c>
      <c r="X67">
        <v>0</v>
      </c>
      <c r="Y67">
        <v>82</v>
      </c>
      <c r="AB67">
        <v>100</v>
      </c>
      <c r="AE67">
        <v>100</v>
      </c>
      <c r="AH67">
        <v>100</v>
      </c>
      <c r="AK67">
        <v>100</v>
      </c>
    </row>
    <row r="68" spans="1:37" x14ac:dyDescent="0.25">
      <c r="A68" t="s">
        <v>152</v>
      </c>
      <c r="B68">
        <v>43918</v>
      </c>
      <c r="C68">
        <v>0.375</v>
      </c>
      <c r="D68">
        <v>1</v>
      </c>
      <c r="E68" t="s">
        <v>51</v>
      </c>
      <c r="F68" t="s">
        <v>52</v>
      </c>
      <c r="I68">
        <v>0</v>
      </c>
      <c r="L68">
        <v>0</v>
      </c>
      <c r="M68">
        <v>0.10416666666666673</v>
      </c>
      <c r="N68">
        <v>8.333333333333337E-2</v>
      </c>
      <c r="O68">
        <v>0</v>
      </c>
      <c r="Q68">
        <v>406</v>
      </c>
      <c r="R68">
        <v>0</v>
      </c>
      <c r="S68">
        <v>0</v>
      </c>
      <c r="T68">
        <v>0</v>
      </c>
      <c r="U68">
        <v>0</v>
      </c>
      <c r="V68">
        <v>0.1</v>
      </c>
      <c r="W68">
        <v>0</v>
      </c>
      <c r="X68">
        <v>0</v>
      </c>
      <c r="Y68">
        <v>82</v>
      </c>
      <c r="AB68">
        <v>100</v>
      </c>
      <c r="AE68">
        <v>100</v>
      </c>
      <c r="AH68">
        <v>100</v>
      </c>
      <c r="AK68">
        <v>100</v>
      </c>
    </row>
    <row r="69" spans="1:37" x14ac:dyDescent="0.25">
      <c r="A69" t="s">
        <v>152</v>
      </c>
      <c r="B69">
        <v>43918</v>
      </c>
      <c r="C69">
        <v>0.47916666666666674</v>
      </c>
      <c r="D69">
        <v>3</v>
      </c>
      <c r="E69" t="s">
        <v>49</v>
      </c>
      <c r="F69" t="s">
        <v>46</v>
      </c>
      <c r="I69">
        <v>0</v>
      </c>
      <c r="L69">
        <v>0</v>
      </c>
      <c r="M69">
        <v>0.26041666666666674</v>
      </c>
      <c r="N69">
        <v>0.20833333333333337</v>
      </c>
      <c r="O69">
        <v>0</v>
      </c>
      <c r="Q69">
        <v>405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82</v>
      </c>
      <c r="AB69">
        <v>100</v>
      </c>
      <c r="AE69">
        <v>100</v>
      </c>
      <c r="AH69">
        <v>100</v>
      </c>
      <c r="AK69">
        <v>100</v>
      </c>
    </row>
    <row r="70" spans="1:37" x14ac:dyDescent="0.25">
      <c r="A70" t="s">
        <v>152</v>
      </c>
      <c r="B70">
        <v>43918</v>
      </c>
      <c r="C70">
        <v>0.5625</v>
      </c>
      <c r="D70">
        <v>2</v>
      </c>
      <c r="E70" t="s">
        <v>47</v>
      </c>
      <c r="F70" t="s">
        <v>60</v>
      </c>
      <c r="I70">
        <v>0</v>
      </c>
      <c r="J70" t="s">
        <v>54</v>
      </c>
      <c r="K70">
        <v>95</v>
      </c>
      <c r="L70">
        <v>0.16666666666666663</v>
      </c>
      <c r="M70">
        <v>0.20833333333333329</v>
      </c>
      <c r="N70">
        <v>0.16666666666666663</v>
      </c>
      <c r="O70">
        <v>1</v>
      </c>
      <c r="Q70">
        <v>405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82</v>
      </c>
      <c r="AB70">
        <v>100</v>
      </c>
      <c r="AE70">
        <v>100</v>
      </c>
      <c r="AH70">
        <v>100</v>
      </c>
      <c r="AK70">
        <v>100</v>
      </c>
    </row>
    <row r="71" spans="1:37" x14ac:dyDescent="0.25">
      <c r="A71" t="s">
        <v>152</v>
      </c>
      <c r="B71">
        <v>43919</v>
      </c>
      <c r="C71">
        <v>0.33333333333333326</v>
      </c>
      <c r="D71">
        <v>18</v>
      </c>
      <c r="E71" t="s">
        <v>61</v>
      </c>
      <c r="F71" t="s">
        <v>56</v>
      </c>
      <c r="I71">
        <v>0</v>
      </c>
      <c r="J71" t="s">
        <v>54</v>
      </c>
      <c r="K71">
        <v>95</v>
      </c>
      <c r="L71">
        <v>16.958333333333332</v>
      </c>
      <c r="M71">
        <v>1.9270833333333337</v>
      </c>
      <c r="N71">
        <v>0</v>
      </c>
      <c r="O71">
        <v>19</v>
      </c>
      <c r="Q71">
        <v>386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82</v>
      </c>
      <c r="AB71">
        <v>100</v>
      </c>
      <c r="AE71">
        <v>100</v>
      </c>
      <c r="AH71">
        <v>100</v>
      </c>
      <c r="AK71">
        <v>100</v>
      </c>
    </row>
    <row r="72" spans="1:37" x14ac:dyDescent="0.25">
      <c r="A72" t="s">
        <v>152</v>
      </c>
      <c r="B72">
        <v>43919</v>
      </c>
      <c r="C72">
        <v>0.60416666666666674</v>
      </c>
      <c r="D72">
        <v>6</v>
      </c>
      <c r="E72" t="s">
        <v>61</v>
      </c>
      <c r="F72" t="s">
        <v>62</v>
      </c>
      <c r="G72">
        <v>265</v>
      </c>
      <c r="H72">
        <v>25</v>
      </c>
      <c r="I72">
        <v>0</v>
      </c>
      <c r="J72" t="s">
        <v>54</v>
      </c>
      <c r="K72">
        <v>95</v>
      </c>
      <c r="L72">
        <v>5.958333333333333</v>
      </c>
      <c r="M72">
        <v>0.67708333333333337</v>
      </c>
      <c r="N72">
        <v>0</v>
      </c>
      <c r="O72">
        <v>7</v>
      </c>
      <c r="Q72">
        <v>379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82</v>
      </c>
      <c r="AB72">
        <v>100</v>
      </c>
      <c r="AE72">
        <v>100</v>
      </c>
      <c r="AH72">
        <v>100</v>
      </c>
      <c r="AK7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0"/>
  <dimension ref="A1:AK7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1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164</v>
      </c>
      <c r="B2" s="156">
        <v>43919</v>
      </c>
      <c r="C2" s="156">
        <v>0.625</v>
      </c>
      <c r="D2" s="156">
        <v>1</v>
      </c>
      <c r="E2" s="156" t="s">
        <v>47</v>
      </c>
      <c r="F2" s="156" t="s">
        <v>48</v>
      </c>
      <c r="G2" s="156"/>
      <c r="H2" s="156"/>
      <c r="I2" s="156">
        <v>0</v>
      </c>
      <c r="J2" s="156"/>
      <c r="K2" s="156"/>
      <c r="L2" s="156">
        <v>4.1666666666666741E-2</v>
      </c>
      <c r="M2" s="156">
        <v>5.2083333333333426E-2</v>
      </c>
      <c r="N2" s="156">
        <v>4.1666666666666741E-2</v>
      </c>
      <c r="O2" s="156">
        <v>0</v>
      </c>
      <c r="P2" s="156"/>
      <c r="Q2" s="156">
        <v>379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82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164</v>
      </c>
      <c r="B3" s="156">
        <v>43920</v>
      </c>
      <c r="C3" s="156">
        <v>0.33333333333333326</v>
      </c>
      <c r="D3" s="156">
        <v>17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1.5583333333333336</v>
      </c>
      <c r="N3" s="156">
        <v>1.2749999999999999</v>
      </c>
      <c r="O3" s="156">
        <v>3</v>
      </c>
      <c r="P3" s="156"/>
      <c r="Q3" s="156">
        <v>376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82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164</v>
      </c>
      <c r="B4" s="156">
        <v>43921</v>
      </c>
      <c r="C4" s="156">
        <v>0.33333333333333326</v>
      </c>
      <c r="D4" s="156">
        <v>24</v>
      </c>
      <c r="E4" s="156" t="s">
        <v>45</v>
      </c>
      <c r="F4" s="156" t="s">
        <v>45</v>
      </c>
      <c r="G4" s="156"/>
      <c r="H4" s="156"/>
      <c r="I4" s="156">
        <v>0</v>
      </c>
      <c r="J4" s="156"/>
      <c r="K4" s="156"/>
      <c r="L4" s="156">
        <v>0</v>
      </c>
      <c r="M4" s="156">
        <v>2.5</v>
      </c>
      <c r="N4" s="156">
        <v>2</v>
      </c>
      <c r="O4" s="156">
        <v>4</v>
      </c>
      <c r="P4" s="156"/>
      <c r="Q4" s="156">
        <v>372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82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164</v>
      </c>
      <c r="B5" s="156">
        <v>43921</v>
      </c>
      <c r="C5" s="156">
        <v>0.65416666666666656</v>
      </c>
      <c r="D5" s="156">
        <v>8</v>
      </c>
      <c r="E5" s="156" t="s">
        <v>45</v>
      </c>
      <c r="F5" s="156" t="s">
        <v>46</v>
      </c>
      <c r="G5" s="156"/>
      <c r="H5" s="156"/>
      <c r="I5" s="156">
        <v>0</v>
      </c>
      <c r="J5" s="156"/>
      <c r="K5" s="156"/>
      <c r="L5" s="156">
        <v>0</v>
      </c>
      <c r="M5" s="156">
        <v>0.8</v>
      </c>
      <c r="N5" s="156">
        <v>0.64</v>
      </c>
      <c r="O5" s="156">
        <v>1</v>
      </c>
      <c r="P5" s="156"/>
      <c r="Q5" s="156">
        <v>370</v>
      </c>
      <c r="R5" s="156">
        <v>0</v>
      </c>
      <c r="S5" s="156">
        <v>0</v>
      </c>
      <c r="T5" s="156">
        <v>0</v>
      </c>
      <c r="U5" s="156">
        <v>0</v>
      </c>
      <c r="V5" s="156">
        <v>1.9</v>
      </c>
      <c r="W5" s="156">
        <v>2</v>
      </c>
      <c r="X5" s="156">
        <v>0</v>
      </c>
      <c r="Y5" s="156">
        <v>80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164</v>
      </c>
      <c r="B6">
        <v>43921</v>
      </c>
      <c r="C6">
        <v>0.7416666666666667</v>
      </c>
      <c r="D6">
        <v>2</v>
      </c>
      <c r="E6" t="s">
        <v>47</v>
      </c>
      <c r="F6" t="s">
        <v>48</v>
      </c>
      <c r="I6">
        <v>0</v>
      </c>
      <c r="L6">
        <v>0.18</v>
      </c>
      <c r="M6">
        <v>0.22</v>
      </c>
      <c r="N6">
        <v>0.18</v>
      </c>
      <c r="O6">
        <v>1</v>
      </c>
      <c r="Q6">
        <v>370</v>
      </c>
      <c r="R6">
        <v>0</v>
      </c>
      <c r="S6">
        <v>0</v>
      </c>
      <c r="T6">
        <v>0</v>
      </c>
      <c r="U6">
        <v>0</v>
      </c>
      <c r="V6">
        <v>0.6</v>
      </c>
      <c r="W6">
        <v>1</v>
      </c>
      <c r="X6">
        <v>0</v>
      </c>
      <c r="Y6">
        <v>79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164</v>
      </c>
      <c r="B7">
        <v>43922</v>
      </c>
      <c r="C7">
        <v>0</v>
      </c>
      <c r="D7">
        <v>6</v>
      </c>
      <c r="E7" t="s">
        <v>49</v>
      </c>
      <c r="F7" t="s">
        <v>165</v>
      </c>
      <c r="I7">
        <v>0</v>
      </c>
      <c r="L7">
        <v>0</v>
      </c>
      <c r="M7">
        <v>0.56999999999999995</v>
      </c>
      <c r="N7">
        <v>0.47</v>
      </c>
      <c r="O7">
        <v>1</v>
      </c>
      <c r="Q7">
        <v>369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79</v>
      </c>
      <c r="AB7">
        <v>100</v>
      </c>
      <c r="AE7">
        <v>100</v>
      </c>
      <c r="AH7">
        <v>100</v>
      </c>
      <c r="AK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AK53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2" bestFit="1" customWidth="1"/>
    <col min="4" max="4" width="15.85546875" bestFit="1" customWidth="1"/>
    <col min="5" max="5" width="25.5703125" bestFit="1" customWidth="1"/>
    <col min="6" max="6" width="22.710937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3" width="12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 t="s">
        <v>82</v>
      </c>
      <c r="B2" s="156">
        <v>43878</v>
      </c>
      <c r="C2" s="156">
        <v>0.125</v>
      </c>
      <c r="D2" s="156">
        <v>0</v>
      </c>
      <c r="E2" s="156" t="s">
        <v>47</v>
      </c>
      <c r="F2" s="156" t="s">
        <v>83</v>
      </c>
      <c r="G2" s="156"/>
      <c r="H2" s="156"/>
      <c r="I2" s="156">
        <v>0</v>
      </c>
      <c r="J2" s="156"/>
      <c r="K2" s="156"/>
      <c r="L2" s="156">
        <v>0.10416666666666664</v>
      </c>
      <c r="M2" s="156">
        <v>5.2083333333333322E-2</v>
      </c>
      <c r="N2" s="156">
        <v>4.1666666666666657E-2</v>
      </c>
      <c r="O2" s="156">
        <v>0</v>
      </c>
      <c r="P2" s="156"/>
      <c r="Q2" s="156">
        <v>752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39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82</v>
      </c>
      <c r="B3" s="156">
        <v>43878</v>
      </c>
      <c r="C3" s="156">
        <v>0.16250000000000009</v>
      </c>
      <c r="D3" s="156">
        <v>1</v>
      </c>
      <c r="E3" s="156" t="s">
        <v>45</v>
      </c>
      <c r="F3" s="156" t="s">
        <v>46</v>
      </c>
      <c r="G3" s="156"/>
      <c r="H3" s="156"/>
      <c r="I3" s="156">
        <v>0</v>
      </c>
      <c r="J3" s="156"/>
      <c r="K3" s="156"/>
      <c r="L3" s="156">
        <v>0</v>
      </c>
      <c r="M3" s="156">
        <v>9.3750000000000014E-2</v>
      </c>
      <c r="N3" s="156">
        <v>7.5000000000000011E-2</v>
      </c>
      <c r="O3" s="156">
        <v>0</v>
      </c>
      <c r="P3" s="156"/>
      <c r="Q3" s="156">
        <v>751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39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82</v>
      </c>
      <c r="B4" s="156">
        <v>43878</v>
      </c>
      <c r="C4" s="156">
        <v>0.27083333333333326</v>
      </c>
      <c r="D4" s="156">
        <v>3</v>
      </c>
      <c r="E4" s="156" t="s">
        <v>47</v>
      </c>
      <c r="F4" s="156" t="s">
        <v>84</v>
      </c>
      <c r="G4" s="156"/>
      <c r="H4" s="156"/>
      <c r="I4" s="156">
        <v>0</v>
      </c>
      <c r="J4" s="156"/>
      <c r="K4" s="156"/>
      <c r="L4" s="156">
        <v>0.21666666666666665</v>
      </c>
      <c r="M4" s="156">
        <v>0.27083333333333331</v>
      </c>
      <c r="N4" s="156">
        <v>0.21666666666666665</v>
      </c>
      <c r="O4" s="156">
        <v>1</v>
      </c>
      <c r="P4" s="156"/>
      <c r="Q4" s="156">
        <v>751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39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82</v>
      </c>
      <c r="B5" s="156">
        <v>43878</v>
      </c>
      <c r="C5" s="156">
        <v>0.33333333333333326</v>
      </c>
      <c r="D5" s="156">
        <v>2</v>
      </c>
      <c r="E5" s="156" t="s">
        <v>49</v>
      </c>
      <c r="F5" s="156" t="s">
        <v>59</v>
      </c>
      <c r="G5" s="156"/>
      <c r="H5" s="156"/>
      <c r="I5" s="156">
        <v>0</v>
      </c>
      <c r="J5" s="156"/>
      <c r="K5" s="156"/>
      <c r="L5" s="156">
        <v>0</v>
      </c>
      <c r="M5" s="156">
        <v>0.15625</v>
      </c>
      <c r="N5" s="156">
        <v>0.125</v>
      </c>
      <c r="O5" s="156">
        <v>0</v>
      </c>
      <c r="P5" s="156"/>
      <c r="Q5" s="156">
        <v>750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>
        <v>0</v>
      </c>
      <c r="Y5" s="156">
        <v>39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t="s">
        <v>82</v>
      </c>
      <c r="B6">
        <v>43878</v>
      </c>
      <c r="C6">
        <v>0.44166666666666665</v>
      </c>
      <c r="D6">
        <v>3</v>
      </c>
      <c r="E6" t="s">
        <v>49</v>
      </c>
      <c r="F6" t="s">
        <v>85</v>
      </c>
      <c r="I6">
        <v>0</v>
      </c>
      <c r="L6">
        <v>0</v>
      </c>
      <c r="M6">
        <v>0.27083333333333337</v>
      </c>
      <c r="N6">
        <v>0.21666666666666667</v>
      </c>
      <c r="O6">
        <v>0</v>
      </c>
      <c r="Q6">
        <v>750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39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t="s">
        <v>82</v>
      </c>
      <c r="B7">
        <v>43879</v>
      </c>
      <c r="C7">
        <v>0.33333333333333326</v>
      </c>
      <c r="D7">
        <v>21</v>
      </c>
      <c r="E7" t="s">
        <v>71</v>
      </c>
      <c r="F7" t="s">
        <v>71</v>
      </c>
      <c r="I7">
        <v>0</v>
      </c>
      <c r="L7">
        <v>0</v>
      </c>
      <c r="M7">
        <v>2.2291666666666665</v>
      </c>
      <c r="N7">
        <v>1.7833333333333332</v>
      </c>
      <c r="O7">
        <v>4</v>
      </c>
      <c r="Q7">
        <v>746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39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t="s">
        <v>82</v>
      </c>
      <c r="B8">
        <v>43879</v>
      </c>
      <c r="C8">
        <v>0.85000000000000009</v>
      </c>
      <c r="D8">
        <v>12</v>
      </c>
      <c r="E8" t="s">
        <v>71</v>
      </c>
      <c r="F8" t="s">
        <v>73</v>
      </c>
      <c r="I8">
        <v>0</v>
      </c>
      <c r="L8">
        <v>0</v>
      </c>
      <c r="M8">
        <v>1.2916666666666663</v>
      </c>
      <c r="N8">
        <v>1.0333333333333332</v>
      </c>
      <c r="O8">
        <v>2</v>
      </c>
      <c r="Q8">
        <v>744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39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t="s">
        <v>82</v>
      </c>
      <c r="B9">
        <v>43880</v>
      </c>
      <c r="C9">
        <v>7.9166666666666607E-2</v>
      </c>
      <c r="D9">
        <v>6</v>
      </c>
      <c r="E9" t="s">
        <v>49</v>
      </c>
      <c r="F9" t="s">
        <v>46</v>
      </c>
      <c r="I9">
        <v>0</v>
      </c>
      <c r="L9">
        <v>0</v>
      </c>
      <c r="M9">
        <v>0.57291666666666674</v>
      </c>
      <c r="N9">
        <v>0.45833333333333326</v>
      </c>
      <c r="O9">
        <v>1</v>
      </c>
      <c r="Q9">
        <v>743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39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t="s">
        <v>82</v>
      </c>
      <c r="B10">
        <v>43880</v>
      </c>
      <c r="C10">
        <v>0.10416666666666674</v>
      </c>
      <c r="D10">
        <v>1</v>
      </c>
      <c r="E10" t="s">
        <v>47</v>
      </c>
      <c r="F10" t="s">
        <v>75</v>
      </c>
      <c r="I10">
        <v>0</v>
      </c>
      <c r="J10" t="s">
        <v>54</v>
      </c>
      <c r="K10">
        <v>95</v>
      </c>
      <c r="L10">
        <v>0.12500000000000006</v>
      </c>
      <c r="M10">
        <v>6.2500000000000028E-2</v>
      </c>
      <c r="N10">
        <v>5.0000000000000017E-2</v>
      </c>
      <c r="O10">
        <v>0</v>
      </c>
      <c r="Q10">
        <v>742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39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t="s">
        <v>82</v>
      </c>
      <c r="B11">
        <v>43880</v>
      </c>
      <c r="C11">
        <v>0.33333333333333326</v>
      </c>
      <c r="D11">
        <v>5</v>
      </c>
      <c r="E11" t="s">
        <v>55</v>
      </c>
      <c r="F11" t="s">
        <v>56</v>
      </c>
      <c r="I11">
        <v>0</v>
      </c>
      <c r="J11" t="s">
        <v>54</v>
      </c>
      <c r="K11">
        <v>95</v>
      </c>
      <c r="L11">
        <v>4.583333333333333</v>
      </c>
      <c r="M11">
        <v>0.57291666666666663</v>
      </c>
      <c r="N11">
        <v>0</v>
      </c>
      <c r="O11">
        <v>5</v>
      </c>
      <c r="Q11">
        <v>737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39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t="s">
        <v>82</v>
      </c>
      <c r="B12">
        <v>43880</v>
      </c>
      <c r="C12">
        <v>0.4375</v>
      </c>
      <c r="D12">
        <v>3</v>
      </c>
      <c r="E12" t="s">
        <v>55</v>
      </c>
      <c r="F12" t="s">
        <v>76</v>
      </c>
      <c r="G12">
        <v>91</v>
      </c>
      <c r="H12">
        <v>8</v>
      </c>
      <c r="I12">
        <v>0</v>
      </c>
      <c r="J12" t="s">
        <v>54</v>
      </c>
      <c r="K12">
        <v>95</v>
      </c>
      <c r="L12">
        <v>2.0833333333333339</v>
      </c>
      <c r="M12">
        <v>0.26041666666666674</v>
      </c>
      <c r="N12">
        <v>0</v>
      </c>
      <c r="O12">
        <v>2</v>
      </c>
      <c r="Q12">
        <v>735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39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t="s">
        <v>82</v>
      </c>
      <c r="B13">
        <v>43880</v>
      </c>
      <c r="C13">
        <v>0.51249999999999996</v>
      </c>
      <c r="D13">
        <v>2</v>
      </c>
      <c r="E13" t="s">
        <v>47</v>
      </c>
      <c r="F13" t="s">
        <v>48</v>
      </c>
      <c r="I13">
        <v>0</v>
      </c>
      <c r="L13">
        <v>0.15000000000000013</v>
      </c>
      <c r="M13">
        <v>0.18750000000000017</v>
      </c>
      <c r="N13">
        <v>0.15000000000000013</v>
      </c>
      <c r="O13">
        <v>0</v>
      </c>
      <c r="Q13">
        <v>734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39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t="s">
        <v>82</v>
      </c>
      <c r="B14">
        <v>43880</v>
      </c>
      <c r="C14">
        <v>0.6166666666666667</v>
      </c>
      <c r="D14">
        <v>2</v>
      </c>
      <c r="E14" t="s">
        <v>49</v>
      </c>
      <c r="F14" t="s">
        <v>50</v>
      </c>
      <c r="I14">
        <v>11</v>
      </c>
      <c r="L14">
        <v>0</v>
      </c>
      <c r="M14">
        <v>0.26041666666666657</v>
      </c>
      <c r="N14">
        <v>0.20833333333333329</v>
      </c>
      <c r="O14">
        <v>0</v>
      </c>
      <c r="Q14">
        <v>734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39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t="s">
        <v>82</v>
      </c>
      <c r="B15">
        <v>43881</v>
      </c>
      <c r="C15">
        <v>1</v>
      </c>
      <c r="D15">
        <v>33</v>
      </c>
      <c r="E15" t="s">
        <v>51</v>
      </c>
      <c r="F15" t="s">
        <v>52</v>
      </c>
      <c r="I15">
        <v>0</v>
      </c>
      <c r="L15">
        <v>0</v>
      </c>
      <c r="M15">
        <v>0.95833333333333326</v>
      </c>
      <c r="N15">
        <v>0.76666666666666661</v>
      </c>
      <c r="O15">
        <v>2</v>
      </c>
      <c r="Q15">
        <v>732</v>
      </c>
      <c r="R15">
        <v>0</v>
      </c>
      <c r="S15">
        <v>0</v>
      </c>
      <c r="T15">
        <v>0</v>
      </c>
      <c r="U15">
        <v>0</v>
      </c>
      <c r="V15">
        <v>2.2999999999999998</v>
      </c>
      <c r="W15">
        <v>2</v>
      </c>
      <c r="X15">
        <v>0</v>
      </c>
      <c r="Y15">
        <v>37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t="s">
        <v>82</v>
      </c>
      <c r="B16">
        <v>43881</v>
      </c>
      <c r="C16">
        <v>7.9166666666666607E-2</v>
      </c>
      <c r="D16">
        <v>-22</v>
      </c>
      <c r="E16" t="s">
        <v>49</v>
      </c>
      <c r="F16" t="s">
        <v>46</v>
      </c>
      <c r="I16">
        <v>0</v>
      </c>
      <c r="L16">
        <v>0</v>
      </c>
      <c r="M16">
        <v>0.19791666666666652</v>
      </c>
      <c r="N16">
        <v>0.15833333333333319</v>
      </c>
      <c r="O16">
        <v>0</v>
      </c>
      <c r="Q16">
        <v>732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37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t="s">
        <v>82</v>
      </c>
      <c r="B17">
        <v>43881</v>
      </c>
      <c r="C17">
        <v>0.10416666666666674</v>
      </c>
      <c r="D17">
        <v>1</v>
      </c>
      <c r="E17" t="s">
        <v>47</v>
      </c>
      <c r="F17" t="s">
        <v>79</v>
      </c>
      <c r="I17">
        <v>0</v>
      </c>
      <c r="J17" t="s">
        <v>81</v>
      </c>
      <c r="K17">
        <v>95</v>
      </c>
      <c r="L17">
        <v>0.12500000000000006</v>
      </c>
      <c r="M17">
        <v>6.2500000000000028E-2</v>
      </c>
      <c r="N17">
        <v>5.0000000000000017E-2</v>
      </c>
      <c r="O17">
        <v>0</v>
      </c>
      <c r="Q17">
        <v>732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37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t="s">
        <v>82</v>
      </c>
      <c r="B18">
        <v>43881</v>
      </c>
      <c r="C18">
        <v>0.33333333333333326</v>
      </c>
      <c r="D18">
        <v>5</v>
      </c>
      <c r="E18" t="s">
        <v>55</v>
      </c>
      <c r="F18" t="s">
        <v>56</v>
      </c>
      <c r="I18">
        <v>0</v>
      </c>
      <c r="J18" t="s">
        <v>81</v>
      </c>
      <c r="K18">
        <v>95</v>
      </c>
      <c r="L18">
        <v>4.583333333333333</v>
      </c>
      <c r="M18">
        <v>0.57291666666666663</v>
      </c>
      <c r="N18">
        <v>0</v>
      </c>
      <c r="O18">
        <v>5</v>
      </c>
      <c r="Q18">
        <v>726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37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t="s">
        <v>82</v>
      </c>
      <c r="B19">
        <v>43882</v>
      </c>
      <c r="C19">
        <v>0.125</v>
      </c>
      <c r="D19">
        <v>19</v>
      </c>
      <c r="E19" t="s">
        <v>55</v>
      </c>
      <c r="F19" t="s">
        <v>80</v>
      </c>
      <c r="G19">
        <v>266</v>
      </c>
      <c r="H19">
        <v>24.5</v>
      </c>
      <c r="I19">
        <v>0</v>
      </c>
      <c r="J19" t="s">
        <v>81</v>
      </c>
      <c r="K19">
        <v>95</v>
      </c>
      <c r="L19">
        <v>15.833333333333334</v>
      </c>
      <c r="M19">
        <v>1.9791666666666667</v>
      </c>
      <c r="N19">
        <v>0</v>
      </c>
      <c r="O19">
        <v>18</v>
      </c>
      <c r="Q19">
        <v>709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37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t="s">
        <v>82</v>
      </c>
      <c r="B20">
        <v>43882</v>
      </c>
      <c r="C20">
        <v>0.14583333333333326</v>
      </c>
      <c r="D20">
        <v>1</v>
      </c>
      <c r="E20" t="s">
        <v>47</v>
      </c>
      <c r="F20" t="s">
        <v>48</v>
      </c>
      <c r="I20">
        <v>0</v>
      </c>
      <c r="L20">
        <v>0.10416666666666673</v>
      </c>
      <c r="M20">
        <v>5.2083333333333363E-2</v>
      </c>
      <c r="N20">
        <v>4.1666666666666685E-2</v>
      </c>
      <c r="O20">
        <v>0</v>
      </c>
      <c r="Q20">
        <v>708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37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t="s">
        <v>82</v>
      </c>
      <c r="B21">
        <v>43882</v>
      </c>
      <c r="C21">
        <v>0.33333333333333326</v>
      </c>
      <c r="D21">
        <v>4</v>
      </c>
      <c r="E21" t="s">
        <v>45</v>
      </c>
      <c r="F21" t="s">
        <v>45</v>
      </c>
      <c r="I21">
        <v>0</v>
      </c>
      <c r="L21">
        <v>0</v>
      </c>
      <c r="M21">
        <v>0.46874999999999994</v>
      </c>
      <c r="N21">
        <v>0.37499999999999994</v>
      </c>
      <c r="O21">
        <v>1</v>
      </c>
      <c r="Q21">
        <v>708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37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t="s">
        <v>82</v>
      </c>
      <c r="B22">
        <v>43883</v>
      </c>
      <c r="C22">
        <v>0.33333333333333326</v>
      </c>
      <c r="D22">
        <v>24</v>
      </c>
      <c r="E22" t="s">
        <v>45</v>
      </c>
      <c r="F22" t="s">
        <v>45</v>
      </c>
      <c r="I22">
        <v>0</v>
      </c>
      <c r="L22">
        <v>0</v>
      </c>
      <c r="M22">
        <v>2.4</v>
      </c>
      <c r="N22">
        <v>2</v>
      </c>
      <c r="O22">
        <v>4</v>
      </c>
      <c r="Q22">
        <v>703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37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t="s">
        <v>82</v>
      </c>
      <c r="B23">
        <v>43884</v>
      </c>
      <c r="C23">
        <v>0.33333333333333326</v>
      </c>
      <c r="D23">
        <v>24</v>
      </c>
      <c r="E23" t="s">
        <v>45</v>
      </c>
      <c r="F23" t="s">
        <v>45</v>
      </c>
      <c r="I23">
        <v>11</v>
      </c>
      <c r="L23">
        <v>0</v>
      </c>
      <c r="M23">
        <v>2.5</v>
      </c>
      <c r="N23">
        <v>2</v>
      </c>
      <c r="O23">
        <v>4</v>
      </c>
      <c r="Q23">
        <v>699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37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t="s">
        <v>82</v>
      </c>
      <c r="B24">
        <v>43885</v>
      </c>
      <c r="C24">
        <v>0.33333333333333326</v>
      </c>
      <c r="D24">
        <v>24</v>
      </c>
      <c r="E24" t="s">
        <v>45</v>
      </c>
      <c r="F24" t="s">
        <v>45</v>
      </c>
      <c r="I24">
        <v>0</v>
      </c>
      <c r="L24">
        <v>0</v>
      </c>
      <c r="M24">
        <v>2.5</v>
      </c>
      <c r="N24">
        <v>2</v>
      </c>
      <c r="O24">
        <v>4</v>
      </c>
      <c r="Q24">
        <v>694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37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t="s">
        <v>82</v>
      </c>
      <c r="B25">
        <v>43886</v>
      </c>
      <c r="C25">
        <v>0.33333333333333326</v>
      </c>
      <c r="D25">
        <v>24</v>
      </c>
      <c r="E25" t="s">
        <v>45</v>
      </c>
      <c r="F25" t="s">
        <v>45</v>
      </c>
      <c r="I25">
        <v>0</v>
      </c>
      <c r="L25">
        <v>0</v>
      </c>
      <c r="M25">
        <v>2.5</v>
      </c>
      <c r="N25">
        <v>2</v>
      </c>
      <c r="O25">
        <v>4</v>
      </c>
      <c r="Q25">
        <v>690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37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t="s">
        <v>82</v>
      </c>
      <c r="B26">
        <v>43887</v>
      </c>
      <c r="C26">
        <v>0.33333333333333326</v>
      </c>
      <c r="D26">
        <v>24</v>
      </c>
      <c r="E26" t="s">
        <v>45</v>
      </c>
      <c r="F26" t="s">
        <v>45</v>
      </c>
      <c r="I26">
        <v>0</v>
      </c>
      <c r="L26">
        <v>0</v>
      </c>
      <c r="M26">
        <v>2.5</v>
      </c>
      <c r="N26">
        <v>2</v>
      </c>
      <c r="O26">
        <v>4</v>
      </c>
      <c r="Q26">
        <v>685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37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t="s">
        <v>82</v>
      </c>
      <c r="B27">
        <v>43888</v>
      </c>
      <c r="C27">
        <v>0.33333333333333326</v>
      </c>
      <c r="D27">
        <v>24</v>
      </c>
      <c r="E27" t="s">
        <v>45</v>
      </c>
      <c r="F27" t="s">
        <v>45</v>
      </c>
      <c r="I27">
        <v>0</v>
      </c>
      <c r="L27">
        <v>0</v>
      </c>
      <c r="M27">
        <v>2.5</v>
      </c>
      <c r="N27">
        <v>2</v>
      </c>
      <c r="O27">
        <v>4</v>
      </c>
      <c r="Q27">
        <v>681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37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t="s">
        <v>82</v>
      </c>
      <c r="B28">
        <v>43888</v>
      </c>
      <c r="C28">
        <v>0.5083333333333333</v>
      </c>
      <c r="D28">
        <v>4</v>
      </c>
      <c r="E28" t="s">
        <v>45</v>
      </c>
      <c r="F28" t="s">
        <v>46</v>
      </c>
      <c r="I28">
        <v>0</v>
      </c>
      <c r="L28">
        <v>0</v>
      </c>
      <c r="M28">
        <v>0.43749999999999994</v>
      </c>
      <c r="N28">
        <v>0.34999999999999992</v>
      </c>
      <c r="O28">
        <v>1</v>
      </c>
      <c r="Q28">
        <v>680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37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t="s">
        <v>82</v>
      </c>
      <c r="B29">
        <v>43888</v>
      </c>
      <c r="C29">
        <v>0.5625</v>
      </c>
      <c r="D29">
        <v>1</v>
      </c>
      <c r="E29" t="s">
        <v>47</v>
      </c>
      <c r="F29" t="s">
        <v>48</v>
      </c>
      <c r="I29">
        <v>0</v>
      </c>
      <c r="L29">
        <v>0.27083333333333348</v>
      </c>
      <c r="M29">
        <v>0.13541666666666674</v>
      </c>
      <c r="N29">
        <v>0.10833333333333341</v>
      </c>
      <c r="O29">
        <v>1</v>
      </c>
      <c r="Q29">
        <v>679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37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t="s">
        <v>82</v>
      </c>
      <c r="B30">
        <v>43888</v>
      </c>
      <c r="C30">
        <v>0.6958333333333333</v>
      </c>
      <c r="D30">
        <v>3</v>
      </c>
      <c r="E30" t="s">
        <v>49</v>
      </c>
      <c r="F30" t="s">
        <v>50</v>
      </c>
      <c r="I30">
        <v>0</v>
      </c>
      <c r="L30">
        <v>0</v>
      </c>
      <c r="M30">
        <v>0.33333333333333326</v>
      </c>
      <c r="N30">
        <v>0.26666666666666661</v>
      </c>
      <c r="O30">
        <v>1</v>
      </c>
      <c r="Q30">
        <v>679</v>
      </c>
      <c r="R30">
        <v>0</v>
      </c>
      <c r="S30">
        <v>0</v>
      </c>
      <c r="T30">
        <v>0</v>
      </c>
      <c r="U30">
        <v>0</v>
      </c>
      <c r="V30">
        <v>0.4</v>
      </c>
      <c r="W30">
        <v>0</v>
      </c>
      <c r="X30">
        <v>0</v>
      </c>
      <c r="Y30">
        <v>37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t="s">
        <v>82</v>
      </c>
      <c r="B31">
        <v>43889</v>
      </c>
      <c r="C31">
        <v>0.33333333333333326</v>
      </c>
      <c r="D31">
        <v>15</v>
      </c>
      <c r="E31" t="s">
        <v>51</v>
      </c>
      <c r="F31" t="s">
        <v>51</v>
      </c>
      <c r="I31">
        <v>0</v>
      </c>
      <c r="L31">
        <v>0</v>
      </c>
      <c r="M31">
        <v>1.5937500000000002</v>
      </c>
      <c r="N31">
        <v>1.2749999999999999</v>
      </c>
      <c r="O31">
        <v>3</v>
      </c>
      <c r="Q31">
        <v>676</v>
      </c>
      <c r="R31">
        <v>0</v>
      </c>
      <c r="S31">
        <v>0</v>
      </c>
      <c r="T31">
        <v>0</v>
      </c>
      <c r="U31">
        <v>0</v>
      </c>
      <c r="V31">
        <v>3.8</v>
      </c>
      <c r="W31">
        <v>4</v>
      </c>
      <c r="X31">
        <v>0</v>
      </c>
      <c r="Y31">
        <v>33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t="s">
        <v>82</v>
      </c>
      <c r="B32">
        <v>43889</v>
      </c>
      <c r="C32">
        <v>0.48333333333333339</v>
      </c>
      <c r="D32">
        <v>4</v>
      </c>
      <c r="E32" t="s">
        <v>51</v>
      </c>
      <c r="F32" t="s">
        <v>52</v>
      </c>
      <c r="I32">
        <v>0</v>
      </c>
      <c r="L32">
        <v>0</v>
      </c>
      <c r="M32">
        <v>0.37500000000000006</v>
      </c>
      <c r="N32">
        <v>0.30000000000000004</v>
      </c>
      <c r="O32">
        <v>1</v>
      </c>
      <c r="Q32">
        <v>675</v>
      </c>
      <c r="R32">
        <v>0</v>
      </c>
      <c r="S32">
        <v>0</v>
      </c>
      <c r="T32">
        <v>0</v>
      </c>
      <c r="U32">
        <v>0</v>
      </c>
      <c r="V32">
        <v>0.9</v>
      </c>
      <c r="W32">
        <v>1</v>
      </c>
      <c r="X32">
        <v>0</v>
      </c>
      <c r="Y32">
        <v>32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t="s">
        <v>82</v>
      </c>
      <c r="B33">
        <v>43889</v>
      </c>
      <c r="C33">
        <v>0.6166666666666667</v>
      </c>
      <c r="D33">
        <v>3</v>
      </c>
      <c r="E33" t="s">
        <v>49</v>
      </c>
      <c r="F33" t="s">
        <v>46</v>
      </c>
      <c r="I33">
        <v>0</v>
      </c>
      <c r="L33">
        <v>0</v>
      </c>
      <c r="M33">
        <v>0.33333333333333343</v>
      </c>
      <c r="N33">
        <v>0.26666666666666672</v>
      </c>
      <c r="O33">
        <v>1</v>
      </c>
      <c r="Q33">
        <v>675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t="s">
        <v>82</v>
      </c>
      <c r="B34">
        <v>43889</v>
      </c>
      <c r="C34">
        <v>0.64166666666666661</v>
      </c>
      <c r="D34">
        <v>1</v>
      </c>
      <c r="E34" t="s">
        <v>47</v>
      </c>
      <c r="F34" t="s">
        <v>53</v>
      </c>
      <c r="I34">
        <v>0</v>
      </c>
      <c r="J34" t="s">
        <v>54</v>
      </c>
      <c r="K34">
        <v>95</v>
      </c>
      <c r="L34">
        <v>7.5000000000000067E-2</v>
      </c>
      <c r="M34">
        <v>6.2500000000000056E-2</v>
      </c>
      <c r="N34">
        <v>5.0000000000000051E-2</v>
      </c>
      <c r="O34">
        <v>0</v>
      </c>
      <c r="Q34">
        <v>674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t="s">
        <v>82</v>
      </c>
      <c r="B35">
        <v>43890</v>
      </c>
      <c r="C35">
        <v>4.1666666666666741E-2</v>
      </c>
      <c r="D35">
        <v>10</v>
      </c>
      <c r="E35" t="s">
        <v>55</v>
      </c>
      <c r="F35" t="s">
        <v>57</v>
      </c>
      <c r="G35">
        <v>96</v>
      </c>
      <c r="H35">
        <v>10.199999999999999</v>
      </c>
      <c r="I35">
        <v>0</v>
      </c>
      <c r="J35" t="s">
        <v>54</v>
      </c>
      <c r="K35">
        <v>95</v>
      </c>
      <c r="L35">
        <v>7.9999999999999982</v>
      </c>
      <c r="M35">
        <v>0.99999999999999989</v>
      </c>
      <c r="N35">
        <v>0</v>
      </c>
      <c r="O35">
        <v>9</v>
      </c>
      <c r="Q35">
        <v>665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t="s">
        <v>82</v>
      </c>
      <c r="B36">
        <v>43890</v>
      </c>
      <c r="C36">
        <v>0.15833333333333344</v>
      </c>
      <c r="D36">
        <v>3</v>
      </c>
      <c r="E36" t="s">
        <v>47</v>
      </c>
      <c r="F36" t="s">
        <v>48</v>
      </c>
      <c r="I36">
        <v>0</v>
      </c>
      <c r="L36">
        <v>0.23333333333333331</v>
      </c>
      <c r="M36">
        <v>0.29166666666666669</v>
      </c>
      <c r="N36">
        <v>0.23333333333333331</v>
      </c>
      <c r="O36">
        <v>1</v>
      </c>
      <c r="Q36">
        <v>665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t="s">
        <v>82</v>
      </c>
      <c r="B37">
        <v>43890</v>
      </c>
      <c r="C37">
        <v>0.30833333333333335</v>
      </c>
      <c r="D37">
        <v>4</v>
      </c>
      <c r="E37" t="s">
        <v>49</v>
      </c>
      <c r="F37" t="s">
        <v>50</v>
      </c>
      <c r="I37">
        <v>0</v>
      </c>
      <c r="L37">
        <v>0</v>
      </c>
      <c r="M37">
        <v>0.37500000000000006</v>
      </c>
      <c r="N37">
        <v>0.30000000000000004</v>
      </c>
      <c r="O37">
        <v>1</v>
      </c>
      <c r="Q37">
        <v>664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t="s">
        <v>82</v>
      </c>
      <c r="B38">
        <v>43890</v>
      </c>
      <c r="C38">
        <v>0.33333333333333326</v>
      </c>
      <c r="D38">
        <v>1</v>
      </c>
      <c r="E38" t="s">
        <v>51</v>
      </c>
      <c r="F38" t="s">
        <v>51</v>
      </c>
      <c r="I38">
        <v>0</v>
      </c>
      <c r="L38">
        <v>0</v>
      </c>
      <c r="M38">
        <v>6.2499999999999917E-2</v>
      </c>
      <c r="N38">
        <v>4.9999999999999933E-2</v>
      </c>
      <c r="O38">
        <v>0</v>
      </c>
      <c r="Q38">
        <v>664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t="s">
        <v>82</v>
      </c>
      <c r="B39">
        <v>43890</v>
      </c>
      <c r="C39">
        <v>0.83749999999999991</v>
      </c>
      <c r="D39">
        <v>12</v>
      </c>
      <c r="E39" t="s">
        <v>51</v>
      </c>
      <c r="F39" t="s">
        <v>86</v>
      </c>
      <c r="I39">
        <v>11</v>
      </c>
      <c r="L39">
        <v>0</v>
      </c>
      <c r="M39">
        <v>1.2604166666666667</v>
      </c>
      <c r="N39">
        <v>1.0083333333333333</v>
      </c>
      <c r="O39">
        <v>2</v>
      </c>
      <c r="Q39">
        <v>662</v>
      </c>
      <c r="R39">
        <v>0</v>
      </c>
      <c r="S39">
        <v>0</v>
      </c>
      <c r="T39">
        <v>0</v>
      </c>
      <c r="U39">
        <v>0</v>
      </c>
      <c r="V39">
        <v>3</v>
      </c>
      <c r="W39">
        <v>3</v>
      </c>
      <c r="X39">
        <v>0</v>
      </c>
      <c r="Y39">
        <v>29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t="s">
        <v>82</v>
      </c>
      <c r="B40">
        <v>43890</v>
      </c>
      <c r="C40">
        <v>0.95</v>
      </c>
      <c r="D40">
        <v>3</v>
      </c>
      <c r="E40" t="s">
        <v>49</v>
      </c>
      <c r="F40" t="s">
        <v>46</v>
      </c>
      <c r="I40">
        <v>0</v>
      </c>
      <c r="L40">
        <v>0</v>
      </c>
      <c r="M40">
        <v>0.28125000000000011</v>
      </c>
      <c r="N40">
        <v>0.22500000000000009</v>
      </c>
      <c r="O40">
        <v>1</v>
      </c>
      <c r="Q40">
        <v>661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t="s">
        <v>82</v>
      </c>
      <c r="B41">
        <v>43890</v>
      </c>
      <c r="C41">
        <v>0.97916666666666674</v>
      </c>
      <c r="D41">
        <v>1</v>
      </c>
      <c r="E41" t="s">
        <v>47</v>
      </c>
      <c r="F41" t="s">
        <v>87</v>
      </c>
      <c r="I41">
        <v>0</v>
      </c>
      <c r="L41">
        <v>5.8333333333333126E-2</v>
      </c>
      <c r="M41">
        <v>7.2916666666666394E-2</v>
      </c>
      <c r="N41">
        <v>5.8333333333333126E-2</v>
      </c>
      <c r="O41">
        <v>0</v>
      </c>
      <c r="Q41">
        <v>661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t="s">
        <v>82</v>
      </c>
      <c r="B42">
        <v>43891</v>
      </c>
      <c r="C42">
        <v>0</v>
      </c>
      <c r="D42">
        <v>0</v>
      </c>
      <c r="E42" t="s">
        <v>61</v>
      </c>
      <c r="F42" t="s">
        <v>56</v>
      </c>
      <c r="I42">
        <v>0</v>
      </c>
      <c r="L42">
        <v>0</v>
      </c>
      <c r="M42">
        <v>0</v>
      </c>
      <c r="N42">
        <v>0</v>
      </c>
      <c r="O42">
        <v>0</v>
      </c>
      <c r="Q42">
        <v>661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29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t="s">
        <v>82</v>
      </c>
      <c r="B43">
        <v>43891</v>
      </c>
      <c r="C43">
        <v>0</v>
      </c>
      <c r="D43">
        <v>0</v>
      </c>
      <c r="E43" t="s">
        <v>55</v>
      </c>
      <c r="F43" t="s">
        <v>56</v>
      </c>
      <c r="I43">
        <v>0</v>
      </c>
      <c r="J43" t="s">
        <v>54</v>
      </c>
      <c r="K43">
        <v>95</v>
      </c>
      <c r="L43">
        <v>0</v>
      </c>
      <c r="M43">
        <v>0</v>
      </c>
      <c r="N43">
        <v>0</v>
      </c>
      <c r="O43">
        <v>0</v>
      </c>
      <c r="Q43">
        <v>661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29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t="s">
        <v>82</v>
      </c>
      <c r="B44">
        <v>43891</v>
      </c>
      <c r="C44">
        <v>0.27083333333333326</v>
      </c>
      <c r="D44">
        <v>6</v>
      </c>
      <c r="E44" t="s">
        <v>55</v>
      </c>
      <c r="F44" t="s">
        <v>142</v>
      </c>
      <c r="G44">
        <v>62</v>
      </c>
      <c r="H44">
        <v>6.5</v>
      </c>
      <c r="I44">
        <v>0</v>
      </c>
      <c r="J44" t="s">
        <v>54</v>
      </c>
      <c r="K44">
        <v>95</v>
      </c>
      <c r="L44">
        <v>5.83</v>
      </c>
      <c r="M44">
        <v>0.72916666666666674</v>
      </c>
      <c r="N44">
        <v>0</v>
      </c>
      <c r="O44">
        <v>7</v>
      </c>
      <c r="Q44">
        <v>654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t="s">
        <v>82</v>
      </c>
      <c r="B45">
        <v>43891</v>
      </c>
      <c r="C45">
        <v>0.33333333333333326</v>
      </c>
      <c r="D45">
        <v>2</v>
      </c>
      <c r="E45" t="s">
        <v>47</v>
      </c>
      <c r="F45" t="s">
        <v>45</v>
      </c>
      <c r="I45">
        <v>0</v>
      </c>
      <c r="L45">
        <v>0.125</v>
      </c>
      <c r="M45">
        <v>0.15625</v>
      </c>
      <c r="N45">
        <v>0.125</v>
      </c>
      <c r="O45">
        <v>0</v>
      </c>
      <c r="Q45">
        <v>654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t="s">
        <v>82</v>
      </c>
      <c r="B46">
        <v>43891</v>
      </c>
      <c r="C46">
        <v>0.35416666666666674</v>
      </c>
      <c r="D46">
        <v>1</v>
      </c>
      <c r="E46" t="s">
        <v>45</v>
      </c>
      <c r="F46" t="s">
        <v>46</v>
      </c>
      <c r="I46">
        <v>0</v>
      </c>
      <c r="L46">
        <v>0</v>
      </c>
      <c r="M46">
        <v>5.2083333333333426E-2</v>
      </c>
      <c r="N46">
        <v>4.1666666666666741E-2</v>
      </c>
      <c r="O46">
        <v>0</v>
      </c>
      <c r="Q46">
        <v>654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29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t="s">
        <v>82</v>
      </c>
      <c r="B47">
        <v>43891</v>
      </c>
      <c r="C47">
        <v>0.40833333333333344</v>
      </c>
      <c r="D47">
        <v>1</v>
      </c>
      <c r="E47" t="s">
        <v>47</v>
      </c>
      <c r="F47" t="s">
        <v>48</v>
      </c>
      <c r="I47">
        <v>11</v>
      </c>
      <c r="L47">
        <v>0.10833333333333341</v>
      </c>
      <c r="M47">
        <v>0.13541666666666674</v>
      </c>
      <c r="N47">
        <v>0.10833333333333341</v>
      </c>
      <c r="O47">
        <v>0</v>
      </c>
      <c r="Q47">
        <v>653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29</v>
      </c>
      <c r="AB47">
        <v>100</v>
      </c>
      <c r="AE47">
        <v>100</v>
      </c>
      <c r="AH47">
        <v>100</v>
      </c>
      <c r="AK47">
        <v>100</v>
      </c>
    </row>
    <row r="48" spans="1:37" x14ac:dyDescent="0.25">
      <c r="A48" t="s">
        <v>82</v>
      </c>
      <c r="B48">
        <v>43891</v>
      </c>
      <c r="C48">
        <v>0.48750000000000004</v>
      </c>
      <c r="D48">
        <v>2</v>
      </c>
      <c r="E48" t="s">
        <v>49</v>
      </c>
      <c r="F48" t="s">
        <v>50</v>
      </c>
      <c r="I48">
        <v>0</v>
      </c>
      <c r="L48">
        <v>0</v>
      </c>
      <c r="M48">
        <v>0.19791666666666652</v>
      </c>
      <c r="N48">
        <v>0.15833333333333319</v>
      </c>
      <c r="O48">
        <v>0</v>
      </c>
      <c r="Q48">
        <v>653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29</v>
      </c>
      <c r="AB48">
        <v>100</v>
      </c>
      <c r="AE48">
        <v>100</v>
      </c>
      <c r="AH48">
        <v>100</v>
      </c>
      <c r="AK48">
        <v>100</v>
      </c>
    </row>
    <row r="49" spans="1:37" x14ac:dyDescent="0.25">
      <c r="A49" t="s">
        <v>82</v>
      </c>
      <c r="B49">
        <v>43891</v>
      </c>
      <c r="C49">
        <v>0.83749999999999991</v>
      </c>
      <c r="D49">
        <v>8</v>
      </c>
      <c r="E49" t="s">
        <v>51</v>
      </c>
      <c r="F49" t="s">
        <v>86</v>
      </c>
      <c r="I49">
        <v>0</v>
      </c>
      <c r="L49">
        <v>0</v>
      </c>
      <c r="M49">
        <v>0.87500000000000011</v>
      </c>
      <c r="N49">
        <v>0.7</v>
      </c>
      <c r="O49">
        <v>2</v>
      </c>
      <c r="Q49">
        <v>652</v>
      </c>
      <c r="R49">
        <v>0</v>
      </c>
      <c r="S49">
        <v>0</v>
      </c>
      <c r="T49">
        <v>0</v>
      </c>
      <c r="U49">
        <v>0</v>
      </c>
      <c r="V49">
        <v>2.1</v>
      </c>
      <c r="W49">
        <v>2</v>
      </c>
      <c r="X49">
        <v>0</v>
      </c>
      <c r="Y49">
        <v>27</v>
      </c>
      <c r="AB49">
        <v>100</v>
      </c>
      <c r="AE49">
        <v>100</v>
      </c>
      <c r="AH49">
        <v>100</v>
      </c>
      <c r="AK49">
        <v>100</v>
      </c>
    </row>
    <row r="50" spans="1:37" x14ac:dyDescent="0.25">
      <c r="A50" t="s">
        <v>82</v>
      </c>
      <c r="B50">
        <v>43891</v>
      </c>
      <c r="C50">
        <v>0.93333333333333335</v>
      </c>
      <c r="D50">
        <v>2</v>
      </c>
      <c r="E50" t="s">
        <v>49</v>
      </c>
      <c r="F50" t="s">
        <v>46</v>
      </c>
      <c r="I50">
        <v>0</v>
      </c>
      <c r="L50">
        <v>0</v>
      </c>
      <c r="M50">
        <v>0.23958333333333304</v>
      </c>
      <c r="N50">
        <v>0.19166666666666643</v>
      </c>
      <c r="O50">
        <v>0</v>
      </c>
      <c r="Q50">
        <v>651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27</v>
      </c>
      <c r="AB50">
        <v>100</v>
      </c>
      <c r="AE50">
        <v>100</v>
      </c>
      <c r="AH50">
        <v>100</v>
      </c>
      <c r="AK50">
        <v>100</v>
      </c>
    </row>
    <row r="51" spans="1:37" x14ac:dyDescent="0.25">
      <c r="A51" t="s">
        <v>82</v>
      </c>
      <c r="B51">
        <v>43891</v>
      </c>
      <c r="C51">
        <v>0.96666666666666656</v>
      </c>
      <c r="D51">
        <v>1</v>
      </c>
      <c r="E51" t="s">
        <v>47</v>
      </c>
      <c r="F51" t="s">
        <v>151</v>
      </c>
      <c r="I51">
        <v>0</v>
      </c>
      <c r="J51" t="s">
        <v>54</v>
      </c>
      <c r="K51">
        <v>95</v>
      </c>
      <c r="L51">
        <v>0.16666666666666718</v>
      </c>
      <c r="M51">
        <v>8.3333333333333606E-2</v>
      </c>
      <c r="N51">
        <v>6.6666666666666874E-2</v>
      </c>
      <c r="O51">
        <v>0</v>
      </c>
      <c r="Q51">
        <v>651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27</v>
      </c>
      <c r="AB51">
        <v>100</v>
      </c>
      <c r="AE51">
        <v>100</v>
      </c>
      <c r="AH51">
        <v>100</v>
      </c>
      <c r="AK51">
        <v>100</v>
      </c>
    </row>
    <row r="52" spans="1:37" x14ac:dyDescent="0.25">
      <c r="A52" t="s">
        <v>82</v>
      </c>
      <c r="B52">
        <v>43892</v>
      </c>
      <c r="C52">
        <v>0.33333333333333326</v>
      </c>
      <c r="D52">
        <v>9</v>
      </c>
      <c r="E52" t="s">
        <v>61</v>
      </c>
      <c r="F52" t="s">
        <v>56</v>
      </c>
      <c r="I52">
        <v>0</v>
      </c>
      <c r="J52" t="s">
        <v>54</v>
      </c>
      <c r="K52">
        <v>95</v>
      </c>
      <c r="L52">
        <v>7.3333333333333348</v>
      </c>
      <c r="M52">
        <v>0.91666666666666674</v>
      </c>
      <c r="N52">
        <v>0</v>
      </c>
      <c r="O52">
        <v>8</v>
      </c>
      <c r="Q52">
        <v>643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27</v>
      </c>
      <c r="AB52">
        <v>100</v>
      </c>
      <c r="AE52">
        <v>100</v>
      </c>
      <c r="AH52">
        <v>100</v>
      </c>
      <c r="AK52">
        <v>100</v>
      </c>
    </row>
    <row r="53" spans="1:37" x14ac:dyDescent="0.25">
      <c r="A53" t="s">
        <v>82</v>
      </c>
      <c r="B53">
        <v>43892</v>
      </c>
      <c r="C53">
        <v>0.8</v>
      </c>
      <c r="D53">
        <v>11</v>
      </c>
      <c r="E53" t="s">
        <v>61</v>
      </c>
      <c r="F53" t="s">
        <v>62</v>
      </c>
      <c r="G53">
        <v>201</v>
      </c>
      <c r="H53">
        <v>20</v>
      </c>
      <c r="I53">
        <v>0</v>
      </c>
      <c r="J53" t="s">
        <v>54</v>
      </c>
      <c r="K53">
        <v>95</v>
      </c>
      <c r="L53">
        <v>9.3333333333333339</v>
      </c>
      <c r="M53">
        <v>1.1666666666666667</v>
      </c>
      <c r="N53">
        <v>0</v>
      </c>
      <c r="O53">
        <v>10</v>
      </c>
      <c r="Q53">
        <v>632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27</v>
      </c>
      <c r="AB53">
        <v>100</v>
      </c>
      <c r="AE53">
        <v>100</v>
      </c>
      <c r="AH53">
        <v>100</v>
      </c>
      <c r="AK53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2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8.140625" bestFit="1" customWidth="1"/>
    <col min="2" max="2" width="9" bestFit="1" customWidth="1"/>
    <col min="3" max="3" width="8.42578125" bestFit="1" customWidth="1"/>
    <col min="4" max="4" width="13.5703125" bestFit="1" customWidth="1"/>
    <col min="5" max="5" width="23.28515625" bestFit="1" customWidth="1"/>
    <col min="6" max="6" width="14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4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W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W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5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100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100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100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100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100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100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100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100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100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100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100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100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100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100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100</v>
      </c>
      <c r="AB16">
        <v>100</v>
      </c>
      <c r="AE16">
        <v>100</v>
      </c>
      <c r="AH16">
        <v>100</v>
      </c>
      <c r="AK16">
        <v>100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100</v>
      </c>
      <c r="AB17">
        <v>100</v>
      </c>
      <c r="AE17">
        <v>100</v>
      </c>
      <c r="AH17">
        <v>100</v>
      </c>
      <c r="AK17">
        <v>100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100</v>
      </c>
      <c r="AB18">
        <v>100</v>
      </c>
      <c r="AE18">
        <v>100</v>
      </c>
      <c r="AH18">
        <v>100</v>
      </c>
      <c r="AK18">
        <v>100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100</v>
      </c>
      <c r="AB19">
        <v>100</v>
      </c>
      <c r="AE19">
        <v>100</v>
      </c>
      <c r="AH19">
        <v>100</v>
      </c>
      <c r="AK19">
        <v>100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100</v>
      </c>
      <c r="AB20">
        <v>100</v>
      </c>
      <c r="AE20">
        <v>100</v>
      </c>
      <c r="AH20">
        <v>100</v>
      </c>
      <c r="AK20">
        <v>100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100</v>
      </c>
      <c r="AB21">
        <v>100</v>
      </c>
      <c r="AE21">
        <v>100</v>
      </c>
      <c r="AH21">
        <v>100</v>
      </c>
      <c r="AK21">
        <v>100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100</v>
      </c>
      <c r="AB22">
        <v>100</v>
      </c>
      <c r="AE22">
        <v>100</v>
      </c>
      <c r="AH22">
        <v>100</v>
      </c>
      <c r="AK22">
        <v>100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100</v>
      </c>
      <c r="AB23">
        <v>100</v>
      </c>
      <c r="AE23">
        <v>100</v>
      </c>
      <c r="AH23">
        <v>100</v>
      </c>
      <c r="AK23">
        <v>100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100</v>
      </c>
      <c r="AB24">
        <v>100</v>
      </c>
      <c r="AE24">
        <v>100</v>
      </c>
      <c r="AH24">
        <v>100</v>
      </c>
      <c r="AK24">
        <v>100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100</v>
      </c>
      <c r="AB25">
        <v>100</v>
      </c>
      <c r="AE25">
        <v>100</v>
      </c>
      <c r="AH25">
        <v>100</v>
      </c>
      <c r="AK25">
        <v>100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100</v>
      </c>
      <c r="AB26">
        <v>100</v>
      </c>
      <c r="AE26">
        <v>100</v>
      </c>
      <c r="AH26">
        <v>100</v>
      </c>
      <c r="AK26">
        <v>100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100</v>
      </c>
      <c r="AB27">
        <v>100</v>
      </c>
      <c r="AE27">
        <v>100</v>
      </c>
      <c r="AH27">
        <v>100</v>
      </c>
      <c r="AK27">
        <v>100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100</v>
      </c>
      <c r="AB28">
        <v>100</v>
      </c>
      <c r="AE28">
        <v>100</v>
      </c>
      <c r="AH28">
        <v>100</v>
      </c>
      <c r="AK28">
        <v>100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100</v>
      </c>
      <c r="AB29">
        <v>100</v>
      </c>
      <c r="AE29">
        <v>100</v>
      </c>
      <c r="AH29">
        <v>100</v>
      </c>
      <c r="AK29">
        <v>100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100</v>
      </c>
      <c r="AB30">
        <v>100</v>
      </c>
      <c r="AE30">
        <v>100</v>
      </c>
      <c r="AH30">
        <v>100</v>
      </c>
      <c r="AK30">
        <v>100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100</v>
      </c>
      <c r="AB31">
        <v>100</v>
      </c>
      <c r="AE31">
        <v>100</v>
      </c>
      <c r="AH31">
        <v>100</v>
      </c>
      <c r="AK31">
        <v>100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100</v>
      </c>
      <c r="AB32">
        <v>100</v>
      </c>
      <c r="AE32">
        <v>100</v>
      </c>
      <c r="AH32">
        <v>100</v>
      </c>
      <c r="AK32">
        <v>100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100</v>
      </c>
      <c r="AB33">
        <v>100</v>
      </c>
      <c r="AE33">
        <v>100</v>
      </c>
      <c r="AH33">
        <v>100</v>
      </c>
      <c r="AK33">
        <v>100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100</v>
      </c>
      <c r="AB34">
        <v>100</v>
      </c>
      <c r="AE34">
        <v>100</v>
      </c>
      <c r="AH34">
        <v>100</v>
      </c>
      <c r="AK34">
        <v>100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100</v>
      </c>
      <c r="AB35">
        <v>100</v>
      </c>
      <c r="AE35">
        <v>100</v>
      </c>
      <c r="AH35">
        <v>100</v>
      </c>
      <c r="AK35">
        <v>100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100</v>
      </c>
      <c r="AB36">
        <v>100</v>
      </c>
      <c r="AE36">
        <v>100</v>
      </c>
      <c r="AH36">
        <v>100</v>
      </c>
      <c r="AK36">
        <v>100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100</v>
      </c>
      <c r="AB37">
        <v>100</v>
      </c>
      <c r="AE37">
        <v>100</v>
      </c>
      <c r="AH37">
        <v>100</v>
      </c>
      <c r="AK37">
        <v>100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100</v>
      </c>
      <c r="AB38">
        <v>100</v>
      </c>
      <c r="AE38">
        <v>100</v>
      </c>
      <c r="AH38">
        <v>100</v>
      </c>
      <c r="AK38">
        <v>100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100</v>
      </c>
      <c r="AB39">
        <v>100</v>
      </c>
      <c r="AE39">
        <v>100</v>
      </c>
      <c r="AH39">
        <v>100</v>
      </c>
      <c r="AK39">
        <v>100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100</v>
      </c>
      <c r="AB40">
        <v>100</v>
      </c>
      <c r="AE40">
        <v>100</v>
      </c>
      <c r="AH40">
        <v>100</v>
      </c>
      <c r="AK40">
        <v>100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100</v>
      </c>
      <c r="AB41">
        <v>100</v>
      </c>
      <c r="AE41">
        <v>100</v>
      </c>
      <c r="AH41">
        <v>100</v>
      </c>
      <c r="AK41">
        <v>100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100</v>
      </c>
      <c r="AB42">
        <v>100</v>
      </c>
      <c r="AE42">
        <v>100</v>
      </c>
      <c r="AH42">
        <v>100</v>
      </c>
      <c r="AK42">
        <v>100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100</v>
      </c>
      <c r="AB43">
        <v>100</v>
      </c>
      <c r="AE43">
        <v>100</v>
      </c>
      <c r="AH43">
        <v>100</v>
      </c>
      <c r="AK43">
        <v>100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100</v>
      </c>
      <c r="AB44">
        <v>100</v>
      </c>
      <c r="AE44">
        <v>100</v>
      </c>
      <c r="AH44">
        <v>100</v>
      </c>
      <c r="AK44">
        <v>100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100</v>
      </c>
      <c r="AB45">
        <v>100</v>
      </c>
      <c r="AE45">
        <v>100</v>
      </c>
      <c r="AH45">
        <v>100</v>
      </c>
      <c r="AK45">
        <v>100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100</v>
      </c>
      <c r="AB46">
        <v>100</v>
      </c>
      <c r="AE46">
        <v>100</v>
      </c>
      <c r="AH46">
        <v>100</v>
      </c>
      <c r="AK46">
        <v>100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100</v>
      </c>
      <c r="AB47">
        <v>100</v>
      </c>
      <c r="AE47">
        <v>100</v>
      </c>
      <c r="AH47">
        <v>100</v>
      </c>
      <c r="AK47">
        <v>100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100</v>
      </c>
      <c r="AB48">
        <v>100</v>
      </c>
      <c r="AE48">
        <v>100</v>
      </c>
      <c r="AH48">
        <v>100</v>
      </c>
      <c r="AK48">
        <v>100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100</v>
      </c>
      <c r="AB49">
        <v>100</v>
      </c>
      <c r="AE49">
        <v>100</v>
      </c>
      <c r="AH49">
        <v>100</v>
      </c>
      <c r="AK49">
        <v>100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100</v>
      </c>
      <c r="AB50">
        <v>100</v>
      </c>
      <c r="AE50">
        <v>100</v>
      </c>
      <c r="AH50">
        <v>100</v>
      </c>
      <c r="AK50">
        <v>100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100</v>
      </c>
      <c r="AB51">
        <v>100</v>
      </c>
      <c r="AE51">
        <v>100</v>
      </c>
      <c r="AH51">
        <v>100</v>
      </c>
      <c r="AK51">
        <v>100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100</v>
      </c>
      <c r="AB52">
        <v>100</v>
      </c>
      <c r="AE52">
        <v>100</v>
      </c>
      <c r="AH52">
        <v>100</v>
      </c>
      <c r="AK52">
        <v>100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100</v>
      </c>
      <c r="AB53">
        <v>100</v>
      </c>
      <c r="AE53">
        <v>100</v>
      </c>
      <c r="AH53">
        <v>100</v>
      </c>
      <c r="AK53">
        <v>100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100</v>
      </c>
      <c r="AB54">
        <v>100</v>
      </c>
      <c r="AE54">
        <v>100</v>
      </c>
      <c r="AH54">
        <v>100</v>
      </c>
      <c r="AK54">
        <v>100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100</v>
      </c>
      <c r="AB55">
        <v>100</v>
      </c>
      <c r="AE55">
        <v>100</v>
      </c>
      <c r="AH55">
        <v>100</v>
      </c>
      <c r="AK55">
        <v>100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100</v>
      </c>
      <c r="AB56">
        <v>100</v>
      </c>
      <c r="AE56">
        <v>100</v>
      </c>
      <c r="AH56">
        <v>100</v>
      </c>
      <c r="AK56">
        <v>100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100</v>
      </c>
      <c r="AB57">
        <v>100</v>
      </c>
      <c r="AE57">
        <v>100</v>
      </c>
      <c r="AH57">
        <v>100</v>
      </c>
      <c r="AK57">
        <v>100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100</v>
      </c>
      <c r="AB58">
        <v>100</v>
      </c>
      <c r="AE58">
        <v>100</v>
      </c>
      <c r="AH58">
        <v>100</v>
      </c>
      <c r="AK58">
        <v>100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100</v>
      </c>
      <c r="AB59">
        <v>100</v>
      </c>
      <c r="AE59">
        <v>100</v>
      </c>
      <c r="AH59">
        <v>100</v>
      </c>
      <c r="AK59">
        <v>100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100</v>
      </c>
      <c r="AB60">
        <v>100</v>
      </c>
      <c r="AE60">
        <v>100</v>
      </c>
      <c r="AH60">
        <v>100</v>
      </c>
      <c r="AK60">
        <v>100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100</v>
      </c>
      <c r="AB61">
        <v>100</v>
      </c>
      <c r="AE61">
        <v>100</v>
      </c>
      <c r="AH61">
        <v>100</v>
      </c>
      <c r="AK61">
        <v>100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100</v>
      </c>
      <c r="AB62">
        <v>100</v>
      </c>
      <c r="AE62">
        <v>100</v>
      </c>
      <c r="AH62">
        <v>100</v>
      </c>
      <c r="AK62">
        <v>100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100</v>
      </c>
      <c r="AB63">
        <v>100</v>
      </c>
      <c r="AE63">
        <v>100</v>
      </c>
      <c r="AH63">
        <v>100</v>
      </c>
      <c r="AK63">
        <v>100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100</v>
      </c>
      <c r="AB64">
        <v>100</v>
      </c>
      <c r="AE64">
        <v>100</v>
      </c>
      <c r="AH64">
        <v>100</v>
      </c>
      <c r="AK64">
        <v>100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100</v>
      </c>
      <c r="AB65">
        <v>100</v>
      </c>
      <c r="AE65">
        <v>100</v>
      </c>
      <c r="AH65">
        <v>100</v>
      </c>
      <c r="AK65">
        <v>100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100</v>
      </c>
      <c r="AB66">
        <v>100</v>
      </c>
      <c r="AE66">
        <v>100</v>
      </c>
      <c r="AH66">
        <v>100</v>
      </c>
      <c r="AK66">
        <v>100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100</v>
      </c>
      <c r="AB67">
        <v>100</v>
      </c>
      <c r="AE67">
        <v>100</v>
      </c>
      <c r="AH67">
        <v>100</v>
      </c>
      <c r="AK67">
        <v>100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100</v>
      </c>
      <c r="AB68">
        <v>100</v>
      </c>
      <c r="AE68">
        <v>100</v>
      </c>
      <c r="AH68">
        <v>100</v>
      </c>
      <c r="AK68">
        <v>100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100</v>
      </c>
      <c r="AB69">
        <v>100</v>
      </c>
      <c r="AE69">
        <v>100</v>
      </c>
      <c r="AH69">
        <v>100</v>
      </c>
      <c r="AK69">
        <v>100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100</v>
      </c>
      <c r="AB70">
        <v>100</v>
      </c>
      <c r="AE70">
        <v>100</v>
      </c>
      <c r="AH70">
        <v>100</v>
      </c>
      <c r="AK70">
        <v>100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100</v>
      </c>
      <c r="AB71">
        <v>100</v>
      </c>
      <c r="AE71">
        <v>100</v>
      </c>
      <c r="AH71">
        <v>100</v>
      </c>
      <c r="AK71">
        <v>100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100</v>
      </c>
      <c r="AB72">
        <v>100</v>
      </c>
      <c r="AE72">
        <v>100</v>
      </c>
      <c r="AH72">
        <v>100</v>
      </c>
      <c r="AK72">
        <v>100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100</v>
      </c>
      <c r="AB73">
        <v>100</v>
      </c>
      <c r="AE73">
        <v>100</v>
      </c>
      <c r="AH73">
        <v>100</v>
      </c>
      <c r="AK73">
        <v>100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100</v>
      </c>
      <c r="AB74">
        <v>100</v>
      </c>
      <c r="AE74">
        <v>100</v>
      </c>
      <c r="AH74">
        <v>100</v>
      </c>
      <c r="AK74">
        <v>100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100</v>
      </c>
      <c r="AB75">
        <v>100</v>
      </c>
      <c r="AE75">
        <v>100</v>
      </c>
      <c r="AH75">
        <v>100</v>
      </c>
      <c r="AK75">
        <v>100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100</v>
      </c>
      <c r="AB76">
        <v>100</v>
      </c>
      <c r="AE76">
        <v>100</v>
      </c>
      <c r="AH76">
        <v>100</v>
      </c>
      <c r="AK76">
        <v>100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100</v>
      </c>
      <c r="AB77">
        <v>100</v>
      </c>
      <c r="AE77">
        <v>100</v>
      </c>
      <c r="AH77">
        <v>100</v>
      </c>
      <c r="AK77">
        <v>100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100</v>
      </c>
      <c r="AB78">
        <v>100</v>
      </c>
      <c r="AE78">
        <v>100</v>
      </c>
      <c r="AH78">
        <v>100</v>
      </c>
      <c r="AK78">
        <v>100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100</v>
      </c>
      <c r="AB79">
        <v>100</v>
      </c>
      <c r="AE79">
        <v>100</v>
      </c>
      <c r="AH79">
        <v>100</v>
      </c>
      <c r="AK79">
        <v>100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100</v>
      </c>
      <c r="AB80">
        <v>100</v>
      </c>
      <c r="AE80">
        <v>100</v>
      </c>
      <c r="AH80">
        <v>100</v>
      </c>
      <c r="AK80">
        <v>100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100</v>
      </c>
      <c r="AB81">
        <v>100</v>
      </c>
      <c r="AE81">
        <v>100</v>
      </c>
      <c r="AH81">
        <v>100</v>
      </c>
      <c r="AK81">
        <v>100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100</v>
      </c>
      <c r="AB82">
        <v>100</v>
      </c>
      <c r="AE82">
        <v>100</v>
      </c>
      <c r="AH82">
        <v>100</v>
      </c>
      <c r="AK82">
        <v>100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100</v>
      </c>
      <c r="AB83">
        <v>100</v>
      </c>
      <c r="AE83">
        <v>100</v>
      </c>
      <c r="AH83">
        <v>100</v>
      </c>
      <c r="AK83">
        <v>100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100</v>
      </c>
      <c r="AB84">
        <v>100</v>
      </c>
      <c r="AE84">
        <v>100</v>
      </c>
      <c r="AH84">
        <v>100</v>
      </c>
      <c r="AK84">
        <v>100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100</v>
      </c>
      <c r="AB85">
        <v>100</v>
      </c>
      <c r="AE85">
        <v>100</v>
      </c>
      <c r="AH85">
        <v>100</v>
      </c>
      <c r="AK85">
        <v>100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100</v>
      </c>
      <c r="AB86">
        <v>100</v>
      </c>
      <c r="AE86">
        <v>100</v>
      </c>
      <c r="AH86">
        <v>100</v>
      </c>
      <c r="AK86">
        <v>100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100</v>
      </c>
      <c r="AB87">
        <v>100</v>
      </c>
      <c r="AE87">
        <v>100</v>
      </c>
      <c r="AH87">
        <v>100</v>
      </c>
      <c r="AK87">
        <v>100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100</v>
      </c>
      <c r="AB88">
        <v>100</v>
      </c>
      <c r="AE88">
        <v>100</v>
      </c>
      <c r="AH88">
        <v>100</v>
      </c>
      <c r="AK88">
        <v>100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100</v>
      </c>
      <c r="AB89">
        <v>100</v>
      </c>
      <c r="AE89">
        <v>100</v>
      </c>
      <c r="AH89">
        <v>100</v>
      </c>
      <c r="AK89">
        <v>100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100</v>
      </c>
      <c r="AB90">
        <v>100</v>
      </c>
      <c r="AE90">
        <v>100</v>
      </c>
      <c r="AH90">
        <v>100</v>
      </c>
      <c r="AK90">
        <v>100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100</v>
      </c>
      <c r="AB91">
        <v>100</v>
      </c>
      <c r="AE91">
        <v>100</v>
      </c>
      <c r="AH91">
        <v>100</v>
      </c>
      <c r="AK91">
        <v>100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100</v>
      </c>
      <c r="AB92">
        <v>100</v>
      </c>
      <c r="AE92">
        <v>100</v>
      </c>
      <c r="AH92">
        <v>100</v>
      </c>
      <c r="AK92">
        <v>100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100</v>
      </c>
      <c r="AB93">
        <v>100</v>
      </c>
      <c r="AE93">
        <v>100</v>
      </c>
      <c r="AH93">
        <v>100</v>
      </c>
      <c r="AK93">
        <v>100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100</v>
      </c>
      <c r="AB94">
        <v>100</v>
      </c>
      <c r="AE94">
        <v>100</v>
      </c>
      <c r="AH94">
        <v>100</v>
      </c>
      <c r="AK94">
        <v>100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100</v>
      </c>
      <c r="AB95">
        <v>100</v>
      </c>
      <c r="AE95">
        <v>100</v>
      </c>
      <c r="AH95">
        <v>100</v>
      </c>
      <c r="AK95">
        <v>100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100</v>
      </c>
      <c r="AB96">
        <v>100</v>
      </c>
      <c r="AE96">
        <v>100</v>
      </c>
      <c r="AH96">
        <v>100</v>
      </c>
      <c r="AK96">
        <v>100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100</v>
      </c>
      <c r="AB97">
        <v>100</v>
      </c>
      <c r="AE97">
        <v>100</v>
      </c>
      <c r="AH97">
        <v>100</v>
      </c>
      <c r="AK97">
        <v>100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100</v>
      </c>
      <c r="AB98">
        <v>100</v>
      </c>
      <c r="AE98">
        <v>100</v>
      </c>
      <c r="AH98">
        <v>100</v>
      </c>
      <c r="AK98">
        <v>100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100</v>
      </c>
      <c r="AB99">
        <v>100</v>
      </c>
      <c r="AE99">
        <v>100</v>
      </c>
      <c r="AH99">
        <v>100</v>
      </c>
      <c r="AK99">
        <v>100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100</v>
      </c>
      <c r="AB100">
        <v>100</v>
      </c>
      <c r="AE100">
        <v>100</v>
      </c>
      <c r="AH100">
        <v>100</v>
      </c>
      <c r="AK100">
        <v>100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100</v>
      </c>
      <c r="AB101">
        <v>100</v>
      </c>
      <c r="AE101">
        <v>100</v>
      </c>
      <c r="AH101">
        <v>100</v>
      </c>
      <c r="AK101">
        <v>100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100</v>
      </c>
      <c r="AB102">
        <v>100</v>
      </c>
      <c r="AE102">
        <v>100</v>
      </c>
      <c r="AH102">
        <v>100</v>
      </c>
      <c r="AK102">
        <v>100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100</v>
      </c>
      <c r="AB103">
        <v>100</v>
      </c>
      <c r="AE103">
        <v>100</v>
      </c>
      <c r="AH103">
        <v>100</v>
      </c>
      <c r="AK103">
        <v>100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W104">
        <v>0</v>
      </c>
      <c r="Y104">
        <v>100</v>
      </c>
      <c r="AB104">
        <v>100</v>
      </c>
      <c r="AE104">
        <v>100</v>
      </c>
      <c r="AH104">
        <v>100</v>
      </c>
      <c r="AK104">
        <v>100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W105">
        <v>0</v>
      </c>
      <c r="Y105">
        <v>100</v>
      </c>
      <c r="AB105">
        <v>100</v>
      </c>
      <c r="AE105">
        <v>100</v>
      </c>
      <c r="AH105">
        <v>100</v>
      </c>
      <c r="AK105">
        <v>100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W106">
        <v>0</v>
      </c>
      <c r="Y106">
        <v>100</v>
      </c>
      <c r="AB106">
        <v>100</v>
      </c>
      <c r="AE106">
        <v>100</v>
      </c>
      <c r="AH106">
        <v>100</v>
      </c>
      <c r="AK106">
        <v>100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W107">
        <v>0</v>
      </c>
      <c r="Y107">
        <v>100</v>
      </c>
      <c r="AB107">
        <v>100</v>
      </c>
      <c r="AE107">
        <v>100</v>
      </c>
      <c r="AH107">
        <v>100</v>
      </c>
      <c r="AK107">
        <v>100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W108">
        <v>0</v>
      </c>
      <c r="Y108">
        <v>100</v>
      </c>
      <c r="AB108">
        <v>100</v>
      </c>
      <c r="AE108">
        <v>100</v>
      </c>
      <c r="AH108">
        <v>100</v>
      </c>
      <c r="AK108">
        <v>100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W109">
        <v>0</v>
      </c>
      <c r="Y109">
        <v>100</v>
      </c>
      <c r="AB109">
        <v>100</v>
      </c>
      <c r="AE109">
        <v>100</v>
      </c>
      <c r="AH109">
        <v>100</v>
      </c>
      <c r="AK109">
        <v>100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W110">
        <v>0</v>
      </c>
      <c r="Y110">
        <v>100</v>
      </c>
      <c r="AB110">
        <v>100</v>
      </c>
      <c r="AE110">
        <v>100</v>
      </c>
      <c r="AH110">
        <v>100</v>
      </c>
      <c r="AK110">
        <v>100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V111">
        <v>8</v>
      </c>
      <c r="W111">
        <v>8</v>
      </c>
      <c r="Y111">
        <v>92</v>
      </c>
      <c r="AB111">
        <v>100</v>
      </c>
      <c r="AE111">
        <v>100</v>
      </c>
      <c r="AH111">
        <v>100</v>
      </c>
      <c r="AK111">
        <v>100</v>
      </c>
    </row>
    <row r="112" spans="4:37" x14ac:dyDescent="0.25">
      <c r="D112">
        <v>0</v>
      </c>
      <c r="G112">
        <v>16</v>
      </c>
      <c r="H112">
        <v>6</v>
      </c>
      <c r="I112">
        <v>3</v>
      </c>
      <c r="O112">
        <v>0</v>
      </c>
      <c r="Q112">
        <v>0</v>
      </c>
      <c r="V112">
        <v>2</v>
      </c>
      <c r="W112">
        <v>2</v>
      </c>
      <c r="Y112">
        <v>90</v>
      </c>
      <c r="AB112">
        <v>100</v>
      </c>
      <c r="AE112">
        <v>100</v>
      </c>
      <c r="AH112">
        <v>100</v>
      </c>
      <c r="AK112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6"/>
  <dimension ref="A1:AK112"/>
  <sheetViews>
    <sheetView workbookViewId="0">
      <selection sqref="A1:AK112"/>
    </sheetView>
  </sheetViews>
  <sheetFormatPr baseColWidth="10" defaultColWidth="11.5703125" defaultRowHeight="15" x14ac:dyDescent="0.25"/>
  <cols>
    <col min="1" max="1" width="10.42578125" bestFit="1" customWidth="1"/>
    <col min="2" max="2" width="11.28515625" bestFit="1" customWidth="1"/>
    <col min="3" max="3" width="10.7109375" bestFit="1" customWidth="1"/>
    <col min="4" max="4" width="15.85546875" bestFit="1" customWidth="1"/>
    <col min="5" max="5" width="25.5703125" bestFit="1" customWidth="1"/>
    <col min="6" max="6" width="16.28515625" bestFit="1" customWidth="1"/>
    <col min="7" max="7" width="25.85546875" bestFit="1" customWidth="1"/>
    <col min="8" max="8" width="28.28515625" bestFit="1" customWidth="1"/>
    <col min="9" max="9" width="15.7109375" bestFit="1" customWidth="1"/>
    <col min="10" max="10" width="15" bestFit="1" customWidth="1"/>
    <col min="11" max="11" width="9.7109375" bestFit="1" customWidth="1"/>
    <col min="12" max="12" width="10.140625" bestFit="1" customWidth="1"/>
    <col min="13" max="13" width="9.28515625" bestFit="1" customWidth="1"/>
    <col min="14" max="14" width="12.7109375" bestFit="1" customWidth="1"/>
    <col min="15" max="15" width="10.5703125" bestFit="1" customWidth="1"/>
    <col min="16" max="16" width="10.85546875" bestFit="1" customWidth="1"/>
    <col min="17" max="17" width="9.28515625" bestFit="1" customWidth="1"/>
    <col min="18" max="18" width="11.7109375" bestFit="1" customWidth="1"/>
    <col min="19" max="19" width="9.85546875" bestFit="1" customWidth="1"/>
    <col min="20" max="20" width="14" bestFit="1" customWidth="1"/>
    <col min="21" max="21" width="7.5703125" bestFit="1" customWidth="1"/>
    <col min="22" max="22" width="7.140625" bestFit="1" customWidth="1"/>
    <col min="23" max="23" width="10.5703125" bestFit="1" customWidth="1"/>
    <col min="24" max="24" width="11.85546875" bestFit="1" customWidth="1"/>
    <col min="25" max="25" width="9.28515625" bestFit="1" customWidth="1"/>
    <col min="26" max="26" width="16.140625" bestFit="1" customWidth="1"/>
    <col min="27" max="27" width="16.42578125" bestFit="1" customWidth="1"/>
    <col min="28" max="28" width="25.5703125" bestFit="1" customWidth="1"/>
    <col min="29" max="29" width="14.85546875" bestFit="1" customWidth="1"/>
    <col min="30" max="30" width="17.42578125" bestFit="1" customWidth="1"/>
    <col min="31" max="31" width="24.28515625" bestFit="1" customWidth="1"/>
    <col min="32" max="32" width="13" bestFit="1" customWidth="1"/>
    <col min="33" max="33" width="16.85546875" bestFit="1" customWidth="1"/>
    <col min="34" max="34" width="22.42578125" bestFit="1" customWidth="1"/>
    <col min="35" max="35" width="15.140625" bestFit="1" customWidth="1"/>
    <col min="36" max="36" width="17.42578125" bestFit="1" customWidth="1"/>
    <col min="37" max="37" width="24.5703125" bestFit="1" customWidth="1"/>
  </cols>
  <sheetData>
    <row r="1" spans="1:37" ht="15.75" thickBot="1" x14ac:dyDescent="0.3">
      <c r="A1" s="160" t="s">
        <v>7</v>
      </c>
      <c r="B1" s="161" t="s">
        <v>8</v>
      </c>
      <c r="C1" s="162" t="s">
        <v>9</v>
      </c>
      <c r="D1" s="162" t="s">
        <v>10</v>
      </c>
      <c r="E1" s="162" t="s">
        <v>11</v>
      </c>
      <c r="F1" s="163" t="s">
        <v>12</v>
      </c>
      <c r="G1" s="164" t="s">
        <v>13</v>
      </c>
      <c r="H1" s="165" t="s">
        <v>14</v>
      </c>
      <c r="I1" s="166" t="s">
        <v>15</v>
      </c>
      <c r="J1" s="166" t="s">
        <v>16</v>
      </c>
      <c r="K1" s="167" t="s">
        <v>17</v>
      </c>
      <c r="L1" s="168" t="s">
        <v>18</v>
      </c>
      <c r="M1" s="169" t="s">
        <v>19</v>
      </c>
      <c r="N1" s="169" t="s">
        <v>20</v>
      </c>
      <c r="O1" s="169" t="s">
        <v>21</v>
      </c>
      <c r="P1" s="169" t="s">
        <v>22</v>
      </c>
      <c r="Q1" s="170" t="s">
        <v>23</v>
      </c>
      <c r="R1" s="171" t="s">
        <v>24</v>
      </c>
      <c r="S1" s="172" t="s">
        <v>25</v>
      </c>
      <c r="T1" s="172" t="s">
        <v>26</v>
      </c>
      <c r="U1" s="173" t="s">
        <v>27</v>
      </c>
      <c r="V1" s="173" t="s">
        <v>28</v>
      </c>
      <c r="W1" s="173" t="s">
        <v>29</v>
      </c>
      <c r="X1" s="174" t="s">
        <v>30</v>
      </c>
      <c r="Y1" s="175" t="s">
        <v>31</v>
      </c>
      <c r="Z1" s="176" t="s">
        <v>32</v>
      </c>
      <c r="AA1" s="177" t="s">
        <v>33</v>
      </c>
      <c r="AB1" s="181" t="s">
        <v>34</v>
      </c>
      <c r="AC1" s="182" t="s">
        <v>35</v>
      </c>
      <c r="AD1" s="178" t="s">
        <v>36</v>
      </c>
      <c r="AE1" s="178" t="s">
        <v>37</v>
      </c>
      <c r="AF1" s="178" t="s">
        <v>38</v>
      </c>
      <c r="AG1" s="178" t="s">
        <v>39</v>
      </c>
      <c r="AH1" s="178" t="s">
        <v>40</v>
      </c>
      <c r="AI1" s="178" t="s">
        <v>41</v>
      </c>
      <c r="AJ1" s="179" t="s">
        <v>42</v>
      </c>
      <c r="AK1" s="180" t="s">
        <v>43</v>
      </c>
    </row>
    <row r="2" spans="1:37" x14ac:dyDescent="0.25">
      <c r="A2" s="156"/>
      <c r="B2" s="156"/>
      <c r="C2" s="156"/>
      <c r="D2" s="156">
        <v>0</v>
      </c>
      <c r="E2" s="156"/>
      <c r="F2" s="156"/>
      <c r="G2" s="156"/>
      <c r="H2" s="156"/>
      <c r="I2" s="156">
        <v>0</v>
      </c>
      <c r="J2" s="156"/>
      <c r="K2" s="156"/>
      <c r="L2" s="156"/>
      <c r="M2" s="156"/>
      <c r="N2" s="156"/>
      <c r="O2" s="156">
        <v>0</v>
      </c>
      <c r="P2" s="156"/>
      <c r="Q2" s="156">
        <v>0</v>
      </c>
      <c r="R2" s="156"/>
      <c r="S2" s="156"/>
      <c r="T2" s="156"/>
      <c r="U2" s="156"/>
      <c r="V2" s="156"/>
      <c r="W2" s="156">
        <v>0</v>
      </c>
      <c r="X2" s="156"/>
      <c r="Y2" s="156">
        <v>0</v>
      </c>
      <c r="Z2" s="156"/>
      <c r="AA2" s="156"/>
      <c r="AB2" s="156">
        <v>0</v>
      </c>
      <c r="AC2" s="156"/>
      <c r="AD2" s="156"/>
      <c r="AE2" s="156">
        <v>0</v>
      </c>
      <c r="AF2" s="156"/>
      <c r="AG2" s="156"/>
      <c r="AH2" s="156">
        <v>0</v>
      </c>
      <c r="AI2" s="156"/>
      <c r="AJ2" s="156"/>
      <c r="AK2" s="156">
        <v>0</v>
      </c>
    </row>
    <row r="3" spans="1:37" x14ac:dyDescent="0.25">
      <c r="A3" s="156"/>
      <c r="B3" s="156"/>
      <c r="C3" s="156"/>
      <c r="D3" s="156">
        <v>0</v>
      </c>
      <c r="E3" s="156"/>
      <c r="F3" s="156"/>
      <c r="G3" s="156"/>
      <c r="H3" s="156"/>
      <c r="I3" s="156">
        <v>0</v>
      </c>
      <c r="J3" s="156"/>
      <c r="K3" s="156"/>
      <c r="L3" s="156"/>
      <c r="M3" s="156"/>
      <c r="N3" s="156"/>
      <c r="O3" s="156">
        <v>0</v>
      </c>
      <c r="P3" s="156"/>
      <c r="Q3" s="156">
        <v>0</v>
      </c>
      <c r="R3" s="156"/>
      <c r="S3" s="156"/>
      <c r="T3" s="156"/>
      <c r="U3" s="156"/>
      <c r="V3" s="156"/>
      <c r="W3" s="156">
        <v>0</v>
      </c>
      <c r="X3" s="156"/>
      <c r="Y3" s="156">
        <v>0</v>
      </c>
      <c r="Z3" s="156"/>
      <c r="AA3" s="156"/>
      <c r="AB3" s="156">
        <v>0</v>
      </c>
      <c r="AC3" s="156"/>
      <c r="AD3" s="156"/>
      <c r="AE3" s="156">
        <v>0</v>
      </c>
      <c r="AF3" s="156"/>
      <c r="AG3" s="156"/>
      <c r="AH3" s="156">
        <v>0</v>
      </c>
      <c r="AI3" s="156"/>
      <c r="AJ3" s="156"/>
      <c r="AK3" s="156">
        <v>0</v>
      </c>
    </row>
    <row r="4" spans="1:37" x14ac:dyDescent="0.25">
      <c r="A4" s="156"/>
      <c r="B4" s="156"/>
      <c r="C4" s="156"/>
      <c r="D4" s="156">
        <v>0</v>
      </c>
      <c r="E4" s="156"/>
      <c r="F4" s="156"/>
      <c r="G4" s="156"/>
      <c r="H4" s="156"/>
      <c r="I4" s="156">
        <v>0</v>
      </c>
      <c r="J4" s="156"/>
      <c r="K4" s="156"/>
      <c r="L4" s="156"/>
      <c r="M4" s="156"/>
      <c r="N4" s="156"/>
      <c r="O4" s="156">
        <v>0</v>
      </c>
      <c r="P4" s="156"/>
      <c r="Q4" s="156">
        <v>0</v>
      </c>
      <c r="R4" s="156"/>
      <c r="S4" s="156"/>
      <c r="T4" s="156"/>
      <c r="U4" s="156"/>
      <c r="V4" s="156"/>
      <c r="W4" s="156">
        <v>0</v>
      </c>
      <c r="X4" s="156"/>
      <c r="Y4" s="156">
        <v>0</v>
      </c>
      <c r="Z4" s="156"/>
      <c r="AA4" s="156"/>
      <c r="AB4" s="156">
        <v>0</v>
      </c>
      <c r="AC4" s="156"/>
      <c r="AD4" s="156"/>
      <c r="AE4" s="156">
        <v>0</v>
      </c>
      <c r="AF4" s="156"/>
      <c r="AG4" s="156"/>
      <c r="AH4" s="156">
        <v>0</v>
      </c>
      <c r="AI4" s="156"/>
      <c r="AJ4" s="156"/>
      <c r="AK4" s="156">
        <v>0</v>
      </c>
    </row>
    <row r="5" spans="1:37" x14ac:dyDescent="0.25">
      <c r="A5" s="156"/>
      <c r="B5" s="156"/>
      <c r="C5" s="156"/>
      <c r="D5" s="156">
        <v>0</v>
      </c>
      <c r="E5" s="156"/>
      <c r="F5" s="156"/>
      <c r="G5" s="156"/>
      <c r="H5" s="156"/>
      <c r="I5" s="156">
        <v>0</v>
      </c>
      <c r="J5" s="156"/>
      <c r="K5" s="156"/>
      <c r="L5" s="156"/>
      <c r="M5" s="156"/>
      <c r="N5" s="156"/>
      <c r="O5" s="156">
        <v>0</v>
      </c>
      <c r="P5" s="156"/>
      <c r="Q5" s="156">
        <v>0</v>
      </c>
      <c r="R5" s="156"/>
      <c r="S5" s="156"/>
      <c r="T5" s="156"/>
      <c r="U5" s="156"/>
      <c r="V5" s="156"/>
      <c r="W5" s="156">
        <v>0</v>
      </c>
      <c r="X5" s="156"/>
      <c r="Y5" s="156">
        <v>0</v>
      </c>
      <c r="Z5" s="156"/>
      <c r="AA5" s="156"/>
      <c r="AB5" s="156">
        <v>0</v>
      </c>
      <c r="AC5" s="156"/>
      <c r="AD5" s="156"/>
      <c r="AE5" s="156">
        <v>0</v>
      </c>
      <c r="AF5" s="156"/>
      <c r="AG5" s="156"/>
      <c r="AH5" s="156">
        <v>0</v>
      </c>
      <c r="AI5" s="156"/>
      <c r="AJ5" s="156"/>
      <c r="AK5" s="156">
        <v>0</v>
      </c>
    </row>
    <row r="6" spans="1:37" x14ac:dyDescent="0.25">
      <c r="D6">
        <v>0</v>
      </c>
      <c r="I6">
        <v>0</v>
      </c>
      <c r="O6">
        <v>0</v>
      </c>
      <c r="Q6">
        <v>0</v>
      </c>
      <c r="W6">
        <v>0</v>
      </c>
      <c r="Y6">
        <v>0</v>
      </c>
      <c r="AB6">
        <v>0</v>
      </c>
      <c r="AE6">
        <v>0</v>
      </c>
      <c r="AH6">
        <v>0</v>
      </c>
      <c r="AK6">
        <v>0</v>
      </c>
    </row>
    <row r="7" spans="1:37" x14ac:dyDescent="0.25">
      <c r="D7">
        <v>0</v>
      </c>
      <c r="I7">
        <v>0</v>
      </c>
      <c r="O7">
        <v>0</v>
      </c>
      <c r="Q7">
        <v>0</v>
      </c>
      <c r="W7">
        <v>0</v>
      </c>
      <c r="Y7">
        <v>0</v>
      </c>
      <c r="AB7">
        <v>0</v>
      </c>
      <c r="AE7">
        <v>0</v>
      </c>
      <c r="AH7">
        <v>0</v>
      </c>
      <c r="AK7">
        <v>0</v>
      </c>
    </row>
    <row r="8" spans="1:37" x14ac:dyDescent="0.25">
      <c r="D8">
        <v>0</v>
      </c>
      <c r="I8">
        <v>0</v>
      </c>
      <c r="O8">
        <v>0</v>
      </c>
      <c r="Q8">
        <v>0</v>
      </c>
      <c r="W8">
        <v>0</v>
      </c>
      <c r="Y8">
        <v>0</v>
      </c>
      <c r="AB8">
        <v>0</v>
      </c>
      <c r="AE8">
        <v>0</v>
      </c>
      <c r="AH8">
        <v>0</v>
      </c>
      <c r="AK8">
        <v>0</v>
      </c>
    </row>
    <row r="9" spans="1:37" x14ac:dyDescent="0.25">
      <c r="D9">
        <v>0</v>
      </c>
      <c r="I9">
        <v>0</v>
      </c>
      <c r="O9">
        <v>0</v>
      </c>
      <c r="Q9">
        <v>0</v>
      </c>
      <c r="W9">
        <v>0</v>
      </c>
      <c r="Y9">
        <v>0</v>
      </c>
      <c r="AB9">
        <v>0</v>
      </c>
      <c r="AE9">
        <v>0</v>
      </c>
      <c r="AH9">
        <v>0</v>
      </c>
      <c r="AK9">
        <v>0</v>
      </c>
    </row>
    <row r="10" spans="1:37" x14ac:dyDescent="0.25">
      <c r="D10">
        <v>0</v>
      </c>
      <c r="I10">
        <v>0</v>
      </c>
      <c r="O10">
        <v>0</v>
      </c>
      <c r="Q10">
        <v>0</v>
      </c>
      <c r="W10">
        <v>0</v>
      </c>
      <c r="Y10">
        <v>0</v>
      </c>
      <c r="AB10">
        <v>0</v>
      </c>
      <c r="AE10">
        <v>0</v>
      </c>
      <c r="AH10">
        <v>0</v>
      </c>
      <c r="AK10">
        <v>0</v>
      </c>
    </row>
    <row r="11" spans="1:37" x14ac:dyDescent="0.25">
      <c r="D11">
        <v>0</v>
      </c>
      <c r="I11">
        <v>0</v>
      </c>
      <c r="O11">
        <v>0</v>
      </c>
      <c r="Q11">
        <v>0</v>
      </c>
      <c r="W11">
        <v>0</v>
      </c>
      <c r="Y11">
        <v>0</v>
      </c>
      <c r="AB11">
        <v>0</v>
      </c>
      <c r="AE11">
        <v>0</v>
      </c>
      <c r="AH11">
        <v>0</v>
      </c>
      <c r="AK11">
        <v>0</v>
      </c>
    </row>
    <row r="12" spans="1:37" x14ac:dyDescent="0.25">
      <c r="D12">
        <v>0</v>
      </c>
      <c r="I12">
        <v>0</v>
      </c>
      <c r="O12">
        <v>0</v>
      </c>
      <c r="Q12">
        <v>0</v>
      </c>
      <c r="W12">
        <v>0</v>
      </c>
      <c r="Y12">
        <v>0</v>
      </c>
      <c r="AB12">
        <v>0</v>
      </c>
      <c r="AE12">
        <v>0</v>
      </c>
      <c r="AH12">
        <v>0</v>
      </c>
      <c r="AK12">
        <v>0</v>
      </c>
    </row>
    <row r="13" spans="1:37" x14ac:dyDescent="0.25">
      <c r="D13">
        <v>0</v>
      </c>
      <c r="I13">
        <v>0</v>
      </c>
      <c r="O13">
        <v>0</v>
      </c>
      <c r="Q13">
        <v>0</v>
      </c>
      <c r="W13">
        <v>0</v>
      </c>
      <c r="Y13">
        <v>0</v>
      </c>
      <c r="AB13">
        <v>0</v>
      </c>
      <c r="AE13">
        <v>0</v>
      </c>
      <c r="AH13">
        <v>0</v>
      </c>
      <c r="AK13">
        <v>0</v>
      </c>
    </row>
    <row r="14" spans="1:37" x14ac:dyDescent="0.25">
      <c r="D14">
        <v>0</v>
      </c>
      <c r="I14">
        <v>0</v>
      </c>
      <c r="O14">
        <v>0</v>
      </c>
      <c r="Q14">
        <v>0</v>
      </c>
      <c r="W14">
        <v>0</v>
      </c>
      <c r="Y14">
        <v>0</v>
      </c>
      <c r="AB14">
        <v>0</v>
      </c>
      <c r="AE14">
        <v>0</v>
      </c>
      <c r="AH14">
        <v>0</v>
      </c>
      <c r="AK14">
        <v>0</v>
      </c>
    </row>
    <row r="15" spans="1:37" x14ac:dyDescent="0.25">
      <c r="D15">
        <v>0</v>
      </c>
      <c r="I15">
        <v>0</v>
      </c>
      <c r="O15">
        <v>0</v>
      </c>
      <c r="Q15">
        <v>0</v>
      </c>
      <c r="W15">
        <v>0</v>
      </c>
      <c r="Y15">
        <v>0</v>
      </c>
      <c r="AB15">
        <v>0</v>
      </c>
      <c r="AE15">
        <v>0</v>
      </c>
      <c r="AH15">
        <v>0</v>
      </c>
      <c r="AK15">
        <v>0</v>
      </c>
    </row>
    <row r="16" spans="1:37" x14ac:dyDescent="0.25">
      <c r="D16">
        <v>0</v>
      </c>
      <c r="I16">
        <v>0</v>
      </c>
      <c r="O16">
        <v>0</v>
      </c>
      <c r="Q16">
        <v>0</v>
      </c>
      <c r="W16">
        <v>0</v>
      </c>
      <c r="Y16">
        <v>0</v>
      </c>
      <c r="AB16">
        <v>0</v>
      </c>
      <c r="AE16">
        <v>0</v>
      </c>
      <c r="AH16">
        <v>0</v>
      </c>
      <c r="AK16">
        <v>0</v>
      </c>
    </row>
    <row r="17" spans="4:37" x14ac:dyDescent="0.25">
      <c r="D17">
        <v>0</v>
      </c>
      <c r="I17">
        <v>0</v>
      </c>
      <c r="O17">
        <v>0</v>
      </c>
      <c r="Q17">
        <v>0</v>
      </c>
      <c r="W17">
        <v>0</v>
      </c>
      <c r="Y17">
        <v>0</v>
      </c>
      <c r="AB17">
        <v>0</v>
      </c>
      <c r="AE17">
        <v>0</v>
      </c>
      <c r="AH17">
        <v>0</v>
      </c>
      <c r="AK17">
        <v>0</v>
      </c>
    </row>
    <row r="18" spans="4:37" x14ac:dyDescent="0.25">
      <c r="D18">
        <v>0</v>
      </c>
      <c r="I18">
        <v>0</v>
      </c>
      <c r="O18">
        <v>0</v>
      </c>
      <c r="Q18">
        <v>0</v>
      </c>
      <c r="W18">
        <v>0</v>
      </c>
      <c r="Y18">
        <v>0</v>
      </c>
      <c r="AB18">
        <v>0</v>
      </c>
      <c r="AE18">
        <v>0</v>
      </c>
      <c r="AH18">
        <v>0</v>
      </c>
      <c r="AK18">
        <v>0</v>
      </c>
    </row>
    <row r="19" spans="4:37" x14ac:dyDescent="0.25">
      <c r="D19">
        <v>0</v>
      </c>
      <c r="I19">
        <v>0</v>
      </c>
      <c r="O19">
        <v>0</v>
      </c>
      <c r="Q19">
        <v>0</v>
      </c>
      <c r="W19">
        <v>0</v>
      </c>
      <c r="Y19">
        <v>0</v>
      </c>
      <c r="AB19">
        <v>0</v>
      </c>
      <c r="AE19">
        <v>0</v>
      </c>
      <c r="AH19">
        <v>0</v>
      </c>
      <c r="AK19">
        <v>0</v>
      </c>
    </row>
    <row r="20" spans="4:37" x14ac:dyDescent="0.25">
      <c r="D20">
        <v>0</v>
      </c>
      <c r="I20">
        <v>0</v>
      </c>
      <c r="O20">
        <v>0</v>
      </c>
      <c r="Q20">
        <v>0</v>
      </c>
      <c r="W20">
        <v>0</v>
      </c>
      <c r="Y20">
        <v>0</v>
      </c>
      <c r="AB20">
        <v>0</v>
      </c>
      <c r="AE20">
        <v>0</v>
      </c>
      <c r="AH20">
        <v>0</v>
      </c>
      <c r="AK20">
        <v>0</v>
      </c>
    </row>
    <row r="21" spans="4:37" x14ac:dyDescent="0.25">
      <c r="D21">
        <v>0</v>
      </c>
      <c r="I21">
        <v>0</v>
      </c>
      <c r="O21">
        <v>0</v>
      </c>
      <c r="Q21">
        <v>0</v>
      </c>
      <c r="W21">
        <v>0</v>
      </c>
      <c r="Y21">
        <v>0</v>
      </c>
      <c r="AB21">
        <v>0</v>
      </c>
      <c r="AE21">
        <v>0</v>
      </c>
      <c r="AH21">
        <v>0</v>
      </c>
      <c r="AK21">
        <v>0</v>
      </c>
    </row>
    <row r="22" spans="4:37" x14ac:dyDescent="0.25">
      <c r="D22">
        <v>0</v>
      </c>
      <c r="I22">
        <v>0</v>
      </c>
      <c r="O22">
        <v>0</v>
      </c>
      <c r="Q22">
        <v>0</v>
      </c>
      <c r="W22">
        <v>0</v>
      </c>
      <c r="Y22">
        <v>0</v>
      </c>
      <c r="AB22">
        <v>0</v>
      </c>
      <c r="AE22">
        <v>0</v>
      </c>
      <c r="AH22">
        <v>0</v>
      </c>
      <c r="AK22">
        <v>0</v>
      </c>
    </row>
    <row r="23" spans="4:37" x14ac:dyDescent="0.25">
      <c r="D23">
        <v>0</v>
      </c>
      <c r="I23">
        <v>0</v>
      </c>
      <c r="O23">
        <v>0</v>
      </c>
      <c r="Q23">
        <v>0</v>
      </c>
      <c r="W23">
        <v>0</v>
      </c>
      <c r="Y23">
        <v>0</v>
      </c>
      <c r="AB23">
        <v>0</v>
      </c>
      <c r="AE23">
        <v>0</v>
      </c>
      <c r="AH23">
        <v>0</v>
      </c>
      <c r="AK23">
        <v>0</v>
      </c>
    </row>
    <row r="24" spans="4:37" x14ac:dyDescent="0.25">
      <c r="D24">
        <v>0</v>
      </c>
      <c r="I24">
        <v>0</v>
      </c>
      <c r="O24">
        <v>0</v>
      </c>
      <c r="Q24">
        <v>0</v>
      </c>
      <c r="W24">
        <v>0</v>
      </c>
      <c r="Y24">
        <v>0</v>
      </c>
      <c r="AB24">
        <v>0</v>
      </c>
      <c r="AE24">
        <v>0</v>
      </c>
      <c r="AH24">
        <v>0</v>
      </c>
      <c r="AK24">
        <v>0</v>
      </c>
    </row>
    <row r="25" spans="4:37" x14ac:dyDescent="0.25">
      <c r="D25">
        <v>0</v>
      </c>
      <c r="I25">
        <v>0</v>
      </c>
      <c r="O25">
        <v>0</v>
      </c>
      <c r="Q25">
        <v>0</v>
      </c>
      <c r="W25">
        <v>0</v>
      </c>
      <c r="Y25">
        <v>0</v>
      </c>
      <c r="AB25">
        <v>0</v>
      </c>
      <c r="AE25">
        <v>0</v>
      </c>
      <c r="AH25">
        <v>0</v>
      </c>
      <c r="AK25">
        <v>0</v>
      </c>
    </row>
    <row r="26" spans="4:37" x14ac:dyDescent="0.25">
      <c r="D26">
        <v>0</v>
      </c>
      <c r="I26">
        <v>0</v>
      </c>
      <c r="O26">
        <v>0</v>
      </c>
      <c r="Q26">
        <v>0</v>
      </c>
      <c r="W26">
        <v>0</v>
      </c>
      <c r="Y26">
        <v>0</v>
      </c>
      <c r="AB26">
        <v>0</v>
      </c>
      <c r="AE26">
        <v>0</v>
      </c>
      <c r="AH26">
        <v>0</v>
      </c>
      <c r="AK26">
        <v>0</v>
      </c>
    </row>
    <row r="27" spans="4:37" x14ac:dyDescent="0.25">
      <c r="D27">
        <v>0</v>
      </c>
      <c r="I27">
        <v>0</v>
      </c>
      <c r="O27">
        <v>0</v>
      </c>
      <c r="Q27">
        <v>0</v>
      </c>
      <c r="W27">
        <v>0</v>
      </c>
      <c r="Y27">
        <v>0</v>
      </c>
      <c r="AB27">
        <v>0</v>
      </c>
      <c r="AE27">
        <v>0</v>
      </c>
      <c r="AH27">
        <v>0</v>
      </c>
      <c r="AK27">
        <v>0</v>
      </c>
    </row>
    <row r="28" spans="4:37" x14ac:dyDescent="0.25">
      <c r="D28">
        <v>0</v>
      </c>
      <c r="I28">
        <v>0</v>
      </c>
      <c r="O28">
        <v>0</v>
      </c>
      <c r="Q28">
        <v>0</v>
      </c>
      <c r="W28">
        <v>0</v>
      </c>
      <c r="Y28">
        <v>0</v>
      </c>
      <c r="AB28">
        <v>0</v>
      </c>
      <c r="AE28">
        <v>0</v>
      </c>
      <c r="AH28">
        <v>0</v>
      </c>
      <c r="AK28">
        <v>0</v>
      </c>
    </row>
    <row r="29" spans="4:37" x14ac:dyDescent="0.25">
      <c r="D29">
        <v>0</v>
      </c>
      <c r="I29">
        <v>0</v>
      </c>
      <c r="O29">
        <v>0</v>
      </c>
      <c r="Q29">
        <v>0</v>
      </c>
      <c r="W29">
        <v>0</v>
      </c>
      <c r="Y29">
        <v>0</v>
      </c>
      <c r="AB29">
        <v>0</v>
      </c>
      <c r="AE29">
        <v>0</v>
      </c>
      <c r="AH29">
        <v>0</v>
      </c>
      <c r="AK29">
        <v>0</v>
      </c>
    </row>
    <row r="30" spans="4:37" x14ac:dyDescent="0.25">
      <c r="D30">
        <v>0</v>
      </c>
      <c r="I30">
        <v>0</v>
      </c>
      <c r="O30">
        <v>0</v>
      </c>
      <c r="Q30">
        <v>0</v>
      </c>
      <c r="W30">
        <v>0</v>
      </c>
      <c r="Y30">
        <v>0</v>
      </c>
      <c r="AB30">
        <v>0</v>
      </c>
      <c r="AE30">
        <v>0</v>
      </c>
      <c r="AH30">
        <v>0</v>
      </c>
      <c r="AK30">
        <v>0</v>
      </c>
    </row>
    <row r="31" spans="4:37" x14ac:dyDescent="0.25">
      <c r="D31">
        <v>0</v>
      </c>
      <c r="I31">
        <v>0</v>
      </c>
      <c r="O31">
        <v>0</v>
      </c>
      <c r="Q31">
        <v>0</v>
      </c>
      <c r="W31">
        <v>0</v>
      </c>
      <c r="Y31">
        <v>0</v>
      </c>
      <c r="AB31">
        <v>0</v>
      </c>
      <c r="AE31">
        <v>0</v>
      </c>
      <c r="AH31">
        <v>0</v>
      </c>
      <c r="AK31">
        <v>0</v>
      </c>
    </row>
    <row r="32" spans="4:37" x14ac:dyDescent="0.25">
      <c r="D32">
        <v>0</v>
      </c>
      <c r="I32">
        <v>0</v>
      </c>
      <c r="O32">
        <v>0</v>
      </c>
      <c r="Q32">
        <v>0</v>
      </c>
      <c r="W32">
        <v>0</v>
      </c>
      <c r="Y32">
        <v>0</v>
      </c>
      <c r="AB32">
        <v>0</v>
      </c>
      <c r="AE32">
        <v>0</v>
      </c>
      <c r="AH32">
        <v>0</v>
      </c>
      <c r="AK32">
        <v>0</v>
      </c>
    </row>
    <row r="33" spans="4:37" x14ac:dyDescent="0.25">
      <c r="D33">
        <v>0</v>
      </c>
      <c r="I33">
        <v>0</v>
      </c>
      <c r="O33">
        <v>0</v>
      </c>
      <c r="Q33">
        <v>0</v>
      </c>
      <c r="W33">
        <v>0</v>
      </c>
      <c r="Y33">
        <v>0</v>
      </c>
      <c r="AB33">
        <v>0</v>
      </c>
      <c r="AE33">
        <v>0</v>
      </c>
      <c r="AH33">
        <v>0</v>
      </c>
      <c r="AK33">
        <v>0</v>
      </c>
    </row>
    <row r="34" spans="4:37" x14ac:dyDescent="0.25">
      <c r="D34">
        <v>0</v>
      </c>
      <c r="I34">
        <v>0</v>
      </c>
      <c r="O34">
        <v>0</v>
      </c>
      <c r="Q34">
        <v>0</v>
      </c>
      <c r="W34">
        <v>0</v>
      </c>
      <c r="Y34">
        <v>0</v>
      </c>
      <c r="AB34">
        <v>0</v>
      </c>
      <c r="AE34">
        <v>0</v>
      </c>
      <c r="AH34">
        <v>0</v>
      </c>
      <c r="AK34">
        <v>0</v>
      </c>
    </row>
    <row r="35" spans="4:37" x14ac:dyDescent="0.25">
      <c r="D35">
        <v>0</v>
      </c>
      <c r="I35">
        <v>0</v>
      </c>
      <c r="O35">
        <v>0</v>
      </c>
      <c r="Q35">
        <v>0</v>
      </c>
      <c r="W35">
        <v>0</v>
      </c>
      <c r="Y35">
        <v>0</v>
      </c>
      <c r="AB35">
        <v>0</v>
      </c>
      <c r="AE35">
        <v>0</v>
      </c>
      <c r="AH35">
        <v>0</v>
      </c>
      <c r="AK35">
        <v>0</v>
      </c>
    </row>
    <row r="36" spans="4:37" x14ac:dyDescent="0.25">
      <c r="D36">
        <v>0</v>
      </c>
      <c r="I36">
        <v>0</v>
      </c>
      <c r="O36">
        <v>0</v>
      </c>
      <c r="Q36">
        <v>0</v>
      </c>
      <c r="W36">
        <v>0</v>
      </c>
      <c r="Y36">
        <v>0</v>
      </c>
      <c r="AB36">
        <v>0</v>
      </c>
      <c r="AE36">
        <v>0</v>
      </c>
      <c r="AH36">
        <v>0</v>
      </c>
      <c r="AK36">
        <v>0</v>
      </c>
    </row>
    <row r="37" spans="4:37" x14ac:dyDescent="0.25">
      <c r="D37">
        <v>0</v>
      </c>
      <c r="I37">
        <v>0</v>
      </c>
      <c r="O37">
        <v>0</v>
      </c>
      <c r="Q37">
        <v>0</v>
      </c>
      <c r="W37">
        <v>0</v>
      </c>
      <c r="Y37">
        <v>0</v>
      </c>
      <c r="AB37">
        <v>0</v>
      </c>
      <c r="AE37">
        <v>0</v>
      </c>
      <c r="AH37">
        <v>0</v>
      </c>
      <c r="AK37">
        <v>0</v>
      </c>
    </row>
    <row r="38" spans="4:37" x14ac:dyDescent="0.25">
      <c r="D38">
        <v>0</v>
      </c>
      <c r="I38">
        <v>0</v>
      </c>
      <c r="O38">
        <v>0</v>
      </c>
      <c r="Q38">
        <v>0</v>
      </c>
      <c r="W38">
        <v>0</v>
      </c>
      <c r="Y38">
        <v>0</v>
      </c>
      <c r="AB38">
        <v>0</v>
      </c>
      <c r="AE38">
        <v>0</v>
      </c>
      <c r="AH38">
        <v>0</v>
      </c>
      <c r="AK38">
        <v>0</v>
      </c>
    </row>
    <row r="39" spans="4:37" x14ac:dyDescent="0.25">
      <c r="D39">
        <v>0</v>
      </c>
      <c r="I39">
        <v>0</v>
      </c>
      <c r="O39">
        <v>0</v>
      </c>
      <c r="Q39">
        <v>0</v>
      </c>
      <c r="W39">
        <v>0</v>
      </c>
      <c r="Y39">
        <v>0</v>
      </c>
      <c r="AB39">
        <v>0</v>
      </c>
      <c r="AE39">
        <v>0</v>
      </c>
      <c r="AH39">
        <v>0</v>
      </c>
      <c r="AK39">
        <v>0</v>
      </c>
    </row>
    <row r="40" spans="4:37" x14ac:dyDescent="0.25">
      <c r="D40">
        <v>0</v>
      </c>
      <c r="I40">
        <v>0</v>
      </c>
      <c r="O40">
        <v>0</v>
      </c>
      <c r="Q40">
        <v>0</v>
      </c>
      <c r="W40">
        <v>0</v>
      </c>
      <c r="Y40">
        <v>0</v>
      </c>
      <c r="AB40">
        <v>0</v>
      </c>
      <c r="AE40">
        <v>0</v>
      </c>
      <c r="AH40">
        <v>0</v>
      </c>
      <c r="AK40">
        <v>0</v>
      </c>
    </row>
    <row r="41" spans="4:37" x14ac:dyDescent="0.25">
      <c r="D41">
        <v>0</v>
      </c>
      <c r="I41">
        <v>0</v>
      </c>
      <c r="O41">
        <v>0</v>
      </c>
      <c r="Q41">
        <v>0</v>
      </c>
      <c r="W41">
        <v>0</v>
      </c>
      <c r="Y41">
        <v>0</v>
      </c>
      <c r="AB41">
        <v>0</v>
      </c>
      <c r="AE41">
        <v>0</v>
      </c>
      <c r="AH41">
        <v>0</v>
      </c>
      <c r="AK41">
        <v>0</v>
      </c>
    </row>
    <row r="42" spans="4:37" x14ac:dyDescent="0.25">
      <c r="D42">
        <v>0</v>
      </c>
      <c r="I42">
        <v>0</v>
      </c>
      <c r="O42">
        <v>0</v>
      </c>
      <c r="Q42">
        <v>0</v>
      </c>
      <c r="W42">
        <v>0</v>
      </c>
      <c r="Y42">
        <v>0</v>
      </c>
      <c r="AB42">
        <v>0</v>
      </c>
      <c r="AE42">
        <v>0</v>
      </c>
      <c r="AH42">
        <v>0</v>
      </c>
      <c r="AK42">
        <v>0</v>
      </c>
    </row>
    <row r="43" spans="4:37" x14ac:dyDescent="0.25">
      <c r="D43">
        <v>0</v>
      </c>
      <c r="I43">
        <v>0</v>
      </c>
      <c r="O43">
        <v>0</v>
      </c>
      <c r="Q43">
        <v>0</v>
      </c>
      <c r="W43">
        <v>0</v>
      </c>
      <c r="Y43">
        <v>0</v>
      </c>
      <c r="AB43">
        <v>0</v>
      </c>
      <c r="AE43">
        <v>0</v>
      </c>
      <c r="AH43">
        <v>0</v>
      </c>
      <c r="AK43">
        <v>0</v>
      </c>
    </row>
    <row r="44" spans="4:37" x14ac:dyDescent="0.25">
      <c r="D44">
        <v>0</v>
      </c>
      <c r="I44">
        <v>0</v>
      </c>
      <c r="O44">
        <v>0</v>
      </c>
      <c r="Q44">
        <v>0</v>
      </c>
      <c r="W44">
        <v>0</v>
      </c>
      <c r="Y44">
        <v>0</v>
      </c>
      <c r="AB44">
        <v>0</v>
      </c>
      <c r="AE44">
        <v>0</v>
      </c>
      <c r="AH44">
        <v>0</v>
      </c>
      <c r="AK44">
        <v>0</v>
      </c>
    </row>
    <row r="45" spans="4:37" x14ac:dyDescent="0.25">
      <c r="D45">
        <v>0</v>
      </c>
      <c r="I45">
        <v>0</v>
      </c>
      <c r="O45">
        <v>0</v>
      </c>
      <c r="Q45">
        <v>0</v>
      </c>
      <c r="W45">
        <v>0</v>
      </c>
      <c r="Y45">
        <v>0</v>
      </c>
      <c r="AB45">
        <v>0</v>
      </c>
      <c r="AE45">
        <v>0</v>
      </c>
      <c r="AH45">
        <v>0</v>
      </c>
      <c r="AK45">
        <v>0</v>
      </c>
    </row>
    <row r="46" spans="4:37" x14ac:dyDescent="0.25">
      <c r="D46">
        <v>0</v>
      </c>
      <c r="I46">
        <v>0</v>
      </c>
      <c r="O46">
        <v>0</v>
      </c>
      <c r="Q46">
        <v>0</v>
      </c>
      <c r="W46">
        <v>0</v>
      </c>
      <c r="Y46">
        <v>0</v>
      </c>
      <c r="AB46">
        <v>0</v>
      </c>
      <c r="AE46">
        <v>0</v>
      </c>
      <c r="AH46">
        <v>0</v>
      </c>
      <c r="AK46">
        <v>0</v>
      </c>
    </row>
    <row r="47" spans="4:37" x14ac:dyDescent="0.25">
      <c r="D47">
        <v>0</v>
      </c>
      <c r="I47">
        <v>0</v>
      </c>
      <c r="O47">
        <v>0</v>
      </c>
      <c r="Q47">
        <v>0</v>
      </c>
      <c r="W47">
        <v>0</v>
      </c>
      <c r="Y47">
        <v>0</v>
      </c>
      <c r="AB47">
        <v>0</v>
      </c>
      <c r="AE47">
        <v>0</v>
      </c>
      <c r="AH47">
        <v>0</v>
      </c>
      <c r="AK47">
        <v>0</v>
      </c>
    </row>
    <row r="48" spans="4:37" x14ac:dyDescent="0.25">
      <c r="D48">
        <v>0</v>
      </c>
      <c r="I48">
        <v>0</v>
      </c>
      <c r="O48">
        <v>0</v>
      </c>
      <c r="Q48">
        <v>0</v>
      </c>
      <c r="W48">
        <v>0</v>
      </c>
      <c r="Y48">
        <v>0</v>
      </c>
      <c r="AB48">
        <v>0</v>
      </c>
      <c r="AE48">
        <v>0</v>
      </c>
      <c r="AH48">
        <v>0</v>
      </c>
      <c r="AK48">
        <v>0</v>
      </c>
    </row>
    <row r="49" spans="4:37" x14ac:dyDescent="0.25">
      <c r="D49">
        <v>0</v>
      </c>
      <c r="I49">
        <v>0</v>
      </c>
      <c r="O49">
        <v>0</v>
      </c>
      <c r="Q49">
        <v>0</v>
      </c>
      <c r="W49">
        <v>0</v>
      </c>
      <c r="Y49">
        <v>0</v>
      </c>
      <c r="AB49">
        <v>0</v>
      </c>
      <c r="AE49">
        <v>0</v>
      </c>
      <c r="AH49">
        <v>0</v>
      </c>
      <c r="AK49">
        <v>0</v>
      </c>
    </row>
    <row r="50" spans="4:37" x14ac:dyDescent="0.25">
      <c r="D50">
        <v>0</v>
      </c>
      <c r="I50">
        <v>0</v>
      </c>
      <c r="O50">
        <v>0</v>
      </c>
      <c r="Q50">
        <v>0</v>
      </c>
      <c r="W50">
        <v>0</v>
      </c>
      <c r="Y50">
        <v>0</v>
      </c>
      <c r="AB50">
        <v>0</v>
      </c>
      <c r="AE50">
        <v>0</v>
      </c>
      <c r="AH50">
        <v>0</v>
      </c>
      <c r="AK50">
        <v>0</v>
      </c>
    </row>
    <row r="51" spans="4:37" x14ac:dyDescent="0.25">
      <c r="D51">
        <v>0</v>
      </c>
      <c r="I51">
        <v>0</v>
      </c>
      <c r="O51">
        <v>0</v>
      </c>
      <c r="Q51">
        <v>0</v>
      </c>
      <c r="W51">
        <v>0</v>
      </c>
      <c r="Y51">
        <v>0</v>
      </c>
      <c r="AB51">
        <v>0</v>
      </c>
      <c r="AE51">
        <v>0</v>
      </c>
      <c r="AH51">
        <v>0</v>
      </c>
      <c r="AK51">
        <v>0</v>
      </c>
    </row>
    <row r="52" spans="4:37" x14ac:dyDescent="0.25">
      <c r="D52">
        <v>0</v>
      </c>
      <c r="I52">
        <v>0</v>
      </c>
      <c r="O52">
        <v>0</v>
      </c>
      <c r="Q52">
        <v>0</v>
      </c>
      <c r="W52">
        <v>0</v>
      </c>
      <c r="Y52">
        <v>0</v>
      </c>
      <c r="AB52">
        <v>0</v>
      </c>
      <c r="AE52">
        <v>0</v>
      </c>
      <c r="AH52">
        <v>0</v>
      </c>
      <c r="AK52">
        <v>0</v>
      </c>
    </row>
    <row r="53" spans="4:37" x14ac:dyDescent="0.25">
      <c r="D53">
        <v>0</v>
      </c>
      <c r="I53">
        <v>0</v>
      </c>
      <c r="O53">
        <v>0</v>
      </c>
      <c r="Q53">
        <v>0</v>
      </c>
      <c r="W53">
        <v>0</v>
      </c>
      <c r="Y53">
        <v>0</v>
      </c>
      <c r="AB53">
        <v>0</v>
      </c>
      <c r="AE53">
        <v>0</v>
      </c>
      <c r="AH53">
        <v>0</v>
      </c>
      <c r="AK53">
        <v>0</v>
      </c>
    </row>
    <row r="54" spans="4:37" x14ac:dyDescent="0.25">
      <c r="D54">
        <v>0</v>
      </c>
      <c r="I54">
        <v>0</v>
      </c>
      <c r="O54">
        <v>0</v>
      </c>
      <c r="Q54">
        <v>0</v>
      </c>
      <c r="W54">
        <v>0</v>
      </c>
      <c r="Y54">
        <v>0</v>
      </c>
      <c r="AB54">
        <v>0</v>
      </c>
      <c r="AE54">
        <v>0</v>
      </c>
      <c r="AH54">
        <v>0</v>
      </c>
      <c r="AK54">
        <v>0</v>
      </c>
    </row>
    <row r="55" spans="4:37" x14ac:dyDescent="0.25">
      <c r="D55">
        <v>0</v>
      </c>
      <c r="I55">
        <v>0</v>
      </c>
      <c r="O55">
        <v>0</v>
      </c>
      <c r="Q55">
        <v>0</v>
      </c>
      <c r="W55">
        <v>0</v>
      </c>
      <c r="Y55">
        <v>0</v>
      </c>
      <c r="AB55">
        <v>0</v>
      </c>
      <c r="AE55">
        <v>0</v>
      </c>
      <c r="AH55">
        <v>0</v>
      </c>
      <c r="AK55">
        <v>0</v>
      </c>
    </row>
    <row r="56" spans="4:37" x14ac:dyDescent="0.25">
      <c r="D56">
        <v>0</v>
      </c>
      <c r="I56">
        <v>0</v>
      </c>
      <c r="O56">
        <v>0</v>
      </c>
      <c r="Q56">
        <v>0</v>
      </c>
      <c r="W56">
        <v>0</v>
      </c>
      <c r="Y56">
        <v>0</v>
      </c>
      <c r="AB56">
        <v>0</v>
      </c>
      <c r="AE56">
        <v>0</v>
      </c>
      <c r="AH56">
        <v>0</v>
      </c>
      <c r="AK56">
        <v>0</v>
      </c>
    </row>
    <row r="57" spans="4:37" x14ac:dyDescent="0.25">
      <c r="D57">
        <v>0</v>
      </c>
      <c r="I57">
        <v>0</v>
      </c>
      <c r="O57">
        <v>0</v>
      </c>
      <c r="Q57">
        <v>0</v>
      </c>
      <c r="W57">
        <v>0</v>
      </c>
      <c r="Y57">
        <v>0</v>
      </c>
      <c r="AB57">
        <v>0</v>
      </c>
      <c r="AE57">
        <v>0</v>
      </c>
      <c r="AH57">
        <v>0</v>
      </c>
      <c r="AK57">
        <v>0</v>
      </c>
    </row>
    <row r="58" spans="4:37" x14ac:dyDescent="0.25">
      <c r="D58">
        <v>0</v>
      </c>
      <c r="I58">
        <v>0</v>
      </c>
      <c r="O58">
        <v>0</v>
      </c>
      <c r="Q58">
        <v>0</v>
      </c>
      <c r="W58">
        <v>0</v>
      </c>
      <c r="Y58">
        <v>0</v>
      </c>
      <c r="AB58">
        <v>0</v>
      </c>
      <c r="AE58">
        <v>0</v>
      </c>
      <c r="AH58">
        <v>0</v>
      </c>
      <c r="AK58">
        <v>0</v>
      </c>
    </row>
    <row r="59" spans="4:37" x14ac:dyDescent="0.25">
      <c r="D59">
        <v>0</v>
      </c>
      <c r="I59">
        <v>0</v>
      </c>
      <c r="O59">
        <v>0</v>
      </c>
      <c r="Q59">
        <v>0</v>
      </c>
      <c r="W59">
        <v>0</v>
      </c>
      <c r="Y59">
        <v>0</v>
      </c>
      <c r="AB59">
        <v>0</v>
      </c>
      <c r="AE59">
        <v>0</v>
      </c>
      <c r="AH59">
        <v>0</v>
      </c>
      <c r="AK59">
        <v>0</v>
      </c>
    </row>
    <row r="60" spans="4:37" x14ac:dyDescent="0.25">
      <c r="D60">
        <v>0</v>
      </c>
      <c r="I60">
        <v>0</v>
      </c>
      <c r="O60">
        <v>0</v>
      </c>
      <c r="Q60">
        <v>0</v>
      </c>
      <c r="W60">
        <v>0</v>
      </c>
      <c r="Y60">
        <v>0</v>
      </c>
      <c r="AB60">
        <v>0</v>
      </c>
      <c r="AE60">
        <v>0</v>
      </c>
      <c r="AH60">
        <v>0</v>
      </c>
      <c r="AK60">
        <v>0</v>
      </c>
    </row>
    <row r="61" spans="4:37" x14ac:dyDescent="0.25">
      <c r="D61">
        <v>0</v>
      </c>
      <c r="I61">
        <v>0</v>
      </c>
      <c r="O61">
        <v>0</v>
      </c>
      <c r="Q61">
        <v>0</v>
      </c>
      <c r="W61">
        <v>0</v>
      </c>
      <c r="Y61">
        <v>0</v>
      </c>
      <c r="AB61">
        <v>0</v>
      </c>
      <c r="AE61">
        <v>0</v>
      </c>
      <c r="AH61">
        <v>0</v>
      </c>
      <c r="AK61">
        <v>0</v>
      </c>
    </row>
    <row r="62" spans="4:37" x14ac:dyDescent="0.25">
      <c r="D62">
        <v>0</v>
      </c>
      <c r="I62">
        <v>0</v>
      </c>
      <c r="O62">
        <v>0</v>
      </c>
      <c r="Q62">
        <v>0</v>
      </c>
      <c r="W62">
        <v>0</v>
      </c>
      <c r="Y62">
        <v>0</v>
      </c>
      <c r="AB62">
        <v>0</v>
      </c>
      <c r="AE62">
        <v>0</v>
      </c>
      <c r="AH62">
        <v>0</v>
      </c>
      <c r="AK62">
        <v>0</v>
      </c>
    </row>
    <row r="63" spans="4:37" x14ac:dyDescent="0.25">
      <c r="D63">
        <v>0</v>
      </c>
      <c r="I63">
        <v>0</v>
      </c>
      <c r="O63">
        <v>0</v>
      </c>
      <c r="Q63">
        <v>0</v>
      </c>
      <c r="W63">
        <v>0</v>
      </c>
      <c r="Y63">
        <v>0</v>
      </c>
      <c r="AB63">
        <v>0</v>
      </c>
      <c r="AE63">
        <v>0</v>
      </c>
      <c r="AH63">
        <v>0</v>
      </c>
      <c r="AK63">
        <v>0</v>
      </c>
    </row>
    <row r="64" spans="4:37" x14ac:dyDescent="0.25">
      <c r="D64">
        <v>0</v>
      </c>
      <c r="I64">
        <v>0</v>
      </c>
      <c r="O64">
        <v>0</v>
      </c>
      <c r="Q64">
        <v>0</v>
      </c>
      <c r="W64">
        <v>0</v>
      </c>
      <c r="Y64">
        <v>0</v>
      </c>
      <c r="AB64">
        <v>0</v>
      </c>
      <c r="AE64">
        <v>0</v>
      </c>
      <c r="AH64">
        <v>0</v>
      </c>
      <c r="AK64">
        <v>0</v>
      </c>
    </row>
    <row r="65" spans="4:37" x14ac:dyDescent="0.25">
      <c r="D65">
        <v>0</v>
      </c>
      <c r="I65">
        <v>0</v>
      </c>
      <c r="O65">
        <v>0</v>
      </c>
      <c r="Q65">
        <v>0</v>
      </c>
      <c r="W65">
        <v>0</v>
      </c>
      <c r="Y65">
        <v>0</v>
      </c>
      <c r="AB65">
        <v>0</v>
      </c>
      <c r="AE65">
        <v>0</v>
      </c>
      <c r="AH65">
        <v>0</v>
      </c>
      <c r="AK65">
        <v>0</v>
      </c>
    </row>
    <row r="66" spans="4:37" x14ac:dyDescent="0.25">
      <c r="D66">
        <v>0</v>
      </c>
      <c r="I66">
        <v>0</v>
      </c>
      <c r="O66">
        <v>0</v>
      </c>
      <c r="Q66">
        <v>0</v>
      </c>
      <c r="W66">
        <v>0</v>
      </c>
      <c r="Y66">
        <v>0</v>
      </c>
      <c r="AB66">
        <v>0</v>
      </c>
      <c r="AE66">
        <v>0</v>
      </c>
      <c r="AH66">
        <v>0</v>
      </c>
      <c r="AK66">
        <v>0</v>
      </c>
    </row>
    <row r="67" spans="4:37" x14ac:dyDescent="0.25">
      <c r="D67">
        <v>0</v>
      </c>
      <c r="I67">
        <v>0</v>
      </c>
      <c r="O67">
        <v>0</v>
      </c>
      <c r="Q67">
        <v>0</v>
      </c>
      <c r="W67">
        <v>0</v>
      </c>
      <c r="Y67">
        <v>0</v>
      </c>
      <c r="AB67">
        <v>0</v>
      </c>
      <c r="AE67">
        <v>0</v>
      </c>
      <c r="AH67">
        <v>0</v>
      </c>
      <c r="AK67">
        <v>0</v>
      </c>
    </row>
    <row r="68" spans="4:37" x14ac:dyDescent="0.25">
      <c r="D68">
        <v>0</v>
      </c>
      <c r="I68">
        <v>0</v>
      </c>
      <c r="O68">
        <v>0</v>
      </c>
      <c r="Q68">
        <v>0</v>
      </c>
      <c r="W68">
        <v>0</v>
      </c>
      <c r="Y68">
        <v>0</v>
      </c>
      <c r="AB68">
        <v>0</v>
      </c>
      <c r="AE68">
        <v>0</v>
      </c>
      <c r="AH68">
        <v>0</v>
      </c>
      <c r="AK68">
        <v>0</v>
      </c>
    </row>
    <row r="69" spans="4:37" x14ac:dyDescent="0.25">
      <c r="D69">
        <v>0</v>
      </c>
      <c r="I69">
        <v>0</v>
      </c>
      <c r="O69">
        <v>0</v>
      </c>
      <c r="Q69">
        <v>0</v>
      </c>
      <c r="W69">
        <v>0</v>
      </c>
      <c r="Y69">
        <v>0</v>
      </c>
      <c r="AB69">
        <v>0</v>
      </c>
      <c r="AE69">
        <v>0</v>
      </c>
      <c r="AH69">
        <v>0</v>
      </c>
      <c r="AK69">
        <v>0</v>
      </c>
    </row>
    <row r="70" spans="4:37" x14ac:dyDescent="0.25">
      <c r="D70">
        <v>0</v>
      </c>
      <c r="I70">
        <v>0</v>
      </c>
      <c r="O70">
        <v>0</v>
      </c>
      <c r="Q70">
        <v>0</v>
      </c>
      <c r="W70">
        <v>0</v>
      </c>
      <c r="Y70">
        <v>0</v>
      </c>
      <c r="AB70">
        <v>0</v>
      </c>
      <c r="AE70">
        <v>0</v>
      </c>
      <c r="AH70">
        <v>0</v>
      </c>
      <c r="AK70">
        <v>0</v>
      </c>
    </row>
    <row r="71" spans="4:37" x14ac:dyDescent="0.25">
      <c r="D71">
        <v>0</v>
      </c>
      <c r="I71">
        <v>0</v>
      </c>
      <c r="O71">
        <v>0</v>
      </c>
      <c r="Q71">
        <v>0</v>
      </c>
      <c r="W71">
        <v>0</v>
      </c>
      <c r="Y71">
        <v>0</v>
      </c>
      <c r="AB71">
        <v>0</v>
      </c>
      <c r="AE71">
        <v>0</v>
      </c>
      <c r="AH71">
        <v>0</v>
      </c>
      <c r="AK71">
        <v>0</v>
      </c>
    </row>
    <row r="72" spans="4:37" x14ac:dyDescent="0.25">
      <c r="D72">
        <v>0</v>
      </c>
      <c r="I72">
        <v>0</v>
      </c>
      <c r="O72">
        <v>0</v>
      </c>
      <c r="Q72">
        <v>0</v>
      </c>
      <c r="W72">
        <v>0</v>
      </c>
      <c r="Y72">
        <v>0</v>
      </c>
      <c r="AB72">
        <v>0</v>
      </c>
      <c r="AE72">
        <v>0</v>
      </c>
      <c r="AH72">
        <v>0</v>
      </c>
      <c r="AK72">
        <v>0</v>
      </c>
    </row>
    <row r="73" spans="4:37" x14ac:dyDescent="0.25">
      <c r="D73">
        <v>0</v>
      </c>
      <c r="I73">
        <v>0</v>
      </c>
      <c r="O73">
        <v>0</v>
      </c>
      <c r="Q73">
        <v>0</v>
      </c>
      <c r="W73">
        <v>0</v>
      </c>
      <c r="Y73">
        <v>0</v>
      </c>
      <c r="AB73">
        <v>0</v>
      </c>
      <c r="AE73">
        <v>0</v>
      </c>
      <c r="AH73">
        <v>0</v>
      </c>
      <c r="AK73">
        <v>0</v>
      </c>
    </row>
    <row r="74" spans="4:37" x14ac:dyDescent="0.25">
      <c r="D74">
        <v>0</v>
      </c>
      <c r="I74">
        <v>0</v>
      </c>
      <c r="O74">
        <v>0</v>
      </c>
      <c r="Q74">
        <v>0</v>
      </c>
      <c r="W74">
        <v>0</v>
      </c>
      <c r="Y74">
        <v>0</v>
      </c>
      <c r="AB74">
        <v>0</v>
      </c>
      <c r="AE74">
        <v>0</v>
      </c>
      <c r="AH74">
        <v>0</v>
      </c>
      <c r="AK74">
        <v>0</v>
      </c>
    </row>
    <row r="75" spans="4:37" x14ac:dyDescent="0.25">
      <c r="D75">
        <v>0</v>
      </c>
      <c r="I75">
        <v>0</v>
      </c>
      <c r="O75">
        <v>0</v>
      </c>
      <c r="Q75">
        <v>0</v>
      </c>
      <c r="W75">
        <v>0</v>
      </c>
      <c r="Y75">
        <v>0</v>
      </c>
      <c r="AB75">
        <v>0</v>
      </c>
      <c r="AE75">
        <v>0</v>
      </c>
      <c r="AH75">
        <v>0</v>
      </c>
      <c r="AK75">
        <v>0</v>
      </c>
    </row>
    <row r="76" spans="4:37" x14ac:dyDescent="0.25">
      <c r="D76">
        <v>0</v>
      </c>
      <c r="I76">
        <v>0</v>
      </c>
      <c r="O76">
        <v>0</v>
      </c>
      <c r="Q76">
        <v>0</v>
      </c>
      <c r="W76">
        <v>0</v>
      </c>
      <c r="Y76">
        <v>0</v>
      </c>
      <c r="AB76">
        <v>0</v>
      </c>
      <c r="AE76">
        <v>0</v>
      </c>
      <c r="AH76">
        <v>0</v>
      </c>
      <c r="AK76">
        <v>0</v>
      </c>
    </row>
    <row r="77" spans="4:37" x14ac:dyDescent="0.25">
      <c r="D77">
        <v>0</v>
      </c>
      <c r="I77">
        <v>0</v>
      </c>
      <c r="O77">
        <v>0</v>
      </c>
      <c r="Q77">
        <v>0</v>
      </c>
      <c r="W77">
        <v>0</v>
      </c>
      <c r="Y77">
        <v>0</v>
      </c>
      <c r="AB77">
        <v>0</v>
      </c>
      <c r="AE77">
        <v>0</v>
      </c>
      <c r="AH77">
        <v>0</v>
      </c>
      <c r="AK77">
        <v>0</v>
      </c>
    </row>
    <row r="78" spans="4:37" x14ac:dyDescent="0.25">
      <c r="D78">
        <v>0</v>
      </c>
      <c r="I78">
        <v>0</v>
      </c>
      <c r="O78">
        <v>0</v>
      </c>
      <c r="Q78">
        <v>0</v>
      </c>
      <c r="W78">
        <v>0</v>
      </c>
      <c r="Y78">
        <v>0</v>
      </c>
      <c r="AB78">
        <v>0</v>
      </c>
      <c r="AE78">
        <v>0</v>
      </c>
      <c r="AH78">
        <v>0</v>
      </c>
      <c r="AK78">
        <v>0</v>
      </c>
    </row>
    <row r="79" spans="4:37" x14ac:dyDescent="0.25">
      <c r="D79">
        <v>0</v>
      </c>
      <c r="I79">
        <v>0</v>
      </c>
      <c r="O79">
        <v>0</v>
      </c>
      <c r="Q79">
        <v>0</v>
      </c>
      <c r="W79">
        <v>0</v>
      </c>
      <c r="Y79">
        <v>0</v>
      </c>
      <c r="AB79">
        <v>0</v>
      </c>
      <c r="AE79">
        <v>0</v>
      </c>
      <c r="AH79">
        <v>0</v>
      </c>
      <c r="AK79">
        <v>0</v>
      </c>
    </row>
    <row r="80" spans="4:37" x14ac:dyDescent="0.25">
      <c r="D80">
        <v>0</v>
      </c>
      <c r="I80">
        <v>0</v>
      </c>
      <c r="O80">
        <v>0</v>
      </c>
      <c r="Q80">
        <v>0</v>
      </c>
      <c r="W80">
        <v>0</v>
      </c>
      <c r="Y80">
        <v>0</v>
      </c>
      <c r="AB80">
        <v>0</v>
      </c>
      <c r="AE80">
        <v>0</v>
      </c>
      <c r="AH80">
        <v>0</v>
      </c>
      <c r="AK80">
        <v>0</v>
      </c>
    </row>
    <row r="81" spans="4:37" x14ac:dyDescent="0.25">
      <c r="D81">
        <v>0</v>
      </c>
      <c r="I81">
        <v>0</v>
      </c>
      <c r="O81">
        <v>0</v>
      </c>
      <c r="Q81">
        <v>0</v>
      </c>
      <c r="W81">
        <v>0</v>
      </c>
      <c r="Y81">
        <v>0</v>
      </c>
      <c r="AB81">
        <v>0</v>
      </c>
      <c r="AE81">
        <v>0</v>
      </c>
      <c r="AH81">
        <v>0</v>
      </c>
      <c r="AK81">
        <v>0</v>
      </c>
    </row>
    <row r="82" spans="4:37" x14ac:dyDescent="0.25">
      <c r="D82">
        <v>0</v>
      </c>
      <c r="I82">
        <v>0</v>
      </c>
      <c r="O82">
        <v>0</v>
      </c>
      <c r="Q82">
        <v>0</v>
      </c>
      <c r="W82">
        <v>0</v>
      </c>
      <c r="Y82">
        <v>0</v>
      </c>
      <c r="AB82">
        <v>0</v>
      </c>
      <c r="AE82">
        <v>0</v>
      </c>
      <c r="AH82">
        <v>0</v>
      </c>
      <c r="AK82">
        <v>0</v>
      </c>
    </row>
    <row r="83" spans="4:37" x14ac:dyDescent="0.25">
      <c r="D83">
        <v>0</v>
      </c>
      <c r="I83">
        <v>0</v>
      </c>
      <c r="O83">
        <v>0</v>
      </c>
      <c r="Q83">
        <v>0</v>
      </c>
      <c r="W83">
        <v>0</v>
      </c>
      <c r="Y83">
        <v>0</v>
      </c>
      <c r="AB83">
        <v>0</v>
      </c>
      <c r="AE83">
        <v>0</v>
      </c>
      <c r="AH83">
        <v>0</v>
      </c>
      <c r="AK83">
        <v>0</v>
      </c>
    </row>
    <row r="84" spans="4:37" x14ac:dyDescent="0.25">
      <c r="D84">
        <v>0</v>
      </c>
      <c r="I84">
        <v>0</v>
      </c>
      <c r="O84">
        <v>0</v>
      </c>
      <c r="Q84">
        <v>0</v>
      </c>
      <c r="W84">
        <v>0</v>
      </c>
      <c r="Y84">
        <v>0</v>
      </c>
      <c r="AB84">
        <v>0</v>
      </c>
      <c r="AE84">
        <v>0</v>
      </c>
      <c r="AH84">
        <v>0</v>
      </c>
      <c r="AK84">
        <v>0</v>
      </c>
    </row>
    <row r="85" spans="4:37" x14ac:dyDescent="0.25">
      <c r="D85">
        <v>0</v>
      </c>
      <c r="I85">
        <v>0</v>
      </c>
      <c r="O85">
        <v>0</v>
      </c>
      <c r="Q85">
        <v>0</v>
      </c>
      <c r="W85">
        <v>0</v>
      </c>
      <c r="Y85">
        <v>0</v>
      </c>
      <c r="AB85">
        <v>0</v>
      </c>
      <c r="AE85">
        <v>0</v>
      </c>
      <c r="AH85">
        <v>0</v>
      </c>
      <c r="AK85">
        <v>0</v>
      </c>
    </row>
    <row r="86" spans="4:37" x14ac:dyDescent="0.25">
      <c r="D86">
        <v>0</v>
      </c>
      <c r="I86">
        <v>0</v>
      </c>
      <c r="O86">
        <v>0</v>
      </c>
      <c r="Q86">
        <v>0</v>
      </c>
      <c r="W86">
        <v>0</v>
      </c>
      <c r="Y86">
        <v>0</v>
      </c>
      <c r="AB86">
        <v>0</v>
      </c>
      <c r="AE86">
        <v>0</v>
      </c>
      <c r="AH86">
        <v>0</v>
      </c>
      <c r="AK86">
        <v>0</v>
      </c>
    </row>
    <row r="87" spans="4:37" x14ac:dyDescent="0.25">
      <c r="D87">
        <v>0</v>
      </c>
      <c r="I87">
        <v>0</v>
      </c>
      <c r="O87">
        <v>0</v>
      </c>
      <c r="Q87">
        <v>0</v>
      </c>
      <c r="W87">
        <v>0</v>
      </c>
      <c r="Y87">
        <v>0</v>
      </c>
      <c r="AB87">
        <v>0</v>
      </c>
      <c r="AE87">
        <v>0</v>
      </c>
      <c r="AH87">
        <v>0</v>
      </c>
      <c r="AK87">
        <v>0</v>
      </c>
    </row>
    <row r="88" spans="4:37" x14ac:dyDescent="0.25">
      <c r="D88">
        <v>0</v>
      </c>
      <c r="I88">
        <v>0</v>
      </c>
      <c r="O88">
        <v>0</v>
      </c>
      <c r="Q88">
        <v>0</v>
      </c>
      <c r="W88">
        <v>0</v>
      </c>
      <c r="Y88">
        <v>0</v>
      </c>
      <c r="AB88">
        <v>0</v>
      </c>
      <c r="AE88">
        <v>0</v>
      </c>
      <c r="AH88">
        <v>0</v>
      </c>
      <c r="AK88">
        <v>0</v>
      </c>
    </row>
    <row r="89" spans="4:37" x14ac:dyDescent="0.25">
      <c r="D89">
        <v>0</v>
      </c>
      <c r="I89">
        <v>0</v>
      </c>
      <c r="O89">
        <v>0</v>
      </c>
      <c r="Q89">
        <v>0</v>
      </c>
      <c r="W89">
        <v>0</v>
      </c>
      <c r="Y89">
        <v>0</v>
      </c>
      <c r="AB89">
        <v>0</v>
      </c>
      <c r="AE89">
        <v>0</v>
      </c>
      <c r="AH89">
        <v>0</v>
      </c>
      <c r="AK89">
        <v>0</v>
      </c>
    </row>
    <row r="90" spans="4:37" x14ac:dyDescent="0.25">
      <c r="D90">
        <v>0</v>
      </c>
      <c r="I90">
        <v>0</v>
      </c>
      <c r="O90">
        <v>0</v>
      </c>
      <c r="Q90">
        <v>0</v>
      </c>
      <c r="W90">
        <v>0</v>
      </c>
      <c r="Y90">
        <v>0</v>
      </c>
      <c r="AB90">
        <v>0</v>
      </c>
      <c r="AE90">
        <v>0</v>
      </c>
      <c r="AH90">
        <v>0</v>
      </c>
      <c r="AK90">
        <v>0</v>
      </c>
    </row>
    <row r="91" spans="4:37" x14ac:dyDescent="0.25">
      <c r="D91">
        <v>0</v>
      </c>
      <c r="I91">
        <v>0</v>
      </c>
      <c r="O91">
        <v>0</v>
      </c>
      <c r="Q91">
        <v>0</v>
      </c>
      <c r="W91">
        <v>0</v>
      </c>
      <c r="Y91">
        <v>0</v>
      </c>
      <c r="AB91">
        <v>0</v>
      </c>
      <c r="AE91">
        <v>0</v>
      </c>
      <c r="AH91">
        <v>0</v>
      </c>
      <c r="AK91">
        <v>0</v>
      </c>
    </row>
    <row r="92" spans="4:37" x14ac:dyDescent="0.25">
      <c r="D92">
        <v>0</v>
      </c>
      <c r="I92">
        <v>0</v>
      </c>
      <c r="O92">
        <v>0</v>
      </c>
      <c r="Q92">
        <v>0</v>
      </c>
      <c r="W92">
        <v>0</v>
      </c>
      <c r="Y92">
        <v>0</v>
      </c>
      <c r="AB92">
        <v>0</v>
      </c>
      <c r="AE92">
        <v>0</v>
      </c>
      <c r="AH92">
        <v>0</v>
      </c>
      <c r="AK92">
        <v>0</v>
      </c>
    </row>
    <row r="93" spans="4:37" x14ac:dyDescent="0.25">
      <c r="D93">
        <v>0</v>
      </c>
      <c r="I93">
        <v>0</v>
      </c>
      <c r="O93">
        <v>0</v>
      </c>
      <c r="Q93">
        <v>0</v>
      </c>
      <c r="W93">
        <v>0</v>
      </c>
      <c r="Y93">
        <v>0</v>
      </c>
      <c r="AB93">
        <v>0</v>
      </c>
      <c r="AE93">
        <v>0</v>
      </c>
      <c r="AH93">
        <v>0</v>
      </c>
      <c r="AK93">
        <v>0</v>
      </c>
    </row>
    <row r="94" spans="4:37" x14ac:dyDescent="0.25">
      <c r="D94">
        <v>0</v>
      </c>
      <c r="I94">
        <v>0</v>
      </c>
      <c r="O94">
        <v>0</v>
      </c>
      <c r="Q94">
        <v>0</v>
      </c>
      <c r="W94">
        <v>0</v>
      </c>
      <c r="Y94">
        <v>0</v>
      </c>
      <c r="AB94">
        <v>0</v>
      </c>
      <c r="AE94">
        <v>0</v>
      </c>
      <c r="AH94">
        <v>0</v>
      </c>
      <c r="AK94">
        <v>0</v>
      </c>
    </row>
    <row r="95" spans="4:37" x14ac:dyDescent="0.25">
      <c r="D95">
        <v>0</v>
      </c>
      <c r="I95">
        <v>0</v>
      </c>
      <c r="O95">
        <v>0</v>
      </c>
      <c r="Q95">
        <v>0</v>
      </c>
      <c r="W95">
        <v>0</v>
      </c>
      <c r="Y95">
        <v>0</v>
      </c>
      <c r="AB95">
        <v>0</v>
      </c>
      <c r="AE95">
        <v>0</v>
      </c>
      <c r="AH95">
        <v>0</v>
      </c>
      <c r="AK95">
        <v>0</v>
      </c>
    </row>
    <row r="96" spans="4:37" x14ac:dyDescent="0.25">
      <c r="D96">
        <v>0</v>
      </c>
      <c r="I96">
        <v>0</v>
      </c>
      <c r="O96">
        <v>0</v>
      </c>
      <c r="Q96">
        <v>0</v>
      </c>
      <c r="W96">
        <v>0</v>
      </c>
      <c r="Y96">
        <v>0</v>
      </c>
      <c r="AB96">
        <v>0</v>
      </c>
      <c r="AE96">
        <v>0</v>
      </c>
      <c r="AH96">
        <v>0</v>
      </c>
      <c r="AK96">
        <v>0</v>
      </c>
    </row>
    <row r="97" spans="4:37" x14ac:dyDescent="0.25">
      <c r="D97">
        <v>0</v>
      </c>
      <c r="I97">
        <v>0</v>
      </c>
      <c r="O97">
        <v>0</v>
      </c>
      <c r="Q97">
        <v>0</v>
      </c>
      <c r="W97">
        <v>0</v>
      </c>
      <c r="Y97">
        <v>0</v>
      </c>
      <c r="AB97">
        <v>0</v>
      </c>
      <c r="AE97">
        <v>0</v>
      </c>
      <c r="AH97">
        <v>0</v>
      </c>
      <c r="AK97">
        <v>0</v>
      </c>
    </row>
    <row r="98" spans="4:37" x14ac:dyDescent="0.25">
      <c r="D98">
        <v>0</v>
      </c>
      <c r="I98">
        <v>0</v>
      </c>
      <c r="O98">
        <v>0</v>
      </c>
      <c r="Q98">
        <v>0</v>
      </c>
      <c r="W98">
        <v>0</v>
      </c>
      <c r="Y98">
        <v>0</v>
      </c>
      <c r="AB98">
        <v>0</v>
      </c>
      <c r="AE98">
        <v>0</v>
      </c>
      <c r="AH98">
        <v>0</v>
      </c>
      <c r="AK98">
        <v>0</v>
      </c>
    </row>
    <row r="99" spans="4:37" x14ac:dyDescent="0.25">
      <c r="D99">
        <v>0</v>
      </c>
      <c r="I99">
        <v>0</v>
      </c>
      <c r="O99">
        <v>0</v>
      </c>
      <c r="Q99">
        <v>0</v>
      </c>
      <c r="W99">
        <v>0</v>
      </c>
      <c r="Y99">
        <v>0</v>
      </c>
      <c r="AB99">
        <v>0</v>
      </c>
      <c r="AE99">
        <v>0</v>
      </c>
      <c r="AH99">
        <v>0</v>
      </c>
      <c r="AK99">
        <v>0</v>
      </c>
    </row>
    <row r="100" spans="4:37" x14ac:dyDescent="0.25">
      <c r="D100">
        <v>0</v>
      </c>
      <c r="I100">
        <v>0</v>
      </c>
      <c r="O100">
        <v>0</v>
      </c>
      <c r="Q100">
        <v>0</v>
      </c>
      <c r="W100">
        <v>0</v>
      </c>
      <c r="Y100">
        <v>0</v>
      </c>
      <c r="AB100">
        <v>0</v>
      </c>
      <c r="AE100">
        <v>0</v>
      </c>
      <c r="AH100">
        <v>0</v>
      </c>
      <c r="AK100">
        <v>0</v>
      </c>
    </row>
    <row r="101" spans="4:37" x14ac:dyDescent="0.25">
      <c r="D101">
        <v>0</v>
      </c>
      <c r="I101">
        <v>0</v>
      </c>
      <c r="O101">
        <v>0</v>
      </c>
      <c r="Q101">
        <v>0</v>
      </c>
      <c r="W101">
        <v>0</v>
      </c>
      <c r="Y101">
        <v>0</v>
      </c>
      <c r="AB101">
        <v>0</v>
      </c>
      <c r="AE101">
        <v>0</v>
      </c>
      <c r="AH101">
        <v>0</v>
      </c>
      <c r="AK101">
        <v>0</v>
      </c>
    </row>
    <row r="102" spans="4:37" x14ac:dyDescent="0.25">
      <c r="D102">
        <v>0</v>
      </c>
      <c r="I102">
        <v>0</v>
      </c>
      <c r="O102">
        <v>0</v>
      </c>
      <c r="Q102">
        <v>0</v>
      </c>
      <c r="W102">
        <v>0</v>
      </c>
      <c r="Y102">
        <v>0</v>
      </c>
      <c r="AB102">
        <v>0</v>
      </c>
      <c r="AE102">
        <v>0</v>
      </c>
      <c r="AH102">
        <v>0</v>
      </c>
      <c r="AK102">
        <v>0</v>
      </c>
    </row>
    <row r="103" spans="4:37" x14ac:dyDescent="0.25">
      <c r="D103">
        <v>0</v>
      </c>
      <c r="I103">
        <v>0</v>
      </c>
      <c r="O103">
        <v>0</v>
      </c>
      <c r="Q103">
        <v>0</v>
      </c>
      <c r="W103">
        <v>0</v>
      </c>
      <c r="Y103">
        <v>0</v>
      </c>
      <c r="AB103">
        <v>0</v>
      </c>
      <c r="AE103">
        <v>0</v>
      </c>
      <c r="AH103">
        <v>0</v>
      </c>
      <c r="AK103">
        <v>0</v>
      </c>
    </row>
    <row r="104" spans="4:37" x14ac:dyDescent="0.25">
      <c r="D104">
        <v>0</v>
      </c>
      <c r="I104">
        <v>0</v>
      </c>
      <c r="O104">
        <v>0</v>
      </c>
      <c r="Q104">
        <v>0</v>
      </c>
      <c r="Y104">
        <v>0</v>
      </c>
      <c r="AB104">
        <v>0</v>
      </c>
      <c r="AE104">
        <v>0</v>
      </c>
      <c r="AH104">
        <v>0</v>
      </c>
      <c r="AK104">
        <v>0</v>
      </c>
    </row>
    <row r="105" spans="4:37" x14ac:dyDescent="0.25">
      <c r="D105">
        <v>0</v>
      </c>
      <c r="I105">
        <v>0</v>
      </c>
      <c r="O105">
        <v>0</v>
      </c>
      <c r="Q105">
        <v>0</v>
      </c>
      <c r="Y105">
        <v>0</v>
      </c>
      <c r="AB105">
        <v>0</v>
      </c>
      <c r="AE105">
        <v>0</v>
      </c>
      <c r="AH105">
        <v>0</v>
      </c>
      <c r="AK105">
        <v>0</v>
      </c>
    </row>
    <row r="106" spans="4:37" x14ac:dyDescent="0.25">
      <c r="D106">
        <v>0</v>
      </c>
      <c r="I106">
        <v>0</v>
      </c>
      <c r="O106">
        <v>0</v>
      </c>
      <c r="Q106">
        <v>0</v>
      </c>
      <c r="Y106">
        <v>0</v>
      </c>
      <c r="AB106">
        <v>0</v>
      </c>
      <c r="AE106">
        <v>0</v>
      </c>
      <c r="AH106">
        <v>0</v>
      </c>
      <c r="AK106">
        <v>0</v>
      </c>
    </row>
    <row r="107" spans="4:37" x14ac:dyDescent="0.25">
      <c r="D107">
        <v>0</v>
      </c>
      <c r="I107">
        <v>0</v>
      </c>
      <c r="O107">
        <v>0</v>
      </c>
      <c r="Q107">
        <v>0</v>
      </c>
      <c r="Y107">
        <v>0</v>
      </c>
      <c r="AB107">
        <v>0</v>
      </c>
      <c r="AE107">
        <v>0</v>
      </c>
      <c r="AH107">
        <v>0</v>
      </c>
      <c r="AK107">
        <v>0</v>
      </c>
    </row>
    <row r="108" spans="4:37" x14ac:dyDescent="0.25">
      <c r="D108">
        <v>0</v>
      </c>
      <c r="I108">
        <v>0</v>
      </c>
      <c r="O108">
        <v>0</v>
      </c>
      <c r="Q108">
        <v>0</v>
      </c>
      <c r="Y108">
        <v>0</v>
      </c>
      <c r="AB108">
        <v>0</v>
      </c>
      <c r="AE108">
        <v>0</v>
      </c>
      <c r="AH108">
        <v>0</v>
      </c>
      <c r="AK108">
        <v>0</v>
      </c>
    </row>
    <row r="109" spans="4:37" x14ac:dyDescent="0.25">
      <c r="D109">
        <v>0</v>
      </c>
      <c r="I109">
        <v>0</v>
      </c>
      <c r="O109">
        <v>0</v>
      </c>
      <c r="Q109">
        <v>0</v>
      </c>
      <c r="Y109">
        <v>0</v>
      </c>
      <c r="AB109">
        <v>0</v>
      </c>
      <c r="AE109">
        <v>0</v>
      </c>
      <c r="AH109">
        <v>0</v>
      </c>
      <c r="AK109">
        <v>0</v>
      </c>
    </row>
    <row r="110" spans="4:37" x14ac:dyDescent="0.25">
      <c r="D110">
        <v>0</v>
      </c>
      <c r="I110">
        <v>0</v>
      </c>
      <c r="O110">
        <v>0</v>
      </c>
      <c r="Q110">
        <v>0</v>
      </c>
      <c r="Y110">
        <v>0</v>
      </c>
      <c r="AB110">
        <v>0</v>
      </c>
      <c r="AE110">
        <v>0</v>
      </c>
      <c r="AH110">
        <v>0</v>
      </c>
      <c r="AK110">
        <v>0</v>
      </c>
    </row>
    <row r="111" spans="4:37" x14ac:dyDescent="0.25">
      <c r="D111">
        <v>0</v>
      </c>
      <c r="I111">
        <v>0</v>
      </c>
      <c r="O111">
        <v>0</v>
      </c>
      <c r="Q111">
        <v>0</v>
      </c>
      <c r="Y111">
        <v>0</v>
      </c>
      <c r="AB111">
        <v>0</v>
      </c>
      <c r="AE111">
        <v>0</v>
      </c>
      <c r="AH111">
        <v>0</v>
      </c>
      <c r="AK111">
        <v>0</v>
      </c>
    </row>
    <row r="112" spans="4:37" x14ac:dyDescent="0.25">
      <c r="D112">
        <v>0</v>
      </c>
      <c r="I112">
        <v>0</v>
      </c>
      <c r="O112">
        <v>0</v>
      </c>
      <c r="Q112">
        <v>0</v>
      </c>
      <c r="Y112">
        <v>0</v>
      </c>
      <c r="AB112">
        <v>0</v>
      </c>
      <c r="AE112">
        <v>0</v>
      </c>
      <c r="AH112">
        <v>0</v>
      </c>
      <c r="AK112">
        <v>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AK47"/>
  <sheetViews>
    <sheetView topLeftCell="A90" workbookViewId="0">
      <selection activeCell="G10" sqref="G10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4.285156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5" width="12" bestFit="1" customWidth="1"/>
    <col min="16" max="16" width="9.28515625" bestFit="1" customWidth="1"/>
    <col min="17" max="17" width="12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44</v>
      </c>
      <c r="B2" s="158">
        <v>43852</v>
      </c>
      <c r="C2" s="156">
        <v>0.875</v>
      </c>
      <c r="D2" s="156">
        <v>0.50000000000000089</v>
      </c>
      <c r="E2" s="156" t="s">
        <v>47</v>
      </c>
      <c r="F2" s="156" t="s">
        <v>130</v>
      </c>
      <c r="G2" s="156"/>
      <c r="H2" s="156"/>
      <c r="I2" s="156">
        <v>0</v>
      </c>
      <c r="J2" s="156"/>
      <c r="K2" s="156"/>
      <c r="L2" s="156">
        <v>0.10416666666666684</v>
      </c>
      <c r="M2" s="156">
        <v>5.2083333333333426E-2</v>
      </c>
      <c r="N2" s="156">
        <v>4.1666666666666741E-2</v>
      </c>
      <c r="O2" s="156">
        <v>0.19791666666666702</v>
      </c>
      <c r="P2" s="156"/>
      <c r="Q2" s="156">
        <v>165.82208333333335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/>
      <c r="Y2" s="156">
        <v>65.3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44</v>
      </c>
      <c r="B3" s="158">
        <v>43852</v>
      </c>
      <c r="C3" s="156">
        <v>0.93333333333333324</v>
      </c>
      <c r="D3" s="156">
        <v>1.3999999999999977</v>
      </c>
      <c r="E3" s="156" t="s">
        <v>45</v>
      </c>
      <c r="F3" s="156" t="s">
        <v>134</v>
      </c>
      <c r="G3" s="156"/>
      <c r="H3" s="156"/>
      <c r="I3" s="156">
        <v>0</v>
      </c>
      <c r="J3" s="156"/>
      <c r="K3" s="156"/>
      <c r="L3" s="156">
        <v>0</v>
      </c>
      <c r="M3" s="156">
        <v>0.14583333333333309</v>
      </c>
      <c r="N3" s="156">
        <v>0.11666666666666647</v>
      </c>
      <c r="O3" s="156">
        <v>0.26249999999999957</v>
      </c>
      <c r="P3" s="156"/>
      <c r="Q3" s="156">
        <v>165.55958333333336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/>
      <c r="Y3" s="156">
        <v>65.3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44</v>
      </c>
      <c r="B4" s="158">
        <v>43853</v>
      </c>
      <c r="C4" s="156">
        <v>2.0833333333333332E-2</v>
      </c>
      <c r="D4" s="156">
        <v>2.1000000000000014</v>
      </c>
      <c r="E4" s="156" t="s">
        <v>47</v>
      </c>
      <c r="F4" s="156" t="s">
        <v>83</v>
      </c>
      <c r="G4" s="156"/>
      <c r="H4" s="156"/>
      <c r="I4" s="156">
        <v>0</v>
      </c>
      <c r="J4" s="156"/>
      <c r="K4" s="156"/>
      <c r="L4" s="156">
        <v>0.43750000000000033</v>
      </c>
      <c r="M4" s="156">
        <v>0.21875000000000017</v>
      </c>
      <c r="N4" s="156">
        <v>0.1750000000000001</v>
      </c>
      <c r="O4" s="156">
        <v>0.83125000000000049</v>
      </c>
      <c r="P4" s="156"/>
      <c r="Q4" s="156">
        <v>164.72833333333335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/>
      <c r="Y4" s="156">
        <v>65.3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44</v>
      </c>
      <c r="B5" s="158">
        <v>43853</v>
      </c>
      <c r="C5" s="156">
        <v>0.23750000000000002</v>
      </c>
      <c r="D5" s="156">
        <v>5.2</v>
      </c>
      <c r="E5" s="156" t="s">
        <v>49</v>
      </c>
      <c r="F5" s="156" t="s">
        <v>135</v>
      </c>
      <c r="G5" s="156"/>
      <c r="H5" s="156"/>
      <c r="I5" s="156">
        <v>0</v>
      </c>
      <c r="J5" s="156"/>
      <c r="K5" s="156"/>
      <c r="L5" s="156">
        <v>0</v>
      </c>
      <c r="M5" s="156">
        <v>0.54166666666666674</v>
      </c>
      <c r="N5" s="156">
        <v>0.43333333333333335</v>
      </c>
      <c r="O5" s="156">
        <v>0.97500000000000009</v>
      </c>
      <c r="P5" s="156"/>
      <c r="Q5" s="156">
        <v>163.75333333333336</v>
      </c>
      <c r="R5" s="156">
        <v>0</v>
      </c>
      <c r="S5" s="156">
        <v>0</v>
      </c>
      <c r="T5" s="156">
        <v>0</v>
      </c>
      <c r="U5" s="156">
        <v>0</v>
      </c>
      <c r="V5" s="156">
        <v>0</v>
      </c>
      <c r="W5" s="156">
        <v>0</v>
      </c>
      <c r="X5" s="156"/>
      <c r="Y5" s="156">
        <v>65.3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44</v>
      </c>
      <c r="B6" s="158">
        <v>43853</v>
      </c>
      <c r="C6">
        <v>0.33333333333333331</v>
      </c>
      <c r="D6">
        <v>2.2999999999999989</v>
      </c>
      <c r="E6" s="156" t="s">
        <v>71</v>
      </c>
      <c r="F6" s="156" t="s">
        <v>130</v>
      </c>
      <c r="I6">
        <v>0</v>
      </c>
      <c r="J6" s="156"/>
      <c r="L6">
        <v>0</v>
      </c>
      <c r="M6">
        <v>0.23958333333333323</v>
      </c>
      <c r="N6">
        <v>0.19166666666666657</v>
      </c>
      <c r="O6">
        <v>0.4312499999999998</v>
      </c>
      <c r="Q6">
        <v>163.32208333333335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65.3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44</v>
      </c>
      <c r="B7" s="158">
        <v>43854</v>
      </c>
      <c r="C7">
        <v>0.33333333333333331</v>
      </c>
      <c r="D7">
        <v>24</v>
      </c>
      <c r="E7" s="156" t="s">
        <v>71</v>
      </c>
      <c r="F7" s="156" t="s">
        <v>130</v>
      </c>
      <c r="I7">
        <v>0</v>
      </c>
      <c r="J7" s="156"/>
      <c r="L7">
        <v>0</v>
      </c>
      <c r="M7">
        <v>2.5</v>
      </c>
      <c r="N7">
        <v>2</v>
      </c>
      <c r="O7">
        <v>4.5</v>
      </c>
      <c r="Q7">
        <v>158.82208333333335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Y7">
        <v>65.3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44</v>
      </c>
      <c r="B8" s="158">
        <v>43854</v>
      </c>
      <c r="C8">
        <v>0.82500000000000007</v>
      </c>
      <c r="D8">
        <v>11.800000000000002</v>
      </c>
      <c r="E8" s="156" t="s">
        <v>71</v>
      </c>
      <c r="F8" s="156" t="s">
        <v>136</v>
      </c>
      <c r="I8">
        <v>0</v>
      </c>
      <c r="J8" s="156"/>
      <c r="L8">
        <v>0</v>
      </c>
      <c r="M8">
        <v>1.229166666666667</v>
      </c>
      <c r="N8">
        <v>0.9833333333333335</v>
      </c>
      <c r="O8">
        <v>2.2125000000000004</v>
      </c>
      <c r="Q8">
        <v>156.60958333333335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Y8">
        <v>65.3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44</v>
      </c>
      <c r="B9" s="158">
        <v>43855</v>
      </c>
      <c r="C9">
        <v>0.14166666666666666</v>
      </c>
      <c r="D9">
        <v>7.6000000000000014</v>
      </c>
      <c r="E9" s="156" t="s">
        <v>49</v>
      </c>
      <c r="F9" s="156" t="s">
        <v>134</v>
      </c>
      <c r="I9">
        <v>0</v>
      </c>
      <c r="J9" s="156"/>
      <c r="L9">
        <v>0</v>
      </c>
      <c r="M9">
        <v>0.79166666666666685</v>
      </c>
      <c r="N9">
        <v>0.63333333333333341</v>
      </c>
      <c r="O9">
        <v>1.4250000000000003</v>
      </c>
      <c r="Q9">
        <v>155.18458333333334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Y9">
        <v>65.3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44</v>
      </c>
      <c r="B10" s="158">
        <v>43855</v>
      </c>
      <c r="C10">
        <v>0.19166666666666665</v>
      </c>
      <c r="D10">
        <v>1.1999999999999997</v>
      </c>
      <c r="E10" s="156" t="s">
        <v>47</v>
      </c>
      <c r="F10" s="156" t="s">
        <v>146</v>
      </c>
      <c r="I10">
        <v>0</v>
      </c>
      <c r="J10" s="156"/>
      <c r="L10">
        <v>0.24999999999999994</v>
      </c>
      <c r="M10">
        <v>0.12499999999999997</v>
      </c>
      <c r="N10">
        <v>9.9999999999999978E-2</v>
      </c>
      <c r="O10">
        <v>0.47499999999999987</v>
      </c>
      <c r="Q10">
        <v>154.70958333333334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Y10">
        <v>65.3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44</v>
      </c>
      <c r="B11" s="158">
        <v>43855</v>
      </c>
      <c r="C11">
        <v>0.29166666666666669</v>
      </c>
      <c r="D11">
        <v>2.4000000000000008</v>
      </c>
      <c r="E11" s="156" t="s">
        <v>45</v>
      </c>
      <c r="F11" s="156" t="s">
        <v>134</v>
      </c>
      <c r="I11">
        <v>0</v>
      </c>
      <c r="J11" s="156"/>
      <c r="L11">
        <v>0</v>
      </c>
      <c r="M11">
        <v>0.25000000000000011</v>
      </c>
      <c r="N11">
        <v>0.20000000000000007</v>
      </c>
      <c r="O11">
        <v>0.45000000000000018</v>
      </c>
      <c r="Q11">
        <v>154.25958333333335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65.3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44</v>
      </c>
      <c r="B12" s="158">
        <v>43855</v>
      </c>
      <c r="C12">
        <v>0.3</v>
      </c>
      <c r="D12">
        <v>0.19999999999999929</v>
      </c>
      <c r="E12" s="156" t="s">
        <v>47</v>
      </c>
      <c r="F12" s="156" t="s">
        <v>75</v>
      </c>
      <c r="I12">
        <v>0</v>
      </c>
      <c r="J12" s="156"/>
      <c r="L12">
        <v>8.3333333333333037E-2</v>
      </c>
      <c r="M12">
        <v>2.0833333333333259E-2</v>
      </c>
      <c r="N12">
        <v>1.6666666666666607E-2</v>
      </c>
      <c r="O12">
        <v>0.1208333333333329</v>
      </c>
      <c r="Q12">
        <v>154.13875000000002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65.3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44</v>
      </c>
      <c r="B13" s="158">
        <v>43855</v>
      </c>
      <c r="C13">
        <v>0.33333333333333331</v>
      </c>
      <c r="D13">
        <v>0.79999999999999982</v>
      </c>
      <c r="E13" s="156" t="s">
        <v>55</v>
      </c>
      <c r="F13" s="156" t="s">
        <v>110</v>
      </c>
      <c r="I13">
        <v>0</v>
      </c>
      <c r="J13" s="156" t="s">
        <v>54</v>
      </c>
      <c r="K13">
        <v>95</v>
      </c>
      <c r="L13">
        <v>0.73333333333333317</v>
      </c>
      <c r="M13">
        <v>8.3333333333333315E-2</v>
      </c>
      <c r="N13">
        <v>0</v>
      </c>
      <c r="O13">
        <v>0.81666666666666643</v>
      </c>
      <c r="Q13">
        <v>153.32208333333335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Y13">
        <v>65.3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44</v>
      </c>
      <c r="B14" s="158">
        <v>43855</v>
      </c>
      <c r="C14">
        <v>0.63750000000000007</v>
      </c>
      <c r="D14">
        <v>7.3000000000000025</v>
      </c>
      <c r="E14" s="156" t="s">
        <v>55</v>
      </c>
      <c r="F14" s="156" t="s">
        <v>76</v>
      </c>
      <c r="G14">
        <v>91</v>
      </c>
      <c r="H14">
        <v>8.1</v>
      </c>
      <c r="I14">
        <v>11.234567901234568</v>
      </c>
      <c r="J14" s="156" t="s">
        <v>117</v>
      </c>
      <c r="K14">
        <v>95</v>
      </c>
      <c r="L14">
        <v>6.6916666666666691</v>
      </c>
      <c r="M14">
        <v>0.76041666666666696</v>
      </c>
      <c r="N14">
        <v>0</v>
      </c>
      <c r="O14">
        <v>7.4520833333333361</v>
      </c>
      <c r="Q14">
        <v>145.87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65.3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44</v>
      </c>
      <c r="B15" s="158">
        <v>43855</v>
      </c>
      <c r="C15">
        <v>0.71250000000000002</v>
      </c>
      <c r="D15">
        <v>1.7999999999999989</v>
      </c>
      <c r="E15" s="156" t="s">
        <v>47</v>
      </c>
      <c r="F15" s="156" t="s">
        <v>78</v>
      </c>
      <c r="I15">
        <v>0</v>
      </c>
      <c r="J15" s="156"/>
      <c r="L15">
        <v>0.22499999999999987</v>
      </c>
      <c r="M15">
        <v>0.18749999999999989</v>
      </c>
      <c r="N15">
        <v>0.14999999999999991</v>
      </c>
      <c r="O15">
        <v>0.56249999999999967</v>
      </c>
      <c r="Q15">
        <v>145.3075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65.3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44</v>
      </c>
      <c r="B16" s="158">
        <v>43855</v>
      </c>
      <c r="C16">
        <v>0.85416666666666663</v>
      </c>
      <c r="D16">
        <v>3.3999999999999986</v>
      </c>
      <c r="E16" s="156" t="s">
        <v>49</v>
      </c>
      <c r="F16" s="156" t="s">
        <v>147</v>
      </c>
      <c r="I16">
        <v>0</v>
      </c>
      <c r="J16" s="156"/>
      <c r="L16">
        <v>0</v>
      </c>
      <c r="M16">
        <v>0.35416666666666652</v>
      </c>
      <c r="N16">
        <v>0.28333333333333321</v>
      </c>
      <c r="O16">
        <v>0.63749999999999973</v>
      </c>
      <c r="Q16">
        <v>144.67000000000002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Y16">
        <v>65.3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44</v>
      </c>
      <c r="B17" s="158">
        <v>43856</v>
      </c>
      <c r="C17">
        <v>0.33333333333333331</v>
      </c>
      <c r="D17">
        <v>11.500000000000002</v>
      </c>
      <c r="E17" s="156" t="s">
        <v>51</v>
      </c>
      <c r="F17" s="156" t="s">
        <v>110</v>
      </c>
      <c r="I17">
        <v>0</v>
      </c>
      <c r="J17" s="156"/>
      <c r="L17">
        <v>0</v>
      </c>
      <c r="M17">
        <v>1.197916666666667</v>
      </c>
      <c r="N17">
        <v>0.95833333333333348</v>
      </c>
      <c r="O17">
        <v>2.1562500000000004</v>
      </c>
      <c r="Q17">
        <v>142.51375000000002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Y17">
        <v>65.3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44</v>
      </c>
      <c r="B18" s="158">
        <v>43857</v>
      </c>
      <c r="C18">
        <v>0.33333333333333331</v>
      </c>
      <c r="D18">
        <v>24</v>
      </c>
      <c r="E18" s="156" t="s">
        <v>51</v>
      </c>
      <c r="F18" s="156" t="s">
        <v>110</v>
      </c>
      <c r="I18">
        <v>0</v>
      </c>
      <c r="J18" s="156"/>
      <c r="L18">
        <v>0</v>
      </c>
      <c r="M18">
        <v>2.5</v>
      </c>
      <c r="N18">
        <v>2</v>
      </c>
      <c r="O18">
        <v>4.5</v>
      </c>
      <c r="Q18">
        <v>138.01375000000002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65.3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44</v>
      </c>
      <c r="B19" s="158">
        <v>43857</v>
      </c>
      <c r="C19">
        <v>0.97916666666666663</v>
      </c>
      <c r="D19">
        <v>15.499999999999998</v>
      </c>
      <c r="E19" s="156" t="s">
        <v>51</v>
      </c>
      <c r="F19" s="156" t="s">
        <v>138</v>
      </c>
      <c r="I19">
        <v>0</v>
      </c>
      <c r="J19" s="156"/>
      <c r="L19">
        <v>0</v>
      </c>
      <c r="M19">
        <v>1.6145833333333333</v>
      </c>
      <c r="N19">
        <v>1.2916666666666665</v>
      </c>
      <c r="O19">
        <v>2.90625</v>
      </c>
      <c r="Q19">
        <v>135.10750000000002</v>
      </c>
      <c r="R19">
        <v>0</v>
      </c>
      <c r="S19">
        <v>0</v>
      </c>
      <c r="T19">
        <v>0</v>
      </c>
      <c r="U19">
        <v>0</v>
      </c>
      <c r="V19">
        <v>1.9</v>
      </c>
      <c r="W19">
        <v>1.9</v>
      </c>
      <c r="Y19">
        <v>63.4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44</v>
      </c>
      <c r="B20" s="158">
        <v>43858</v>
      </c>
      <c r="C20">
        <v>0.1125</v>
      </c>
      <c r="D20">
        <v>3.2000000000000028</v>
      </c>
      <c r="E20" s="156" t="s">
        <v>49</v>
      </c>
      <c r="F20" s="156" t="s">
        <v>137</v>
      </c>
      <c r="I20">
        <v>0</v>
      </c>
      <c r="J20" s="156"/>
      <c r="L20">
        <v>0</v>
      </c>
      <c r="M20">
        <v>0.33333333333333365</v>
      </c>
      <c r="N20">
        <v>0.26666666666666689</v>
      </c>
      <c r="O20">
        <v>0.60000000000000053</v>
      </c>
      <c r="Q20">
        <v>134.50750000000002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Y20">
        <v>63.4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44</v>
      </c>
      <c r="B21" s="158">
        <v>43858</v>
      </c>
      <c r="C21">
        <v>0.13749999999999998</v>
      </c>
      <c r="D21">
        <v>0.59999999999999953</v>
      </c>
      <c r="E21" s="156" t="s">
        <v>47</v>
      </c>
      <c r="F21" s="156" t="s">
        <v>79</v>
      </c>
      <c r="I21">
        <v>0</v>
      </c>
      <c r="J21" s="156"/>
      <c r="L21">
        <v>2.4999999999999981E-2</v>
      </c>
      <c r="M21">
        <v>6.2499999999999951E-2</v>
      </c>
      <c r="N21">
        <v>4.9999999999999961E-2</v>
      </c>
      <c r="O21">
        <v>0.1374999999999999</v>
      </c>
      <c r="Q21">
        <v>134.37000000000003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Y21">
        <v>63.4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44</v>
      </c>
      <c r="B22" s="158">
        <v>43858</v>
      </c>
      <c r="C22">
        <v>0.33333333333333331</v>
      </c>
      <c r="D22">
        <v>4.7</v>
      </c>
      <c r="E22" s="156" t="s">
        <v>55</v>
      </c>
      <c r="F22" s="156" t="s">
        <v>119</v>
      </c>
      <c r="I22">
        <v>0</v>
      </c>
      <c r="J22" s="156" t="s">
        <v>54</v>
      </c>
      <c r="K22">
        <v>95</v>
      </c>
      <c r="L22">
        <v>3.916666666666667</v>
      </c>
      <c r="M22">
        <v>0.48958333333333337</v>
      </c>
      <c r="N22">
        <v>0</v>
      </c>
      <c r="O22">
        <v>4.40625</v>
      </c>
      <c r="Q22">
        <v>129.96375000000003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Y22">
        <v>63.4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44</v>
      </c>
      <c r="B23" s="158">
        <v>43859</v>
      </c>
      <c r="C23">
        <v>0.14583333333333334</v>
      </c>
      <c r="D23">
        <v>19.5</v>
      </c>
      <c r="E23" s="156" t="s">
        <v>55</v>
      </c>
      <c r="F23" s="156" t="s">
        <v>80</v>
      </c>
      <c r="G23">
        <v>266</v>
      </c>
      <c r="H23">
        <v>24.2</v>
      </c>
      <c r="I23">
        <v>10.991735537190083</v>
      </c>
      <c r="J23" s="156" t="s">
        <v>117</v>
      </c>
      <c r="K23">
        <v>95</v>
      </c>
      <c r="L23">
        <v>16.25</v>
      </c>
      <c r="M23">
        <v>2.03125</v>
      </c>
      <c r="N23">
        <v>0</v>
      </c>
      <c r="O23">
        <v>18.28125</v>
      </c>
      <c r="Q23">
        <v>111.68250000000003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63.4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44</v>
      </c>
      <c r="B24" s="158">
        <v>43859</v>
      </c>
      <c r="C24">
        <v>0.16666666666666666</v>
      </c>
      <c r="D24">
        <v>0.49999999999999956</v>
      </c>
      <c r="E24" s="156" t="s">
        <v>47</v>
      </c>
      <c r="F24" s="156" t="s">
        <v>148</v>
      </c>
      <c r="I24">
        <v>0</v>
      </c>
      <c r="J24" s="156"/>
      <c r="L24">
        <v>2.0833333333333315E-2</v>
      </c>
      <c r="M24">
        <v>5.2083333333333287E-2</v>
      </c>
      <c r="N24">
        <v>4.166666666666663E-2</v>
      </c>
      <c r="O24">
        <v>0.11458333333333323</v>
      </c>
      <c r="Q24">
        <v>111.5679166666667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63.4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44</v>
      </c>
      <c r="B25" s="158">
        <v>43859</v>
      </c>
      <c r="C25">
        <v>0.33333333333333331</v>
      </c>
      <c r="D25">
        <v>4</v>
      </c>
      <c r="E25" s="156" t="s">
        <v>45</v>
      </c>
      <c r="F25" s="156" t="s">
        <v>119</v>
      </c>
      <c r="I25">
        <v>0</v>
      </c>
      <c r="J25" s="156"/>
      <c r="L25">
        <v>0</v>
      </c>
      <c r="M25">
        <v>0.41666666666666669</v>
      </c>
      <c r="N25">
        <v>0.33333333333333331</v>
      </c>
      <c r="O25">
        <v>0.75</v>
      </c>
      <c r="Q25">
        <v>110.8179166666667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Y25">
        <v>63.4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44</v>
      </c>
      <c r="B26" s="158">
        <v>43860</v>
      </c>
      <c r="C26">
        <v>0.33333333333333331</v>
      </c>
      <c r="D26">
        <v>24</v>
      </c>
      <c r="E26" s="156" t="s">
        <v>45</v>
      </c>
      <c r="F26" s="156" t="s">
        <v>119</v>
      </c>
      <c r="I26">
        <v>0</v>
      </c>
      <c r="J26" s="156"/>
      <c r="L26">
        <v>0</v>
      </c>
      <c r="M26">
        <v>2.5</v>
      </c>
      <c r="N26">
        <v>2</v>
      </c>
      <c r="O26">
        <v>4.5</v>
      </c>
      <c r="Q26">
        <v>106.3179166666667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Y26">
        <v>63.4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44</v>
      </c>
      <c r="B27" s="158">
        <v>43861</v>
      </c>
      <c r="C27">
        <v>0.33333333333333331</v>
      </c>
      <c r="D27">
        <v>24</v>
      </c>
      <c r="E27" s="156" t="s">
        <v>45</v>
      </c>
      <c r="F27" s="156" t="s">
        <v>119</v>
      </c>
      <c r="I27">
        <v>0</v>
      </c>
      <c r="J27" s="156"/>
      <c r="L27">
        <v>0</v>
      </c>
      <c r="M27">
        <v>2.5</v>
      </c>
      <c r="N27">
        <v>2</v>
      </c>
      <c r="O27">
        <v>4.5</v>
      </c>
      <c r="Q27">
        <v>101.8179166666667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63.4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44</v>
      </c>
      <c r="B28" s="158">
        <v>43862</v>
      </c>
      <c r="C28">
        <v>0</v>
      </c>
      <c r="D28">
        <v>16</v>
      </c>
      <c r="E28" s="156" t="s">
        <v>45</v>
      </c>
      <c r="F28" s="156" t="s">
        <v>119</v>
      </c>
      <c r="I28">
        <v>0</v>
      </c>
      <c r="J28" s="156"/>
      <c r="L28">
        <v>0</v>
      </c>
      <c r="M28">
        <v>1.25</v>
      </c>
      <c r="N28">
        <v>1</v>
      </c>
      <c r="O28">
        <v>2.25</v>
      </c>
      <c r="Q28">
        <v>99.567916666666704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Y28">
        <v>63.4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44</v>
      </c>
      <c r="B29" s="158">
        <v>43862</v>
      </c>
      <c r="C29">
        <v>0</v>
      </c>
      <c r="D29">
        <v>0</v>
      </c>
      <c r="E29" s="156" t="s">
        <v>45</v>
      </c>
      <c r="F29" s="156" t="s">
        <v>45</v>
      </c>
      <c r="I29">
        <v>0</v>
      </c>
      <c r="J29" s="156"/>
      <c r="L29">
        <v>0</v>
      </c>
      <c r="M29">
        <v>0</v>
      </c>
      <c r="N29">
        <v>0</v>
      </c>
      <c r="O29">
        <v>0</v>
      </c>
      <c r="Q29">
        <v>99.567916666666704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63.4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44</v>
      </c>
      <c r="B30" s="158">
        <v>43862</v>
      </c>
      <c r="C30">
        <v>0.33333333333333331</v>
      </c>
      <c r="D30">
        <v>8</v>
      </c>
      <c r="E30" s="156" t="s">
        <v>45</v>
      </c>
      <c r="F30" s="156" t="s">
        <v>45</v>
      </c>
      <c r="I30">
        <v>0</v>
      </c>
      <c r="J30" s="156"/>
      <c r="L30">
        <v>0</v>
      </c>
      <c r="M30">
        <v>1.25</v>
      </c>
      <c r="N30">
        <v>1</v>
      </c>
      <c r="O30">
        <v>2.25</v>
      </c>
      <c r="Q30">
        <v>97.317916666666704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63.4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44</v>
      </c>
      <c r="B31" s="158">
        <v>43862</v>
      </c>
      <c r="C31">
        <v>0.61249999999999993</v>
      </c>
      <c r="D31">
        <v>6.6999999999999993</v>
      </c>
      <c r="E31" s="156" t="s">
        <v>45</v>
      </c>
      <c r="F31" s="156" t="s">
        <v>46</v>
      </c>
      <c r="I31">
        <v>0</v>
      </c>
      <c r="J31" s="156"/>
      <c r="L31">
        <v>0</v>
      </c>
      <c r="M31">
        <v>0.69791666666666663</v>
      </c>
      <c r="N31">
        <v>0.55833333333333324</v>
      </c>
      <c r="O31">
        <v>1.2562499999999999</v>
      </c>
      <c r="Q31">
        <v>96.06166666666671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63.4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44</v>
      </c>
      <c r="B32" s="158">
        <v>43862</v>
      </c>
      <c r="C32">
        <v>0.68333333333333324</v>
      </c>
      <c r="D32">
        <v>1.6999999999999993</v>
      </c>
      <c r="E32" s="156" t="s">
        <v>47</v>
      </c>
      <c r="F32" s="156" t="s">
        <v>48</v>
      </c>
      <c r="I32">
        <v>0</v>
      </c>
      <c r="J32" s="156"/>
      <c r="L32">
        <v>0.14166666666666661</v>
      </c>
      <c r="M32">
        <v>0.17708333333333326</v>
      </c>
      <c r="N32">
        <v>0.14166666666666661</v>
      </c>
      <c r="O32">
        <v>0.46041666666666647</v>
      </c>
      <c r="Q32">
        <v>95.60125000000005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63.4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44</v>
      </c>
      <c r="B33" s="158">
        <v>43862</v>
      </c>
      <c r="C33">
        <v>0.875</v>
      </c>
      <c r="D33">
        <v>4.6000000000000023</v>
      </c>
      <c r="E33" s="156" t="s">
        <v>49</v>
      </c>
      <c r="F33" s="156" t="s">
        <v>50</v>
      </c>
      <c r="I33">
        <v>0</v>
      </c>
      <c r="J33" s="156"/>
      <c r="L33">
        <v>0</v>
      </c>
      <c r="M33">
        <v>0.47916666666666691</v>
      </c>
      <c r="N33">
        <v>0.38333333333333353</v>
      </c>
      <c r="O33">
        <v>0.86250000000000049</v>
      </c>
      <c r="Q33">
        <v>94.738750000000053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63.4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44</v>
      </c>
      <c r="B34" s="158">
        <v>43863</v>
      </c>
      <c r="C34">
        <v>0.33333333333333331</v>
      </c>
      <c r="D34">
        <v>10.999999999999998</v>
      </c>
      <c r="E34" s="156" t="s">
        <v>51</v>
      </c>
      <c r="F34" s="156" t="s">
        <v>51</v>
      </c>
      <c r="I34">
        <v>0</v>
      </c>
      <c r="J34" s="156"/>
      <c r="L34">
        <v>0</v>
      </c>
      <c r="M34">
        <v>1.1458333333333333</v>
      </c>
      <c r="N34">
        <v>0.91666666666666652</v>
      </c>
      <c r="O34">
        <v>2.0625</v>
      </c>
      <c r="Q34">
        <v>92.676250000000053</v>
      </c>
      <c r="R34">
        <v>0</v>
      </c>
      <c r="S34">
        <v>0</v>
      </c>
      <c r="T34">
        <v>0</v>
      </c>
      <c r="U34">
        <v>0</v>
      </c>
      <c r="V34">
        <v>1.8</v>
      </c>
      <c r="W34">
        <v>1.8</v>
      </c>
      <c r="X34">
        <v>0</v>
      </c>
      <c r="Y34">
        <v>61.6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44</v>
      </c>
      <c r="B35" s="158">
        <v>43863</v>
      </c>
      <c r="C35">
        <v>0.8833333333333333</v>
      </c>
      <c r="D35">
        <v>13.200000000000001</v>
      </c>
      <c r="E35" s="156" t="s">
        <v>51</v>
      </c>
      <c r="F35" s="156" t="s">
        <v>52</v>
      </c>
      <c r="I35">
        <v>0</v>
      </c>
      <c r="J35" s="156"/>
      <c r="L35">
        <v>0</v>
      </c>
      <c r="M35">
        <v>1.3750000000000002</v>
      </c>
      <c r="N35">
        <v>1.1000000000000001</v>
      </c>
      <c r="O35">
        <v>2.4750000000000005</v>
      </c>
      <c r="Q35">
        <v>90.201250000000059</v>
      </c>
      <c r="R35">
        <v>0</v>
      </c>
      <c r="S35">
        <v>0</v>
      </c>
      <c r="T35">
        <v>0</v>
      </c>
      <c r="U35">
        <v>0</v>
      </c>
      <c r="V35">
        <v>2.2000000000000002</v>
      </c>
      <c r="W35">
        <v>2.2000000000000002</v>
      </c>
      <c r="X35">
        <v>0</v>
      </c>
      <c r="Y35">
        <v>59.4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44</v>
      </c>
      <c r="B36" s="158">
        <v>43864</v>
      </c>
      <c r="C36">
        <v>8.3333333333333332E-3</v>
      </c>
      <c r="D36">
        <v>3</v>
      </c>
      <c r="E36" s="156" t="s">
        <v>49</v>
      </c>
      <c r="F36" s="156" t="s">
        <v>46</v>
      </c>
      <c r="I36">
        <v>0</v>
      </c>
      <c r="J36" s="156"/>
      <c r="L36">
        <v>0</v>
      </c>
      <c r="M36">
        <v>0.3125</v>
      </c>
      <c r="N36">
        <v>0.25</v>
      </c>
      <c r="O36">
        <v>0.5625</v>
      </c>
      <c r="Q36">
        <v>89.638750000000059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59.4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44</v>
      </c>
      <c r="B37" s="158">
        <v>43864</v>
      </c>
      <c r="C37">
        <v>3.3333333333333333E-2</v>
      </c>
      <c r="D37">
        <v>0.60000000000000009</v>
      </c>
      <c r="E37" s="156" t="s">
        <v>47</v>
      </c>
      <c r="F37" s="156" t="s">
        <v>53</v>
      </c>
      <c r="I37">
        <v>0</v>
      </c>
      <c r="J37" s="156" t="s">
        <v>54</v>
      </c>
      <c r="K37">
        <v>95</v>
      </c>
      <c r="L37">
        <v>0.12500000000000003</v>
      </c>
      <c r="M37">
        <v>6.2500000000000014E-2</v>
      </c>
      <c r="N37">
        <v>0.05</v>
      </c>
      <c r="O37">
        <v>0.23750000000000004</v>
      </c>
      <c r="Q37">
        <v>89.401250000000061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59.4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44</v>
      </c>
      <c r="B38" s="158">
        <v>43864</v>
      </c>
      <c r="C38">
        <v>0.33333333333333331</v>
      </c>
      <c r="D38">
        <v>7.1999999999999993</v>
      </c>
      <c r="E38" s="156" t="s">
        <v>55</v>
      </c>
      <c r="F38" s="156" t="s">
        <v>56</v>
      </c>
      <c r="I38">
        <v>0</v>
      </c>
      <c r="J38" s="156" t="s">
        <v>54</v>
      </c>
      <c r="K38">
        <v>95</v>
      </c>
      <c r="L38">
        <v>6</v>
      </c>
      <c r="M38">
        <v>0.75</v>
      </c>
      <c r="N38">
        <v>0</v>
      </c>
      <c r="O38">
        <v>6.75</v>
      </c>
      <c r="Q38">
        <v>82.651250000000061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59.4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44</v>
      </c>
      <c r="B39" s="158">
        <v>43864</v>
      </c>
      <c r="C39">
        <v>0.38750000000000001</v>
      </c>
      <c r="D39">
        <v>1.3000000000000007</v>
      </c>
      <c r="E39" s="156" t="s">
        <v>55</v>
      </c>
      <c r="F39" s="156" t="s">
        <v>57</v>
      </c>
      <c r="G39">
        <v>96</v>
      </c>
      <c r="H39">
        <v>8.5</v>
      </c>
      <c r="I39">
        <v>11.294117647058824</v>
      </c>
      <c r="J39" s="156" t="s">
        <v>54</v>
      </c>
      <c r="K39">
        <v>95</v>
      </c>
      <c r="L39">
        <v>1.0833333333333339</v>
      </c>
      <c r="M39">
        <v>0.13541666666666674</v>
      </c>
      <c r="N39">
        <v>0</v>
      </c>
      <c r="O39">
        <v>1.2187500000000007</v>
      </c>
      <c r="Q39">
        <v>81.432500000000061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59.4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44</v>
      </c>
      <c r="B40" s="158">
        <v>43864</v>
      </c>
      <c r="C40">
        <v>0.48333333333333334</v>
      </c>
      <c r="D40">
        <v>2.2999999999999998</v>
      </c>
      <c r="E40" s="156" t="s">
        <v>47</v>
      </c>
      <c r="F40" s="156" t="s">
        <v>48</v>
      </c>
      <c r="I40">
        <v>0</v>
      </c>
      <c r="J40" s="156"/>
      <c r="L40">
        <v>0.19166666666666665</v>
      </c>
      <c r="M40">
        <v>0.23958333333333331</v>
      </c>
      <c r="N40">
        <v>0.19166666666666665</v>
      </c>
      <c r="O40">
        <v>0.62291666666666656</v>
      </c>
      <c r="Q40">
        <v>80.809583333333393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59.4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44</v>
      </c>
      <c r="B41" s="158">
        <v>43864</v>
      </c>
      <c r="C41">
        <v>0.6791666666666667</v>
      </c>
      <c r="D41">
        <v>4.7000000000000011</v>
      </c>
      <c r="E41" s="156" t="s">
        <v>49</v>
      </c>
      <c r="F41" s="156" t="s">
        <v>58</v>
      </c>
      <c r="I41">
        <v>0</v>
      </c>
      <c r="J41" s="156"/>
      <c r="L41">
        <v>0</v>
      </c>
      <c r="M41">
        <v>0.48958333333333348</v>
      </c>
      <c r="N41">
        <v>0.39166666666666672</v>
      </c>
      <c r="O41">
        <v>0.8812500000000002</v>
      </c>
      <c r="Q41">
        <v>79.928333333333399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59.4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44</v>
      </c>
      <c r="B42" s="158">
        <v>43865</v>
      </c>
      <c r="C42">
        <v>0.26250000000000001</v>
      </c>
      <c r="D42">
        <v>14</v>
      </c>
      <c r="E42" s="156" t="s">
        <v>51</v>
      </c>
      <c r="F42" s="156" t="s">
        <v>52</v>
      </c>
      <c r="I42">
        <v>0</v>
      </c>
      <c r="J42" s="156"/>
      <c r="L42">
        <v>0</v>
      </c>
      <c r="M42">
        <v>1.4583333333333335</v>
      </c>
      <c r="N42">
        <v>1.1666666666666665</v>
      </c>
      <c r="O42">
        <v>2.625</v>
      </c>
      <c r="Q42">
        <v>77.303333333333399</v>
      </c>
      <c r="R42">
        <v>0</v>
      </c>
      <c r="S42">
        <v>0</v>
      </c>
      <c r="T42">
        <v>0</v>
      </c>
      <c r="U42">
        <v>0</v>
      </c>
      <c r="V42">
        <v>3.5</v>
      </c>
      <c r="W42">
        <v>3.5</v>
      </c>
      <c r="X42">
        <v>0</v>
      </c>
      <c r="Y42">
        <v>55.9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44</v>
      </c>
      <c r="B43" s="158">
        <v>43865</v>
      </c>
      <c r="C43">
        <v>0.33333333333333331</v>
      </c>
      <c r="D43">
        <v>1.6999999999999993</v>
      </c>
      <c r="E43" s="156" t="s">
        <v>49</v>
      </c>
      <c r="F43" s="156" t="s">
        <v>59</v>
      </c>
      <c r="I43">
        <v>0</v>
      </c>
      <c r="J43" s="156"/>
      <c r="L43">
        <v>0</v>
      </c>
      <c r="M43">
        <v>0.17708333333333326</v>
      </c>
      <c r="N43">
        <v>0.14166666666666661</v>
      </c>
      <c r="O43">
        <v>0.31874999999999987</v>
      </c>
      <c r="Q43">
        <v>76.984583333333404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55.9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44</v>
      </c>
      <c r="B44" s="158">
        <v>43865</v>
      </c>
      <c r="C44">
        <v>0.45416666666666666</v>
      </c>
      <c r="D44">
        <v>2.9000000000000004</v>
      </c>
      <c r="E44" s="156" t="s">
        <v>49</v>
      </c>
      <c r="F44" s="156" t="s">
        <v>46</v>
      </c>
      <c r="I44">
        <v>0</v>
      </c>
      <c r="J44" s="156"/>
      <c r="L44">
        <v>0</v>
      </c>
      <c r="M44">
        <v>0.30208333333333337</v>
      </c>
      <c r="N44">
        <v>0.2416666666666667</v>
      </c>
      <c r="O44">
        <v>0.54375000000000007</v>
      </c>
      <c r="Q44">
        <v>76.440833333333401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55.9</v>
      </c>
      <c r="AB44">
        <v>100</v>
      </c>
      <c r="AE44">
        <v>100</v>
      </c>
      <c r="AH44">
        <v>100</v>
      </c>
      <c r="AK44">
        <v>100</v>
      </c>
    </row>
    <row r="45" spans="1:37" x14ac:dyDescent="0.25">
      <c r="A45" s="156" t="s">
        <v>44</v>
      </c>
      <c r="B45" s="158">
        <v>43865</v>
      </c>
      <c r="C45">
        <v>0.5</v>
      </c>
      <c r="D45">
        <v>1.1000000000000001</v>
      </c>
      <c r="E45" s="156" t="s">
        <v>47</v>
      </c>
      <c r="F45" s="156" t="s">
        <v>60</v>
      </c>
      <c r="I45">
        <v>0</v>
      </c>
      <c r="J45" s="156" t="s">
        <v>54</v>
      </c>
      <c r="K45">
        <v>95</v>
      </c>
      <c r="L45">
        <v>0.13750000000000001</v>
      </c>
      <c r="M45">
        <v>0.11458333333333334</v>
      </c>
      <c r="N45">
        <v>9.1666666666666674E-2</v>
      </c>
      <c r="O45">
        <v>0.34375</v>
      </c>
      <c r="Q45">
        <v>76.097083333333401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55.9</v>
      </c>
      <c r="AB45">
        <v>100</v>
      </c>
      <c r="AE45">
        <v>100</v>
      </c>
      <c r="AH45">
        <v>100</v>
      </c>
      <c r="AK45">
        <v>100</v>
      </c>
    </row>
    <row r="46" spans="1:37" x14ac:dyDescent="0.25">
      <c r="A46" s="156" t="s">
        <v>44</v>
      </c>
      <c r="B46" s="158">
        <v>43866</v>
      </c>
      <c r="C46">
        <v>0.33333333333333331</v>
      </c>
      <c r="D46">
        <v>20</v>
      </c>
      <c r="E46" s="156" t="s">
        <v>61</v>
      </c>
      <c r="F46" s="156" t="s">
        <v>56</v>
      </c>
      <c r="I46">
        <v>0</v>
      </c>
      <c r="J46" s="156" t="s">
        <v>54</v>
      </c>
      <c r="K46">
        <v>95</v>
      </c>
      <c r="L46">
        <v>16.666666666666668</v>
      </c>
      <c r="M46">
        <v>2.0833333333333335</v>
      </c>
      <c r="N46">
        <v>0</v>
      </c>
      <c r="O46">
        <v>18.75</v>
      </c>
      <c r="Q46">
        <v>57.347083333333401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55.9</v>
      </c>
      <c r="AB46">
        <v>100</v>
      </c>
      <c r="AE46">
        <v>100</v>
      </c>
      <c r="AH46">
        <v>100</v>
      </c>
      <c r="AK46">
        <v>100</v>
      </c>
    </row>
    <row r="47" spans="1:37" x14ac:dyDescent="0.25">
      <c r="A47" s="156" t="s">
        <v>44</v>
      </c>
      <c r="B47" s="158">
        <v>43866</v>
      </c>
      <c r="C47">
        <v>0.5</v>
      </c>
      <c r="D47">
        <v>4</v>
      </c>
      <c r="E47" s="156" t="s">
        <v>61</v>
      </c>
      <c r="F47" s="156" t="s">
        <v>62</v>
      </c>
      <c r="G47">
        <v>265</v>
      </c>
      <c r="H47">
        <v>24</v>
      </c>
      <c r="I47">
        <v>11.041666666666666</v>
      </c>
      <c r="J47" s="156" t="s">
        <v>54</v>
      </c>
      <c r="K47">
        <v>95</v>
      </c>
      <c r="L47">
        <v>3.3333333333333335</v>
      </c>
      <c r="M47">
        <v>0.41666666666666669</v>
      </c>
      <c r="N47">
        <v>0</v>
      </c>
      <c r="O47">
        <v>3.75</v>
      </c>
      <c r="Q47">
        <v>53.597083333333401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55.9</v>
      </c>
      <c r="AB47">
        <v>100</v>
      </c>
      <c r="AE47">
        <v>100</v>
      </c>
      <c r="AH47">
        <v>100</v>
      </c>
      <c r="AK47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8"/>
  <dimension ref="A1:AK44"/>
  <sheetViews>
    <sheetView workbookViewId="0">
      <selection activeCell="F17" sqref="F17"/>
    </sheetView>
  </sheetViews>
  <sheetFormatPr baseColWidth="10" defaultColWidth="11.5703125" defaultRowHeight="15" x14ac:dyDescent="0.25"/>
  <cols>
    <col min="1" max="1" width="8.140625" bestFit="1" customWidth="1"/>
    <col min="2" max="2" width="15.7109375" bestFit="1" customWidth="1"/>
    <col min="3" max="3" width="12" bestFit="1" customWidth="1"/>
    <col min="4" max="4" width="13.5703125" bestFit="1" customWidth="1"/>
    <col min="5" max="5" width="24" bestFit="1" customWidth="1"/>
    <col min="6" max="6" width="25.42578125" bestFit="1" customWidth="1"/>
    <col min="7" max="7" width="23.5703125" bestFit="1" customWidth="1"/>
    <col min="8" max="8" width="26" bestFit="1" customWidth="1"/>
    <col min="9" max="9" width="13.42578125" bestFit="1" customWidth="1"/>
    <col min="10" max="10" width="12.7109375" bestFit="1" customWidth="1"/>
    <col min="11" max="11" width="7.42578125" bestFit="1" customWidth="1"/>
    <col min="12" max="12" width="8.42578125" bestFit="1" customWidth="1"/>
    <col min="13" max="13" width="7.7109375" bestFit="1" customWidth="1"/>
    <col min="14" max="14" width="11.28515625" bestFit="1" customWidth="1"/>
    <col min="15" max="16" width="9.28515625" bestFit="1" customWidth="1"/>
    <col min="17" max="17" width="7.42578125" bestFit="1" customWidth="1"/>
    <col min="18" max="18" width="9.42578125" bestFit="1" customWidth="1"/>
    <col min="19" max="19" width="7.5703125" bestFit="1" customWidth="1"/>
    <col min="20" max="20" width="11.7109375" bestFit="1" customWidth="1"/>
    <col min="21" max="21" width="5.5703125" bestFit="1" customWidth="1"/>
    <col min="22" max="22" width="5.28515625" bestFit="1" customWidth="1"/>
    <col min="23" max="23" width="8.85546875" bestFit="1" customWidth="1"/>
    <col min="24" max="24" width="10.28515625" bestFit="1" customWidth="1"/>
    <col min="25" max="25" width="7" bestFit="1" customWidth="1"/>
    <col min="26" max="26" width="15.28515625" bestFit="1" customWidth="1"/>
    <col min="27" max="27" width="15.42578125" bestFit="1" customWidth="1"/>
    <col min="28" max="28" width="25.85546875" bestFit="1" customWidth="1"/>
    <col min="29" max="29" width="14" bestFit="1" customWidth="1"/>
    <col min="30" max="30" width="16.42578125" bestFit="1" customWidth="1"/>
    <col min="31" max="31" width="24.5703125" bestFit="1" customWidth="1"/>
    <col min="32" max="32" width="11.85546875" bestFit="1" customWidth="1"/>
    <col min="33" max="33" width="15.85546875" bestFit="1" customWidth="1"/>
    <col min="34" max="34" width="22.28515625" bestFit="1" customWidth="1"/>
    <col min="35" max="35" width="14.28515625" bestFit="1" customWidth="1"/>
    <col min="36" max="36" width="16.42578125" bestFit="1" customWidth="1"/>
    <col min="37" max="37" width="24.85546875" bestFit="1" customWidth="1"/>
  </cols>
  <sheetData>
    <row r="1" spans="1:37" x14ac:dyDescent="0.25">
      <c r="A1" s="156" t="s">
        <v>7</v>
      </c>
      <c r="B1" s="156" t="s">
        <v>8</v>
      </c>
      <c r="C1" s="156" t="s">
        <v>9</v>
      </c>
      <c r="D1" s="156" t="s">
        <v>10</v>
      </c>
      <c r="E1" s="156" t="s">
        <v>11</v>
      </c>
      <c r="F1" s="156" t="s">
        <v>12</v>
      </c>
      <c r="G1" s="156" t="s">
        <v>13</v>
      </c>
      <c r="H1" s="156" t="s">
        <v>14</v>
      </c>
      <c r="I1" s="156" t="s">
        <v>15</v>
      </c>
      <c r="J1" s="156" t="s">
        <v>16</v>
      </c>
      <c r="K1" s="156" t="s">
        <v>17</v>
      </c>
      <c r="L1" s="156" t="s">
        <v>18</v>
      </c>
      <c r="M1" s="156" t="s">
        <v>19</v>
      </c>
      <c r="N1" s="156" t="s">
        <v>20</v>
      </c>
      <c r="O1" s="156" t="s">
        <v>21</v>
      </c>
      <c r="P1" s="156" t="s">
        <v>22</v>
      </c>
      <c r="Q1" s="156" t="s">
        <v>23</v>
      </c>
      <c r="R1" s="156" t="s">
        <v>24</v>
      </c>
      <c r="S1" s="156" t="s">
        <v>25</v>
      </c>
      <c r="T1" s="156" t="s">
        <v>26</v>
      </c>
      <c r="U1" s="156" t="s">
        <v>27</v>
      </c>
      <c r="V1" s="156" t="s">
        <v>28</v>
      </c>
      <c r="W1" s="156" t="s">
        <v>29</v>
      </c>
      <c r="X1" s="156" t="s">
        <v>30</v>
      </c>
      <c r="Y1" s="156" t="s">
        <v>31</v>
      </c>
      <c r="Z1" s="156" t="s">
        <v>32</v>
      </c>
      <c r="AA1" s="156" t="s">
        <v>33</v>
      </c>
      <c r="AB1" s="156" t="s">
        <v>34</v>
      </c>
      <c r="AC1" s="156" t="s">
        <v>35</v>
      </c>
      <c r="AD1" s="156" t="s">
        <v>36</v>
      </c>
      <c r="AE1" s="156" t="s">
        <v>37</v>
      </c>
      <c r="AF1" s="156" t="s">
        <v>38</v>
      </c>
      <c r="AG1" s="156" t="s">
        <v>39</v>
      </c>
      <c r="AH1" s="156" t="s">
        <v>40</v>
      </c>
      <c r="AI1" s="156" t="s">
        <v>41</v>
      </c>
      <c r="AJ1" s="156" t="s">
        <v>42</v>
      </c>
      <c r="AK1" s="156" t="s">
        <v>43</v>
      </c>
    </row>
    <row r="2" spans="1:37" x14ac:dyDescent="0.25">
      <c r="A2" s="156" t="s">
        <v>63</v>
      </c>
      <c r="B2" s="158">
        <v>43866</v>
      </c>
      <c r="C2" s="156">
        <v>0.52083333333333326</v>
      </c>
      <c r="D2" s="156">
        <v>1</v>
      </c>
      <c r="E2" s="156" t="s">
        <v>47</v>
      </c>
      <c r="F2" s="156" t="s">
        <v>64</v>
      </c>
      <c r="G2" s="156"/>
      <c r="H2" s="156"/>
      <c r="I2" s="156">
        <v>0</v>
      </c>
      <c r="J2" s="156"/>
      <c r="K2" s="156"/>
      <c r="L2" s="156">
        <v>0</v>
      </c>
      <c r="M2" s="156">
        <v>0</v>
      </c>
      <c r="N2" s="156">
        <v>0</v>
      </c>
      <c r="O2" s="156">
        <v>0</v>
      </c>
      <c r="P2" s="156"/>
      <c r="Q2" s="156">
        <v>53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56</v>
      </c>
      <c r="Z2" s="156"/>
      <c r="AA2" s="156"/>
      <c r="AB2" s="156">
        <v>100</v>
      </c>
      <c r="AC2" s="156"/>
      <c r="AD2" s="156"/>
      <c r="AE2" s="156">
        <v>100</v>
      </c>
      <c r="AF2" s="156"/>
      <c r="AG2" s="156"/>
      <c r="AH2" s="156">
        <v>100</v>
      </c>
      <c r="AI2" s="156"/>
      <c r="AJ2" s="156"/>
      <c r="AK2" s="156">
        <v>100</v>
      </c>
    </row>
    <row r="3" spans="1:37" x14ac:dyDescent="0.25">
      <c r="A3" s="156" t="s">
        <v>63</v>
      </c>
      <c r="B3" s="158">
        <v>43867</v>
      </c>
      <c r="C3" s="156">
        <v>0.33333333333333331</v>
      </c>
      <c r="D3" s="156">
        <v>20</v>
      </c>
      <c r="E3" s="156" t="s">
        <v>45</v>
      </c>
      <c r="F3" s="156" t="s">
        <v>45</v>
      </c>
      <c r="G3" s="156"/>
      <c r="H3" s="156"/>
      <c r="I3" s="156">
        <v>0</v>
      </c>
      <c r="J3" s="156"/>
      <c r="K3" s="156"/>
      <c r="L3" s="156">
        <v>0</v>
      </c>
      <c r="M3" s="156">
        <v>2</v>
      </c>
      <c r="N3" s="156">
        <v>0</v>
      </c>
      <c r="O3" s="156">
        <v>2</v>
      </c>
      <c r="P3" s="156"/>
      <c r="Q3" s="156">
        <v>51</v>
      </c>
      <c r="R3" s="156">
        <v>0</v>
      </c>
      <c r="S3" s="156">
        <v>0</v>
      </c>
      <c r="T3" s="156">
        <v>0</v>
      </c>
      <c r="U3" s="156">
        <v>0</v>
      </c>
      <c r="V3" s="156">
        <v>0</v>
      </c>
      <c r="W3" s="156">
        <v>0</v>
      </c>
      <c r="X3" s="156">
        <v>0</v>
      </c>
      <c r="Y3" s="156">
        <v>56</v>
      </c>
      <c r="Z3" s="156"/>
      <c r="AA3" s="156"/>
      <c r="AB3" s="156">
        <v>100</v>
      </c>
      <c r="AC3" s="156"/>
      <c r="AD3" s="156"/>
      <c r="AE3" s="156">
        <v>100</v>
      </c>
      <c r="AF3" s="156"/>
      <c r="AG3" s="156"/>
      <c r="AH3" s="156">
        <v>100</v>
      </c>
      <c r="AI3" s="156"/>
      <c r="AJ3" s="156"/>
      <c r="AK3" s="156">
        <v>100</v>
      </c>
    </row>
    <row r="4" spans="1:37" x14ac:dyDescent="0.25">
      <c r="A4" s="156" t="s">
        <v>63</v>
      </c>
      <c r="B4" s="158">
        <v>43867</v>
      </c>
      <c r="C4" s="156">
        <v>0.37916666666666665</v>
      </c>
      <c r="D4" s="156">
        <v>1</v>
      </c>
      <c r="E4" s="156" t="s">
        <v>45</v>
      </c>
      <c r="F4" s="156" t="s">
        <v>65</v>
      </c>
      <c r="G4" s="156"/>
      <c r="H4" s="156"/>
      <c r="I4" s="156">
        <v>0</v>
      </c>
      <c r="J4" s="156"/>
      <c r="K4" s="156"/>
      <c r="L4" s="156">
        <v>0</v>
      </c>
      <c r="M4" s="156">
        <v>0</v>
      </c>
      <c r="N4" s="156">
        <v>0</v>
      </c>
      <c r="O4" s="156">
        <v>0</v>
      </c>
      <c r="P4" s="156">
        <v>800</v>
      </c>
      <c r="Q4" s="156">
        <v>851</v>
      </c>
      <c r="R4" s="156">
        <v>0</v>
      </c>
      <c r="S4" s="156">
        <v>0</v>
      </c>
      <c r="T4" s="156">
        <v>0</v>
      </c>
      <c r="U4" s="156">
        <v>0</v>
      </c>
      <c r="V4" s="156">
        <v>0</v>
      </c>
      <c r="W4" s="156">
        <v>0</v>
      </c>
      <c r="X4" s="156">
        <v>0</v>
      </c>
      <c r="Y4" s="156">
        <v>56</v>
      </c>
      <c r="Z4" s="156"/>
      <c r="AA4" s="156"/>
      <c r="AB4" s="156">
        <v>100</v>
      </c>
      <c r="AC4" s="156"/>
      <c r="AD4" s="156"/>
      <c r="AE4" s="156">
        <v>100</v>
      </c>
      <c r="AF4" s="156"/>
      <c r="AG4" s="156"/>
      <c r="AH4" s="156">
        <v>100</v>
      </c>
      <c r="AI4" s="156"/>
      <c r="AJ4" s="156"/>
      <c r="AK4" s="156">
        <v>100</v>
      </c>
    </row>
    <row r="5" spans="1:37" x14ac:dyDescent="0.25">
      <c r="A5" s="156" t="s">
        <v>63</v>
      </c>
      <c r="B5" s="158">
        <v>43867</v>
      </c>
      <c r="C5" s="156">
        <v>0.85972222222222217</v>
      </c>
      <c r="D5" s="156">
        <v>12</v>
      </c>
      <c r="E5" s="156" t="s">
        <v>45</v>
      </c>
      <c r="F5" s="156" t="s">
        <v>66</v>
      </c>
      <c r="G5" s="156"/>
      <c r="H5" s="156"/>
      <c r="I5" s="156">
        <v>0</v>
      </c>
      <c r="J5" s="156"/>
      <c r="K5" s="156"/>
      <c r="L5" s="156">
        <v>0</v>
      </c>
      <c r="M5" s="156">
        <v>1</v>
      </c>
      <c r="N5" s="156">
        <v>0</v>
      </c>
      <c r="O5" s="156">
        <v>1</v>
      </c>
      <c r="P5" s="156"/>
      <c r="Q5" s="156">
        <v>850</v>
      </c>
      <c r="R5" s="156">
        <v>0</v>
      </c>
      <c r="S5" s="156">
        <v>0</v>
      </c>
      <c r="T5" s="156">
        <v>0</v>
      </c>
      <c r="U5" s="156">
        <v>0</v>
      </c>
      <c r="V5" s="156">
        <v>1</v>
      </c>
      <c r="W5" s="156">
        <v>1</v>
      </c>
      <c r="X5" s="156">
        <v>0</v>
      </c>
      <c r="Y5" s="156">
        <v>55</v>
      </c>
      <c r="Z5" s="156"/>
      <c r="AA5" s="156"/>
      <c r="AB5" s="156">
        <v>100</v>
      </c>
      <c r="AC5" s="156"/>
      <c r="AD5" s="156"/>
      <c r="AE5" s="156">
        <v>100</v>
      </c>
      <c r="AF5" s="156"/>
      <c r="AG5" s="156"/>
      <c r="AH5" s="156">
        <v>100</v>
      </c>
      <c r="AI5" s="156"/>
      <c r="AJ5" s="156"/>
      <c r="AK5" s="156">
        <v>100</v>
      </c>
    </row>
    <row r="6" spans="1:37" x14ac:dyDescent="0.25">
      <c r="A6" s="156" t="s">
        <v>63</v>
      </c>
      <c r="B6" s="158">
        <v>43867</v>
      </c>
      <c r="C6">
        <v>0.875</v>
      </c>
      <c r="D6">
        <v>0</v>
      </c>
      <c r="E6" s="156" t="s">
        <v>47</v>
      </c>
      <c r="F6" s="156" t="s">
        <v>67</v>
      </c>
      <c r="I6">
        <v>0</v>
      </c>
      <c r="J6" s="156"/>
      <c r="L6">
        <v>0</v>
      </c>
      <c r="M6">
        <v>0</v>
      </c>
      <c r="N6">
        <v>0</v>
      </c>
      <c r="O6">
        <v>0</v>
      </c>
      <c r="Q6">
        <v>850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55</v>
      </c>
      <c r="AB6">
        <v>100</v>
      </c>
      <c r="AE6">
        <v>100</v>
      </c>
      <c r="AH6">
        <v>100</v>
      </c>
      <c r="AK6">
        <v>100</v>
      </c>
    </row>
    <row r="7" spans="1:37" x14ac:dyDescent="0.25">
      <c r="A7" s="156" t="s">
        <v>63</v>
      </c>
      <c r="B7" s="158">
        <v>43867</v>
      </c>
      <c r="C7">
        <v>0.91249999999999998</v>
      </c>
      <c r="D7">
        <v>1</v>
      </c>
      <c r="E7" s="156" t="s">
        <v>47</v>
      </c>
      <c r="F7" s="156" t="s">
        <v>68</v>
      </c>
      <c r="I7">
        <v>0</v>
      </c>
      <c r="J7" s="156"/>
      <c r="L7">
        <v>1</v>
      </c>
      <c r="M7">
        <v>0</v>
      </c>
      <c r="N7">
        <v>0</v>
      </c>
      <c r="O7">
        <v>1</v>
      </c>
      <c r="Q7">
        <v>849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55</v>
      </c>
      <c r="AB7">
        <v>100</v>
      </c>
      <c r="AE7">
        <v>100</v>
      </c>
      <c r="AH7">
        <v>100</v>
      </c>
      <c r="AK7">
        <v>100</v>
      </c>
    </row>
    <row r="8" spans="1:37" x14ac:dyDescent="0.25">
      <c r="A8" s="156" t="s">
        <v>63</v>
      </c>
      <c r="B8" s="158">
        <v>43867</v>
      </c>
      <c r="C8">
        <v>0.94166666666666676</v>
      </c>
      <c r="D8">
        <v>1</v>
      </c>
      <c r="E8" s="156" t="s">
        <v>47</v>
      </c>
      <c r="F8" s="156" t="s">
        <v>69</v>
      </c>
      <c r="I8">
        <v>0</v>
      </c>
      <c r="J8" s="156"/>
      <c r="L8">
        <v>0</v>
      </c>
      <c r="M8">
        <v>0</v>
      </c>
      <c r="N8">
        <v>0</v>
      </c>
      <c r="O8">
        <v>0</v>
      </c>
      <c r="Q8">
        <v>848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55</v>
      </c>
      <c r="AB8">
        <v>100</v>
      </c>
      <c r="AE8">
        <v>100</v>
      </c>
      <c r="AH8">
        <v>100</v>
      </c>
      <c r="AK8">
        <v>100</v>
      </c>
    </row>
    <row r="9" spans="1:37" x14ac:dyDescent="0.25">
      <c r="A9" s="156" t="s">
        <v>63</v>
      </c>
      <c r="B9" s="158">
        <v>43867</v>
      </c>
      <c r="C9">
        <v>0.98333333333333339</v>
      </c>
      <c r="D9">
        <v>1</v>
      </c>
      <c r="E9" s="156" t="s">
        <v>47</v>
      </c>
      <c r="F9" s="156" t="s">
        <v>48</v>
      </c>
      <c r="I9">
        <v>0</v>
      </c>
      <c r="J9" s="156"/>
      <c r="L9">
        <v>0</v>
      </c>
      <c r="M9">
        <v>0</v>
      </c>
      <c r="N9">
        <v>0</v>
      </c>
      <c r="O9">
        <v>1</v>
      </c>
      <c r="Q9">
        <v>848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55</v>
      </c>
      <c r="AB9">
        <v>100</v>
      </c>
      <c r="AE9">
        <v>100</v>
      </c>
      <c r="AH9">
        <v>100</v>
      </c>
      <c r="AK9">
        <v>100</v>
      </c>
    </row>
    <row r="10" spans="1:37" x14ac:dyDescent="0.25">
      <c r="A10" s="156" t="s">
        <v>63</v>
      </c>
      <c r="B10" s="158">
        <v>43868</v>
      </c>
      <c r="C10">
        <v>0.33333333333333331</v>
      </c>
      <c r="D10">
        <v>8</v>
      </c>
      <c r="E10" s="156" t="s">
        <v>49</v>
      </c>
      <c r="F10" s="156" t="s">
        <v>70</v>
      </c>
      <c r="I10">
        <v>0</v>
      </c>
      <c r="J10" s="156"/>
      <c r="L10">
        <v>0</v>
      </c>
      <c r="M10">
        <v>1</v>
      </c>
      <c r="N10">
        <v>0</v>
      </c>
      <c r="O10">
        <v>1</v>
      </c>
      <c r="Q10">
        <v>847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55</v>
      </c>
      <c r="AB10">
        <v>100</v>
      </c>
      <c r="AE10">
        <v>100</v>
      </c>
      <c r="AH10">
        <v>100</v>
      </c>
      <c r="AK10">
        <v>100</v>
      </c>
    </row>
    <row r="11" spans="1:37" x14ac:dyDescent="0.25">
      <c r="A11" s="156" t="s">
        <v>63</v>
      </c>
      <c r="B11" s="158">
        <v>43869</v>
      </c>
      <c r="C11">
        <v>0.33333333333333331</v>
      </c>
      <c r="D11">
        <v>24</v>
      </c>
      <c r="E11" s="156" t="s">
        <v>71</v>
      </c>
      <c r="F11" s="156" t="s">
        <v>72</v>
      </c>
      <c r="I11">
        <v>0</v>
      </c>
      <c r="J11" s="156"/>
      <c r="L11">
        <v>0</v>
      </c>
      <c r="M11">
        <v>2</v>
      </c>
      <c r="N11">
        <v>2</v>
      </c>
      <c r="O11">
        <v>4</v>
      </c>
      <c r="Q11">
        <v>843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55</v>
      </c>
      <c r="AB11">
        <v>100</v>
      </c>
      <c r="AE11">
        <v>100</v>
      </c>
      <c r="AH11">
        <v>100</v>
      </c>
      <c r="AK11">
        <v>100</v>
      </c>
    </row>
    <row r="12" spans="1:37" x14ac:dyDescent="0.25">
      <c r="A12" s="156" t="s">
        <v>63</v>
      </c>
      <c r="B12" s="158">
        <v>43869</v>
      </c>
      <c r="C12">
        <v>0.70833333333333337</v>
      </c>
      <c r="D12">
        <v>9</v>
      </c>
      <c r="E12" s="156" t="s">
        <v>71</v>
      </c>
      <c r="F12" s="156" t="s">
        <v>73</v>
      </c>
      <c r="I12">
        <v>0</v>
      </c>
      <c r="J12" s="156"/>
      <c r="L12">
        <v>0</v>
      </c>
      <c r="M12">
        <v>1</v>
      </c>
      <c r="N12">
        <v>1</v>
      </c>
      <c r="O12">
        <v>2</v>
      </c>
      <c r="Q12">
        <v>841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55</v>
      </c>
      <c r="AB12">
        <v>100</v>
      </c>
      <c r="AE12">
        <v>100</v>
      </c>
      <c r="AH12">
        <v>100</v>
      </c>
      <c r="AK12">
        <v>100</v>
      </c>
    </row>
    <row r="13" spans="1:37" x14ac:dyDescent="0.25">
      <c r="A13" s="156" t="s">
        <v>63</v>
      </c>
      <c r="B13" s="158">
        <v>43870</v>
      </c>
      <c r="C13">
        <v>3.3333333333333333E-2</v>
      </c>
      <c r="D13">
        <v>8</v>
      </c>
      <c r="E13" s="156" t="s">
        <v>49</v>
      </c>
      <c r="F13" s="156" t="s">
        <v>74</v>
      </c>
      <c r="I13">
        <v>0</v>
      </c>
      <c r="J13" s="156"/>
      <c r="L13">
        <v>0</v>
      </c>
      <c r="M13">
        <v>1</v>
      </c>
      <c r="N13">
        <v>0</v>
      </c>
      <c r="O13">
        <v>1</v>
      </c>
      <c r="Q13">
        <v>840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55</v>
      </c>
      <c r="AB13">
        <v>100</v>
      </c>
      <c r="AE13">
        <v>100</v>
      </c>
      <c r="AH13">
        <v>100</v>
      </c>
      <c r="AK13">
        <v>100</v>
      </c>
    </row>
    <row r="14" spans="1:37" x14ac:dyDescent="0.25">
      <c r="A14" s="156" t="s">
        <v>63</v>
      </c>
      <c r="B14" s="158">
        <v>43870</v>
      </c>
      <c r="C14">
        <v>5.4166666666666669E-2</v>
      </c>
      <c r="D14">
        <v>0</v>
      </c>
      <c r="E14" s="156" t="s">
        <v>47</v>
      </c>
      <c r="F14" s="156" t="s">
        <v>75</v>
      </c>
      <c r="I14">
        <v>0</v>
      </c>
      <c r="J14" s="156" t="s">
        <v>54</v>
      </c>
      <c r="K14">
        <v>95</v>
      </c>
      <c r="L14">
        <v>0</v>
      </c>
      <c r="M14">
        <v>0</v>
      </c>
      <c r="N14">
        <v>0</v>
      </c>
      <c r="O14">
        <v>0</v>
      </c>
      <c r="Q14">
        <v>839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55</v>
      </c>
      <c r="AB14">
        <v>100</v>
      </c>
      <c r="AE14">
        <v>100</v>
      </c>
      <c r="AH14">
        <v>100</v>
      </c>
      <c r="AK14">
        <v>100</v>
      </c>
    </row>
    <row r="15" spans="1:37" x14ac:dyDescent="0.25">
      <c r="A15" s="156" t="s">
        <v>63</v>
      </c>
      <c r="B15" s="158">
        <v>43870</v>
      </c>
      <c r="C15">
        <v>0.33333333333333331</v>
      </c>
      <c r="D15">
        <v>7</v>
      </c>
      <c r="E15" s="156" t="s">
        <v>55</v>
      </c>
      <c r="F15" s="156" t="s">
        <v>56</v>
      </c>
      <c r="I15">
        <v>0</v>
      </c>
      <c r="J15" s="156" t="s">
        <v>54</v>
      </c>
      <c r="K15">
        <v>95</v>
      </c>
      <c r="L15">
        <v>6</v>
      </c>
      <c r="M15">
        <v>1</v>
      </c>
      <c r="N15">
        <v>1</v>
      </c>
      <c r="O15">
        <v>7</v>
      </c>
      <c r="Q15">
        <v>833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55</v>
      </c>
      <c r="AB15">
        <v>100</v>
      </c>
      <c r="AE15">
        <v>100</v>
      </c>
      <c r="AH15">
        <v>100</v>
      </c>
      <c r="AK15">
        <v>100</v>
      </c>
    </row>
    <row r="16" spans="1:37" x14ac:dyDescent="0.25">
      <c r="A16" s="156" t="s">
        <v>63</v>
      </c>
      <c r="B16" s="158">
        <v>43870</v>
      </c>
      <c r="C16">
        <v>0.38750000000000001</v>
      </c>
      <c r="D16">
        <v>1</v>
      </c>
      <c r="E16" s="156" t="s">
        <v>55</v>
      </c>
      <c r="F16" s="156" t="s">
        <v>76</v>
      </c>
      <c r="G16">
        <v>91</v>
      </c>
      <c r="H16">
        <v>8</v>
      </c>
      <c r="I16">
        <v>11.375</v>
      </c>
      <c r="J16" s="156" t="s">
        <v>54</v>
      </c>
      <c r="K16">
        <v>95</v>
      </c>
      <c r="L16">
        <v>1</v>
      </c>
      <c r="M16">
        <v>0</v>
      </c>
      <c r="N16">
        <v>0</v>
      </c>
      <c r="O16">
        <v>1</v>
      </c>
      <c r="Q16">
        <v>831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55</v>
      </c>
      <c r="AB16">
        <v>100</v>
      </c>
      <c r="AE16">
        <v>100</v>
      </c>
      <c r="AH16">
        <v>100</v>
      </c>
      <c r="AK16">
        <v>100</v>
      </c>
    </row>
    <row r="17" spans="1:37" x14ac:dyDescent="0.25">
      <c r="A17" s="156" t="s">
        <v>63</v>
      </c>
      <c r="B17" s="158">
        <v>43870</v>
      </c>
      <c r="C17">
        <v>0.40833333333333338</v>
      </c>
      <c r="D17">
        <v>1</v>
      </c>
      <c r="E17" s="156" t="s">
        <v>47</v>
      </c>
      <c r="F17" s="156" t="s">
        <v>77</v>
      </c>
      <c r="I17">
        <v>0</v>
      </c>
      <c r="J17" s="156"/>
      <c r="L17">
        <v>0</v>
      </c>
      <c r="M17">
        <v>0</v>
      </c>
      <c r="N17">
        <v>0</v>
      </c>
      <c r="O17">
        <v>0</v>
      </c>
      <c r="Q17">
        <v>831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55</v>
      </c>
      <c r="AB17">
        <v>100</v>
      </c>
      <c r="AE17">
        <v>100</v>
      </c>
      <c r="AH17">
        <v>100</v>
      </c>
      <c r="AK17">
        <v>100</v>
      </c>
    </row>
    <row r="18" spans="1:37" x14ac:dyDescent="0.25">
      <c r="A18" s="156" t="s">
        <v>63</v>
      </c>
      <c r="B18" s="158">
        <v>43870</v>
      </c>
      <c r="C18">
        <v>0.54583333333333328</v>
      </c>
      <c r="D18">
        <v>3</v>
      </c>
      <c r="E18" s="156" t="s">
        <v>45</v>
      </c>
      <c r="F18" s="156" t="s">
        <v>74</v>
      </c>
      <c r="I18">
        <v>0</v>
      </c>
      <c r="J18" s="156"/>
      <c r="L18">
        <v>0</v>
      </c>
      <c r="M18">
        <v>0</v>
      </c>
      <c r="N18">
        <v>0</v>
      </c>
      <c r="O18">
        <v>1</v>
      </c>
      <c r="Q18">
        <v>830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55</v>
      </c>
      <c r="AB18">
        <v>100</v>
      </c>
      <c r="AE18">
        <v>100</v>
      </c>
      <c r="AH18">
        <v>100</v>
      </c>
      <c r="AK18">
        <v>100</v>
      </c>
    </row>
    <row r="19" spans="1:37" x14ac:dyDescent="0.25">
      <c r="A19" s="156" t="s">
        <v>63</v>
      </c>
      <c r="B19" s="158">
        <v>43870</v>
      </c>
      <c r="C19">
        <v>0.57916666666666672</v>
      </c>
      <c r="D19">
        <v>1</v>
      </c>
      <c r="E19" s="156" t="s">
        <v>47</v>
      </c>
      <c r="F19" s="156" t="s">
        <v>78</v>
      </c>
      <c r="I19">
        <v>0</v>
      </c>
      <c r="J19" s="156"/>
      <c r="L19">
        <v>0</v>
      </c>
      <c r="M19">
        <v>0</v>
      </c>
      <c r="N19">
        <v>0</v>
      </c>
      <c r="O19">
        <v>0</v>
      </c>
      <c r="Q19">
        <v>830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55</v>
      </c>
      <c r="AB19">
        <v>100</v>
      </c>
      <c r="AE19">
        <v>100</v>
      </c>
      <c r="AH19">
        <v>100</v>
      </c>
      <c r="AK19">
        <v>100</v>
      </c>
    </row>
    <row r="20" spans="1:37" x14ac:dyDescent="0.25">
      <c r="A20" s="156" t="s">
        <v>63</v>
      </c>
      <c r="B20" s="158">
        <v>43871</v>
      </c>
      <c r="C20">
        <v>0.33333333333333331</v>
      </c>
      <c r="D20">
        <v>18</v>
      </c>
      <c r="E20" s="156" t="s">
        <v>49</v>
      </c>
      <c r="F20" s="156" t="s">
        <v>50</v>
      </c>
      <c r="I20">
        <v>0</v>
      </c>
      <c r="J20" s="156"/>
      <c r="L20">
        <v>0</v>
      </c>
      <c r="M20">
        <v>2</v>
      </c>
      <c r="N20">
        <v>1</v>
      </c>
      <c r="O20">
        <v>3</v>
      </c>
      <c r="Q20">
        <v>827</v>
      </c>
      <c r="R20">
        <v>0</v>
      </c>
      <c r="S20">
        <v>0</v>
      </c>
      <c r="T20">
        <v>0</v>
      </c>
      <c r="U20">
        <v>0</v>
      </c>
      <c r="V20">
        <v>4</v>
      </c>
      <c r="W20">
        <v>4</v>
      </c>
      <c r="X20">
        <v>0</v>
      </c>
      <c r="Y20">
        <v>51</v>
      </c>
      <c r="AB20">
        <v>100</v>
      </c>
      <c r="AE20">
        <v>100</v>
      </c>
      <c r="AH20">
        <v>100</v>
      </c>
      <c r="AK20">
        <v>100</v>
      </c>
    </row>
    <row r="21" spans="1:37" x14ac:dyDescent="0.25">
      <c r="A21" s="156" t="s">
        <v>63</v>
      </c>
      <c r="B21" s="158">
        <v>43872</v>
      </c>
      <c r="C21">
        <v>0.25</v>
      </c>
      <c r="D21">
        <v>22</v>
      </c>
      <c r="E21" s="156" t="s">
        <v>51</v>
      </c>
      <c r="F21" s="156" t="s">
        <v>52</v>
      </c>
      <c r="I21">
        <v>0</v>
      </c>
      <c r="J21" s="156"/>
      <c r="L21">
        <v>0</v>
      </c>
      <c r="M21">
        <v>2</v>
      </c>
      <c r="N21">
        <v>2</v>
      </c>
      <c r="O21">
        <v>4</v>
      </c>
      <c r="Q21">
        <v>823</v>
      </c>
      <c r="R21">
        <v>0</v>
      </c>
      <c r="S21">
        <v>0</v>
      </c>
      <c r="T21">
        <v>0</v>
      </c>
      <c r="U21">
        <v>0</v>
      </c>
      <c r="V21">
        <v>3</v>
      </c>
      <c r="W21">
        <v>3</v>
      </c>
      <c r="X21">
        <v>0</v>
      </c>
      <c r="Y21">
        <v>48</v>
      </c>
      <c r="AB21">
        <v>100</v>
      </c>
      <c r="AE21">
        <v>100</v>
      </c>
      <c r="AH21">
        <v>100</v>
      </c>
      <c r="AK21">
        <v>100</v>
      </c>
    </row>
    <row r="22" spans="1:37" x14ac:dyDescent="0.25">
      <c r="A22" s="156" t="s">
        <v>63</v>
      </c>
      <c r="B22" s="158">
        <v>43872</v>
      </c>
      <c r="C22">
        <v>0.33333333333333331</v>
      </c>
      <c r="D22">
        <v>2</v>
      </c>
      <c r="E22" s="156" t="s">
        <v>49</v>
      </c>
      <c r="F22" s="156" t="s">
        <v>59</v>
      </c>
      <c r="I22">
        <v>0</v>
      </c>
      <c r="J22" s="156"/>
      <c r="L22">
        <v>0</v>
      </c>
      <c r="M22">
        <v>0</v>
      </c>
      <c r="N22">
        <v>0</v>
      </c>
      <c r="O22">
        <v>0</v>
      </c>
      <c r="Q22">
        <v>822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48</v>
      </c>
      <c r="AB22">
        <v>100</v>
      </c>
      <c r="AE22">
        <v>100</v>
      </c>
      <c r="AH22">
        <v>100</v>
      </c>
      <c r="AK22">
        <v>100</v>
      </c>
    </row>
    <row r="23" spans="1:37" x14ac:dyDescent="0.25">
      <c r="A23" s="156" t="s">
        <v>63</v>
      </c>
      <c r="B23" s="158">
        <v>43872</v>
      </c>
      <c r="C23">
        <v>0.375</v>
      </c>
      <c r="D23">
        <v>1</v>
      </c>
      <c r="E23" s="156" t="s">
        <v>49</v>
      </c>
      <c r="F23" s="156" t="s">
        <v>46</v>
      </c>
      <c r="I23">
        <v>0</v>
      </c>
      <c r="J23" s="156"/>
      <c r="L23">
        <v>0</v>
      </c>
      <c r="M23">
        <v>0</v>
      </c>
      <c r="N23">
        <v>0</v>
      </c>
      <c r="O23">
        <v>0</v>
      </c>
      <c r="Q23">
        <v>822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48</v>
      </c>
      <c r="AB23">
        <v>100</v>
      </c>
      <c r="AE23">
        <v>100</v>
      </c>
      <c r="AH23">
        <v>100</v>
      </c>
      <c r="AK23">
        <v>100</v>
      </c>
    </row>
    <row r="24" spans="1:37" x14ac:dyDescent="0.25">
      <c r="A24" s="156" t="s">
        <v>63</v>
      </c>
      <c r="B24" s="158">
        <v>43872</v>
      </c>
      <c r="C24">
        <v>0.39583333333333331</v>
      </c>
      <c r="D24">
        <v>0</v>
      </c>
      <c r="E24" s="156" t="s">
        <v>47</v>
      </c>
      <c r="F24" s="156" t="s">
        <v>79</v>
      </c>
      <c r="I24">
        <v>0</v>
      </c>
      <c r="J24" s="156" t="s">
        <v>54</v>
      </c>
      <c r="K24">
        <v>95</v>
      </c>
      <c r="L24">
        <v>0</v>
      </c>
      <c r="M24">
        <v>0</v>
      </c>
      <c r="N24">
        <v>0</v>
      </c>
      <c r="O24">
        <v>0</v>
      </c>
      <c r="Q24">
        <v>822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48</v>
      </c>
      <c r="AB24">
        <v>100</v>
      </c>
      <c r="AE24">
        <v>100</v>
      </c>
      <c r="AH24">
        <v>100</v>
      </c>
      <c r="AK24">
        <v>100</v>
      </c>
    </row>
    <row r="25" spans="1:37" x14ac:dyDescent="0.25">
      <c r="A25" s="156" t="s">
        <v>63</v>
      </c>
      <c r="B25" s="158">
        <v>43873</v>
      </c>
      <c r="C25">
        <v>0.33333333333333331</v>
      </c>
      <c r="D25">
        <v>22</v>
      </c>
      <c r="E25" s="156" t="s">
        <v>55</v>
      </c>
      <c r="F25" s="156" t="s">
        <v>56</v>
      </c>
      <c r="I25">
        <v>0</v>
      </c>
      <c r="J25" s="156" t="s">
        <v>54</v>
      </c>
      <c r="K25">
        <v>95</v>
      </c>
      <c r="L25">
        <v>19</v>
      </c>
      <c r="M25">
        <v>2</v>
      </c>
      <c r="N25">
        <v>0</v>
      </c>
      <c r="O25">
        <v>21</v>
      </c>
      <c r="Q25">
        <v>801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48</v>
      </c>
      <c r="AB25">
        <v>100</v>
      </c>
      <c r="AE25">
        <v>100</v>
      </c>
      <c r="AH25">
        <v>100</v>
      </c>
      <c r="AK25">
        <v>100</v>
      </c>
    </row>
    <row r="26" spans="1:37" x14ac:dyDescent="0.25">
      <c r="A26" s="156" t="s">
        <v>63</v>
      </c>
      <c r="B26" s="158">
        <v>43873</v>
      </c>
      <c r="C26">
        <v>0.47916666666666669</v>
      </c>
      <c r="D26">
        <v>4</v>
      </c>
      <c r="E26" s="156" t="s">
        <v>55</v>
      </c>
      <c r="F26" s="156" t="s">
        <v>80</v>
      </c>
      <c r="G26">
        <v>266</v>
      </c>
      <c r="H26">
        <v>26</v>
      </c>
      <c r="I26">
        <v>10.23076923076923</v>
      </c>
      <c r="J26" s="156" t="s">
        <v>54</v>
      </c>
      <c r="K26">
        <v>95</v>
      </c>
      <c r="L26">
        <v>3</v>
      </c>
      <c r="M26">
        <v>0</v>
      </c>
      <c r="N26">
        <v>0</v>
      </c>
      <c r="O26">
        <v>3</v>
      </c>
      <c r="Q26">
        <v>798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48</v>
      </c>
      <c r="AB26">
        <v>100</v>
      </c>
      <c r="AE26">
        <v>100</v>
      </c>
      <c r="AH26">
        <v>100</v>
      </c>
      <c r="AK26">
        <v>100</v>
      </c>
    </row>
    <row r="27" spans="1:37" x14ac:dyDescent="0.25">
      <c r="A27" s="156" t="s">
        <v>63</v>
      </c>
      <c r="B27" s="158">
        <v>43873</v>
      </c>
      <c r="C27">
        <v>0.5</v>
      </c>
      <c r="D27">
        <v>0</v>
      </c>
      <c r="E27" s="156" t="s">
        <v>47</v>
      </c>
      <c r="F27" s="156" t="s">
        <v>48</v>
      </c>
      <c r="I27">
        <v>0</v>
      </c>
      <c r="J27" s="156"/>
      <c r="L27">
        <v>0</v>
      </c>
      <c r="M27">
        <v>0</v>
      </c>
      <c r="N27">
        <v>0</v>
      </c>
      <c r="O27">
        <v>0</v>
      </c>
      <c r="Q27">
        <v>798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48</v>
      </c>
      <c r="AB27">
        <v>100</v>
      </c>
      <c r="AE27">
        <v>100</v>
      </c>
      <c r="AH27">
        <v>100</v>
      </c>
      <c r="AK27">
        <v>100</v>
      </c>
    </row>
    <row r="28" spans="1:37" x14ac:dyDescent="0.25">
      <c r="A28" s="156" t="s">
        <v>63</v>
      </c>
      <c r="B28" s="158">
        <v>43874</v>
      </c>
      <c r="C28">
        <v>0.33333333333333331</v>
      </c>
      <c r="D28">
        <v>20</v>
      </c>
      <c r="E28" s="156" t="s">
        <v>45</v>
      </c>
      <c r="F28" s="156" t="s">
        <v>45</v>
      </c>
      <c r="I28">
        <v>0</v>
      </c>
      <c r="J28" s="156"/>
      <c r="L28">
        <v>0</v>
      </c>
      <c r="M28">
        <v>2</v>
      </c>
      <c r="N28">
        <v>2</v>
      </c>
      <c r="O28">
        <v>4</v>
      </c>
      <c r="Q28">
        <v>794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48</v>
      </c>
      <c r="AB28">
        <v>100</v>
      </c>
      <c r="AE28">
        <v>100</v>
      </c>
      <c r="AH28">
        <v>100</v>
      </c>
      <c r="AK28">
        <v>100</v>
      </c>
    </row>
    <row r="29" spans="1:37" x14ac:dyDescent="0.25">
      <c r="A29" s="156" t="s">
        <v>63</v>
      </c>
      <c r="B29" s="158">
        <v>43874</v>
      </c>
      <c r="C29">
        <v>0.51250000000000007</v>
      </c>
      <c r="D29">
        <v>4</v>
      </c>
      <c r="E29" s="156" t="s">
        <v>45</v>
      </c>
      <c r="F29" s="156" t="s">
        <v>46</v>
      </c>
      <c r="I29">
        <v>0</v>
      </c>
      <c r="J29" s="156"/>
      <c r="L29">
        <v>0</v>
      </c>
      <c r="M29">
        <v>0</v>
      </c>
      <c r="N29">
        <v>0</v>
      </c>
      <c r="O29">
        <v>1</v>
      </c>
      <c r="Q29">
        <v>793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48</v>
      </c>
      <c r="AB29">
        <v>100</v>
      </c>
      <c r="AE29">
        <v>100</v>
      </c>
      <c r="AH29">
        <v>100</v>
      </c>
      <c r="AK29">
        <v>100</v>
      </c>
    </row>
    <row r="30" spans="1:37" x14ac:dyDescent="0.25">
      <c r="A30" s="156" t="s">
        <v>63</v>
      </c>
      <c r="B30" s="158">
        <v>43874</v>
      </c>
      <c r="C30">
        <v>0.58333333333333337</v>
      </c>
      <c r="D30">
        <v>2</v>
      </c>
      <c r="E30" s="156" t="s">
        <v>47</v>
      </c>
      <c r="F30" s="156" t="s">
        <v>48</v>
      </c>
      <c r="I30">
        <v>0</v>
      </c>
      <c r="J30" s="156"/>
      <c r="L30">
        <v>0</v>
      </c>
      <c r="M30">
        <v>0</v>
      </c>
      <c r="N30">
        <v>0</v>
      </c>
      <c r="O30">
        <v>0</v>
      </c>
      <c r="Q30">
        <v>793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48</v>
      </c>
      <c r="AB30">
        <v>100</v>
      </c>
      <c r="AE30">
        <v>100</v>
      </c>
      <c r="AH30">
        <v>100</v>
      </c>
      <c r="AK30">
        <v>100</v>
      </c>
    </row>
    <row r="31" spans="1:37" x14ac:dyDescent="0.25">
      <c r="A31" s="156" t="s">
        <v>63</v>
      </c>
      <c r="B31" s="158">
        <v>43874</v>
      </c>
      <c r="C31">
        <v>0.79583333333333339</v>
      </c>
      <c r="D31">
        <v>5</v>
      </c>
      <c r="E31" s="156" t="s">
        <v>49</v>
      </c>
      <c r="F31" s="156" t="s">
        <v>50</v>
      </c>
      <c r="I31">
        <v>0</v>
      </c>
      <c r="J31" s="156"/>
      <c r="L31">
        <v>0</v>
      </c>
      <c r="M31">
        <v>1</v>
      </c>
      <c r="N31">
        <v>0</v>
      </c>
      <c r="O31">
        <v>1</v>
      </c>
      <c r="Q31">
        <v>792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48</v>
      </c>
      <c r="AB31">
        <v>100</v>
      </c>
      <c r="AE31">
        <v>100</v>
      </c>
      <c r="AH31">
        <v>100</v>
      </c>
      <c r="AK31">
        <v>100</v>
      </c>
    </row>
    <row r="32" spans="1:37" x14ac:dyDescent="0.25">
      <c r="A32" s="156" t="s">
        <v>63</v>
      </c>
      <c r="B32" s="158">
        <v>43875</v>
      </c>
      <c r="C32">
        <v>0.33333333333333331</v>
      </c>
      <c r="D32">
        <v>13</v>
      </c>
      <c r="E32" s="156" t="s">
        <v>51</v>
      </c>
      <c r="F32" s="156" t="s">
        <v>51</v>
      </c>
      <c r="I32">
        <v>0</v>
      </c>
      <c r="J32" s="156"/>
      <c r="L32">
        <v>0</v>
      </c>
      <c r="M32">
        <v>1</v>
      </c>
      <c r="N32">
        <v>1</v>
      </c>
      <c r="O32">
        <v>2</v>
      </c>
      <c r="Q32">
        <v>789</v>
      </c>
      <c r="R32">
        <v>0</v>
      </c>
      <c r="S32">
        <v>0</v>
      </c>
      <c r="T32">
        <v>0</v>
      </c>
      <c r="U32">
        <v>0</v>
      </c>
      <c r="V32">
        <v>3</v>
      </c>
      <c r="W32">
        <v>3</v>
      </c>
      <c r="X32">
        <v>0</v>
      </c>
      <c r="Y32">
        <v>44</v>
      </c>
      <c r="AB32">
        <v>100</v>
      </c>
      <c r="AE32">
        <v>100</v>
      </c>
      <c r="AH32">
        <v>100</v>
      </c>
      <c r="AK32">
        <v>100</v>
      </c>
    </row>
    <row r="33" spans="1:37" x14ac:dyDescent="0.25">
      <c r="A33" s="156" t="s">
        <v>63</v>
      </c>
      <c r="B33" s="158">
        <v>43875</v>
      </c>
      <c r="C33">
        <v>0.65</v>
      </c>
      <c r="D33">
        <v>8</v>
      </c>
      <c r="E33" s="156" t="s">
        <v>51</v>
      </c>
      <c r="F33" s="156" t="s">
        <v>52</v>
      </c>
      <c r="I33">
        <v>0</v>
      </c>
      <c r="J33" s="156"/>
      <c r="L33">
        <v>0</v>
      </c>
      <c r="M33">
        <v>1</v>
      </c>
      <c r="N33">
        <v>1</v>
      </c>
      <c r="O33">
        <v>1</v>
      </c>
      <c r="Q33">
        <v>788</v>
      </c>
      <c r="R33">
        <v>0</v>
      </c>
      <c r="S33">
        <v>0</v>
      </c>
      <c r="T33">
        <v>0</v>
      </c>
      <c r="U33">
        <v>0</v>
      </c>
      <c r="V33">
        <v>2</v>
      </c>
      <c r="W33">
        <v>2</v>
      </c>
      <c r="X33">
        <v>0</v>
      </c>
      <c r="Y33">
        <v>42</v>
      </c>
      <c r="AB33">
        <v>100</v>
      </c>
      <c r="AE33">
        <v>100</v>
      </c>
      <c r="AH33">
        <v>100</v>
      </c>
      <c r="AK33">
        <v>100</v>
      </c>
    </row>
    <row r="34" spans="1:37" x14ac:dyDescent="0.25">
      <c r="A34" s="156" t="s">
        <v>63</v>
      </c>
      <c r="B34" s="158">
        <v>43875</v>
      </c>
      <c r="C34">
        <v>0.77916666666666667</v>
      </c>
      <c r="D34">
        <v>3</v>
      </c>
      <c r="E34" s="156" t="s">
        <v>49</v>
      </c>
      <c r="F34" s="156" t="s">
        <v>46</v>
      </c>
      <c r="I34">
        <v>0</v>
      </c>
      <c r="J34" s="156" t="s">
        <v>81</v>
      </c>
      <c r="K34">
        <v>95</v>
      </c>
      <c r="L34">
        <v>0</v>
      </c>
      <c r="M34">
        <v>0</v>
      </c>
      <c r="N34">
        <v>0</v>
      </c>
      <c r="O34">
        <v>1</v>
      </c>
      <c r="Q34">
        <v>787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42</v>
      </c>
      <c r="AB34">
        <v>100</v>
      </c>
      <c r="AE34">
        <v>100</v>
      </c>
      <c r="AH34">
        <v>100</v>
      </c>
      <c r="AK34">
        <v>100</v>
      </c>
    </row>
    <row r="35" spans="1:37" x14ac:dyDescent="0.25">
      <c r="A35" s="156" t="s">
        <v>63</v>
      </c>
      <c r="B35" s="158">
        <v>43875</v>
      </c>
      <c r="C35">
        <v>0.8041666666666667</v>
      </c>
      <c r="D35">
        <v>1</v>
      </c>
      <c r="E35" s="156" t="s">
        <v>47</v>
      </c>
      <c r="F35" s="156" t="s">
        <v>53</v>
      </c>
      <c r="I35">
        <v>0</v>
      </c>
      <c r="J35" s="156" t="s">
        <v>81</v>
      </c>
      <c r="K35">
        <v>95</v>
      </c>
      <c r="L35">
        <v>0</v>
      </c>
      <c r="M35">
        <v>0</v>
      </c>
      <c r="N35">
        <v>0</v>
      </c>
      <c r="O35">
        <v>0</v>
      </c>
      <c r="Q35">
        <v>787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42</v>
      </c>
      <c r="AB35">
        <v>100</v>
      </c>
      <c r="AE35">
        <v>100</v>
      </c>
      <c r="AH35">
        <v>100</v>
      </c>
      <c r="AK35">
        <v>100</v>
      </c>
    </row>
    <row r="36" spans="1:37" x14ac:dyDescent="0.25">
      <c r="A36" s="156" t="s">
        <v>63</v>
      </c>
      <c r="B36" s="158">
        <v>43876</v>
      </c>
      <c r="C36">
        <v>0.16666666666666666</v>
      </c>
      <c r="D36">
        <v>9</v>
      </c>
      <c r="E36" s="156" t="s">
        <v>55</v>
      </c>
      <c r="F36" s="156" t="s">
        <v>57</v>
      </c>
      <c r="G36">
        <v>96</v>
      </c>
      <c r="H36">
        <v>9</v>
      </c>
      <c r="I36">
        <v>10.32258064516129</v>
      </c>
      <c r="J36" s="156" t="s">
        <v>81</v>
      </c>
      <c r="K36">
        <v>95</v>
      </c>
      <c r="L36">
        <v>7</v>
      </c>
      <c r="M36">
        <v>1</v>
      </c>
      <c r="N36">
        <v>0</v>
      </c>
      <c r="O36">
        <v>8</v>
      </c>
      <c r="Q36">
        <v>779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42</v>
      </c>
      <c r="AB36">
        <v>100</v>
      </c>
      <c r="AE36">
        <v>100</v>
      </c>
      <c r="AH36">
        <v>100</v>
      </c>
      <c r="AK36">
        <v>100</v>
      </c>
    </row>
    <row r="37" spans="1:37" x14ac:dyDescent="0.25">
      <c r="A37" s="156" t="s">
        <v>63</v>
      </c>
      <c r="B37" s="158">
        <v>43876</v>
      </c>
      <c r="C37">
        <v>0.3</v>
      </c>
      <c r="D37">
        <v>3</v>
      </c>
      <c r="E37" s="156" t="s">
        <v>47</v>
      </c>
      <c r="F37" s="156" t="s">
        <v>48</v>
      </c>
      <c r="I37">
        <v>0</v>
      </c>
      <c r="J37" s="156"/>
      <c r="L37">
        <v>0</v>
      </c>
      <c r="M37">
        <v>0</v>
      </c>
      <c r="N37">
        <v>0</v>
      </c>
      <c r="O37">
        <v>1</v>
      </c>
      <c r="Q37">
        <v>778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42</v>
      </c>
      <c r="AB37">
        <v>100</v>
      </c>
      <c r="AE37">
        <v>100</v>
      </c>
      <c r="AH37">
        <v>100</v>
      </c>
      <c r="AK37">
        <v>100</v>
      </c>
    </row>
    <row r="38" spans="1:37" x14ac:dyDescent="0.25">
      <c r="A38" s="156" t="s">
        <v>63</v>
      </c>
      <c r="B38" s="158">
        <v>43876</v>
      </c>
      <c r="C38">
        <v>0.33333333333333331</v>
      </c>
      <c r="D38">
        <v>1</v>
      </c>
      <c r="E38" s="156" t="s">
        <v>49</v>
      </c>
      <c r="F38" s="156" t="s">
        <v>59</v>
      </c>
      <c r="I38">
        <v>0</v>
      </c>
      <c r="J38" s="156"/>
      <c r="L38">
        <v>0</v>
      </c>
      <c r="M38">
        <v>0</v>
      </c>
      <c r="N38">
        <v>0</v>
      </c>
      <c r="O38">
        <v>0</v>
      </c>
      <c r="Q38">
        <v>778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42</v>
      </c>
      <c r="AB38">
        <v>100</v>
      </c>
      <c r="AE38">
        <v>100</v>
      </c>
      <c r="AH38">
        <v>100</v>
      </c>
      <c r="AK38">
        <v>100</v>
      </c>
    </row>
    <row r="39" spans="1:37" x14ac:dyDescent="0.25">
      <c r="A39" s="156" t="s">
        <v>63</v>
      </c>
      <c r="B39" s="158">
        <v>43876</v>
      </c>
      <c r="C39">
        <v>0.41250000000000003</v>
      </c>
      <c r="D39">
        <v>2</v>
      </c>
      <c r="E39" s="156" t="s">
        <v>49</v>
      </c>
      <c r="F39" s="156" t="s">
        <v>50</v>
      </c>
      <c r="I39">
        <v>0</v>
      </c>
      <c r="J39" s="156"/>
      <c r="L39">
        <v>0</v>
      </c>
      <c r="M39">
        <v>0</v>
      </c>
      <c r="N39">
        <v>0</v>
      </c>
      <c r="O39">
        <v>0</v>
      </c>
      <c r="Q39">
        <v>778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42</v>
      </c>
      <c r="AB39">
        <v>100</v>
      </c>
      <c r="AE39">
        <v>100</v>
      </c>
      <c r="AH39">
        <v>100</v>
      </c>
      <c r="AK39">
        <v>100</v>
      </c>
    </row>
    <row r="40" spans="1:37" x14ac:dyDescent="0.25">
      <c r="A40" s="156" t="s">
        <v>63</v>
      </c>
      <c r="B40" s="158">
        <v>43876</v>
      </c>
      <c r="C40">
        <v>0.9458333333333333</v>
      </c>
      <c r="D40">
        <v>13</v>
      </c>
      <c r="E40" s="156" t="s">
        <v>51</v>
      </c>
      <c r="F40" s="156" t="s">
        <v>52</v>
      </c>
      <c r="I40">
        <v>0</v>
      </c>
      <c r="J40" s="156"/>
      <c r="L40">
        <v>0</v>
      </c>
      <c r="M40">
        <v>1</v>
      </c>
      <c r="N40">
        <v>1</v>
      </c>
      <c r="O40">
        <v>2</v>
      </c>
      <c r="Q40">
        <v>775</v>
      </c>
      <c r="R40">
        <v>0</v>
      </c>
      <c r="S40">
        <v>0</v>
      </c>
      <c r="T40">
        <v>0</v>
      </c>
      <c r="U40">
        <v>0</v>
      </c>
      <c r="V40">
        <v>3</v>
      </c>
      <c r="W40">
        <v>3</v>
      </c>
      <c r="X40">
        <v>0</v>
      </c>
      <c r="Y40">
        <v>39</v>
      </c>
      <c r="AB40">
        <v>100</v>
      </c>
      <c r="AE40">
        <v>100</v>
      </c>
      <c r="AH40">
        <v>100</v>
      </c>
      <c r="AK40">
        <v>100</v>
      </c>
    </row>
    <row r="41" spans="1:37" x14ac:dyDescent="0.25">
      <c r="A41" s="156" t="s">
        <v>63</v>
      </c>
      <c r="B41" s="158">
        <v>43877</v>
      </c>
      <c r="C41">
        <v>7.4999999999999997E-2</v>
      </c>
      <c r="D41">
        <v>3</v>
      </c>
      <c r="E41" s="156" t="s">
        <v>49</v>
      </c>
      <c r="F41" s="156" t="s">
        <v>46</v>
      </c>
      <c r="I41">
        <v>0</v>
      </c>
      <c r="J41" s="156"/>
      <c r="L41">
        <v>0</v>
      </c>
      <c r="M41">
        <v>0</v>
      </c>
      <c r="N41">
        <v>0</v>
      </c>
      <c r="O41">
        <v>1</v>
      </c>
      <c r="Q41">
        <v>775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39</v>
      </c>
      <c r="AB41">
        <v>100</v>
      </c>
      <c r="AE41">
        <v>100</v>
      </c>
      <c r="AH41">
        <v>100</v>
      </c>
      <c r="AK41">
        <v>100</v>
      </c>
    </row>
    <row r="42" spans="1:37" x14ac:dyDescent="0.25">
      <c r="A42" s="156" t="s">
        <v>63</v>
      </c>
      <c r="B42" s="158">
        <v>43877</v>
      </c>
      <c r="C42">
        <v>0.10416666666666667</v>
      </c>
      <c r="D42">
        <v>1</v>
      </c>
      <c r="E42" s="156" t="s">
        <v>47</v>
      </c>
      <c r="F42" s="156" t="s">
        <v>60</v>
      </c>
      <c r="I42">
        <v>0</v>
      </c>
      <c r="J42" s="156" t="s">
        <v>54</v>
      </c>
      <c r="K42">
        <v>95</v>
      </c>
      <c r="L42">
        <v>0</v>
      </c>
      <c r="M42">
        <v>0</v>
      </c>
      <c r="N42">
        <v>0</v>
      </c>
      <c r="O42">
        <v>0</v>
      </c>
      <c r="Q42">
        <v>774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39</v>
      </c>
      <c r="AB42">
        <v>100</v>
      </c>
      <c r="AE42">
        <v>100</v>
      </c>
      <c r="AH42">
        <v>100</v>
      </c>
      <c r="AK42">
        <v>100</v>
      </c>
    </row>
    <row r="43" spans="1:37" x14ac:dyDescent="0.25">
      <c r="A43" s="156" t="s">
        <v>63</v>
      </c>
      <c r="B43" s="158">
        <v>43877</v>
      </c>
      <c r="C43">
        <v>0.33333333333333331</v>
      </c>
      <c r="D43">
        <v>6</v>
      </c>
      <c r="E43" s="156" t="s">
        <v>61</v>
      </c>
      <c r="F43" s="156" t="s">
        <v>56</v>
      </c>
      <c r="I43">
        <v>0</v>
      </c>
      <c r="J43" s="156" t="s">
        <v>54</v>
      </c>
      <c r="K43">
        <v>95</v>
      </c>
      <c r="L43">
        <v>5</v>
      </c>
      <c r="M43">
        <v>1</v>
      </c>
      <c r="N43">
        <v>0</v>
      </c>
      <c r="O43">
        <v>5</v>
      </c>
      <c r="Q43">
        <v>769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39</v>
      </c>
      <c r="AB43">
        <v>100</v>
      </c>
      <c r="AE43">
        <v>100</v>
      </c>
      <c r="AH43">
        <v>100</v>
      </c>
      <c r="AK43">
        <v>100</v>
      </c>
    </row>
    <row r="44" spans="1:37" x14ac:dyDescent="0.25">
      <c r="A44" s="156" t="s">
        <v>63</v>
      </c>
      <c r="B44" s="158">
        <v>43878</v>
      </c>
      <c r="C44">
        <v>0.10416666666666667</v>
      </c>
      <c r="D44">
        <v>18</v>
      </c>
      <c r="E44" s="156" t="s">
        <v>61</v>
      </c>
      <c r="F44" s="156" t="s">
        <v>62</v>
      </c>
      <c r="G44">
        <v>265</v>
      </c>
      <c r="H44">
        <v>24</v>
      </c>
      <c r="I44">
        <v>11.041666666666666</v>
      </c>
      <c r="J44" s="156" t="s">
        <v>54</v>
      </c>
      <c r="K44">
        <v>95</v>
      </c>
      <c r="L44">
        <v>15</v>
      </c>
      <c r="M44">
        <v>2</v>
      </c>
      <c r="N44">
        <v>0</v>
      </c>
      <c r="O44">
        <v>17</v>
      </c>
      <c r="Q44">
        <v>752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39</v>
      </c>
      <c r="AB44">
        <v>100</v>
      </c>
      <c r="AE44">
        <v>100</v>
      </c>
      <c r="AH44">
        <v>100</v>
      </c>
      <c r="AK44">
        <v>100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C427C8-BC57-41D6-A1BE-ACC990C2C1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41</vt:i4>
      </vt:variant>
      <vt:variant>
        <vt:lpstr>Rangos con nombre</vt:lpstr>
      </vt:variant>
      <vt:variant>
        <vt:i4>2</vt:i4>
      </vt:variant>
    </vt:vector>
  </HeadingPairs>
  <TitlesOfParts>
    <vt:vector size="43" baseType="lpstr">
      <vt:lpstr>COMBO2</vt:lpstr>
      <vt:lpstr>BASE DATOS</vt:lpstr>
      <vt:lpstr>GRAFICA </vt:lpstr>
      <vt:lpstr>V051-19</vt:lpstr>
      <vt:lpstr>V052-20</vt:lpstr>
      <vt:lpstr>V053-20</vt:lpstr>
      <vt:lpstr>V054-20</vt:lpstr>
      <vt:lpstr>V055-20</vt:lpstr>
      <vt:lpstr>V056-20</vt:lpstr>
      <vt:lpstr>V057-20</vt:lpstr>
      <vt:lpstr>V058-20</vt:lpstr>
      <vt:lpstr>V059-20</vt:lpstr>
      <vt:lpstr>V060-20</vt:lpstr>
      <vt:lpstr>V061-20</vt:lpstr>
      <vt:lpstr>V062-20</vt:lpstr>
      <vt:lpstr>V062A-20</vt:lpstr>
      <vt:lpstr>V01-20</vt:lpstr>
      <vt:lpstr>V02-20</vt:lpstr>
      <vt:lpstr>V03-20</vt:lpstr>
      <vt:lpstr>V04-20 </vt:lpstr>
      <vt:lpstr>V05-20 </vt:lpstr>
      <vt:lpstr>V06-20</vt:lpstr>
      <vt:lpstr>V07-20</vt:lpstr>
      <vt:lpstr>V01-21</vt:lpstr>
      <vt:lpstr>V02-21</vt:lpstr>
      <vt:lpstr>FONDEADOS TALARA</vt:lpstr>
      <vt:lpstr>V03-21 </vt:lpstr>
      <vt:lpstr>V04-21</vt:lpstr>
      <vt:lpstr>Hoja17</vt:lpstr>
      <vt:lpstr>Hoja18</vt:lpstr>
      <vt:lpstr>Hoja20</vt:lpstr>
      <vt:lpstr>Hoja21</vt:lpstr>
      <vt:lpstr>Hoja22</vt:lpstr>
      <vt:lpstr>Hoja23</vt:lpstr>
      <vt:lpstr>Hoja24</vt:lpstr>
      <vt:lpstr>Hoja25</vt:lpstr>
      <vt:lpstr>Hoja26</vt:lpstr>
      <vt:lpstr>Hoja27</vt:lpstr>
      <vt:lpstr>Hoja28</vt:lpstr>
      <vt:lpstr>MARZO2</vt:lpstr>
      <vt:lpstr>ABRIL2</vt:lpstr>
      <vt:lpstr>ListaV</vt:lpstr>
      <vt:lpstr>'BASE DATOS'!VIAJE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Gonzalo Simeon</dc:creator>
  <cp:lastModifiedBy>JEFE MAQUINAS</cp:lastModifiedBy>
  <cp:lastPrinted>2020-12-31T02:40:00Z</cp:lastPrinted>
  <dcterms:created xsi:type="dcterms:W3CDTF">2020-04-29T00:32:18Z</dcterms:created>
  <dcterms:modified xsi:type="dcterms:W3CDTF">2021-05-13T13:40:54Z</dcterms:modified>
</cp:coreProperties>
</file>